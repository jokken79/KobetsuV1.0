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従業員マスタ" sheetId="2" state="visible" r:id="rId4"/>
    <sheet name="派遣先マスタ" sheetId="3" state="visible" r:id="rId5"/>
    <sheet name="勤怠表_2025年12月" sheetId="4" state="visible" r:id="rId6"/>
    <sheet name="給与計算_2025年12月" sheetId="5" state="visible" r:id="rId7"/>
    <sheet name="給与明細_2025年12月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<sst xmlns="http://schemas.openxmlformats.org/spreadsheetml/2006/main" count="441" uniqueCount="199">
  <si>
    <r>
      <rPr>
        <b val="true"/>
        <sz val="18"/>
        <rFont val="Cambria"/>
        <family val="0"/>
        <charset val="1"/>
      </rPr>
      <t xml:space="preserve">UNS </t>
    </r>
    <r>
      <rPr>
        <b val="true"/>
        <sz val="18"/>
        <rFont val="Noto Sans CJK SC"/>
        <family val="2"/>
      </rPr>
      <t xml:space="preserve">勤怠管理システム</t>
    </r>
  </si>
  <si>
    <r>
      <rPr>
        <sz val="11"/>
        <color theme="1"/>
        <rFont val="Noto Sans CJK SC"/>
        <family val="2"/>
      </rPr>
      <t xml:space="preserve">会社名</t>
    </r>
    <r>
      <rPr>
        <sz val="11"/>
        <color theme="1"/>
        <rFont val="Calibri"/>
        <family val="2"/>
        <charset val="1"/>
      </rPr>
      <t xml:space="preserve">:</t>
    </r>
  </si>
  <si>
    <t xml:space="preserve">ユニバーサル企画株式会社</t>
  </si>
  <si>
    <r>
      <rPr>
        <sz val="11"/>
        <color theme="1"/>
        <rFont val="Noto Sans CJK SC"/>
        <family val="2"/>
      </rPr>
      <t xml:space="preserve">許可番号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</si>
  <si>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Noto Sans CJK SC"/>
        <family val="2"/>
      </rPr>
      <t xml:space="preserve">派</t>
    </r>
    <r>
      <rPr>
        <sz val="11"/>
        <color theme="1"/>
        <rFont val="Calibri"/>
        <family val="2"/>
        <charset val="1"/>
      </rPr>
      <t xml:space="preserve">23-303669</t>
    </r>
  </si>
  <si>
    <r>
      <rPr>
        <sz val="11"/>
        <color theme="1"/>
        <rFont val="Noto Sans CJK SC"/>
        <family val="2"/>
      </rPr>
      <t xml:space="preserve">作成日</t>
    </r>
    <r>
      <rPr>
        <sz val="11"/>
        <color theme="1"/>
        <rFont val="Calibri"/>
        <family val="2"/>
        <charset val="1"/>
      </rPr>
      <t xml:space="preserve">:</t>
    </r>
  </si>
  <si>
    <t xml:space="preserve">2025-12-12 11:14</t>
  </si>
  <si>
    <t xml:space="preserve">【シート構成】</t>
  </si>
  <si>
    <t xml:space="preserve">従業員マスタ</t>
  </si>
  <si>
    <t xml:space="preserve">派遣社員の基本情報を管理</t>
  </si>
  <si>
    <t xml:space="preserve">派遣先マスタ</t>
  </si>
  <si>
    <t xml:space="preserve">派遣先（工場）の情報・締め日・シフト等</t>
  </si>
  <si>
    <r>
      <rPr>
        <b val="true"/>
        <sz val="11"/>
        <rFont val="Noto Sans CJK SC"/>
        <family val="2"/>
      </rPr>
      <t xml:space="preserve">勤怠表</t>
    </r>
    <r>
      <rPr>
        <b val="true"/>
        <sz val="11"/>
        <rFont val="Cambria"/>
        <family val="0"/>
        <charset val="1"/>
      </rPr>
      <t xml:space="preserve">_YYYY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Cambria"/>
        <family val="0"/>
        <charset val="1"/>
      </rPr>
      <t xml:space="preserve">MM</t>
    </r>
    <r>
      <rPr>
        <b val="true"/>
        <sz val="11"/>
        <rFont val="Noto Sans CJK SC"/>
        <family val="2"/>
      </rPr>
      <t xml:space="preserve">月</t>
    </r>
  </si>
  <si>
    <t xml:space="preserve">日々の出退勤記録</t>
  </si>
  <si>
    <r>
      <rPr>
        <b val="true"/>
        <sz val="11"/>
        <rFont val="Noto Sans CJK SC"/>
        <family val="2"/>
      </rPr>
      <t xml:space="preserve">給与計算</t>
    </r>
    <r>
      <rPr>
        <b val="true"/>
        <sz val="11"/>
        <rFont val="Cambria"/>
        <family val="0"/>
        <charset val="1"/>
      </rPr>
      <t xml:space="preserve">_YYYY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Cambria"/>
        <family val="0"/>
        <charset val="1"/>
      </rPr>
      <t xml:space="preserve">MM</t>
    </r>
    <r>
      <rPr>
        <b val="true"/>
        <sz val="11"/>
        <rFont val="Noto Sans CJK SC"/>
        <family val="2"/>
      </rPr>
      <t xml:space="preserve">月</t>
    </r>
  </si>
  <si>
    <t xml:space="preserve">給与計算・控除計算</t>
  </si>
  <si>
    <r>
      <rPr>
        <b val="true"/>
        <sz val="11"/>
        <rFont val="Noto Sans CJK SC"/>
        <family val="2"/>
      </rPr>
      <t xml:space="preserve">給与明細</t>
    </r>
    <r>
      <rPr>
        <b val="true"/>
        <sz val="11"/>
        <rFont val="Cambria"/>
        <family val="0"/>
        <charset val="1"/>
      </rPr>
      <t xml:space="preserve">_YYYY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Cambria"/>
        <family val="0"/>
        <charset val="1"/>
      </rPr>
      <t xml:space="preserve">MM</t>
    </r>
    <r>
      <rPr>
        <b val="true"/>
        <sz val="11"/>
        <rFont val="Noto Sans CJK SC"/>
        <family val="2"/>
      </rPr>
      <t xml:space="preserve">月</t>
    </r>
  </si>
  <si>
    <t xml:space="preserve">従業員への給与明細書</t>
  </si>
  <si>
    <t xml:space="preserve">【控除率設定】</t>
  </si>
  <si>
    <t xml:space="preserve">健康保険</t>
  </si>
  <si>
    <t xml:space="preserve">5.0%</t>
  </si>
  <si>
    <t xml:space="preserve">厚生年金</t>
  </si>
  <si>
    <t xml:space="preserve">9.15%</t>
  </si>
  <si>
    <t xml:space="preserve">雇用保険</t>
  </si>
  <si>
    <t xml:space="preserve">0.6%</t>
  </si>
  <si>
    <t xml:space="preserve">【割増率設定】</t>
  </si>
  <si>
    <t xml:space="preserve">時間外労働</t>
  </si>
  <si>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増 </t>
    </r>
    <r>
      <rPr>
        <sz val="11"/>
        <color theme="1"/>
        <rFont val="Calibri"/>
        <family val="2"/>
        <charset val="1"/>
      </rPr>
      <t xml:space="preserve">(×1.25)</t>
    </r>
  </si>
  <si>
    <t xml:space="preserve">深夜労働</t>
  </si>
  <si>
    <t xml:space="preserve">休日労働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</si>
  <si>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増 </t>
    </r>
    <r>
      <rPr>
        <sz val="11"/>
        <color theme="1"/>
        <rFont val="Calibri"/>
        <family val="2"/>
        <charset val="1"/>
      </rPr>
      <t xml:space="preserve">(×1.35)</t>
    </r>
  </si>
  <si>
    <r>
      <rPr>
        <sz val="11"/>
        <color theme="1"/>
        <rFont val="Calibri"/>
        <family val="2"/>
        <charset val="1"/>
      </rPr>
      <t xml:space="preserve">60h</t>
    </r>
    <r>
      <rPr>
        <sz val="11"/>
        <color theme="1"/>
        <rFont val="Noto Sans CJK SC"/>
        <family val="2"/>
      </rPr>
      <t xml:space="preserve">超過</t>
    </r>
  </si>
  <si>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増 </t>
    </r>
    <r>
      <rPr>
        <sz val="11"/>
        <color theme="1"/>
        <rFont val="Calibri"/>
        <family val="2"/>
        <charset val="1"/>
      </rPr>
      <t xml:space="preserve">(×1.50)</t>
    </r>
  </si>
  <si>
    <t xml:space="preserve">社員番号</t>
  </si>
  <si>
    <t xml:space="preserve">氏名</t>
  </si>
  <si>
    <t xml:space="preserve">氏名カナ</t>
  </si>
  <si>
    <t xml:space="preserve">生年月日</t>
  </si>
  <si>
    <t xml:space="preserve">性別</t>
  </si>
  <si>
    <t xml:space="preserve">在留カード番号</t>
  </si>
  <si>
    <t xml:space="preserve">在留期限</t>
  </si>
  <si>
    <t xml:space="preserve">国籍</t>
  </si>
  <si>
    <t xml:space="preserve">住所</t>
  </si>
  <si>
    <t xml:space="preserve">電話番号</t>
  </si>
  <si>
    <t xml:space="preserve">派遣先</t>
  </si>
  <si>
    <t xml:space="preserve">工場名</t>
  </si>
  <si>
    <t xml:space="preserve">部署</t>
  </si>
  <si>
    <t xml:space="preserve">ライン</t>
  </si>
  <si>
    <t xml:space="preserve">入社日</t>
  </si>
  <si>
    <t xml:space="preserve">時給</t>
  </si>
  <si>
    <t xml:space="preserve">交通費</t>
  </si>
  <si>
    <t xml:space="preserve">社宅</t>
  </si>
  <si>
    <t xml:space="preserve">社宅家賃</t>
  </si>
  <si>
    <t xml:space="preserve">扶養人数</t>
  </si>
  <si>
    <t xml:space="preserve">E001</t>
  </si>
  <si>
    <t xml:space="preserve">グエン・ヴァン・ミン</t>
  </si>
  <si>
    <t xml:space="preserve">グエン ヴァン ミン</t>
  </si>
  <si>
    <t xml:space="preserve">1995-05-15</t>
  </si>
  <si>
    <t xml:space="preserve">男</t>
  </si>
  <si>
    <t xml:space="preserve">AB12345678CD</t>
  </si>
  <si>
    <t xml:space="preserve">2026-03-15</t>
  </si>
  <si>
    <t xml:space="preserve">ベトナム</t>
  </si>
  <si>
    <r>
      <rPr>
        <sz val="10"/>
        <rFont val="Noto Sans CJK SC"/>
        <family val="2"/>
      </rPr>
      <t xml:space="preserve">愛知県名古屋市港区当知</t>
    </r>
    <r>
      <rPr>
        <sz val="10"/>
        <rFont val="Cambria"/>
        <family val="0"/>
        <charset val="1"/>
      </rPr>
      <t xml:space="preserve">1-1-1</t>
    </r>
  </si>
  <si>
    <t xml:space="preserve">090-1234-5678</t>
  </si>
  <si>
    <t xml:space="preserve">加藤木材工業株式会社</t>
  </si>
  <si>
    <t xml:space="preserve">本社工場</t>
  </si>
  <si>
    <r>
      <rPr>
        <sz val="10"/>
        <rFont val="Noto Sans CJK SC"/>
        <family val="2"/>
      </rPr>
      <t xml:space="preserve">生産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部</t>
    </r>
  </si>
  <si>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課</t>
    </r>
  </si>
  <si>
    <t xml:space="preserve">2023-04-01</t>
  </si>
  <si>
    <t xml:space="preserve">有</t>
  </si>
  <si>
    <t xml:space="preserve">E002</t>
  </si>
  <si>
    <t xml:space="preserve">チャン・ティ・ラン</t>
  </si>
  <si>
    <t xml:space="preserve">チャン ティ ラン</t>
  </si>
  <si>
    <t xml:space="preserve">1998-08-22</t>
  </si>
  <si>
    <t xml:space="preserve">女</t>
  </si>
  <si>
    <t xml:space="preserve">EF98765432GH</t>
  </si>
  <si>
    <t xml:space="preserve">2025-12-20</t>
  </si>
  <si>
    <r>
      <rPr>
        <sz val="10"/>
        <rFont val="Noto Sans CJK SC"/>
        <family val="2"/>
      </rPr>
      <t xml:space="preserve">愛知県名古屋市港区当知</t>
    </r>
    <r>
      <rPr>
        <sz val="10"/>
        <rFont val="Cambria"/>
        <family val="0"/>
        <charset val="1"/>
      </rPr>
      <t xml:space="preserve">1-1-2</t>
    </r>
  </si>
  <si>
    <t xml:space="preserve">090-8765-4321</t>
  </si>
  <si>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課</t>
    </r>
  </si>
  <si>
    <t xml:space="preserve">2023-06-15</t>
  </si>
  <si>
    <t xml:space="preserve">E003</t>
  </si>
  <si>
    <t xml:space="preserve">レ・ヴァン・ドゥック</t>
  </si>
  <si>
    <t xml:space="preserve">レ ヴァン ドゥック</t>
  </si>
  <si>
    <t xml:space="preserve">1993-02-10</t>
  </si>
  <si>
    <t xml:space="preserve">IJ11223344KL</t>
  </si>
  <si>
    <t xml:space="preserve">2026-06-30</t>
  </si>
  <si>
    <r>
      <rPr>
        <sz val="10"/>
        <rFont val="Noto Sans CJK SC"/>
        <family val="2"/>
      </rPr>
      <t xml:space="preserve">愛知県名古屋市港区当知</t>
    </r>
    <r>
      <rPr>
        <sz val="10"/>
        <rFont val="Cambria"/>
        <family val="0"/>
        <charset val="1"/>
      </rPr>
      <t xml:space="preserve">1-1-3</t>
    </r>
  </si>
  <si>
    <t xml:space="preserve">090-1111-2222</t>
  </si>
  <si>
    <t xml:space="preserve">高雄工業株式会社</t>
  </si>
  <si>
    <t xml:space="preserve">岡山工場</t>
  </si>
  <si>
    <t xml:space="preserve">製作課</t>
  </si>
  <si>
    <r>
      <rPr>
        <sz val="10"/>
        <rFont val="Cambria"/>
        <family val="0"/>
        <charset val="1"/>
      </rPr>
      <t xml:space="preserve">CVJ</t>
    </r>
    <r>
      <rPr>
        <sz val="10"/>
        <rFont val="Noto Sans CJK SC"/>
        <family val="2"/>
      </rPr>
      <t xml:space="preserve">短軸旋盤係</t>
    </r>
  </si>
  <si>
    <t xml:space="preserve">2022-10-01</t>
  </si>
  <si>
    <r>
      <rPr>
        <b val="true"/>
        <sz val="11"/>
        <color rgb="FFFFFFFF"/>
        <rFont val="Noto Sans CJK SC"/>
        <family val="2"/>
      </rPr>
      <t xml:space="preserve">派遣先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</si>
  <si>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派遣先名</t>
  </si>
  <si>
    <t xml:space="preserve">担当者部署</t>
  </si>
  <si>
    <t xml:space="preserve">担当者名</t>
  </si>
  <si>
    <t xml:space="preserve">締め日</t>
  </si>
  <si>
    <t xml:space="preserve">支払日</t>
  </si>
  <si>
    <t xml:space="preserve">昼勤開始</t>
  </si>
  <si>
    <t xml:space="preserve">昼勤終了</t>
  </si>
  <si>
    <t xml:space="preserve">夜勤開始</t>
  </si>
  <si>
    <t xml:space="preserve">夜勤終了</t>
  </si>
  <si>
    <r>
      <rPr>
        <b val="true"/>
        <sz val="11"/>
        <color rgb="FFFFFFFF"/>
        <rFont val="Noto Sans CJK SC"/>
        <family val="2"/>
      </rPr>
      <t xml:space="preserve">休憩時間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</si>
  <si>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実働時間</t>
  </si>
  <si>
    <r>
      <rPr>
        <b val="true"/>
        <sz val="11"/>
        <color rgb="FFFFFFFF"/>
        <rFont val="Noto Sans CJK SC"/>
        <family val="2"/>
      </rPr>
      <t xml:space="preserve">丸め単位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</si>
  <si>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基本時給</t>
  </si>
  <si>
    <t xml:space="preserve">残業率</t>
  </si>
  <si>
    <t xml:space="preserve">深夜率</t>
  </si>
  <si>
    <t xml:space="preserve">休日率</t>
  </si>
  <si>
    <t xml:space="preserve">F001</t>
  </si>
  <si>
    <r>
      <rPr>
        <sz val="10"/>
        <rFont val="Noto Sans CJK SC"/>
        <family val="2"/>
      </rPr>
      <t xml:space="preserve">愛知県春日井市新開町字平渕</t>
    </r>
    <r>
      <rPr>
        <sz val="10"/>
        <rFont val="Cambria"/>
        <family val="0"/>
        <charset val="1"/>
      </rPr>
      <t xml:space="preserve">6</t>
    </r>
  </si>
  <si>
    <t xml:space="preserve">0568-36-2931</t>
  </si>
  <si>
    <t xml:space="preserve">生産統括部</t>
  </si>
  <si>
    <t xml:space="preserve">部長 渡邉 茂芳</t>
  </si>
  <si>
    <r>
      <rPr>
        <sz val="10"/>
        <rFont val="Noto Sans CJK SC"/>
        <family val="2"/>
      </rPr>
      <t xml:space="preserve">翌月</t>
    </r>
    <r>
      <rPr>
        <sz val="10"/>
        <rFont val="Cambria"/>
        <family val="0"/>
        <charset val="1"/>
      </rPr>
      <t xml:space="preserve">20</t>
    </r>
    <r>
      <rPr>
        <sz val="10"/>
        <rFont val="Noto Sans CJK SC"/>
        <family val="2"/>
      </rPr>
      <t xml:space="preserve">日</t>
    </r>
  </si>
  <si>
    <t xml:space="preserve">8:00</t>
  </si>
  <si>
    <t xml:space="preserve">17:00</t>
  </si>
  <si>
    <t xml:space="preserve">20:00</t>
  </si>
  <si>
    <t xml:space="preserve">5:00</t>
  </si>
  <si>
    <t xml:space="preserve">7:40</t>
  </si>
  <si>
    <t xml:space="preserve">F002</t>
  </si>
  <si>
    <t xml:space="preserve">春日井工場</t>
  </si>
  <si>
    <r>
      <rPr>
        <sz val="10"/>
        <rFont val="Noto Sans CJK SC"/>
        <family val="2"/>
      </rPr>
      <t xml:space="preserve">愛知県春日井市新開町字別渕</t>
    </r>
    <r>
      <rPr>
        <sz val="10"/>
        <rFont val="Cambria"/>
        <family val="0"/>
        <charset val="1"/>
      </rPr>
      <t xml:space="preserve">20</t>
    </r>
  </si>
  <si>
    <t xml:space="preserve">0568-36-2932</t>
  </si>
  <si>
    <t xml:space="preserve">課長 山田 太郎</t>
  </si>
  <si>
    <t xml:space="preserve">F003</t>
  </si>
  <si>
    <r>
      <rPr>
        <sz val="10"/>
        <rFont val="Noto Sans CJK SC"/>
        <family val="2"/>
      </rPr>
      <t xml:space="preserve">岡山県岡山市北区御津伊田</t>
    </r>
    <r>
      <rPr>
        <sz val="10"/>
        <rFont val="Cambria"/>
        <family val="0"/>
        <charset val="1"/>
      </rPr>
      <t xml:space="preserve">1028-19</t>
    </r>
  </si>
  <si>
    <t xml:space="preserve">086-724-5330</t>
  </si>
  <si>
    <t xml:space="preserve">岡山事業所</t>
  </si>
  <si>
    <t xml:space="preserve">課長 大治 国利</t>
  </si>
  <si>
    <t xml:space="preserve">当月末日</t>
  </si>
  <si>
    <t xml:space="preserve">7:00</t>
  </si>
  <si>
    <t xml:space="preserve">15:30</t>
  </si>
  <si>
    <t xml:space="preserve">19:00</t>
  </si>
  <si>
    <t xml:space="preserve">3:30</t>
  </si>
  <si>
    <t xml:space="preserve">7:30</t>
  </si>
  <si>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</si>
  <si>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</si>
  <si>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</si>
  <si>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</si>
  <si>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</si>
  <si>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</si>
  <si>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</si>
  <si>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</si>
  <si>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</si>
  <si>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</si>
  <si>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</si>
  <si>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</si>
  <si>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13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</si>
  <si>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14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</si>
  <si>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15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</si>
  <si>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16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</si>
  <si>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17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</si>
  <si>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18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</si>
  <si>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19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</si>
  <si>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</si>
  <si>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21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</si>
  <si>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22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</si>
  <si>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23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</si>
  <si>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24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</si>
  <si>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25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</si>
  <si>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26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</si>
  <si>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27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</si>
  <si>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28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</si>
  <si>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29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</si>
  <si>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</si>
  <si>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Cambria"/>
        <family val="0"/>
        <charset val="1"/>
      </rPr>
      <t xml:space="preserve">31</t>
    </r>
    <r>
      <rPr>
        <b val="true"/>
        <sz val="11"/>
        <color rgb="FFFFFFFF"/>
        <rFont val="Noto Sans CJK SC"/>
        <family val="2"/>
      </rPr>
      <t xml:space="preserve">日</t>
    </r>
  </si>
  <si>
    <t xml:space="preserve">出勤日数</t>
  </si>
  <si>
    <t xml:space="preserve">総労働時間</t>
  </si>
  <si>
    <t xml:space="preserve">所定内時間</t>
  </si>
  <si>
    <t xml:space="preserve">残業時間</t>
  </si>
  <si>
    <t xml:space="preserve">深夜時間</t>
  </si>
  <si>
    <t xml:space="preserve">休日時間</t>
  </si>
  <si>
    <t xml:space="preserve">有休日数</t>
  </si>
  <si>
    <t xml:space="preserve">有休時間</t>
  </si>
  <si>
    <t xml:space="preserve">出勤</t>
  </si>
  <si>
    <t xml:space="preserve">退勤</t>
  </si>
  <si>
    <t xml:space="preserve">休憩</t>
  </si>
  <si>
    <t xml:space="preserve">実働</t>
  </si>
  <si>
    <t xml:space="preserve">基本給</t>
  </si>
  <si>
    <t xml:space="preserve">残業手当</t>
  </si>
  <si>
    <t xml:space="preserve">深夜手当</t>
  </si>
  <si>
    <t xml:space="preserve">休日手当</t>
  </si>
  <si>
    <t xml:space="preserve">有休手当</t>
  </si>
  <si>
    <t xml:space="preserve">支給合計</t>
  </si>
  <si>
    <t xml:space="preserve">所得税</t>
  </si>
  <si>
    <t xml:space="preserve">住民税</t>
  </si>
  <si>
    <t xml:space="preserve">水道光熱費</t>
  </si>
  <si>
    <t xml:space="preserve">弁当代</t>
  </si>
  <si>
    <t xml:space="preserve">前貸</t>
  </si>
  <si>
    <t xml:space="preserve">控除合計</t>
  </si>
  <si>
    <t xml:space="preserve">差引支給額</t>
  </si>
  <si>
    <t xml:space="preserve">合計</t>
  </si>
  <si>
    <r>
      <rPr>
        <b val="true"/>
        <sz val="16"/>
        <rFont val="Noto Sans CJK SC"/>
        <family val="2"/>
      </rPr>
      <t xml:space="preserve">給 与 明 細 書  </t>
    </r>
    <r>
      <rPr>
        <b val="true"/>
        <sz val="16"/>
        <rFont val="Cambria"/>
        <family val="0"/>
        <charset val="1"/>
      </rPr>
      <t xml:space="preserve">2025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Cambria"/>
        <family val="0"/>
        <charset val="1"/>
      </rPr>
      <t xml:space="preserve">12</t>
    </r>
    <r>
      <rPr>
        <b val="true"/>
        <sz val="16"/>
        <rFont val="Noto Sans CJK SC"/>
        <family val="2"/>
      </rPr>
      <t xml:space="preserve">月分</t>
    </r>
  </si>
  <si>
    <r>
      <rPr>
        <sz val="11"/>
        <color theme="1"/>
        <rFont val="Noto Sans CJK SC"/>
        <family val="2"/>
      </rPr>
      <t xml:space="preserve">派遣許可番号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派</t>
    </r>
    <r>
      <rPr>
        <sz val="11"/>
        <color theme="1"/>
        <rFont val="Calibri"/>
        <family val="2"/>
        <charset val="1"/>
      </rPr>
      <t xml:space="preserve">23-303669</t>
    </r>
  </si>
  <si>
    <t xml:space="preserve">【勤怠】</t>
  </si>
  <si>
    <t xml:space="preserve">【支給】</t>
  </si>
  <si>
    <t xml:space="preserve">【控除】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</si>
</sst>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18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Noto Sans CJK SC"/>
      <family val="2"/>
    </font>
    <font>
      <sz val="10"/>
      <name val="Cambria"/>
      <family val="0"/>
      <charset val="1"/>
    </font>
    <font>
      <sz val="10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0"/>
      <name val="Noto Sans CJK SC"/>
      <family val="2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b val="true"/>
      <sz val="14"/>
      <color rgb="FFFF0000"/>
      <name val="Noto Sans CJK SC"/>
      <family val="2"/>
    </font>
    <font>
      <b val="true"/>
      <sz val="14"/>
      <color rgb="FFFF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797"/>
        <bgColor rgb="FF0066CC"/>
      </patternFill>
    </fill>
    <fill>
      <patternFill patternType="solid">
        <fgColor rgb="FFB4C6E7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</cols>
  <sheetData>
    <row r="1" customFormat="false" ht="27.6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15" hidden="false" customHeight="false" outlineLevel="0" collapsed="false">
      <c r="A3" s="2" t="s">
        <v>1</v>
      </c>
      <c r="B3" s="2" t="s">
        <v>2</v>
      </c>
    </row>
    <row r="4" customFormat="false" ht="17.15" hidden="false" customHeight="false" outlineLevel="0" collapsed="false">
      <c r="A4" s="2" t="s">
        <v>3</v>
      </c>
      <c r="B4" s="2" t="s">
        <v>4</v>
      </c>
    </row>
    <row r="5" customFormat="false" ht="17.15" hidden="false" customHeight="false" outlineLevel="0" collapsed="false">
      <c r="A5" s="2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3" t="s">
        <v>8</v>
      </c>
      <c r="B8" s="2" t="s">
        <v>9</v>
      </c>
    </row>
    <row r="9" customFormat="false" ht="15" hidden="false" customHeight="false" outlineLevel="0" collapsed="false">
      <c r="A9" s="3" t="s">
        <v>10</v>
      </c>
      <c r="B9" s="2" t="s">
        <v>11</v>
      </c>
    </row>
    <row r="10" customFormat="false" ht="17.15" hidden="false" customHeight="false" outlineLevel="0" collapsed="false">
      <c r="A10" s="3" t="s">
        <v>12</v>
      </c>
      <c r="B10" s="2" t="s">
        <v>13</v>
      </c>
    </row>
    <row r="11" customFormat="false" ht="17.15" hidden="false" customHeight="false" outlineLevel="0" collapsed="false">
      <c r="A11" s="3" t="s">
        <v>14</v>
      </c>
      <c r="B11" s="2" t="s">
        <v>15</v>
      </c>
    </row>
    <row r="12" customFormat="false" ht="17.15" hidden="false" customHeight="false" outlineLevel="0" collapsed="false">
      <c r="A12" s="3" t="s">
        <v>16</v>
      </c>
      <c r="B12" s="2" t="s">
        <v>17</v>
      </c>
    </row>
    <row r="14" customFormat="false" ht="15" hidden="false" customHeight="false" outlineLevel="0" collapsed="false">
      <c r="A14" s="3" t="s">
        <v>18</v>
      </c>
    </row>
    <row r="15" customFormat="false" ht="15" hidden="false" customHeight="false" outlineLevel="0" collapsed="false">
      <c r="A15" s="2" t="s">
        <v>19</v>
      </c>
      <c r="B15" s="0" t="s">
        <v>20</v>
      </c>
    </row>
    <row r="16" customFormat="false" ht="15" hidden="false" customHeight="false" outlineLevel="0" collapsed="false">
      <c r="A16" s="2" t="s">
        <v>21</v>
      </c>
      <c r="B16" s="0" t="s">
        <v>22</v>
      </c>
    </row>
    <row r="17" customFormat="false" ht="15" hidden="false" customHeight="false" outlineLevel="0" collapsed="false">
      <c r="A17" s="2" t="s">
        <v>23</v>
      </c>
      <c r="B17" s="0" t="s">
        <v>24</v>
      </c>
    </row>
    <row r="19" customFormat="false" ht="15" hidden="false" customHeight="false" outlineLevel="0" collapsed="false">
      <c r="A19" s="3" t="s">
        <v>25</v>
      </c>
    </row>
    <row r="20" customFormat="false" ht="17.15" hidden="false" customHeight="false" outlineLevel="0" collapsed="false">
      <c r="A20" s="2" t="s">
        <v>26</v>
      </c>
      <c r="B20" s="0" t="s">
        <v>27</v>
      </c>
    </row>
    <row r="21" customFormat="false" ht="17.15" hidden="false" customHeight="false" outlineLevel="0" collapsed="false">
      <c r="A21" s="2" t="s">
        <v>28</v>
      </c>
      <c r="B21" s="0" t="s">
        <v>27</v>
      </c>
    </row>
    <row r="22" customFormat="false" ht="17.15" hidden="false" customHeight="false" outlineLevel="0" collapsed="false">
      <c r="A22" s="2" t="s">
        <v>29</v>
      </c>
      <c r="B22" s="0" t="s">
        <v>30</v>
      </c>
    </row>
    <row r="23" customFormat="false" ht="17.15" hidden="false" customHeight="false" outlineLevel="0" collapsed="false">
      <c r="A23" s="0" t="s">
        <v>31</v>
      </c>
      <c r="B23" s="0" t="s">
        <v>32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5"/>
  </cols>
  <sheetData>
    <row r="1" customFormat="false" ht="32.8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51</v>
      </c>
      <c r="T1" s="4" t="s">
        <v>52</v>
      </c>
    </row>
    <row r="2" customFormat="false" ht="15" hidden="false" customHeight="false" outlineLevel="0" collapsed="false">
      <c r="A2" s="5" t="s">
        <v>53</v>
      </c>
      <c r="B2" s="6" t="s">
        <v>54</v>
      </c>
      <c r="C2" s="6" t="s">
        <v>55</v>
      </c>
      <c r="D2" s="5" t="s">
        <v>56</v>
      </c>
      <c r="E2" s="6" t="s">
        <v>57</v>
      </c>
      <c r="F2" s="5" t="s">
        <v>58</v>
      </c>
      <c r="G2" s="5" t="s">
        <v>59</v>
      </c>
      <c r="H2" s="6" t="s">
        <v>60</v>
      </c>
      <c r="I2" s="6" t="s">
        <v>61</v>
      </c>
      <c r="J2" s="5" t="s">
        <v>62</v>
      </c>
      <c r="K2" s="6" t="s">
        <v>63</v>
      </c>
      <c r="L2" s="6" t="s">
        <v>64</v>
      </c>
      <c r="M2" s="6" t="s">
        <v>65</v>
      </c>
      <c r="N2" s="5" t="s">
        <v>66</v>
      </c>
      <c r="O2" s="5" t="s">
        <v>67</v>
      </c>
      <c r="P2" s="7" t="n">
        <v>1700</v>
      </c>
      <c r="Q2" s="7" t="n">
        <v>5000</v>
      </c>
      <c r="R2" s="6" t="s">
        <v>68</v>
      </c>
      <c r="S2" s="7" t="n">
        <v>25000</v>
      </c>
      <c r="T2" s="5" t="n">
        <v>0</v>
      </c>
    </row>
    <row r="3" customFormat="false" ht="15" hidden="false" customHeight="false" outlineLevel="0" collapsed="false">
      <c r="A3" s="5" t="s">
        <v>69</v>
      </c>
      <c r="B3" s="6" t="s">
        <v>70</v>
      </c>
      <c r="C3" s="6" t="s">
        <v>71</v>
      </c>
      <c r="D3" s="5" t="s">
        <v>72</v>
      </c>
      <c r="E3" s="6" t="s">
        <v>73</v>
      </c>
      <c r="F3" s="5" t="s">
        <v>74</v>
      </c>
      <c r="G3" s="5" t="s">
        <v>75</v>
      </c>
      <c r="H3" s="6" t="s">
        <v>60</v>
      </c>
      <c r="I3" s="6" t="s">
        <v>76</v>
      </c>
      <c r="J3" s="5" t="s">
        <v>77</v>
      </c>
      <c r="K3" s="6" t="s">
        <v>63</v>
      </c>
      <c r="L3" s="6" t="s">
        <v>64</v>
      </c>
      <c r="M3" s="6" t="s">
        <v>65</v>
      </c>
      <c r="N3" s="5" t="s">
        <v>78</v>
      </c>
      <c r="O3" s="5" t="s">
        <v>79</v>
      </c>
      <c r="P3" s="7" t="n">
        <v>1700</v>
      </c>
      <c r="Q3" s="7" t="n">
        <v>5000</v>
      </c>
      <c r="R3" s="6" t="s">
        <v>68</v>
      </c>
      <c r="S3" s="7" t="n">
        <v>25000</v>
      </c>
      <c r="T3" s="5" t="n">
        <v>0</v>
      </c>
    </row>
    <row r="4" customFormat="false" ht="15" hidden="false" customHeight="false" outlineLevel="0" collapsed="false">
      <c r="A4" s="5" t="s">
        <v>80</v>
      </c>
      <c r="B4" s="6" t="s">
        <v>81</v>
      </c>
      <c r="C4" s="6" t="s">
        <v>82</v>
      </c>
      <c r="D4" s="5" t="s">
        <v>83</v>
      </c>
      <c r="E4" s="6" t="s">
        <v>57</v>
      </c>
      <c r="F4" s="5" t="s">
        <v>84</v>
      </c>
      <c r="G4" s="5" t="s">
        <v>85</v>
      </c>
      <c r="H4" s="6" t="s">
        <v>60</v>
      </c>
      <c r="I4" s="6" t="s">
        <v>86</v>
      </c>
      <c r="J4" s="5" t="s">
        <v>87</v>
      </c>
      <c r="K4" s="6" t="s">
        <v>88</v>
      </c>
      <c r="L4" s="6" t="s">
        <v>89</v>
      </c>
      <c r="M4" s="6" t="s">
        <v>90</v>
      </c>
      <c r="N4" s="5" t="s">
        <v>91</v>
      </c>
      <c r="O4" s="5" t="s">
        <v>92</v>
      </c>
      <c r="P4" s="7" t="n">
        <v>1650</v>
      </c>
      <c r="Q4" s="7" t="n">
        <v>8000</v>
      </c>
      <c r="R4" s="6" t="s">
        <v>68</v>
      </c>
      <c r="S4" s="7" t="n">
        <v>28000</v>
      </c>
      <c r="T4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4"/>
  </cols>
  <sheetData>
    <row r="1" customFormat="false" ht="17.15" hidden="false" customHeight="false" outlineLevel="0" collapsed="false">
      <c r="A1" s="4" t="s">
        <v>93</v>
      </c>
      <c r="B1" s="4" t="s">
        <v>94</v>
      </c>
      <c r="C1" s="4" t="s">
        <v>44</v>
      </c>
      <c r="D1" s="4" t="s">
        <v>41</v>
      </c>
      <c r="E1" s="4" t="s">
        <v>42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106</v>
      </c>
      <c r="R1" s="4" t="s">
        <v>107</v>
      </c>
      <c r="S1" s="4" t="s">
        <v>108</v>
      </c>
      <c r="T1" s="4" t="s">
        <v>109</v>
      </c>
    </row>
    <row r="2" customFormat="false" ht="15" hidden="false" customHeight="false" outlineLevel="0" collapsed="false">
      <c r="A2" s="5" t="s">
        <v>110</v>
      </c>
      <c r="B2" s="6" t="s">
        <v>63</v>
      </c>
      <c r="C2" s="6" t="s">
        <v>64</v>
      </c>
      <c r="D2" s="6" t="s">
        <v>111</v>
      </c>
      <c r="E2" s="5" t="s">
        <v>112</v>
      </c>
      <c r="F2" s="6" t="s">
        <v>113</v>
      </c>
      <c r="G2" s="6" t="s">
        <v>114</v>
      </c>
      <c r="H2" s="5" t="n">
        <v>20</v>
      </c>
      <c r="I2" s="6" t="s">
        <v>115</v>
      </c>
      <c r="J2" s="5" t="s">
        <v>116</v>
      </c>
      <c r="K2" s="5" t="s">
        <v>117</v>
      </c>
      <c r="L2" s="5" t="s">
        <v>118</v>
      </c>
      <c r="M2" s="5" t="s">
        <v>119</v>
      </c>
      <c r="N2" s="5" t="n">
        <v>80</v>
      </c>
      <c r="O2" s="5" t="s">
        <v>120</v>
      </c>
      <c r="P2" s="5" t="n">
        <v>5</v>
      </c>
      <c r="Q2" s="7" t="n">
        <v>1700</v>
      </c>
      <c r="R2" s="8" t="n">
        <v>1.25</v>
      </c>
      <c r="S2" s="8" t="n">
        <v>1.25</v>
      </c>
      <c r="T2" s="8" t="n">
        <v>1.35</v>
      </c>
    </row>
    <row r="3" customFormat="false" ht="15" hidden="false" customHeight="false" outlineLevel="0" collapsed="false">
      <c r="A3" s="5" t="s">
        <v>121</v>
      </c>
      <c r="B3" s="6" t="s">
        <v>63</v>
      </c>
      <c r="C3" s="6" t="s">
        <v>122</v>
      </c>
      <c r="D3" s="6" t="s">
        <v>123</v>
      </c>
      <c r="E3" s="5" t="s">
        <v>124</v>
      </c>
      <c r="F3" s="6" t="s">
        <v>113</v>
      </c>
      <c r="G3" s="6" t="s">
        <v>125</v>
      </c>
      <c r="H3" s="5" t="n">
        <v>20</v>
      </c>
      <c r="I3" s="6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n">
        <v>80</v>
      </c>
      <c r="O3" s="5" t="s">
        <v>120</v>
      </c>
      <c r="P3" s="5" t="n">
        <v>5</v>
      </c>
      <c r="Q3" s="7" t="n">
        <v>1700</v>
      </c>
      <c r="R3" s="8" t="n">
        <v>1.25</v>
      </c>
      <c r="S3" s="8" t="n">
        <v>1.25</v>
      </c>
      <c r="T3" s="8" t="n">
        <v>1.35</v>
      </c>
    </row>
    <row r="4" customFormat="false" ht="15" hidden="false" customHeight="false" outlineLevel="0" collapsed="false">
      <c r="A4" s="5" t="s">
        <v>126</v>
      </c>
      <c r="B4" s="6" t="s">
        <v>88</v>
      </c>
      <c r="C4" s="6" t="s">
        <v>89</v>
      </c>
      <c r="D4" s="6" t="s">
        <v>127</v>
      </c>
      <c r="E4" s="5" t="s">
        <v>128</v>
      </c>
      <c r="F4" s="6" t="s">
        <v>129</v>
      </c>
      <c r="G4" s="6" t="s">
        <v>130</v>
      </c>
      <c r="H4" s="5" t="n">
        <v>15</v>
      </c>
      <c r="I4" s="6" t="s">
        <v>131</v>
      </c>
      <c r="J4" s="5" t="s">
        <v>132</v>
      </c>
      <c r="K4" s="5" t="s">
        <v>133</v>
      </c>
      <c r="L4" s="5" t="s">
        <v>134</v>
      </c>
      <c r="M4" s="5" t="s">
        <v>135</v>
      </c>
      <c r="N4" s="5" t="n">
        <v>45</v>
      </c>
      <c r="O4" s="5" t="s">
        <v>136</v>
      </c>
      <c r="P4" s="5" t="n">
        <v>15</v>
      </c>
      <c r="Q4" s="7" t="n">
        <v>1650</v>
      </c>
      <c r="R4" s="8" t="n">
        <v>1.25</v>
      </c>
      <c r="S4" s="8" t="n">
        <v>1.25</v>
      </c>
      <c r="T4" s="8" t="n">
        <v>1.35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129" min="6" style="0" width="6"/>
    <col collapsed="false" customWidth="true" hidden="false" outlineLevel="0" max="137" min="130" style="0" width="10"/>
  </cols>
  <sheetData>
    <row r="1" customFormat="false" ht="17.15" hidden="false" customHeight="true" outlineLevel="0" collapsed="false">
      <c r="A1" s="4" t="s">
        <v>33</v>
      </c>
      <c r="B1" s="4" t="s">
        <v>34</v>
      </c>
      <c r="C1" s="4" t="s">
        <v>43</v>
      </c>
      <c r="D1" s="4" t="s">
        <v>44</v>
      </c>
      <c r="E1" s="4" t="s">
        <v>48</v>
      </c>
      <c r="F1" s="9" t="s">
        <v>137</v>
      </c>
      <c r="G1" s="9"/>
      <c r="H1" s="9"/>
      <c r="I1" s="9"/>
      <c r="J1" s="9" t="s">
        <v>138</v>
      </c>
      <c r="K1" s="9"/>
      <c r="L1" s="9"/>
      <c r="M1" s="9"/>
      <c r="N1" s="9" t="s">
        <v>139</v>
      </c>
      <c r="O1" s="9"/>
      <c r="P1" s="9"/>
      <c r="Q1" s="9"/>
      <c r="R1" s="9" t="s">
        <v>140</v>
      </c>
      <c r="S1" s="9"/>
      <c r="T1" s="9"/>
      <c r="U1" s="9"/>
      <c r="V1" s="9" t="s">
        <v>141</v>
      </c>
      <c r="W1" s="9"/>
      <c r="X1" s="9"/>
      <c r="Y1" s="9"/>
      <c r="Z1" s="9" t="s">
        <v>142</v>
      </c>
      <c r="AA1" s="9"/>
      <c r="AB1" s="9"/>
      <c r="AC1" s="9"/>
      <c r="AD1" s="9" t="s">
        <v>143</v>
      </c>
      <c r="AE1" s="9"/>
      <c r="AF1" s="9"/>
      <c r="AG1" s="9"/>
      <c r="AH1" s="9" t="s">
        <v>144</v>
      </c>
      <c r="AI1" s="9"/>
      <c r="AJ1" s="9"/>
      <c r="AK1" s="9"/>
      <c r="AL1" s="9" t="s">
        <v>145</v>
      </c>
      <c r="AM1" s="9"/>
      <c r="AN1" s="9"/>
      <c r="AO1" s="9"/>
      <c r="AP1" s="9" t="s">
        <v>146</v>
      </c>
      <c r="AQ1" s="9"/>
      <c r="AR1" s="9"/>
      <c r="AS1" s="9"/>
      <c r="AT1" s="9" t="s">
        <v>147</v>
      </c>
      <c r="AU1" s="9"/>
      <c r="AV1" s="9"/>
      <c r="AW1" s="9"/>
      <c r="AX1" s="9" t="s">
        <v>148</v>
      </c>
      <c r="AY1" s="9"/>
      <c r="AZ1" s="9"/>
      <c r="BA1" s="9"/>
      <c r="BB1" s="9" t="s">
        <v>149</v>
      </c>
      <c r="BC1" s="9"/>
      <c r="BD1" s="9"/>
      <c r="BE1" s="9"/>
      <c r="BF1" s="9" t="s">
        <v>150</v>
      </c>
      <c r="BG1" s="9"/>
      <c r="BH1" s="9"/>
      <c r="BI1" s="9"/>
      <c r="BJ1" s="9" t="s">
        <v>151</v>
      </c>
      <c r="BK1" s="9"/>
      <c r="BL1" s="9"/>
      <c r="BM1" s="9"/>
      <c r="BN1" s="9" t="s">
        <v>152</v>
      </c>
      <c r="BO1" s="9"/>
      <c r="BP1" s="9"/>
      <c r="BQ1" s="9"/>
      <c r="BR1" s="9" t="s">
        <v>153</v>
      </c>
      <c r="BS1" s="9"/>
      <c r="BT1" s="9"/>
      <c r="BU1" s="9"/>
      <c r="BV1" s="9" t="s">
        <v>154</v>
      </c>
      <c r="BW1" s="9"/>
      <c r="BX1" s="9"/>
      <c r="BY1" s="9"/>
      <c r="BZ1" s="9" t="s">
        <v>155</v>
      </c>
      <c r="CA1" s="9"/>
      <c r="CB1" s="9"/>
      <c r="CC1" s="9"/>
      <c r="CD1" s="9" t="s">
        <v>156</v>
      </c>
      <c r="CE1" s="9"/>
      <c r="CF1" s="9"/>
      <c r="CG1" s="9"/>
      <c r="CH1" s="9" t="s">
        <v>157</v>
      </c>
      <c r="CI1" s="9"/>
      <c r="CJ1" s="9"/>
      <c r="CK1" s="9"/>
      <c r="CL1" s="9" t="s">
        <v>158</v>
      </c>
      <c r="CM1" s="9"/>
      <c r="CN1" s="9"/>
      <c r="CO1" s="9"/>
      <c r="CP1" s="9" t="s">
        <v>159</v>
      </c>
      <c r="CQ1" s="9"/>
      <c r="CR1" s="9"/>
      <c r="CS1" s="9"/>
      <c r="CT1" s="9" t="s">
        <v>160</v>
      </c>
      <c r="CU1" s="9"/>
      <c r="CV1" s="9"/>
      <c r="CW1" s="9"/>
      <c r="CX1" s="9" t="s">
        <v>161</v>
      </c>
      <c r="CY1" s="9"/>
      <c r="CZ1" s="9"/>
      <c r="DA1" s="9"/>
      <c r="DB1" s="9" t="s">
        <v>162</v>
      </c>
      <c r="DC1" s="9"/>
      <c r="DD1" s="9"/>
      <c r="DE1" s="9"/>
      <c r="DF1" s="9" t="s">
        <v>163</v>
      </c>
      <c r="DG1" s="9"/>
      <c r="DH1" s="9"/>
      <c r="DI1" s="9"/>
      <c r="DJ1" s="9" t="s">
        <v>164</v>
      </c>
      <c r="DK1" s="9"/>
      <c r="DL1" s="9"/>
      <c r="DM1" s="9"/>
      <c r="DN1" s="9" t="s">
        <v>165</v>
      </c>
      <c r="DO1" s="9"/>
      <c r="DP1" s="9"/>
      <c r="DQ1" s="9"/>
      <c r="DR1" s="9" t="s">
        <v>166</v>
      </c>
      <c r="DS1" s="9"/>
      <c r="DT1" s="9"/>
      <c r="DU1" s="9"/>
      <c r="DV1" s="9" t="s">
        <v>167</v>
      </c>
      <c r="DW1" s="9"/>
      <c r="DX1" s="9"/>
      <c r="DY1" s="9"/>
      <c r="DZ1" s="4" t="s">
        <v>168</v>
      </c>
      <c r="EA1" s="4" t="s">
        <v>169</v>
      </c>
      <c r="EB1" s="4" t="s">
        <v>170</v>
      </c>
      <c r="EC1" s="4" t="s">
        <v>171</v>
      </c>
      <c r="ED1" s="4" t="s">
        <v>172</v>
      </c>
      <c r="EE1" s="4" t="s">
        <v>173</v>
      </c>
      <c r="EF1" s="4" t="s">
        <v>174</v>
      </c>
      <c r="EG1" s="4" t="s">
        <v>175</v>
      </c>
    </row>
    <row r="2" customFormat="false" ht="15" hidden="false" customHeight="false" outlineLevel="0" collapsed="false">
      <c r="F2" s="10" t="s">
        <v>176</v>
      </c>
      <c r="G2" s="10" t="s">
        <v>177</v>
      </c>
      <c r="H2" s="10" t="s">
        <v>178</v>
      </c>
      <c r="I2" s="10" t="s">
        <v>179</v>
      </c>
      <c r="J2" s="10" t="s">
        <v>176</v>
      </c>
      <c r="K2" s="10" t="s">
        <v>177</v>
      </c>
      <c r="L2" s="10" t="s">
        <v>178</v>
      </c>
      <c r="M2" s="10" t="s">
        <v>179</v>
      </c>
      <c r="N2" s="10" t="s">
        <v>176</v>
      </c>
      <c r="O2" s="10" t="s">
        <v>177</v>
      </c>
      <c r="P2" s="10" t="s">
        <v>178</v>
      </c>
      <c r="Q2" s="10" t="s">
        <v>179</v>
      </c>
      <c r="R2" s="10" t="s">
        <v>176</v>
      </c>
      <c r="S2" s="10" t="s">
        <v>177</v>
      </c>
      <c r="T2" s="10" t="s">
        <v>178</v>
      </c>
      <c r="U2" s="10" t="s">
        <v>179</v>
      </c>
      <c r="V2" s="10" t="s">
        <v>176</v>
      </c>
      <c r="W2" s="10" t="s">
        <v>177</v>
      </c>
      <c r="X2" s="10" t="s">
        <v>178</v>
      </c>
      <c r="Y2" s="10" t="s">
        <v>179</v>
      </c>
      <c r="Z2" s="10" t="s">
        <v>176</v>
      </c>
      <c r="AA2" s="10" t="s">
        <v>177</v>
      </c>
      <c r="AB2" s="10" t="s">
        <v>178</v>
      </c>
      <c r="AC2" s="10" t="s">
        <v>179</v>
      </c>
      <c r="AD2" s="10" t="s">
        <v>176</v>
      </c>
      <c r="AE2" s="10" t="s">
        <v>177</v>
      </c>
      <c r="AF2" s="10" t="s">
        <v>178</v>
      </c>
      <c r="AG2" s="10" t="s">
        <v>179</v>
      </c>
      <c r="AH2" s="10" t="s">
        <v>176</v>
      </c>
      <c r="AI2" s="10" t="s">
        <v>177</v>
      </c>
      <c r="AJ2" s="10" t="s">
        <v>178</v>
      </c>
      <c r="AK2" s="10" t="s">
        <v>179</v>
      </c>
      <c r="AL2" s="10" t="s">
        <v>176</v>
      </c>
      <c r="AM2" s="10" t="s">
        <v>177</v>
      </c>
      <c r="AN2" s="10" t="s">
        <v>178</v>
      </c>
      <c r="AO2" s="10" t="s">
        <v>179</v>
      </c>
      <c r="AP2" s="10" t="s">
        <v>176</v>
      </c>
      <c r="AQ2" s="10" t="s">
        <v>177</v>
      </c>
      <c r="AR2" s="10" t="s">
        <v>178</v>
      </c>
      <c r="AS2" s="10" t="s">
        <v>179</v>
      </c>
      <c r="AT2" s="10" t="s">
        <v>176</v>
      </c>
      <c r="AU2" s="10" t="s">
        <v>177</v>
      </c>
      <c r="AV2" s="10" t="s">
        <v>178</v>
      </c>
      <c r="AW2" s="10" t="s">
        <v>179</v>
      </c>
      <c r="AX2" s="10" t="s">
        <v>176</v>
      </c>
      <c r="AY2" s="10" t="s">
        <v>177</v>
      </c>
      <c r="AZ2" s="10" t="s">
        <v>178</v>
      </c>
      <c r="BA2" s="10" t="s">
        <v>179</v>
      </c>
      <c r="BB2" s="10" t="s">
        <v>176</v>
      </c>
      <c r="BC2" s="10" t="s">
        <v>177</v>
      </c>
      <c r="BD2" s="10" t="s">
        <v>178</v>
      </c>
      <c r="BE2" s="10" t="s">
        <v>179</v>
      </c>
      <c r="BF2" s="10" t="s">
        <v>176</v>
      </c>
      <c r="BG2" s="10" t="s">
        <v>177</v>
      </c>
      <c r="BH2" s="10" t="s">
        <v>178</v>
      </c>
      <c r="BI2" s="10" t="s">
        <v>179</v>
      </c>
      <c r="BJ2" s="10" t="s">
        <v>176</v>
      </c>
      <c r="BK2" s="10" t="s">
        <v>177</v>
      </c>
      <c r="BL2" s="10" t="s">
        <v>178</v>
      </c>
      <c r="BM2" s="10" t="s">
        <v>179</v>
      </c>
      <c r="BN2" s="10" t="s">
        <v>176</v>
      </c>
      <c r="BO2" s="10" t="s">
        <v>177</v>
      </c>
      <c r="BP2" s="10" t="s">
        <v>178</v>
      </c>
      <c r="BQ2" s="10" t="s">
        <v>179</v>
      </c>
      <c r="BR2" s="10" t="s">
        <v>176</v>
      </c>
      <c r="BS2" s="10" t="s">
        <v>177</v>
      </c>
      <c r="BT2" s="10" t="s">
        <v>178</v>
      </c>
      <c r="BU2" s="10" t="s">
        <v>179</v>
      </c>
      <c r="BV2" s="10" t="s">
        <v>176</v>
      </c>
      <c r="BW2" s="10" t="s">
        <v>177</v>
      </c>
      <c r="BX2" s="10" t="s">
        <v>178</v>
      </c>
      <c r="BY2" s="10" t="s">
        <v>179</v>
      </c>
      <c r="BZ2" s="10" t="s">
        <v>176</v>
      </c>
      <c r="CA2" s="10" t="s">
        <v>177</v>
      </c>
      <c r="CB2" s="10" t="s">
        <v>178</v>
      </c>
      <c r="CC2" s="10" t="s">
        <v>179</v>
      </c>
      <c r="CD2" s="10" t="s">
        <v>176</v>
      </c>
      <c r="CE2" s="10" t="s">
        <v>177</v>
      </c>
      <c r="CF2" s="10" t="s">
        <v>178</v>
      </c>
      <c r="CG2" s="10" t="s">
        <v>179</v>
      </c>
      <c r="CH2" s="10" t="s">
        <v>176</v>
      </c>
      <c r="CI2" s="10" t="s">
        <v>177</v>
      </c>
      <c r="CJ2" s="10" t="s">
        <v>178</v>
      </c>
      <c r="CK2" s="10" t="s">
        <v>179</v>
      </c>
      <c r="CL2" s="10" t="s">
        <v>176</v>
      </c>
      <c r="CM2" s="10" t="s">
        <v>177</v>
      </c>
      <c r="CN2" s="10" t="s">
        <v>178</v>
      </c>
      <c r="CO2" s="10" t="s">
        <v>179</v>
      </c>
      <c r="CP2" s="10" t="s">
        <v>176</v>
      </c>
      <c r="CQ2" s="10" t="s">
        <v>177</v>
      </c>
      <c r="CR2" s="10" t="s">
        <v>178</v>
      </c>
      <c r="CS2" s="10" t="s">
        <v>179</v>
      </c>
      <c r="CT2" s="10" t="s">
        <v>176</v>
      </c>
      <c r="CU2" s="10" t="s">
        <v>177</v>
      </c>
      <c r="CV2" s="10" t="s">
        <v>178</v>
      </c>
      <c r="CW2" s="10" t="s">
        <v>179</v>
      </c>
      <c r="CX2" s="10" t="s">
        <v>176</v>
      </c>
      <c r="CY2" s="10" t="s">
        <v>177</v>
      </c>
      <c r="CZ2" s="10" t="s">
        <v>178</v>
      </c>
      <c r="DA2" s="10" t="s">
        <v>179</v>
      </c>
      <c r="DB2" s="10" t="s">
        <v>176</v>
      </c>
      <c r="DC2" s="10" t="s">
        <v>177</v>
      </c>
      <c r="DD2" s="10" t="s">
        <v>178</v>
      </c>
      <c r="DE2" s="10" t="s">
        <v>179</v>
      </c>
      <c r="DF2" s="10" t="s">
        <v>176</v>
      </c>
      <c r="DG2" s="10" t="s">
        <v>177</v>
      </c>
      <c r="DH2" s="10" t="s">
        <v>178</v>
      </c>
      <c r="DI2" s="10" t="s">
        <v>179</v>
      </c>
      <c r="DJ2" s="10" t="s">
        <v>176</v>
      </c>
      <c r="DK2" s="10" t="s">
        <v>177</v>
      </c>
      <c r="DL2" s="10" t="s">
        <v>178</v>
      </c>
      <c r="DM2" s="10" t="s">
        <v>179</v>
      </c>
      <c r="DN2" s="10" t="s">
        <v>176</v>
      </c>
      <c r="DO2" s="10" t="s">
        <v>177</v>
      </c>
      <c r="DP2" s="10" t="s">
        <v>178</v>
      </c>
      <c r="DQ2" s="10" t="s">
        <v>179</v>
      </c>
      <c r="DR2" s="10" t="s">
        <v>176</v>
      </c>
      <c r="DS2" s="10" t="s">
        <v>177</v>
      </c>
      <c r="DT2" s="10" t="s">
        <v>178</v>
      </c>
      <c r="DU2" s="10" t="s">
        <v>179</v>
      </c>
      <c r="DV2" s="10" t="s">
        <v>176</v>
      </c>
      <c r="DW2" s="10" t="s">
        <v>177</v>
      </c>
      <c r="DX2" s="10" t="s">
        <v>178</v>
      </c>
      <c r="DY2" s="10" t="s">
        <v>179</v>
      </c>
      <c r="DZ2" s="4"/>
      <c r="EA2" s="4"/>
      <c r="EB2" s="4"/>
      <c r="EC2" s="4"/>
      <c r="ED2" s="4"/>
      <c r="EE2" s="4"/>
      <c r="EF2" s="4"/>
      <c r="EG2" s="4"/>
    </row>
    <row r="3" customFormat="false" ht="15" hidden="false" customHeight="false" outlineLevel="0" collapsed="false">
      <c r="A3" s="5" t="s">
        <v>53</v>
      </c>
      <c r="B3" s="6" t="s">
        <v>54</v>
      </c>
      <c r="C3" s="6" t="s">
        <v>63</v>
      </c>
      <c r="D3" s="6" t="s">
        <v>64</v>
      </c>
      <c r="E3" s="7" t="n">
        <v>1700</v>
      </c>
      <c r="F3" s="11" t="s">
        <v>116</v>
      </c>
      <c r="G3" s="11" t="s">
        <v>117</v>
      </c>
      <c r="H3" s="0" t="n">
        <v>80</v>
      </c>
      <c r="I3" s="11" t="n">
        <f aca="false">IF(OR(F3="",G3=""),"",(G3-F3)*24-H3/60)</f>
        <v>7.66666666666667</v>
      </c>
      <c r="J3" s="11" t="s">
        <v>116</v>
      </c>
      <c r="K3" s="11" t="s">
        <v>117</v>
      </c>
      <c r="L3" s="0" t="n">
        <v>80</v>
      </c>
      <c r="M3" s="11" t="n">
        <f aca="false">IF(OR(J3="",K3=""),"",(K3-J3)*24-L3/60)</f>
        <v>7.66666666666667</v>
      </c>
      <c r="N3" s="11" t="s">
        <v>116</v>
      </c>
      <c r="O3" s="11" t="s">
        <v>117</v>
      </c>
      <c r="P3" s="0" t="n">
        <v>80</v>
      </c>
      <c r="Q3" s="11" t="n">
        <f aca="false">IF(OR(N3="",O3=""),"",(O3-N3)*24-P3/60)</f>
        <v>7.66666666666667</v>
      </c>
      <c r="R3" s="11" t="s">
        <v>116</v>
      </c>
      <c r="S3" s="11" t="s">
        <v>117</v>
      </c>
      <c r="T3" s="0" t="n">
        <v>80</v>
      </c>
      <c r="U3" s="11" t="n">
        <f aca="false">IF(OR(R3="",S3=""),"",(S3-R3)*24-T3/60)</f>
        <v>7.66666666666667</v>
      </c>
      <c r="V3" s="11" t="s">
        <v>116</v>
      </c>
      <c r="W3" s="11" t="s">
        <v>117</v>
      </c>
      <c r="X3" s="0" t="n">
        <v>80</v>
      </c>
      <c r="Y3" s="11" t="n">
        <f aca="false">IF(OR(V3="",W3=""),"",(W3-V3)*24-X3/60)</f>
        <v>7.66666666666667</v>
      </c>
      <c r="DZ3" s="11" t="n">
        <f aca="false">COUNTA(I3:DY3)</f>
        <v>17</v>
      </c>
      <c r="EA3" s="11" t="n">
        <f aca="false">SUMPRODUCT((I3:DY3&lt;&gt;"")*(MOD(COLUMN(I3:DY3)-COLUMN(I3),4)=0)*(I3:DY3))</f>
        <v>38.3333333333333</v>
      </c>
    </row>
    <row r="4" customFormat="false" ht="15" hidden="false" customHeight="false" outlineLevel="0" collapsed="false">
      <c r="A4" s="5" t="s">
        <v>69</v>
      </c>
      <c r="B4" s="6" t="s">
        <v>70</v>
      </c>
      <c r="C4" s="6" t="s">
        <v>63</v>
      </c>
      <c r="D4" s="6" t="s">
        <v>64</v>
      </c>
      <c r="E4" s="7" t="n">
        <v>1700</v>
      </c>
      <c r="F4" s="11" t="s">
        <v>116</v>
      </c>
      <c r="G4" s="11" t="s">
        <v>117</v>
      </c>
      <c r="H4" s="0" t="n">
        <v>80</v>
      </c>
      <c r="I4" s="11" t="n">
        <f aca="false">IF(OR(F4="",G4=""),"",(G4-F4)*24-H4/60)</f>
        <v>7.66666666666667</v>
      </c>
      <c r="J4" s="11" t="s">
        <v>116</v>
      </c>
      <c r="K4" s="11" t="s">
        <v>117</v>
      </c>
      <c r="L4" s="0" t="n">
        <v>80</v>
      </c>
      <c r="M4" s="11" t="n">
        <f aca="false">IF(OR(J4="",K4=""),"",(K4-J4)*24-L4/60)</f>
        <v>7.66666666666667</v>
      </c>
      <c r="N4" s="11" t="s">
        <v>116</v>
      </c>
      <c r="O4" s="11" t="s">
        <v>117</v>
      </c>
      <c r="P4" s="0" t="n">
        <v>80</v>
      </c>
      <c r="Q4" s="11" t="n">
        <f aca="false">IF(OR(N4="",O4=""),"",(O4-N4)*24-P4/60)</f>
        <v>7.66666666666667</v>
      </c>
      <c r="R4" s="11" t="s">
        <v>116</v>
      </c>
      <c r="S4" s="11" t="s">
        <v>117</v>
      </c>
      <c r="T4" s="0" t="n">
        <v>80</v>
      </c>
      <c r="U4" s="11" t="n">
        <f aca="false">IF(OR(R4="",S4=""),"",(S4-R4)*24-T4/60)</f>
        <v>7.66666666666667</v>
      </c>
      <c r="V4" s="11" t="s">
        <v>116</v>
      </c>
      <c r="W4" s="11" t="s">
        <v>117</v>
      </c>
      <c r="X4" s="0" t="n">
        <v>80</v>
      </c>
      <c r="Y4" s="11" t="n">
        <f aca="false">IF(OR(V4="",W4=""),"",(W4-V4)*24-X4/60)</f>
        <v>7.66666666666667</v>
      </c>
      <c r="DZ4" s="11" t="n">
        <f aca="false">COUNTA(I4:DY4)</f>
        <v>17</v>
      </c>
      <c r="EA4" s="11" t="n">
        <f aca="false">SUMPRODUCT((I4:DY4&lt;&gt;"")*(MOD(COLUMN(I4:DY4)-COLUMN(I4),4)=0)*(I4:DY4))</f>
        <v>38.3333333333333</v>
      </c>
    </row>
    <row r="5" customFormat="false" ht="15" hidden="false" customHeight="false" outlineLevel="0" collapsed="false">
      <c r="A5" s="5" t="s">
        <v>80</v>
      </c>
      <c r="B5" s="6" t="s">
        <v>81</v>
      </c>
      <c r="C5" s="6" t="s">
        <v>88</v>
      </c>
      <c r="D5" s="6" t="s">
        <v>89</v>
      </c>
      <c r="E5" s="7" t="n">
        <v>1650</v>
      </c>
      <c r="F5" s="11" t="s">
        <v>116</v>
      </c>
      <c r="G5" s="11" t="s">
        <v>117</v>
      </c>
      <c r="H5" s="0" t="n">
        <v>80</v>
      </c>
      <c r="I5" s="11" t="n">
        <f aca="false">IF(OR(F5="",G5=""),"",(G5-F5)*24-H5/60)</f>
        <v>7.66666666666667</v>
      </c>
      <c r="J5" s="11" t="s">
        <v>116</v>
      </c>
      <c r="K5" s="11" t="s">
        <v>117</v>
      </c>
      <c r="L5" s="0" t="n">
        <v>80</v>
      </c>
      <c r="M5" s="11" t="n">
        <f aca="false">IF(OR(J5="",K5=""),"",(K5-J5)*24-L5/60)</f>
        <v>7.66666666666667</v>
      </c>
      <c r="N5" s="11" t="s">
        <v>116</v>
      </c>
      <c r="O5" s="11" t="s">
        <v>117</v>
      </c>
      <c r="P5" s="0" t="n">
        <v>80</v>
      </c>
      <c r="Q5" s="11" t="n">
        <f aca="false">IF(OR(N5="",O5=""),"",(O5-N5)*24-P5/60)</f>
        <v>7.66666666666667</v>
      </c>
      <c r="R5" s="11" t="s">
        <v>116</v>
      </c>
      <c r="S5" s="11" t="s">
        <v>117</v>
      </c>
      <c r="T5" s="0" t="n">
        <v>80</v>
      </c>
      <c r="U5" s="11" t="n">
        <f aca="false">IF(OR(R5="",S5=""),"",(S5-R5)*24-T5/60)</f>
        <v>7.66666666666667</v>
      </c>
      <c r="V5" s="11" t="s">
        <v>116</v>
      </c>
      <c r="W5" s="11" t="s">
        <v>117</v>
      </c>
      <c r="X5" s="0" t="n">
        <v>80</v>
      </c>
      <c r="Y5" s="11" t="n">
        <f aca="false">IF(OR(V5="",W5=""),"",(W5-V5)*24-X5/60)</f>
        <v>7.66666666666667</v>
      </c>
      <c r="DZ5" s="11" t="n">
        <f aca="false">COUNTA(I5:DY5)</f>
        <v>17</v>
      </c>
      <c r="EA5" s="11" t="n">
        <f aca="false">SUMPRODUCT((I5:DY5&lt;&gt;"")*(MOD(COLUMN(I5:DY5)-COLUMN(I5),4)=0)*(I5:DY5))</f>
        <v>38.3333333333333</v>
      </c>
    </row>
  </sheetData>
  <mergeCells count="39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DF1:DI1"/>
    <mergeCell ref="DJ1:DM1"/>
    <mergeCell ref="DN1:DQ1"/>
    <mergeCell ref="DR1:DU1"/>
    <mergeCell ref="DV1:DY1"/>
    <mergeCell ref="DZ1:DZ2"/>
    <mergeCell ref="EA1:EA2"/>
    <mergeCell ref="EB1:EB2"/>
    <mergeCell ref="EC1:EC2"/>
    <mergeCell ref="ED1:ED2"/>
    <mergeCell ref="EE1:EE2"/>
    <mergeCell ref="EF1:EF2"/>
    <mergeCell ref="EG1:E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1"/>
  </cols>
  <sheetData>
    <row r="1" customFormat="false" ht="17.15" hidden="false" customHeight="false" outlineLevel="0" collapsed="false">
      <c r="A1" s="4" t="s">
        <v>33</v>
      </c>
      <c r="B1" s="4" t="s">
        <v>34</v>
      </c>
      <c r="C1" s="4" t="s">
        <v>43</v>
      </c>
      <c r="D1" s="4" t="s">
        <v>48</v>
      </c>
      <c r="E1" s="4" t="s">
        <v>168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175</v>
      </c>
      <c r="K1" s="4" t="s">
        <v>180</v>
      </c>
      <c r="L1" s="4" t="s">
        <v>181</v>
      </c>
      <c r="M1" s="4" t="s">
        <v>182</v>
      </c>
      <c r="N1" s="4" t="s">
        <v>183</v>
      </c>
      <c r="O1" s="4" t="s">
        <v>184</v>
      </c>
      <c r="P1" s="4" t="s">
        <v>49</v>
      </c>
      <c r="Q1" s="4" t="s">
        <v>185</v>
      </c>
      <c r="R1" s="4" t="s">
        <v>19</v>
      </c>
      <c r="S1" s="4" t="s">
        <v>21</v>
      </c>
      <c r="T1" s="4" t="s">
        <v>23</v>
      </c>
      <c r="U1" s="4" t="s">
        <v>186</v>
      </c>
      <c r="V1" s="4" t="s">
        <v>187</v>
      </c>
      <c r="W1" s="4" t="s">
        <v>51</v>
      </c>
      <c r="X1" s="4" t="s">
        <v>188</v>
      </c>
      <c r="Y1" s="4" t="s">
        <v>189</v>
      </c>
      <c r="Z1" s="4" t="s">
        <v>190</v>
      </c>
      <c r="AA1" s="4" t="s">
        <v>191</v>
      </c>
      <c r="AB1" s="4" t="s">
        <v>192</v>
      </c>
    </row>
    <row r="2" customFormat="false" ht="15" hidden="false" customHeight="false" outlineLevel="0" collapsed="false">
      <c r="A2" s="5" t="s">
        <v>53</v>
      </c>
      <c r="B2" s="6" t="s">
        <v>54</v>
      </c>
      <c r="C2" s="6" t="s">
        <v>63</v>
      </c>
      <c r="D2" s="7" t="n">
        <v>1700</v>
      </c>
      <c r="E2" s="12" t="n">
        <v>20</v>
      </c>
      <c r="F2" s="12" t="n">
        <v>160</v>
      </c>
      <c r="G2" s="12" t="n">
        <v>20</v>
      </c>
      <c r="H2" s="12" t="n">
        <v>10</v>
      </c>
      <c r="I2" s="12" t="n">
        <v>0</v>
      </c>
      <c r="J2" s="12" t="n">
        <v>8</v>
      </c>
      <c r="K2" s="7" t="n">
        <f aca="false">D2*F2</f>
        <v>272000</v>
      </c>
      <c r="L2" s="7" t="n">
        <f aca="false">D2*G2*1.25</f>
        <v>42500</v>
      </c>
      <c r="M2" s="7" t="n">
        <f aca="false">D2*H2*0.25</f>
        <v>4250</v>
      </c>
      <c r="N2" s="7" t="n">
        <f aca="false">D2*I2*1.35</f>
        <v>0</v>
      </c>
      <c r="O2" s="7" t="n">
        <f aca="false">D2*J2</f>
        <v>13600</v>
      </c>
      <c r="P2" s="7" t="n">
        <v>5000</v>
      </c>
      <c r="Q2" s="7" t="n">
        <f aca="false">SUM(K2:P2)</f>
        <v>337350</v>
      </c>
      <c r="R2" s="7" t="n">
        <f aca="false">ROUND(Q2*0.05,0)</f>
        <v>16868</v>
      </c>
      <c r="S2" s="7" t="n">
        <f aca="false">ROUND(Q2*0.0915,0)</f>
        <v>30868</v>
      </c>
      <c r="T2" s="7" t="n">
        <f aca="false">ROUND(Q2*0.006,0)</f>
        <v>2024</v>
      </c>
      <c r="U2" s="7" t="n">
        <f aca="false">ROUND((Q2-88000)*0.05,0)</f>
        <v>12468</v>
      </c>
      <c r="V2" s="7" t="n">
        <v>10000</v>
      </c>
      <c r="W2" s="7" t="n">
        <v>25000</v>
      </c>
      <c r="X2" s="7" t="n">
        <v>5000</v>
      </c>
      <c r="Y2" s="7" t="n">
        <f aca="false">E2*400</f>
        <v>8000</v>
      </c>
      <c r="Z2" s="7" t="n">
        <v>0</v>
      </c>
      <c r="AA2" s="7" t="n">
        <f aca="false">SUM(R2:Z2)</f>
        <v>110228</v>
      </c>
      <c r="AB2" s="7" t="n">
        <f aca="false">Q2-AA2</f>
        <v>227122</v>
      </c>
    </row>
    <row r="3" customFormat="false" ht="15" hidden="false" customHeight="false" outlineLevel="0" collapsed="false">
      <c r="A3" s="5" t="s">
        <v>69</v>
      </c>
      <c r="B3" s="6" t="s">
        <v>70</v>
      </c>
      <c r="C3" s="6" t="s">
        <v>63</v>
      </c>
      <c r="D3" s="7" t="n">
        <v>1700</v>
      </c>
      <c r="E3" s="12" t="n">
        <v>20</v>
      </c>
      <c r="F3" s="12" t="n">
        <v>160</v>
      </c>
      <c r="G3" s="12" t="n">
        <v>20</v>
      </c>
      <c r="H3" s="12" t="n">
        <v>10</v>
      </c>
      <c r="I3" s="12" t="n">
        <v>0</v>
      </c>
      <c r="J3" s="12" t="n">
        <v>8</v>
      </c>
      <c r="K3" s="7" t="n">
        <f aca="false">D3*F3</f>
        <v>272000</v>
      </c>
      <c r="L3" s="7" t="n">
        <f aca="false">D3*G3*1.25</f>
        <v>42500</v>
      </c>
      <c r="M3" s="7" t="n">
        <f aca="false">D3*H3*0.25</f>
        <v>4250</v>
      </c>
      <c r="N3" s="7" t="n">
        <f aca="false">D3*I3*1.35</f>
        <v>0</v>
      </c>
      <c r="O3" s="7" t="n">
        <f aca="false">D3*J3</f>
        <v>13600</v>
      </c>
      <c r="P3" s="7" t="n">
        <v>5000</v>
      </c>
      <c r="Q3" s="7" t="n">
        <f aca="false">SUM(K3:P3)</f>
        <v>337350</v>
      </c>
      <c r="R3" s="7" t="n">
        <f aca="false">ROUND(Q3*0.05,0)</f>
        <v>16868</v>
      </c>
      <c r="S3" s="7" t="n">
        <f aca="false">ROUND(Q3*0.0915,0)</f>
        <v>30868</v>
      </c>
      <c r="T3" s="7" t="n">
        <f aca="false">ROUND(Q3*0.006,0)</f>
        <v>2024</v>
      </c>
      <c r="U3" s="7" t="n">
        <f aca="false">ROUND((Q3-88000)*0.05,0)</f>
        <v>12468</v>
      </c>
      <c r="V3" s="7" t="n">
        <v>10000</v>
      </c>
      <c r="W3" s="7" t="n">
        <v>25000</v>
      </c>
      <c r="X3" s="7" t="n">
        <v>5000</v>
      </c>
      <c r="Y3" s="7" t="n">
        <f aca="false">E3*400</f>
        <v>8000</v>
      </c>
      <c r="Z3" s="7" t="n">
        <v>0</v>
      </c>
      <c r="AA3" s="7" t="n">
        <f aca="false">SUM(R3:Z3)</f>
        <v>110228</v>
      </c>
      <c r="AB3" s="7" t="n">
        <f aca="false">Q3-AA3</f>
        <v>227122</v>
      </c>
    </row>
    <row r="4" customFormat="false" ht="15" hidden="false" customHeight="false" outlineLevel="0" collapsed="false">
      <c r="A4" s="5" t="s">
        <v>80</v>
      </c>
      <c r="B4" s="6" t="s">
        <v>81</v>
      </c>
      <c r="C4" s="6" t="s">
        <v>88</v>
      </c>
      <c r="D4" s="7" t="n">
        <v>1650</v>
      </c>
      <c r="E4" s="12" t="n">
        <v>20</v>
      </c>
      <c r="F4" s="12" t="n">
        <v>160</v>
      </c>
      <c r="G4" s="12" t="n">
        <v>20</v>
      </c>
      <c r="H4" s="12" t="n">
        <v>10</v>
      </c>
      <c r="I4" s="12" t="n">
        <v>0</v>
      </c>
      <c r="J4" s="12" t="n">
        <v>8</v>
      </c>
      <c r="K4" s="7" t="n">
        <f aca="false">D4*F4</f>
        <v>264000</v>
      </c>
      <c r="L4" s="7" t="n">
        <f aca="false">D4*G4*1.25</f>
        <v>41250</v>
      </c>
      <c r="M4" s="7" t="n">
        <f aca="false">D4*H4*0.25</f>
        <v>4125</v>
      </c>
      <c r="N4" s="7" t="n">
        <f aca="false">D4*I4*1.35</f>
        <v>0</v>
      </c>
      <c r="O4" s="7" t="n">
        <f aca="false">D4*J4</f>
        <v>13200</v>
      </c>
      <c r="P4" s="7" t="n">
        <v>5000</v>
      </c>
      <c r="Q4" s="7" t="n">
        <f aca="false">SUM(K4:P4)</f>
        <v>327575</v>
      </c>
      <c r="R4" s="7" t="n">
        <f aca="false">ROUND(Q4*0.05,0)</f>
        <v>16379</v>
      </c>
      <c r="S4" s="7" t="n">
        <f aca="false">ROUND(Q4*0.0915,0)</f>
        <v>29973</v>
      </c>
      <c r="T4" s="7" t="n">
        <f aca="false">ROUND(Q4*0.006,0)</f>
        <v>1965</v>
      </c>
      <c r="U4" s="7" t="n">
        <f aca="false">ROUND((Q4-88000)*0.05,0)</f>
        <v>11979</v>
      </c>
      <c r="V4" s="7" t="n">
        <v>10000</v>
      </c>
      <c r="W4" s="7" t="n">
        <v>25000</v>
      </c>
      <c r="X4" s="7" t="n">
        <v>5000</v>
      </c>
      <c r="Y4" s="7" t="n">
        <f aca="false">E4*400</f>
        <v>8000</v>
      </c>
      <c r="Z4" s="7" t="n">
        <v>0</v>
      </c>
      <c r="AA4" s="7" t="n">
        <f aca="false">SUM(R4:Z4)</f>
        <v>108296</v>
      </c>
      <c r="AB4" s="7" t="n">
        <f aca="false">Q4-AA4</f>
        <v>219279</v>
      </c>
    </row>
    <row r="5" customFormat="false" ht="15" hidden="false" customHeight="false" outlineLevel="0" collapsed="false">
      <c r="A5" s="13" t="s">
        <v>193</v>
      </c>
      <c r="E5" s="13" t="n">
        <f aca="false">SUM(E2:E4)</f>
        <v>60</v>
      </c>
      <c r="F5" s="13" t="n">
        <f aca="false">SUM(F2:F4)</f>
        <v>480</v>
      </c>
      <c r="G5" s="13" t="n">
        <f aca="false">SUM(G2:G4)</f>
        <v>60</v>
      </c>
      <c r="H5" s="13" t="n">
        <f aca="false">SUM(H2:H4)</f>
        <v>30</v>
      </c>
      <c r="I5" s="13" t="n">
        <f aca="false">SUM(I2:I4)</f>
        <v>0</v>
      </c>
      <c r="J5" s="13" t="n">
        <f aca="false">SUM(J2:J4)</f>
        <v>24</v>
      </c>
      <c r="K5" s="14" t="n">
        <f aca="false">SUM(K2:K4)</f>
        <v>808000</v>
      </c>
      <c r="L5" s="14" t="n">
        <f aca="false">SUM(L2:L4)</f>
        <v>126250</v>
      </c>
      <c r="M5" s="14" t="n">
        <f aca="false">SUM(M2:M4)</f>
        <v>12625</v>
      </c>
      <c r="N5" s="14" t="n">
        <f aca="false">SUM(N2:N4)</f>
        <v>0</v>
      </c>
      <c r="O5" s="14" t="n">
        <f aca="false">SUM(O2:O4)</f>
        <v>40400</v>
      </c>
      <c r="P5" s="14" t="n">
        <f aca="false">SUM(P2:P4)</f>
        <v>15000</v>
      </c>
      <c r="Q5" s="14" t="n">
        <f aca="false">SUM(Q2:Q4)</f>
        <v>1002275</v>
      </c>
      <c r="R5" s="14" t="n">
        <f aca="false">SUM(R2:R4)</f>
        <v>50115</v>
      </c>
      <c r="S5" s="14" t="n">
        <f aca="false">SUM(S2:S4)</f>
        <v>91709</v>
      </c>
      <c r="T5" s="14" t="n">
        <f aca="false">SUM(T2:T4)</f>
        <v>6013</v>
      </c>
      <c r="U5" s="14" t="n">
        <f aca="false">SUM(U2:U4)</f>
        <v>36915</v>
      </c>
      <c r="V5" s="14" t="n">
        <f aca="false">SUM(V2:V4)</f>
        <v>30000</v>
      </c>
      <c r="W5" s="14" t="n">
        <f aca="false">SUM(W2:W4)</f>
        <v>75000</v>
      </c>
      <c r="X5" s="14" t="n">
        <f aca="false">SUM(X2:X4)</f>
        <v>15000</v>
      </c>
      <c r="Y5" s="14" t="n">
        <f aca="false">SUM(Y2:Y4)</f>
        <v>24000</v>
      </c>
      <c r="Z5" s="14" t="n">
        <f aca="false">SUM(Z2:Z4)</f>
        <v>0</v>
      </c>
      <c r="AA5" s="14" t="n">
        <f aca="false">SUM(AA2:AA4)</f>
        <v>328752</v>
      </c>
      <c r="AB5" s="14" t="n">
        <f aca="false">SUM(AB2:AB4)</f>
        <v>673523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23.85" hidden="false" customHeight="false" outlineLevel="0" collapsed="false">
      <c r="A1" s="15" t="s">
        <v>194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2" t="s">
        <v>2</v>
      </c>
    </row>
    <row r="3" customFormat="false" ht="17.15" hidden="false" customHeight="false" outlineLevel="0" collapsed="false">
      <c r="A3" s="2" t="s">
        <v>195</v>
      </c>
    </row>
    <row r="5" customFormat="false" ht="15" hidden="false" customHeight="false" outlineLevel="0" collapsed="false">
      <c r="A5" s="2" t="s">
        <v>33</v>
      </c>
      <c r="B5" s="0" t="str">
        <f aca="false">給与計算_2025年12月!A2</f>
        <v>E001</v>
      </c>
      <c r="D5" s="2" t="s">
        <v>34</v>
      </c>
      <c r="E5" s="0" t="str">
        <f aca="false">給与計算_2025年12月!B2</f>
        <v>グエン・ヴァン・ミン</v>
      </c>
    </row>
    <row r="6" customFormat="false" ht="15" hidden="false" customHeight="false" outlineLevel="0" collapsed="false">
      <c r="A6" s="2" t="s">
        <v>43</v>
      </c>
      <c r="B6" s="0" t="str">
        <f aca="false">給与計算_2025年12月!C2</f>
        <v>加藤木材工業株式会社</v>
      </c>
    </row>
    <row r="8" customFormat="false" ht="15" hidden="false" customHeight="false" outlineLevel="0" collapsed="false">
      <c r="A8" s="3" t="s">
        <v>196</v>
      </c>
    </row>
    <row r="9" customFormat="false" ht="15" hidden="false" customHeight="false" outlineLevel="0" collapsed="false">
      <c r="A9" s="10" t="s">
        <v>168</v>
      </c>
      <c r="B9" s="10" t="s">
        <v>170</v>
      </c>
      <c r="C9" s="10" t="s">
        <v>171</v>
      </c>
      <c r="D9" s="10" t="s">
        <v>172</v>
      </c>
      <c r="E9" s="10" t="s">
        <v>173</v>
      </c>
      <c r="F9" s="10" t="s">
        <v>175</v>
      </c>
    </row>
    <row r="10" customFormat="false" ht="15" hidden="false" customHeight="false" outlineLevel="0" collapsed="false">
      <c r="A10" s="0" t="n">
        <f aca="false">給与計算_2025年12月!E2</f>
        <v>20</v>
      </c>
      <c r="B10" s="0" t="n">
        <f aca="false">給与計算_2025年12月!F2</f>
        <v>160</v>
      </c>
      <c r="C10" s="0" t="n">
        <f aca="false">給与計算_2025年12月!G2</f>
        <v>20</v>
      </c>
      <c r="D10" s="0" t="n">
        <f aca="false">給与計算_2025年12月!H2</f>
        <v>10</v>
      </c>
      <c r="E10" s="0" t="n">
        <f aca="false">給与計算_2025年12月!I2</f>
        <v>0</v>
      </c>
      <c r="F10" s="0" t="n">
        <f aca="false">給与計算_2025年12月!J2</f>
        <v>8</v>
      </c>
    </row>
    <row r="12" customFormat="false" ht="15" hidden="false" customHeight="false" outlineLevel="0" collapsed="false">
      <c r="A12" s="3" t="s">
        <v>197</v>
      </c>
    </row>
    <row r="13" customFormat="false" ht="15" hidden="false" customHeight="false" outlineLevel="0" collapsed="false">
      <c r="A13" s="10" t="s">
        <v>180</v>
      </c>
      <c r="B13" s="10" t="s">
        <v>181</v>
      </c>
      <c r="C13" s="10" t="s">
        <v>182</v>
      </c>
      <c r="D13" s="10" t="s">
        <v>183</v>
      </c>
      <c r="E13" s="10" t="s">
        <v>184</v>
      </c>
      <c r="F13" s="10" t="s">
        <v>49</v>
      </c>
      <c r="G13" s="10" t="s">
        <v>185</v>
      </c>
    </row>
    <row r="14" customFormat="false" ht="15" hidden="false" customHeight="false" outlineLevel="0" collapsed="false">
      <c r="A14" s="7" t="n">
        <f aca="false">給与計算_2025年12月!K2</f>
        <v>272000</v>
      </c>
      <c r="B14" s="7" t="n">
        <f aca="false">給与計算_2025年12月!L2</f>
        <v>42500</v>
      </c>
      <c r="C14" s="7" t="n">
        <f aca="false">給与計算_2025年12月!M2</f>
        <v>4250</v>
      </c>
      <c r="D14" s="7" t="n">
        <f aca="false">給与計算_2025年12月!N2</f>
        <v>0</v>
      </c>
      <c r="E14" s="7" t="n">
        <f aca="false">給与計算_2025年12月!O2</f>
        <v>13600</v>
      </c>
      <c r="F14" s="7" t="n">
        <f aca="false">給与計算_2025年12月!P2</f>
        <v>5000</v>
      </c>
      <c r="G14" s="7" t="n">
        <f aca="false">給与計算_2025年12月!Q2</f>
        <v>337350</v>
      </c>
    </row>
    <row r="16" customFormat="false" ht="15" hidden="false" customHeight="false" outlineLevel="0" collapsed="false">
      <c r="A16" s="3" t="s">
        <v>198</v>
      </c>
    </row>
    <row r="17" customFormat="false" ht="15" hidden="false" customHeight="false" outlineLevel="0" collapsed="false">
      <c r="A17" s="10" t="s">
        <v>19</v>
      </c>
      <c r="B17" s="10" t="s">
        <v>21</v>
      </c>
      <c r="C17" s="10" t="s">
        <v>23</v>
      </c>
      <c r="D17" s="10" t="s">
        <v>186</v>
      </c>
      <c r="E17" s="10" t="s">
        <v>187</v>
      </c>
      <c r="F17" s="10" t="s">
        <v>51</v>
      </c>
      <c r="G17" s="10" t="s">
        <v>188</v>
      </c>
      <c r="H17" s="10" t="s">
        <v>189</v>
      </c>
    </row>
    <row r="18" customFormat="false" ht="15" hidden="false" customHeight="false" outlineLevel="0" collapsed="false">
      <c r="A18" s="7" t="n">
        <f aca="false">給与計算_2025年12月!R2</f>
        <v>16868</v>
      </c>
      <c r="B18" s="7" t="n">
        <f aca="false">給与計算_2025年12月!S2</f>
        <v>30868</v>
      </c>
      <c r="C18" s="7" t="n">
        <f aca="false">給与計算_2025年12月!T2</f>
        <v>2024</v>
      </c>
      <c r="D18" s="7" t="n">
        <f aca="false">給与計算_2025年12月!U2</f>
        <v>12468</v>
      </c>
      <c r="E18" s="7" t="n">
        <f aca="false">給与計算_2025年12月!V2</f>
        <v>10000</v>
      </c>
      <c r="F18" s="7" t="n">
        <f aca="false">給与計算_2025年12月!W2</f>
        <v>25000</v>
      </c>
      <c r="G18" s="7" t="n">
        <f aca="false">給与計算_2025年12月!X2</f>
        <v>5000</v>
      </c>
      <c r="H18" s="7" t="n">
        <f aca="false">給与計算_2025年12月!Y2</f>
        <v>8000</v>
      </c>
    </row>
    <row r="20" customFormat="false" ht="15" hidden="false" customHeight="false" outlineLevel="0" collapsed="false">
      <c r="A20" s="3" t="s">
        <v>191</v>
      </c>
      <c r="B20" s="7" t="n">
        <f aca="false">給与計算_2025年12月!AA2</f>
        <v>110228</v>
      </c>
    </row>
    <row r="22" customFormat="false" ht="17.35" hidden="false" customHeight="false" outlineLevel="0" collapsed="false">
      <c r="A22" s="16" t="s">
        <v>192</v>
      </c>
      <c r="B22" s="17" t="n">
        <f aca="false">給与計算_2025年12月!AB2</f>
        <v>227122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2025-12-12T11:14:00Z</dcterms:created>
  <dc:creator>openpyxl</dc:creator>
  <dc:description/>
  <dc:language>en-US</dc:language>
  <cp:lastModifiedBy/>
  <dcterms:modified xsi:type="dcterms:W3CDTF">2025-12-12T11:14:00Z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