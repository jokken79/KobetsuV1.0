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c575e572bc40e040/デスクトップ/"/>
    </mc:Choice>
  </mc:AlternateContent>
  <xr:revisionPtr revIDLastSave="18" documentId="13_ncr:1_{3DFA7933-E739-490D-8C4A-D72EE1300810}" xr6:coauthVersionLast="47" xr6:coauthVersionMax="47" xr10:uidLastSave="{263F7C9F-D3DF-49F0-8C90-9036F9E64FAE}"/>
  <bookViews>
    <workbookView xWindow="-120" yWindow="-120" windowWidth="29040" windowHeight="15720" tabRatio="707" activeTab="6" xr2:uid="{149DFC3B-9073-4527-8BF1-634DB10CF560}"/>
  </bookViews>
  <sheets>
    <sheet name="DBGenzai" sheetId="4" r:id="rId1"/>
    <sheet name="Filtro" sheetId="7" r:id="rId2"/>
    <sheet name="Trasformacion" sheetId="5" r:id="rId3"/>
    <sheet name="State＆Price" sheetId="14" r:id="rId4"/>
    <sheet name="配属先管理台帳" sheetId="9" r:id="rId5"/>
    <sheet name="Sheet1" sheetId="22" r:id="rId6"/>
    <sheet name="個別契約書X" sheetId="8" r:id="rId7"/>
    <sheet name="通知書" sheetId="10" r:id="rId8"/>
    <sheet name="通知書(別々)" sheetId="18" r:id="rId9"/>
    <sheet name="通知書Genzai" sheetId="16" r:id="rId10"/>
    <sheet name="DAICHO" sheetId="15" r:id="rId11"/>
    <sheet name="通知書TOTAL" sheetId="12" r:id="rId12"/>
    <sheet name="Sheet3" sheetId="24" r:id="rId13"/>
    <sheet name="Hoja1" sheetId="19" r:id="rId14"/>
    <sheet name="DAICHO (2)" sheetId="20" r:id="rId15"/>
    <sheet name="通知書Genzai (2)" sheetId="21" r:id="rId16"/>
    <sheet name="Sheet2" sheetId="23" r:id="rId17"/>
  </sheets>
  <externalReferences>
    <externalReference r:id="rId18"/>
  </externalReferences>
  <definedNames>
    <definedName name="_？">'State＆Price'!$J$11:$J$16</definedName>
    <definedName name="_1次旋係">'State＆Price'!$F$34:$F$39</definedName>
    <definedName name="_xlnm._FilterDatabase" localSheetId="4" hidden="1">配属先管理台帳!$F:$F</definedName>
    <definedName name="_GoBack" localSheetId="10">DAICHO!$A$42</definedName>
    <definedName name="_GoBack" localSheetId="14">'DAICHO (2)'!$A$42</definedName>
    <definedName name="_xlnm.Print_Area" localSheetId="10">DAICHO!$A$1:$BE$78</definedName>
    <definedName name="_xlnm.Print_Area" localSheetId="14">'DAICHO (2)'!$A$1:$BE$78</definedName>
    <definedName name="_xlnm.Print_Area" localSheetId="2">Trasformacion!$A$1:$AF$146</definedName>
    <definedName name="_xlnm.Print_Area" localSheetId="6">個別契約書X!$A$1:$AA$58</definedName>
    <definedName name="_xlnm.Print_Area" localSheetId="7">通知書!$H$1:$P$66</definedName>
    <definedName name="_xlnm.Print_Area" localSheetId="8">'通知書(別々)'!$H$1:$P$66</definedName>
    <definedName name="_xlnm.Print_Area" localSheetId="9">通知書Genzai!$A$7:$J$53</definedName>
    <definedName name="_xlnm.Print_Area" localSheetId="15">'通知書Genzai (2)'!$I$1:$Q$66</definedName>
    <definedName name="_xlnm.Print_Area" localSheetId="11">通知書TOTAL!$J$1:$R$57</definedName>
    <definedName name="Aライン">'State＆Price'!$F$2:$F$4</definedName>
    <definedName name="CAD">'State＆Price'!$I$19:$I$22</definedName>
    <definedName name="CONSECUTIVO" localSheetId="15">'通知書Genzai (2)'!$U$1</definedName>
    <definedName name="CONSECUTIVO">通知書Genzai!$U$1</definedName>
    <definedName name="CVJ_清掃">'State＆Price'!$M$34:$M$37</definedName>
    <definedName name="CVJﾊﾞﾘ取りﾁｬﾝﾌｧ係">'State＆Price'!$N$34:$N$38</definedName>
    <definedName name="CVJバリ取りチャンファ等速ジョイント旋削加工">'State＆Price'!$AA$11:$AA$13</definedName>
    <definedName name="CVJ研磨係">'State＆Price'!$O$34:$O$38</definedName>
    <definedName name="ＣＶＪ研磨等速ジョイント旋削加工">'State＆Price'!$Z$11:$Z$17</definedName>
    <definedName name="ＣＶＪ研磨等速ジョイント旋削加工・ＮＣプログラム修正">'State＆Price'!$Y$11:$Y$17</definedName>
    <definedName name="CVJ工場">'State＆Price'!$K$34:$K$38</definedName>
    <definedName name="CVJ工場製作１課">'State＆Price'!$L$34:$L$42</definedName>
    <definedName name="CVJ清掃">'State＆Price'!$M$34:$M$40</definedName>
    <definedName name="CVJ切欠きｺｯﾀ係">'State＆Price'!$P$34:$P$38</definedName>
    <definedName name="ＣＶＪ切欠きコッタ等速ジョイント旋削加工">'State＆Price'!$AB$11:$AB$13</definedName>
    <definedName name="CVJ短軸旋盤係">'State＆Price'!$Q$34:$Q$38</definedName>
    <definedName name="ＣＶＪ短軸等速ジョイント旋削加工・ＮＣプログラム修正">'State＆Price'!$AD$11:$AD$17</definedName>
    <definedName name="CVJ長軸旋盤係">'State＆Price'!$R$34:$R$39</definedName>
    <definedName name="ＣＶＪ長軸等速ジョイント旋削加工・ＮＣプログラム修正">'State＆Price'!$X$11:$X$13</definedName>
    <definedName name="CVJ転造係">'State＆Price'!$T$34:$T$35</definedName>
    <definedName name="ＣＶＪ転造等速ジョイント旋削加工・ＮＣプログラム修正">'State＆Price'!$AE$11:$AE$15</definedName>
    <definedName name="Date">'[1]派遣先責任者 指揮命令者'!$AM$2:$AM$4</definedName>
    <definedName name="DatosExternos_1" localSheetId="0" hidden="1">DBGenzai!$A$1:$AN$709</definedName>
    <definedName name="dosmilcero">個別契約書X!$AD$19</definedName>
    <definedName name="DOSMILCINCO">個別契約書X!$AD$20</definedName>
    <definedName name="dosmilcuatro">個別契約書X!$AD$14</definedName>
    <definedName name="dosmildos">個別契約書X!$AD$16</definedName>
    <definedName name="DOSMILSEIS">個別契約書X!$AD$21</definedName>
    <definedName name="dosmiltres">個別契約書X!$AD$15</definedName>
    <definedName name="dosmiluno">個別契約書X!$AD$18</definedName>
    <definedName name="Fabrica">個別契約書X!$AD$1</definedName>
    <definedName name="FECHADE">個別契約書X!$AD$3</definedName>
    <definedName name="FechaMas">個別契約書X!$AG$3</definedName>
    <definedName name="Fライン">'State＆Price'!$J$2:$J$4</definedName>
    <definedName name="Gライン">'State＆Price'!$L$2:$L$5</definedName>
    <definedName name="H_2次旋">'State＆Price'!$H$11:$H$14</definedName>
    <definedName name="HakenkikanS">個別契約書X!$H$16</definedName>
    <definedName name="HUB_管理課">'State＆Price'!$G$34:$G$38</definedName>
    <definedName name="HUB_検査課係">'State＆Price'!$H$34:$H$38</definedName>
    <definedName name="HUB_第1">'State＆Price'!$F$11:$F$14</definedName>
    <definedName name="HUB_第2">'State＆Price'!$G$11:$G$14</definedName>
    <definedName name="HUB管理課">'State＆Price'!$G$34:$G$38</definedName>
    <definedName name="HUB検査課係">'State＆Price'!$H$34:$H$38</definedName>
    <definedName name="HUB工場">'State＆Price'!$D$34:$D$37</definedName>
    <definedName name="HUB工場製作課">'State＆Price'!$E$34:$E$39</definedName>
    <definedName name="HUB旋削加工品の抜き取り">'State＆Price'!$U$10:$U$13</definedName>
    <definedName name="HUB旋削加工品の抜き取り検査">'State＆Price'!$V$11:$V$12</definedName>
    <definedName name="JIGYOUSHO">個別契約書X!$AD$2</definedName>
    <definedName name="koka">個別契約書X!$AD$4</definedName>
    <definedName name="koku">個別契約書X!$AD$5</definedName>
    <definedName name="KOUJYOU">個別契約書X!$AD$4</definedName>
    <definedName name="Linea">個別契約書X!$AD$6</definedName>
    <definedName name="naiou">個別契約書X!$AD$7</definedName>
    <definedName name="Ncopy">個別契約書X!$AH$10</definedName>
    <definedName name="NombreID" localSheetId="14">'DAICHO (2)'!$O$11</definedName>
    <definedName name="NombreID">DAICHO!$O$11</definedName>
    <definedName name="Okayama" localSheetId="14">KanriDaichou[#All]</definedName>
    <definedName name="Okayama" localSheetId="7">KanriDaichou[#All]</definedName>
    <definedName name="Okayama" localSheetId="8">KanriDaichou[#All]</definedName>
    <definedName name="Okayama" localSheetId="9">KanriDaichou[#All]</definedName>
    <definedName name="Okayama" localSheetId="15">KanriDaichou[#All]</definedName>
    <definedName name="Okayama" localSheetId="11">KanriDaichou[#All]</definedName>
    <definedName name="Okayama">KanriDaichou[#All]</definedName>
    <definedName name="P">'State＆Price'!$H$19:$H$22</definedName>
    <definedName name="PrecioHora">個別契約書X!$AG$7</definedName>
    <definedName name="PTJ">'State＆Price'!$Q$25:$Q$29</definedName>
    <definedName name="PuntoG">個別契約書X!$AD$11</definedName>
    <definedName name="TKE">'State＆Price'!$K$11:$K$14</definedName>
    <definedName name="TKE第一営">'State＆Price'!$K$11:$K$16</definedName>
    <definedName name="Tライン">'State＆Price'!$G$2:$G$4</definedName>
    <definedName name="W研磨">'State＆Price'!$G$19:$G$22</definedName>
    <definedName name="チャンファ">'State＆Price'!$I$25:$I$28</definedName>
    <definedName name="チャンファー">'State＆Price'!$I$25:$I$29</definedName>
    <definedName name="トラニオン">'State＆Price'!$P$25:$P$28</definedName>
    <definedName name="ト精密">'State＆Price'!$F$19:$F$22</definedName>
    <definedName name="ナット">'State＆Price'!$M$25:$M$28</definedName>
    <definedName name="ハブ加工・自動機の操作">'State＆Price'!$S$11:$S$18</definedName>
    <definedName name="ハブ加工・自動機の操作・ＮＣプログラム修正">'State＆Price'!$T$11:$T$23</definedName>
    <definedName name="バリ取り">'State＆Price'!$H$2:$H$4</definedName>
    <definedName name="フォクリフト">'State＆Price'!$O$2:$O$5</definedName>
    <definedName name="ブローチ">'State＆Price'!$I$11:$I$16</definedName>
    <definedName name="リフト作業">'State＆Price'!$Q$11:$Q$13</definedName>
    <definedName name="愛知事業所">'State＆Price'!$C$2:$C$4</definedName>
    <definedName name="一次旋係">'State＆Price'!$F$34:$F$39</definedName>
    <definedName name="岡山事業所">'State＆Price'!$C$34:$C$37</definedName>
    <definedName name="海南第一工場">'State＆Price'!$D$11:$D$13</definedName>
    <definedName name="海南第一工場営業課">'State＆Price'!$P$11</definedName>
    <definedName name="海南第一工場製作1課">'State＆Price'!$E$11:$E$16</definedName>
    <definedName name="海南第一工場製作2課">'State＆Price'!$M$11:$M$13</definedName>
    <definedName name="海南第二工場">'State＆Price'!$D$19</definedName>
    <definedName name="海南第二工場製作1課">'State＆Price'!$E$11:$E$16</definedName>
    <definedName name="海南第二工場製作課">'State＆Price'!$E$19:$E$22</definedName>
    <definedName name="業務係_CVJ">'State＆Price'!$I$34:$I$38</definedName>
    <definedName name="業務係CVJ">'State＆Price'!$S$34:$S$40</definedName>
    <definedName name="勤怠・日報・伝票入力作業">'State＆Price'!$AF$11:$AF$13</definedName>
    <definedName name="高雄工業株式会社">'State＆Price'!$B$2:$B$4</definedName>
    <definedName name="梱包">'State＆Price'!$J$11:$J$14</definedName>
    <definedName name="自動機の旋削機械及び周辺機器等の清掃メンテナンス">'State＆Price'!$AC$11:$AC$13</definedName>
    <definedName name="自動旋削">'State＆Price'!$G$25:$G$28</definedName>
    <definedName name="手動旋削">'State＆Price'!$H$25:$H$30</definedName>
    <definedName name="清掃作業・切子回収">'State＆Price'!$J$25:$J$30</definedName>
    <definedName name="静岡事業所">'State＆Price'!$C$25:$C$27</definedName>
    <definedName name="切紛回収">'State＆Price'!$I$2:$I$4</definedName>
    <definedName name="第一工場">'State＆Price'!$D$25:$D$26</definedName>
    <definedName name="第一工場製作課">'State＆Price'!$E$25:$E$30</definedName>
    <definedName name="第二工場">'State＆Price'!$K$25</definedName>
    <definedName name="第二工場製作課">'State＆Price'!$L$25:$L$29</definedName>
    <definedName name="長軸バリ取り">'State＆Price'!$N$25:$N$28</definedName>
    <definedName name="転造">'State＆Price'!$F$25:$F$29</definedName>
    <definedName name="内輪">'State＆Price'!$O$25:$O$28</definedName>
    <definedName name="入社日変更">'通知書(別々)'!$D$4</definedName>
    <definedName name="熱処理">'State＆Price'!$N$11:$N$15</definedName>
    <definedName name="派遣先事業所">'State＆Price'!$A$2</definedName>
    <definedName name="本社工場">'State＆Price'!$D$2:$D$3</definedName>
    <definedName name="本社工場営業課">'State＆Price'!$N$2:$N$3</definedName>
    <definedName name="本社工場製作課">'State＆Price'!$E$2:$E$8</definedName>
    <definedName name="六面加工">'State＆Price'!$K$2:$K$4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04" i="5" l="1"/>
  <c r="AA103" i="5"/>
  <c r="AA102" i="5"/>
  <c r="AA101" i="5"/>
  <c r="AA100" i="5"/>
  <c r="AA99" i="5"/>
  <c r="AA98" i="5"/>
  <c r="AA97" i="5"/>
  <c r="AA96" i="5"/>
  <c r="AA95" i="5"/>
  <c r="AA94" i="5"/>
  <c r="AA89" i="5"/>
  <c r="AA93" i="5"/>
  <c r="AA92" i="5"/>
  <c r="AA91" i="5"/>
  <c r="AA90" i="5"/>
  <c r="AA87" i="5"/>
  <c r="AA86" i="5"/>
  <c r="AA85" i="5"/>
  <c r="AA84" i="5"/>
  <c r="AA83" i="5"/>
  <c r="AA82" i="5"/>
  <c r="AA77" i="5"/>
  <c r="AA80" i="5"/>
  <c r="AA79" i="5"/>
  <c r="AA68" i="5"/>
  <c r="AA67" i="5"/>
  <c r="AA76" i="5"/>
  <c r="AA75" i="5"/>
  <c r="AA74" i="5"/>
  <c r="AA73" i="5"/>
  <c r="AA72" i="5"/>
  <c r="AA71" i="5"/>
  <c r="AA70" i="5"/>
  <c r="AA69" i="5"/>
  <c r="AA66" i="5"/>
  <c r="AA64" i="5"/>
  <c r="AA63" i="5"/>
  <c r="AA60" i="5"/>
  <c r="AA59" i="5"/>
  <c r="AA58" i="5"/>
  <c r="AA57" i="5"/>
  <c r="AA81" i="5"/>
  <c r="AA78" i="5"/>
  <c r="AA56" i="5"/>
  <c r="AA55" i="5"/>
  <c r="AA52" i="5"/>
  <c r="AA50" i="5"/>
  <c r="AA47" i="5"/>
  <c r="AA49" i="5"/>
  <c r="AA48" i="5"/>
  <c r="AA54" i="5"/>
  <c r="AA45" i="5"/>
  <c r="AA23" i="5"/>
  <c r="AA44" i="5"/>
  <c r="AA43" i="5"/>
  <c r="AA16" i="5"/>
  <c r="AA40" i="5"/>
  <c r="AA39" i="5"/>
  <c r="AA38" i="5"/>
  <c r="AA37" i="5"/>
  <c r="AA34" i="5"/>
  <c r="AA36" i="5"/>
  <c r="AA30" i="5"/>
  <c r="AA8" i="5"/>
  <c r="AA33" i="5"/>
  <c r="AA17" i="5"/>
  <c r="AA3" i="5"/>
  <c r="AA29" i="5"/>
  <c r="AA9" i="5"/>
  <c r="AA10" i="5"/>
  <c r="AE96" i="5" l="1"/>
  <c r="AE9" i="8"/>
  <c r="J2" i="24"/>
  <c r="J1" i="24"/>
  <c r="AT49" i="15"/>
  <c r="V49" i="15" a="1"/>
  <c r="V49" i="15" s="1"/>
  <c r="O49" i="15"/>
  <c r="AD9" i="8" l="1"/>
  <c r="H16" i="8" s="1"/>
  <c r="H15" i="8"/>
  <c r="K23" i="8"/>
  <c r="AD3" i="8" l="1"/>
  <c r="Q6" i="8" s="1" a="1"/>
  <c r="Q6" i="8" s="1"/>
  <c r="N24" i="8"/>
  <c r="I5" i="8"/>
  <c r="I4" i="8"/>
  <c r="I66" i="21"/>
  <c r="I65" i="21"/>
  <c r="P65" i="21" s="1"/>
  <c r="I64" i="21"/>
  <c r="O64" i="21" s="1"/>
  <c r="I63" i="21"/>
  <c r="O63" i="21" s="1"/>
  <c r="I62" i="21"/>
  <c r="I61" i="21"/>
  <c r="P61" i="21" s="1"/>
  <c r="I60" i="21"/>
  <c r="O60" i="21" s="1"/>
  <c r="I59" i="21"/>
  <c r="P59" i="21" s="1"/>
  <c r="I58" i="21"/>
  <c r="O58" i="21" s="1"/>
  <c r="I57" i="21"/>
  <c r="P57" i="21" s="1"/>
  <c r="I56" i="21"/>
  <c r="O56" i="21" s="1"/>
  <c r="Z5" i="21"/>
  <c r="J3" i="21"/>
  <c r="AT49" i="20"/>
  <c r="V49" i="20" a="1"/>
  <c r="V49" i="20" s="1"/>
  <c r="O49" i="20"/>
  <c r="AT40" i="20"/>
  <c r="AG40" i="20"/>
  <c r="AB40" i="20"/>
  <c r="O22" i="20"/>
  <c r="O25" i="20" s="1"/>
  <c r="B1" i="20"/>
  <c r="B1" i="15"/>
  <c r="I56" i="16"/>
  <c r="P56" i="16" s="1"/>
  <c r="I57" i="16"/>
  <c r="P57" i="16" s="1"/>
  <c r="I58" i="16"/>
  <c r="P58" i="16" s="1"/>
  <c r="I59" i="16"/>
  <c r="P59" i="16" s="1"/>
  <c r="I60" i="16"/>
  <c r="P60" i="16" s="1"/>
  <c r="I61" i="16"/>
  <c r="P61" i="16" s="1"/>
  <c r="I62" i="16"/>
  <c r="P62" i="16" s="1"/>
  <c r="I63" i="16"/>
  <c r="P63" i="16" s="1"/>
  <c r="I64" i="16"/>
  <c r="P64" i="16" s="1"/>
  <c r="I65" i="16"/>
  <c r="P65" i="16" s="1"/>
  <c r="I66" i="16"/>
  <c r="P66" i="16" s="1"/>
  <c r="Y8" i="8" l="1" a="1"/>
  <c r="Y8" i="8" s="1"/>
  <c r="M66" i="16"/>
  <c r="L62" i="16"/>
  <c r="N58" i="16"/>
  <c r="L65" i="16"/>
  <c r="L61" i="16"/>
  <c r="L57" i="16"/>
  <c r="M64" i="16"/>
  <c r="M60" i="16"/>
  <c r="M56" i="16"/>
  <c r="N63" i="16"/>
  <c r="N59" i="16"/>
  <c r="N64" i="21"/>
  <c r="M60" i="21"/>
  <c r="M56" i="21"/>
  <c r="O59" i="21"/>
  <c r="N60" i="21"/>
  <c r="P63" i="21"/>
  <c r="M65" i="21"/>
  <c r="N56" i="21"/>
  <c r="M57" i="21"/>
  <c r="N58" i="21"/>
  <c r="M61" i="21"/>
  <c r="P64" i="21"/>
  <c r="N65" i="21"/>
  <c r="P56" i="21"/>
  <c r="N57" i="21"/>
  <c r="P60" i="21"/>
  <c r="N61" i="21"/>
  <c r="L63" i="21"/>
  <c r="L64" i="21"/>
  <c r="Q64" i="21"/>
  <c r="Q65" i="21"/>
  <c r="L56" i="21"/>
  <c r="Q56" i="21"/>
  <c r="Q57" i="21"/>
  <c r="L60" i="21"/>
  <c r="Q60" i="21"/>
  <c r="Q61" i="21"/>
  <c r="M64" i="21"/>
  <c r="Q62" i="21"/>
  <c r="M62" i="21"/>
  <c r="P62" i="21"/>
  <c r="L62" i="21"/>
  <c r="N62" i="21"/>
  <c r="Q66" i="21"/>
  <c r="M66" i="21"/>
  <c r="P66" i="21"/>
  <c r="L66" i="21"/>
  <c r="N59" i="21"/>
  <c r="Q59" i="21"/>
  <c r="M59" i="21"/>
  <c r="O62" i="21"/>
  <c r="N66" i="21"/>
  <c r="Q58" i="21"/>
  <c r="M58" i="21"/>
  <c r="P58" i="21"/>
  <c r="L58" i="21"/>
  <c r="L59" i="21"/>
  <c r="N63" i="21"/>
  <c r="Q63" i="21"/>
  <c r="M63" i="21"/>
  <c r="O66" i="21"/>
  <c r="O57" i="21"/>
  <c r="O61" i="21"/>
  <c r="O65" i="21"/>
  <c r="L57" i="21"/>
  <c r="L61" i="21"/>
  <c r="L65" i="21"/>
  <c r="M63" i="16"/>
  <c r="O56" i="16"/>
  <c r="L58" i="16"/>
  <c r="L64" i="16"/>
  <c r="Q58" i="16"/>
  <c r="O66" i="16"/>
  <c r="M58" i="16"/>
  <c r="N64" i="16"/>
  <c r="Q59" i="16"/>
  <c r="N60" i="16"/>
  <c r="O59" i="16"/>
  <c r="O60" i="16"/>
  <c r="O63" i="16"/>
  <c r="L60" i="16"/>
  <c r="M59" i="16"/>
  <c r="O58" i="16"/>
  <c r="N66" i="16"/>
  <c r="N62" i="16"/>
  <c r="N56" i="16"/>
  <c r="Q66" i="16"/>
  <c r="L66" i="16"/>
  <c r="O64" i="16"/>
  <c r="Q63" i="16"/>
  <c r="Q62" i="16"/>
  <c r="M62" i="16"/>
  <c r="L56" i="16"/>
  <c r="O62" i="16"/>
  <c r="O57" i="16"/>
  <c r="N65" i="16"/>
  <c r="Q64" i="16"/>
  <c r="L63" i="16"/>
  <c r="N61" i="16"/>
  <c r="Q60" i="16"/>
  <c r="L59" i="16"/>
  <c r="N57" i="16"/>
  <c r="Q56" i="16"/>
  <c r="O61" i="16"/>
  <c r="Q65" i="16"/>
  <c r="M65" i="16"/>
  <c r="Q61" i="16"/>
  <c r="M61" i="16"/>
  <c r="Q57" i="16"/>
  <c r="M57" i="16"/>
  <c r="O65" i="16"/>
  <c r="J3" i="16" l="1"/>
  <c r="AD10" i="8" l="1"/>
  <c r="AT40" i="15"/>
  <c r="H16" i="18" l="1"/>
  <c r="O16" i="18" s="1"/>
  <c r="H17" i="18"/>
  <c r="O17" i="18" s="1"/>
  <c r="H18" i="18"/>
  <c r="O18" i="18" s="1"/>
  <c r="H19" i="18"/>
  <c r="O19" i="18" s="1"/>
  <c r="H20" i="18"/>
  <c r="O20" i="18" s="1"/>
  <c r="H21" i="18"/>
  <c r="O21" i="18" s="1"/>
  <c r="H22" i="18"/>
  <c r="O22" i="18" s="1"/>
  <c r="H23" i="18"/>
  <c r="O23" i="18" s="1"/>
  <c r="H24" i="18"/>
  <c r="O24" i="18" s="1"/>
  <c r="H25" i="18"/>
  <c r="O25" i="18" s="1"/>
  <c r="H26" i="18"/>
  <c r="O26" i="18" s="1"/>
  <c r="H27" i="18"/>
  <c r="O27" i="18" s="1"/>
  <c r="H28" i="18"/>
  <c r="O28" i="18" s="1"/>
  <c r="H29" i="18"/>
  <c r="O29" i="18" s="1"/>
  <c r="H30" i="18"/>
  <c r="O30" i="18" s="1"/>
  <c r="H31" i="18"/>
  <c r="O31" i="18" s="1"/>
  <c r="H32" i="18"/>
  <c r="O32" i="18" s="1"/>
  <c r="H33" i="18"/>
  <c r="O33" i="18" s="1"/>
  <c r="H34" i="18"/>
  <c r="O34" i="18" s="1"/>
  <c r="H35" i="18"/>
  <c r="O35" i="18" s="1"/>
  <c r="H36" i="18"/>
  <c r="O36" i="18" s="1"/>
  <c r="H37" i="18"/>
  <c r="O37" i="18" s="1"/>
  <c r="H38" i="18"/>
  <c r="O38" i="18" s="1"/>
  <c r="H39" i="18"/>
  <c r="O39" i="18" s="1"/>
  <c r="H40" i="18"/>
  <c r="O40" i="18" s="1"/>
  <c r="H41" i="18"/>
  <c r="O41" i="18" s="1"/>
  <c r="H42" i="18"/>
  <c r="O42" i="18" s="1"/>
  <c r="H43" i="18"/>
  <c r="O43" i="18" s="1"/>
  <c r="H44" i="18"/>
  <c r="O44" i="18" s="1"/>
  <c r="H45" i="18"/>
  <c r="O45" i="18" s="1"/>
  <c r="H46" i="18"/>
  <c r="O46" i="18" s="1"/>
  <c r="H47" i="18"/>
  <c r="O47" i="18" s="1"/>
  <c r="H48" i="18"/>
  <c r="O48" i="18" s="1"/>
  <c r="H49" i="18"/>
  <c r="O49" i="18" s="1"/>
  <c r="AD9" i="18"/>
  <c r="H6" i="8"/>
  <c r="O31" i="20"/>
  <c r="H19" i="8"/>
  <c r="H18" i="8"/>
  <c r="P16" i="8" l="1"/>
  <c r="AG3" i="8" s="1"/>
  <c r="P25" i="18"/>
  <c r="H15" i="18"/>
  <c r="O15" i="18" s="1"/>
  <c r="Y5" i="18"/>
  <c r="AB40" i="15" l="1" a="1"/>
  <c r="AB40" i="15" s="1"/>
  <c r="AG40" i="15" a="1"/>
  <c r="AG40" i="15" s="1"/>
  <c r="Y5" i="8" a="1"/>
  <c r="Y5" i="8" s="1"/>
  <c r="Q5" i="8" a="1"/>
  <c r="Q5" i="8" s="1"/>
  <c r="Y10" i="8" a="1"/>
  <c r="Y10" i="8" s="1"/>
  <c r="Q9" i="8" a="1"/>
  <c r="Q9" i="8" s="1"/>
  <c r="Y9" i="8" a="1"/>
  <c r="Y9" i="8" s="1"/>
  <c r="Q10" i="8" a="1"/>
  <c r="Q10" i="8" s="1"/>
  <c r="J10" i="8" a="1"/>
  <c r="J10" i="8" s="1"/>
  <c r="Y4" i="8" a="1"/>
  <c r="Y4" i="8" s="1"/>
  <c r="Q7" i="8" a="1"/>
  <c r="Q7" i="8" s="1"/>
  <c r="J9" i="8" a="1"/>
  <c r="J9" i="8" s="1"/>
  <c r="Y7" i="8" a="1"/>
  <c r="Y7" i="8" s="1"/>
  <c r="Q4" i="8" a="1"/>
  <c r="Q4" i="8" s="1"/>
  <c r="J8" i="8" a="1"/>
  <c r="J8" i="8" s="1"/>
  <c r="O40" i="15" s="1"/>
  <c r="Q8" i="8" a="1"/>
  <c r="Q8" i="8" s="1"/>
  <c r="J7" i="8" a="1"/>
  <c r="J7" i="8" s="1"/>
  <c r="J2" i="21" s="1"/>
  <c r="M15" i="18"/>
  <c r="P15" i="18"/>
  <c r="M19" i="18"/>
  <c r="P19" i="18"/>
  <c r="M23" i="18"/>
  <c r="P23" i="18"/>
  <c r="N27" i="18"/>
  <c r="P27" i="18"/>
  <c r="N31" i="18"/>
  <c r="P31" i="18"/>
  <c r="N35" i="18"/>
  <c r="P35" i="18"/>
  <c r="N39" i="18"/>
  <c r="P39" i="18"/>
  <c r="N43" i="18"/>
  <c r="P43" i="18"/>
  <c r="N47" i="18"/>
  <c r="P47" i="18"/>
  <c r="N16" i="18"/>
  <c r="P16" i="18"/>
  <c r="N20" i="18"/>
  <c r="P20" i="18"/>
  <c r="N24" i="18"/>
  <c r="P24" i="18"/>
  <c r="P28" i="18"/>
  <c r="P32" i="18"/>
  <c r="P36" i="18"/>
  <c r="P40" i="18"/>
  <c r="P44" i="18"/>
  <c r="P48" i="18"/>
  <c r="P17" i="18"/>
  <c r="P21" i="18"/>
  <c r="N29" i="18"/>
  <c r="P29" i="18"/>
  <c r="N33" i="18"/>
  <c r="P33" i="18"/>
  <c r="N37" i="18"/>
  <c r="P37" i="18"/>
  <c r="N41" i="18"/>
  <c r="P41" i="18"/>
  <c r="N45" i="18"/>
  <c r="P45" i="18"/>
  <c r="N49" i="18"/>
  <c r="P49" i="18"/>
  <c r="N18" i="18"/>
  <c r="P18" i="18"/>
  <c r="N22" i="18"/>
  <c r="P22" i="18"/>
  <c r="M26" i="18"/>
  <c r="P26" i="18"/>
  <c r="M30" i="18"/>
  <c r="P30" i="18"/>
  <c r="M34" i="18"/>
  <c r="P34" i="18"/>
  <c r="M38" i="18"/>
  <c r="P38" i="18"/>
  <c r="M42" i="18"/>
  <c r="P42" i="18"/>
  <c r="M46" i="18"/>
  <c r="P46" i="18"/>
  <c r="L32" i="18"/>
  <c r="L40" i="18"/>
  <c r="L48" i="18"/>
  <c r="K44" i="18"/>
  <c r="K28" i="18"/>
  <c r="L28" i="18"/>
  <c r="L44" i="18"/>
  <c r="K40" i="18"/>
  <c r="K24" i="18"/>
  <c r="K36" i="18"/>
  <c r="L36" i="18"/>
  <c r="K48" i="18"/>
  <c r="K32" i="18"/>
  <c r="K46" i="18"/>
  <c r="K38" i="18"/>
  <c r="K30" i="18"/>
  <c r="K20" i="18"/>
  <c r="K16" i="18"/>
  <c r="M29" i="18"/>
  <c r="M33" i="18"/>
  <c r="M37" i="18"/>
  <c r="M41" i="18"/>
  <c r="M45" i="18"/>
  <c r="M49" i="18"/>
  <c r="K42" i="18"/>
  <c r="K34" i="18"/>
  <c r="K26" i="18"/>
  <c r="L18" i="18"/>
  <c r="L22" i="18"/>
  <c r="M27" i="18"/>
  <c r="M31" i="18"/>
  <c r="M35" i="18"/>
  <c r="M39" i="18"/>
  <c r="M43" i="18"/>
  <c r="M47" i="18"/>
  <c r="K47" i="18"/>
  <c r="K43" i="18"/>
  <c r="K39" i="18"/>
  <c r="K35" i="18"/>
  <c r="K31" i="18"/>
  <c r="K27" i="18"/>
  <c r="K23" i="18"/>
  <c r="K19" i="18"/>
  <c r="K15" i="18"/>
  <c r="L17" i="18"/>
  <c r="M18" i="18"/>
  <c r="L21" i="18"/>
  <c r="M22" i="18"/>
  <c r="M25" i="18"/>
  <c r="K22" i="18"/>
  <c r="K18" i="18"/>
  <c r="M16" i="18"/>
  <c r="M20" i="18"/>
  <c r="M24" i="18"/>
  <c r="L29" i="18"/>
  <c r="L33" i="18"/>
  <c r="L37" i="18"/>
  <c r="L41" i="18"/>
  <c r="L45" i="18"/>
  <c r="L49" i="18"/>
  <c r="K49" i="18"/>
  <c r="K45" i="18"/>
  <c r="K41" i="18"/>
  <c r="K37" i="18"/>
  <c r="K33" i="18"/>
  <c r="K29" i="18"/>
  <c r="K25" i="18"/>
  <c r="K21" i="18"/>
  <c r="K17" i="18"/>
  <c r="N15" i="18"/>
  <c r="N19" i="18"/>
  <c r="N23" i="18"/>
  <c r="N26" i="18"/>
  <c r="N30" i="18"/>
  <c r="N34" i="18"/>
  <c r="N38" i="18"/>
  <c r="N42" i="18"/>
  <c r="N46" i="18"/>
  <c r="L16" i="18"/>
  <c r="M17" i="18"/>
  <c r="L20" i="18"/>
  <c r="M21" i="18"/>
  <c r="L24" i="18"/>
  <c r="N25" i="18"/>
  <c r="L27" i="18"/>
  <c r="M28" i="18"/>
  <c r="L31" i="18"/>
  <c r="M32" i="18"/>
  <c r="L35" i="18"/>
  <c r="M36" i="18"/>
  <c r="L39" i="18"/>
  <c r="M40" i="18"/>
  <c r="L43" i="18"/>
  <c r="M44" i="18"/>
  <c r="L47" i="18"/>
  <c r="M48" i="18"/>
  <c r="L15" i="18"/>
  <c r="N17" i="18"/>
  <c r="L19" i="18"/>
  <c r="N21" i="18"/>
  <c r="L23" i="18"/>
  <c r="L26" i="18"/>
  <c r="N28" i="18"/>
  <c r="L30" i="18"/>
  <c r="N32" i="18"/>
  <c r="L34" i="18"/>
  <c r="N36" i="18"/>
  <c r="L38" i="18"/>
  <c r="N40" i="18"/>
  <c r="L42" i="18"/>
  <c r="N44" i="18"/>
  <c r="L46" i="18"/>
  <c r="N48" i="18"/>
  <c r="O40" i="20" l="1"/>
  <c r="AQ25" i="20"/>
  <c r="O28" i="20"/>
  <c r="O28" i="15"/>
  <c r="AQ25" i="15"/>
  <c r="O22" i="15"/>
  <c r="O25" i="15" s="1"/>
  <c r="Z5" i="16"/>
  <c r="Y5" i="10" l="1"/>
  <c r="AT28" i="20"/>
  <c r="AT28" i="15" l="1"/>
  <c r="H48" i="10"/>
  <c r="H49" i="10"/>
  <c r="K24" i="8"/>
  <c r="H41" i="10"/>
  <c r="H42" i="10"/>
  <c r="H43" i="10"/>
  <c r="H44" i="10"/>
  <c r="H45" i="10"/>
  <c r="H46" i="10"/>
  <c r="H47" i="10"/>
  <c r="K3" i="12"/>
  <c r="A2" i="8"/>
  <c r="P46" i="10" l="1"/>
  <c r="O46" i="10"/>
  <c r="P42" i="10"/>
  <c r="O42" i="10"/>
  <c r="P48" i="10"/>
  <c r="O48" i="10"/>
  <c r="P45" i="10"/>
  <c r="O45" i="10"/>
  <c r="P41" i="10"/>
  <c r="O41" i="10"/>
  <c r="P44" i="10"/>
  <c r="O44" i="10"/>
  <c r="P47" i="10"/>
  <c r="O47" i="10"/>
  <c r="P43" i="10"/>
  <c r="O43" i="10"/>
  <c r="P49" i="10"/>
  <c r="O49" i="10"/>
  <c r="I2" i="18"/>
  <c r="K49" i="10"/>
  <c r="M46" i="10"/>
  <c r="K46" i="10"/>
  <c r="M42" i="10"/>
  <c r="K42" i="10"/>
  <c r="K45" i="10"/>
  <c r="K41" i="10"/>
  <c r="K47" i="10"/>
  <c r="L43" i="10"/>
  <c r="K43" i="10"/>
  <c r="K48" i="10"/>
  <c r="N44" i="10"/>
  <c r="K44" i="10"/>
  <c r="J2" i="16"/>
  <c r="A7" i="16" s="1"/>
  <c r="A53" i="8"/>
  <c r="J7" i="21" s="1"/>
  <c r="N48" i="10"/>
  <c r="M48" i="10"/>
  <c r="L48" i="10"/>
  <c r="N49" i="10"/>
  <c r="M49" i="10"/>
  <c r="L49" i="10"/>
  <c r="L44" i="10"/>
  <c r="N45" i="10"/>
  <c r="M44" i="10"/>
  <c r="Q23" i="8"/>
  <c r="W23" i="8"/>
  <c r="L46" i="10"/>
  <c r="M45" i="10"/>
  <c r="L42" i="10"/>
  <c r="N43" i="10"/>
  <c r="M43" i="10"/>
  <c r="L45" i="10"/>
  <c r="L41" i="10"/>
  <c r="M47" i="10"/>
  <c r="M41" i="10"/>
  <c r="N47" i="10"/>
  <c r="N41" i="10"/>
  <c r="L47" i="10"/>
  <c r="N46" i="10"/>
  <c r="N42" i="10"/>
  <c r="I7" i="18" l="1"/>
  <c r="I7" i="10"/>
  <c r="J7" i="16"/>
  <c r="C1" i="7" a="1"/>
  <c r="B518" i="7" l="1"/>
  <c r="B522" i="7"/>
  <c r="B526" i="7"/>
  <c r="B530" i="7"/>
  <c r="B534" i="7"/>
  <c r="B538" i="7"/>
  <c r="B542" i="7"/>
  <c r="B546" i="7"/>
  <c r="B550" i="7"/>
  <c r="B554" i="7"/>
  <c r="B558" i="7"/>
  <c r="B562" i="7"/>
  <c r="B566" i="7"/>
  <c r="B570" i="7"/>
  <c r="B574" i="7"/>
  <c r="B578" i="7"/>
  <c r="B582" i="7"/>
  <c r="B521" i="7"/>
  <c r="B527" i="7"/>
  <c r="B532" i="7"/>
  <c r="B537" i="7"/>
  <c r="B543" i="7"/>
  <c r="B548" i="7"/>
  <c r="B553" i="7"/>
  <c r="B559" i="7"/>
  <c r="B564" i="7"/>
  <c r="B569" i="7"/>
  <c r="B575" i="7"/>
  <c r="B580" i="7"/>
  <c r="B585" i="7"/>
  <c r="B589" i="7"/>
  <c r="B593" i="7"/>
  <c r="B597" i="7"/>
  <c r="B601" i="7"/>
  <c r="B605" i="7"/>
  <c r="B609" i="7"/>
  <c r="B613" i="7"/>
  <c r="B617" i="7"/>
  <c r="B621" i="7"/>
  <c r="B625" i="7"/>
  <c r="B629" i="7"/>
  <c r="B633" i="7"/>
  <c r="B637" i="7"/>
  <c r="B641" i="7"/>
  <c r="B645" i="7"/>
  <c r="B649" i="7"/>
  <c r="B653" i="7"/>
  <c r="B657" i="7"/>
  <c r="B661" i="7"/>
  <c r="B665" i="7"/>
  <c r="B669" i="7"/>
  <c r="B673" i="7"/>
  <c r="B677" i="7"/>
  <c r="B681" i="7"/>
  <c r="B685" i="7"/>
  <c r="B689" i="7"/>
  <c r="B693" i="7"/>
  <c r="B697" i="7"/>
  <c r="B701" i="7"/>
  <c r="B705" i="7"/>
  <c r="B709" i="7"/>
  <c r="B713" i="7"/>
  <c r="B717" i="7"/>
  <c r="B721" i="7"/>
  <c r="B725" i="7"/>
  <c r="B729" i="7"/>
  <c r="B733" i="7"/>
  <c r="B737" i="7"/>
  <c r="B741" i="7"/>
  <c r="B517" i="7"/>
  <c r="B523" i="7"/>
  <c r="B528" i="7"/>
  <c r="B533" i="7"/>
  <c r="B539" i="7"/>
  <c r="B544" i="7"/>
  <c r="B549" i="7"/>
  <c r="B555" i="7"/>
  <c r="B560" i="7"/>
  <c r="B565" i="7"/>
  <c r="B571" i="7"/>
  <c r="B576" i="7"/>
  <c r="B581" i="7"/>
  <c r="B586" i="7"/>
  <c r="B590" i="7"/>
  <c r="B594" i="7"/>
  <c r="B598" i="7"/>
  <c r="B602" i="7"/>
  <c r="B606" i="7"/>
  <c r="B610" i="7"/>
  <c r="B614" i="7"/>
  <c r="B618" i="7"/>
  <c r="B622" i="7"/>
  <c r="B626" i="7"/>
  <c r="B630" i="7"/>
  <c r="B634" i="7"/>
  <c r="B638" i="7"/>
  <c r="B642" i="7"/>
  <c r="B646" i="7"/>
  <c r="B650" i="7"/>
  <c r="B654" i="7"/>
  <c r="B658" i="7"/>
  <c r="B662" i="7"/>
  <c r="B666" i="7"/>
  <c r="B670" i="7"/>
  <c r="B674" i="7"/>
  <c r="B678" i="7"/>
  <c r="B682" i="7"/>
  <c r="B686" i="7"/>
  <c r="B690" i="7"/>
  <c r="B694" i="7"/>
  <c r="B698" i="7"/>
  <c r="B702" i="7"/>
  <c r="B706" i="7"/>
  <c r="B710" i="7"/>
  <c r="B714" i="7"/>
  <c r="B718" i="7"/>
  <c r="B722" i="7"/>
  <c r="B726" i="7"/>
  <c r="B730" i="7"/>
  <c r="B734" i="7"/>
  <c r="B738" i="7"/>
  <c r="B519" i="7"/>
  <c r="B524" i="7"/>
  <c r="B529" i="7"/>
  <c r="B535" i="7"/>
  <c r="B540" i="7"/>
  <c r="B545" i="7"/>
  <c r="B551" i="7"/>
  <c r="B556" i="7"/>
  <c r="B561" i="7"/>
  <c r="B567" i="7"/>
  <c r="B572" i="7"/>
  <c r="B577" i="7"/>
  <c r="B583" i="7"/>
  <c r="B587" i="7"/>
  <c r="B591" i="7"/>
  <c r="B595" i="7"/>
  <c r="B599" i="7"/>
  <c r="B603" i="7"/>
  <c r="B607" i="7"/>
  <c r="B611" i="7"/>
  <c r="B615" i="7"/>
  <c r="B619" i="7"/>
  <c r="B623" i="7"/>
  <c r="B627" i="7"/>
  <c r="B631" i="7"/>
  <c r="B635" i="7"/>
  <c r="B639" i="7"/>
  <c r="B643" i="7"/>
  <c r="B647" i="7"/>
  <c r="B651" i="7"/>
  <c r="B655" i="7"/>
  <c r="B659" i="7"/>
  <c r="B663" i="7"/>
  <c r="B667" i="7"/>
  <c r="B671" i="7"/>
  <c r="B675" i="7"/>
  <c r="B679" i="7"/>
  <c r="B683" i="7"/>
  <c r="B687" i="7"/>
  <c r="B691" i="7"/>
  <c r="B695" i="7"/>
  <c r="B699" i="7"/>
  <c r="B703" i="7"/>
  <c r="B707" i="7"/>
  <c r="B711" i="7"/>
  <c r="B715" i="7"/>
  <c r="B719" i="7"/>
  <c r="B723" i="7"/>
  <c r="B727" i="7"/>
  <c r="B731" i="7"/>
  <c r="B735" i="7"/>
  <c r="B739" i="7"/>
  <c r="B743" i="7"/>
  <c r="B520" i="7"/>
  <c r="B525" i="7"/>
  <c r="B531" i="7"/>
  <c r="B536" i="7"/>
  <c r="B541" i="7"/>
  <c r="B547" i="7"/>
  <c r="B552" i="7"/>
  <c r="B557" i="7"/>
  <c r="B563" i="7"/>
  <c r="B568" i="7"/>
  <c r="B573" i="7"/>
  <c r="B579" i="7"/>
  <c r="B584" i="7"/>
  <c r="B588" i="7"/>
  <c r="B592" i="7"/>
  <c r="B596" i="7"/>
  <c r="B600" i="7"/>
  <c r="B604" i="7"/>
  <c r="B608" i="7"/>
  <c r="B612" i="7"/>
  <c r="B616" i="7"/>
  <c r="B620" i="7"/>
  <c r="B624" i="7"/>
  <c r="B628" i="7"/>
  <c r="B632" i="7"/>
  <c r="B636" i="7"/>
  <c r="B640" i="7"/>
  <c r="B644" i="7"/>
  <c r="B648" i="7"/>
  <c r="B652" i="7"/>
  <c r="B656" i="7"/>
  <c r="B660" i="7"/>
  <c r="B664" i="7"/>
  <c r="B668" i="7"/>
  <c r="B672" i="7"/>
  <c r="B676" i="7"/>
  <c r="B680" i="7"/>
  <c r="B684" i="7"/>
  <c r="B688" i="7"/>
  <c r="B692" i="7"/>
  <c r="B696" i="7"/>
  <c r="B700" i="7"/>
  <c r="B704" i="7"/>
  <c r="B708" i="7"/>
  <c r="B712" i="7"/>
  <c r="B716" i="7"/>
  <c r="B720" i="7"/>
  <c r="B724" i="7"/>
  <c r="B728" i="7"/>
  <c r="B732" i="7"/>
  <c r="B736" i="7"/>
  <c r="B740" i="7"/>
  <c r="B744" i="7"/>
  <c r="B748" i="7"/>
  <c r="B752" i="7"/>
  <c r="B756" i="7"/>
  <c r="B760" i="7"/>
  <c r="B764" i="7"/>
  <c r="B768" i="7"/>
  <c r="B772" i="7"/>
  <c r="B776" i="7"/>
  <c r="B780" i="7"/>
  <c r="B784" i="7"/>
  <c r="B788" i="7"/>
  <c r="B792" i="7"/>
  <c r="B796" i="7"/>
  <c r="B745" i="7"/>
  <c r="B750" i="7"/>
  <c r="B755" i="7"/>
  <c r="B761" i="7"/>
  <c r="B766" i="7"/>
  <c r="B771" i="7"/>
  <c r="B777" i="7"/>
  <c r="B782" i="7"/>
  <c r="B787" i="7"/>
  <c r="B793" i="7"/>
  <c r="B798" i="7"/>
  <c r="B802" i="7"/>
  <c r="B806" i="7"/>
  <c r="B810" i="7"/>
  <c r="B814" i="7"/>
  <c r="B818" i="7"/>
  <c r="B822" i="7"/>
  <c r="B826" i="7"/>
  <c r="B830" i="7"/>
  <c r="B834" i="7"/>
  <c r="B838" i="7"/>
  <c r="B842" i="7"/>
  <c r="B846" i="7"/>
  <c r="B850" i="7"/>
  <c r="B854" i="7"/>
  <c r="B858" i="7"/>
  <c r="B862" i="7"/>
  <c r="B866" i="7"/>
  <c r="B870" i="7"/>
  <c r="B874" i="7"/>
  <c r="B878" i="7"/>
  <c r="B882" i="7"/>
  <c r="B886" i="7"/>
  <c r="B890" i="7"/>
  <c r="B894" i="7"/>
  <c r="B898" i="7"/>
  <c r="B902" i="7"/>
  <c r="B906" i="7"/>
  <c r="B910" i="7"/>
  <c r="B914" i="7"/>
  <c r="B918" i="7"/>
  <c r="B922" i="7"/>
  <c r="B926" i="7"/>
  <c r="B930" i="7"/>
  <c r="B938" i="7"/>
  <c r="B946" i="7"/>
  <c r="B958" i="7"/>
  <c r="B966" i="7"/>
  <c r="B514" i="7"/>
  <c r="B935" i="7"/>
  <c r="B943" i="7"/>
  <c r="B951" i="7"/>
  <c r="B963" i="7"/>
  <c r="B515" i="7"/>
  <c r="B948" i="7"/>
  <c r="B968" i="7"/>
  <c r="B746" i="7"/>
  <c r="B751" i="7"/>
  <c r="B757" i="7"/>
  <c r="B762" i="7"/>
  <c r="B767" i="7"/>
  <c r="B773" i="7"/>
  <c r="B778" i="7"/>
  <c r="B783" i="7"/>
  <c r="B789" i="7"/>
  <c r="B794" i="7"/>
  <c r="B799" i="7"/>
  <c r="B803" i="7"/>
  <c r="B807" i="7"/>
  <c r="B811" i="7"/>
  <c r="B815" i="7"/>
  <c r="B819" i="7"/>
  <c r="B823" i="7"/>
  <c r="B827" i="7"/>
  <c r="B831" i="7"/>
  <c r="B835" i="7"/>
  <c r="B839" i="7"/>
  <c r="B843" i="7"/>
  <c r="B847" i="7"/>
  <c r="B851" i="7"/>
  <c r="B855" i="7"/>
  <c r="B859" i="7"/>
  <c r="B863" i="7"/>
  <c r="B867" i="7"/>
  <c r="B871" i="7"/>
  <c r="B875" i="7"/>
  <c r="B879" i="7"/>
  <c r="B883" i="7"/>
  <c r="B887" i="7"/>
  <c r="B891" i="7"/>
  <c r="B895" i="7"/>
  <c r="B899" i="7"/>
  <c r="B903" i="7"/>
  <c r="B907" i="7"/>
  <c r="B911" i="7"/>
  <c r="B915" i="7"/>
  <c r="B919" i="7"/>
  <c r="B923" i="7"/>
  <c r="B927" i="7"/>
  <c r="B947" i="7"/>
  <c r="B959" i="7"/>
  <c r="B971" i="7"/>
  <c r="B960" i="7"/>
  <c r="B747" i="7"/>
  <c r="B753" i="7"/>
  <c r="B758" i="7"/>
  <c r="B763" i="7"/>
  <c r="B769" i="7"/>
  <c r="B774" i="7"/>
  <c r="B779" i="7"/>
  <c r="B785" i="7"/>
  <c r="B790" i="7"/>
  <c r="B795" i="7"/>
  <c r="B800" i="7"/>
  <c r="B804" i="7"/>
  <c r="B808" i="7"/>
  <c r="B812" i="7"/>
  <c r="B816" i="7"/>
  <c r="B820" i="7"/>
  <c r="B824" i="7"/>
  <c r="B828" i="7"/>
  <c r="B832" i="7"/>
  <c r="B836" i="7"/>
  <c r="B840" i="7"/>
  <c r="B844" i="7"/>
  <c r="B848" i="7"/>
  <c r="B852" i="7"/>
  <c r="B856" i="7"/>
  <c r="B860" i="7"/>
  <c r="B864" i="7"/>
  <c r="B868" i="7"/>
  <c r="B872" i="7"/>
  <c r="B876" i="7"/>
  <c r="B880" i="7"/>
  <c r="B884" i="7"/>
  <c r="B888" i="7"/>
  <c r="B892" i="7"/>
  <c r="B896" i="7"/>
  <c r="B900" i="7"/>
  <c r="B904" i="7"/>
  <c r="B908" i="7"/>
  <c r="B912" i="7"/>
  <c r="B916" i="7"/>
  <c r="B920" i="7"/>
  <c r="B924" i="7"/>
  <c r="B928" i="7"/>
  <c r="B932" i="7"/>
  <c r="B936" i="7"/>
  <c r="B940" i="7"/>
  <c r="B944" i="7"/>
  <c r="B956" i="7"/>
  <c r="B512" i="7"/>
  <c r="B516" i="7"/>
  <c r="B742" i="7"/>
  <c r="B749" i="7"/>
  <c r="B754" i="7"/>
  <c r="B759" i="7"/>
  <c r="B765" i="7"/>
  <c r="B770" i="7"/>
  <c r="B775" i="7"/>
  <c r="B781" i="7"/>
  <c r="B786" i="7"/>
  <c r="B791" i="7"/>
  <c r="B797" i="7"/>
  <c r="B801" i="7"/>
  <c r="B805" i="7"/>
  <c r="B809" i="7"/>
  <c r="B813" i="7"/>
  <c r="B817" i="7"/>
  <c r="B821" i="7"/>
  <c r="B825" i="7"/>
  <c r="B829" i="7"/>
  <c r="B833" i="7"/>
  <c r="B837" i="7"/>
  <c r="B841" i="7"/>
  <c r="B845" i="7"/>
  <c r="B849" i="7"/>
  <c r="B853" i="7"/>
  <c r="B857" i="7"/>
  <c r="B861" i="7"/>
  <c r="B865" i="7"/>
  <c r="B869" i="7"/>
  <c r="B873" i="7"/>
  <c r="B877" i="7"/>
  <c r="B881" i="7"/>
  <c r="B885" i="7"/>
  <c r="B889" i="7"/>
  <c r="B893" i="7"/>
  <c r="B897" i="7"/>
  <c r="B901" i="7"/>
  <c r="B905" i="7"/>
  <c r="B909" i="7"/>
  <c r="B913" i="7"/>
  <c r="B917" i="7"/>
  <c r="B921" i="7"/>
  <c r="B925" i="7"/>
  <c r="B929" i="7"/>
  <c r="B933" i="7"/>
  <c r="B937" i="7"/>
  <c r="B941" i="7"/>
  <c r="B945" i="7"/>
  <c r="B949" i="7"/>
  <c r="B953" i="7"/>
  <c r="B957" i="7"/>
  <c r="B961" i="7"/>
  <c r="B965" i="7"/>
  <c r="B969" i="7"/>
  <c r="B513" i="7"/>
  <c r="B934" i="7"/>
  <c r="B942" i="7"/>
  <c r="B950" i="7"/>
  <c r="B954" i="7"/>
  <c r="B962" i="7"/>
  <c r="B970" i="7"/>
  <c r="B931" i="7"/>
  <c r="B939" i="7"/>
  <c r="B955" i="7"/>
  <c r="B967" i="7"/>
  <c r="B952" i="7"/>
  <c r="B964" i="7"/>
  <c r="A579" i="7"/>
  <c r="A583" i="7"/>
  <c r="A587" i="7"/>
  <c r="A591" i="7"/>
  <c r="A595" i="7"/>
  <c r="A599" i="7"/>
  <c r="A603" i="7"/>
  <c r="A607" i="7"/>
  <c r="A611" i="7"/>
  <c r="A615" i="7"/>
  <c r="A619" i="7"/>
  <c r="A623" i="7"/>
  <c r="A627" i="7"/>
  <c r="A631" i="7"/>
  <c r="A635" i="7"/>
  <c r="A639" i="7"/>
  <c r="A643" i="7"/>
  <c r="A647" i="7"/>
  <c r="A651" i="7"/>
  <c r="A655" i="7"/>
  <c r="A659" i="7"/>
  <c r="A663" i="7"/>
  <c r="A667" i="7"/>
  <c r="A671" i="7"/>
  <c r="A675" i="7"/>
  <c r="A679" i="7"/>
  <c r="A683" i="7"/>
  <c r="A687" i="7"/>
  <c r="A691" i="7"/>
  <c r="A695" i="7"/>
  <c r="A699" i="7"/>
  <c r="A703" i="7"/>
  <c r="A707" i="7"/>
  <c r="A711" i="7"/>
  <c r="A715" i="7"/>
  <c r="A719" i="7"/>
  <c r="A723" i="7"/>
  <c r="A727" i="7"/>
  <c r="A731" i="7"/>
  <c r="A735" i="7"/>
  <c r="A739" i="7"/>
  <c r="A743" i="7"/>
  <c r="A747" i="7"/>
  <c r="A751" i="7"/>
  <c r="A755" i="7"/>
  <c r="A759" i="7"/>
  <c r="A763" i="7"/>
  <c r="A767" i="7"/>
  <c r="A771" i="7"/>
  <c r="A775" i="7"/>
  <c r="A779" i="7"/>
  <c r="A783" i="7"/>
  <c r="A787" i="7"/>
  <c r="A791" i="7"/>
  <c r="A795" i="7"/>
  <c r="A799" i="7"/>
  <c r="A803" i="7"/>
  <c r="A807" i="7"/>
  <c r="A811" i="7"/>
  <c r="A815" i="7"/>
  <c r="A819" i="7"/>
  <c r="A823" i="7"/>
  <c r="A827" i="7"/>
  <c r="A831" i="7"/>
  <c r="A835" i="7"/>
  <c r="A839" i="7"/>
  <c r="A843" i="7"/>
  <c r="A847" i="7"/>
  <c r="A851" i="7"/>
  <c r="A855" i="7"/>
  <c r="A859" i="7"/>
  <c r="A863" i="7"/>
  <c r="A867" i="7"/>
  <c r="A871" i="7"/>
  <c r="A875" i="7"/>
  <c r="A879" i="7"/>
  <c r="A883" i="7"/>
  <c r="A887" i="7"/>
  <c r="A891" i="7"/>
  <c r="A895" i="7"/>
  <c r="A899" i="7"/>
  <c r="A903" i="7"/>
  <c r="A907" i="7"/>
  <c r="A911" i="7"/>
  <c r="A915" i="7"/>
  <c r="A580" i="7"/>
  <c r="A584" i="7"/>
  <c r="A588" i="7"/>
  <c r="A592" i="7"/>
  <c r="A596" i="7"/>
  <c r="A600" i="7"/>
  <c r="A604" i="7"/>
  <c r="A608" i="7"/>
  <c r="A612" i="7"/>
  <c r="A616" i="7"/>
  <c r="A620" i="7"/>
  <c r="A624" i="7"/>
  <c r="A628" i="7"/>
  <c r="A632" i="7"/>
  <c r="A636" i="7"/>
  <c r="A640" i="7"/>
  <c r="A644" i="7"/>
  <c r="A648" i="7"/>
  <c r="A652" i="7"/>
  <c r="A656" i="7"/>
  <c r="A660" i="7"/>
  <c r="A664" i="7"/>
  <c r="A668" i="7"/>
  <c r="A672" i="7"/>
  <c r="A676" i="7"/>
  <c r="A680" i="7"/>
  <c r="A684" i="7"/>
  <c r="A688" i="7"/>
  <c r="A692" i="7"/>
  <c r="A696" i="7"/>
  <c r="A700" i="7"/>
  <c r="A704" i="7"/>
  <c r="A708" i="7"/>
  <c r="A712" i="7"/>
  <c r="A716" i="7"/>
  <c r="A720" i="7"/>
  <c r="A724" i="7"/>
  <c r="A728" i="7"/>
  <c r="A732" i="7"/>
  <c r="A736" i="7"/>
  <c r="A740" i="7"/>
  <c r="A744" i="7"/>
  <c r="A748" i="7"/>
  <c r="A752" i="7"/>
  <c r="A756" i="7"/>
  <c r="A760" i="7"/>
  <c r="A764" i="7"/>
  <c r="A768" i="7"/>
  <c r="A772" i="7"/>
  <c r="A776" i="7"/>
  <c r="A780" i="7"/>
  <c r="A784" i="7"/>
  <c r="A788" i="7"/>
  <c r="A792" i="7"/>
  <c r="A796" i="7"/>
  <c r="A800" i="7"/>
  <c r="A804" i="7"/>
  <c r="A808" i="7"/>
  <c r="A812" i="7"/>
  <c r="A816" i="7"/>
  <c r="A820" i="7"/>
  <c r="A824" i="7"/>
  <c r="A828" i="7"/>
  <c r="A832" i="7"/>
  <c r="A836" i="7"/>
  <c r="A840" i="7"/>
  <c r="A581" i="7"/>
  <c r="A585" i="7"/>
  <c r="A589" i="7"/>
  <c r="A593" i="7"/>
  <c r="A597" i="7"/>
  <c r="A601" i="7"/>
  <c r="A605" i="7"/>
  <c r="A609" i="7"/>
  <c r="A613" i="7"/>
  <c r="A617" i="7"/>
  <c r="A621" i="7"/>
  <c r="A625" i="7"/>
  <c r="A629" i="7"/>
  <c r="A633" i="7"/>
  <c r="A637" i="7"/>
  <c r="A641" i="7"/>
  <c r="A645" i="7"/>
  <c r="A649" i="7"/>
  <c r="A653" i="7"/>
  <c r="A657" i="7"/>
  <c r="A661" i="7"/>
  <c r="A665" i="7"/>
  <c r="A669" i="7"/>
  <c r="A673" i="7"/>
  <c r="A677" i="7"/>
  <c r="A681" i="7"/>
  <c r="A685" i="7"/>
  <c r="A689" i="7"/>
  <c r="A693" i="7"/>
  <c r="A697" i="7"/>
  <c r="A701" i="7"/>
  <c r="A705" i="7"/>
  <c r="A709" i="7"/>
  <c r="A713" i="7"/>
  <c r="A717" i="7"/>
  <c r="A721" i="7"/>
  <c r="A725" i="7"/>
  <c r="A729" i="7"/>
  <c r="A733" i="7"/>
  <c r="A737" i="7"/>
  <c r="A741" i="7"/>
  <c r="A745" i="7"/>
  <c r="A749" i="7"/>
  <c r="A753" i="7"/>
  <c r="A757" i="7"/>
  <c r="A761" i="7"/>
  <c r="A765" i="7"/>
  <c r="A769" i="7"/>
  <c r="A773" i="7"/>
  <c r="A777" i="7"/>
  <c r="A781" i="7"/>
  <c r="A785" i="7"/>
  <c r="A789" i="7"/>
  <c r="A793" i="7"/>
  <c r="A797" i="7"/>
  <c r="A801" i="7"/>
  <c r="A805" i="7"/>
  <c r="A809" i="7"/>
  <c r="A813" i="7"/>
  <c r="A817" i="7"/>
  <c r="A821" i="7"/>
  <c r="A825" i="7"/>
  <c r="A829" i="7"/>
  <c r="A833" i="7"/>
  <c r="A837" i="7"/>
  <c r="A841" i="7"/>
  <c r="A845" i="7"/>
  <c r="A849" i="7"/>
  <c r="A853" i="7"/>
  <c r="A857" i="7"/>
  <c r="A861" i="7"/>
  <c r="A865" i="7"/>
  <c r="A869" i="7"/>
  <c r="A873" i="7"/>
  <c r="A877" i="7"/>
  <c r="A881" i="7"/>
  <c r="A885" i="7"/>
  <c r="A889" i="7"/>
  <c r="A893" i="7"/>
  <c r="A897" i="7"/>
  <c r="A901" i="7"/>
  <c r="A905" i="7"/>
  <c r="A582" i="7"/>
  <c r="A598" i="7"/>
  <c r="A614" i="7"/>
  <c r="A630" i="7"/>
  <c r="A646" i="7"/>
  <c r="A662" i="7"/>
  <c r="A678" i="7"/>
  <c r="A694" i="7"/>
  <c r="A710" i="7"/>
  <c r="A726" i="7"/>
  <c r="A742" i="7"/>
  <c r="A758" i="7"/>
  <c r="A774" i="7"/>
  <c r="A790" i="7"/>
  <c r="A806" i="7"/>
  <c r="A822" i="7"/>
  <c r="A838" i="7"/>
  <c r="A848" i="7"/>
  <c r="A856" i="7"/>
  <c r="A864" i="7"/>
  <c r="A872" i="7"/>
  <c r="A880" i="7"/>
  <c r="A888" i="7"/>
  <c r="A896" i="7"/>
  <c r="A904" i="7"/>
  <c r="A910" i="7"/>
  <c r="A916" i="7"/>
  <c r="A920" i="7"/>
  <c r="A924" i="7"/>
  <c r="A928" i="7"/>
  <c r="A932" i="7"/>
  <c r="A936" i="7"/>
  <c r="A940" i="7"/>
  <c r="A944" i="7"/>
  <c r="A948" i="7"/>
  <c r="A952" i="7"/>
  <c r="A956" i="7"/>
  <c r="A960" i="7"/>
  <c r="A964" i="7"/>
  <c r="A968" i="7"/>
  <c r="A972" i="7"/>
  <c r="A976" i="7"/>
  <c r="A980" i="7"/>
  <c r="A984" i="7"/>
  <c r="A988" i="7"/>
  <c r="A992" i="7"/>
  <c r="A996" i="7"/>
  <c r="A1000" i="7"/>
  <c r="A606" i="7"/>
  <c r="A638" i="7"/>
  <c r="A670" i="7"/>
  <c r="A702" i="7"/>
  <c r="A734" i="7"/>
  <c r="A766" i="7"/>
  <c r="A798" i="7"/>
  <c r="A830" i="7"/>
  <c r="A852" i="7"/>
  <c r="A868" i="7"/>
  <c r="A876" i="7"/>
  <c r="A892" i="7"/>
  <c r="A908" i="7"/>
  <c r="A918" i="7"/>
  <c r="A926" i="7"/>
  <c r="A934" i="7"/>
  <c r="A942" i="7"/>
  <c r="A950" i="7"/>
  <c r="A958" i="7"/>
  <c r="A970" i="7"/>
  <c r="A978" i="7"/>
  <c r="A986" i="7"/>
  <c r="A994" i="7"/>
  <c r="A594" i="7"/>
  <c r="A626" i="7"/>
  <c r="A658" i="7"/>
  <c r="A674" i="7"/>
  <c r="A706" i="7"/>
  <c r="A754" i="7"/>
  <c r="A786" i="7"/>
  <c r="A818" i="7"/>
  <c r="A846" i="7"/>
  <c r="A862" i="7"/>
  <c r="A878" i="7"/>
  <c r="A894" i="7"/>
  <c r="A909" i="7"/>
  <c r="A919" i="7"/>
  <c r="A586" i="7"/>
  <c r="A602" i="7"/>
  <c r="A618" i="7"/>
  <c r="A634" i="7"/>
  <c r="A650" i="7"/>
  <c r="A666" i="7"/>
  <c r="A682" i="7"/>
  <c r="A698" i="7"/>
  <c r="A714" i="7"/>
  <c r="A730" i="7"/>
  <c r="A746" i="7"/>
  <c r="A762" i="7"/>
  <c r="A778" i="7"/>
  <c r="A794" i="7"/>
  <c r="A810" i="7"/>
  <c r="A826" i="7"/>
  <c r="A842" i="7"/>
  <c r="A850" i="7"/>
  <c r="A858" i="7"/>
  <c r="A866" i="7"/>
  <c r="A874" i="7"/>
  <c r="A882" i="7"/>
  <c r="A890" i="7"/>
  <c r="A898" i="7"/>
  <c r="A906" i="7"/>
  <c r="A912" i="7"/>
  <c r="A917" i="7"/>
  <c r="A921" i="7"/>
  <c r="A925" i="7"/>
  <c r="A929" i="7"/>
  <c r="A933" i="7"/>
  <c r="A937" i="7"/>
  <c r="A941" i="7"/>
  <c r="A945" i="7"/>
  <c r="A949" i="7"/>
  <c r="A953" i="7"/>
  <c r="A957" i="7"/>
  <c r="A961" i="7"/>
  <c r="A965" i="7"/>
  <c r="A969" i="7"/>
  <c r="A973" i="7"/>
  <c r="A977" i="7"/>
  <c r="A981" i="7"/>
  <c r="A985" i="7"/>
  <c r="A989" i="7"/>
  <c r="A993" i="7"/>
  <c r="A997" i="7"/>
  <c r="A590" i="7"/>
  <c r="A622" i="7"/>
  <c r="A654" i="7"/>
  <c r="A686" i="7"/>
  <c r="A718" i="7"/>
  <c r="A750" i="7"/>
  <c r="A782" i="7"/>
  <c r="A814" i="7"/>
  <c r="A844" i="7"/>
  <c r="A860" i="7"/>
  <c r="A884" i="7"/>
  <c r="A900" i="7"/>
  <c r="A913" i="7"/>
  <c r="A922" i="7"/>
  <c r="A930" i="7"/>
  <c r="A938" i="7"/>
  <c r="A946" i="7"/>
  <c r="A954" i="7"/>
  <c r="A962" i="7"/>
  <c r="A966" i="7"/>
  <c r="A974" i="7"/>
  <c r="A982" i="7"/>
  <c r="A990" i="7"/>
  <c r="A998" i="7"/>
  <c r="A610" i="7"/>
  <c r="A642" i="7"/>
  <c r="A690" i="7"/>
  <c r="A722" i="7"/>
  <c r="A738" i="7"/>
  <c r="A770" i="7"/>
  <c r="A802" i="7"/>
  <c r="A834" i="7"/>
  <c r="A854" i="7"/>
  <c r="A870" i="7"/>
  <c r="A886" i="7"/>
  <c r="A902" i="7"/>
  <c r="A914" i="7"/>
  <c r="A923" i="7"/>
  <c r="A927" i="7"/>
  <c r="A943" i="7"/>
  <c r="A959" i="7"/>
  <c r="A975" i="7"/>
  <c r="A991" i="7"/>
  <c r="A931" i="7"/>
  <c r="A963" i="7"/>
  <c r="A935" i="7"/>
  <c r="A967" i="7"/>
  <c r="A999" i="7"/>
  <c r="A971" i="7"/>
  <c r="A947" i="7"/>
  <c r="A979" i="7"/>
  <c r="A995" i="7"/>
  <c r="A951" i="7"/>
  <c r="A983" i="7"/>
  <c r="A955" i="7"/>
  <c r="A987" i="7"/>
  <c r="A939" i="7"/>
  <c r="A519" i="7"/>
  <c r="A523" i="7"/>
  <c r="A527" i="7"/>
  <c r="A531" i="7"/>
  <c r="A535" i="7"/>
  <c r="A539" i="7"/>
  <c r="A543" i="7"/>
  <c r="A547" i="7"/>
  <c r="A551" i="7"/>
  <c r="A555" i="7"/>
  <c r="A559" i="7"/>
  <c r="A563" i="7"/>
  <c r="A567" i="7"/>
  <c r="A575" i="7"/>
  <c r="A569" i="7"/>
  <c r="A520" i="7"/>
  <c r="A528" i="7"/>
  <c r="A536" i="7"/>
  <c r="A544" i="7"/>
  <c r="A552" i="7"/>
  <c r="A564" i="7"/>
  <c r="A572" i="7"/>
  <c r="A521" i="7"/>
  <c r="A525" i="7"/>
  <c r="A529" i="7"/>
  <c r="A533" i="7"/>
  <c r="A537" i="7"/>
  <c r="A541" i="7"/>
  <c r="A545" i="7"/>
  <c r="A549" i="7"/>
  <c r="A553" i="7"/>
  <c r="A557" i="7"/>
  <c r="A565" i="7"/>
  <c r="A577" i="7"/>
  <c r="A522" i="7"/>
  <c r="A526" i="7"/>
  <c r="A530" i="7"/>
  <c r="A534" i="7"/>
  <c r="A538" i="7"/>
  <c r="A542" i="7"/>
  <c r="A546" i="7"/>
  <c r="A550" i="7"/>
  <c r="A554" i="7"/>
  <c r="A558" i="7"/>
  <c r="A562" i="7"/>
  <c r="A566" i="7"/>
  <c r="A570" i="7"/>
  <c r="A574" i="7"/>
  <c r="A578" i="7"/>
  <c r="A571" i="7"/>
  <c r="A524" i="7"/>
  <c r="A532" i="7"/>
  <c r="A540" i="7"/>
  <c r="A548" i="7"/>
  <c r="A556" i="7"/>
  <c r="A560" i="7"/>
  <c r="A568" i="7"/>
  <c r="A576" i="7"/>
  <c r="A561" i="7"/>
  <c r="A573" i="7"/>
  <c r="A3" i="7"/>
  <c r="A7" i="7"/>
  <c r="A11" i="7"/>
  <c r="A15" i="7"/>
  <c r="A19" i="7"/>
  <c r="A23" i="7"/>
  <c r="A27" i="7"/>
  <c r="A31" i="7"/>
  <c r="A35" i="7"/>
  <c r="A39" i="7"/>
  <c r="A43" i="7"/>
  <c r="A47" i="7"/>
  <c r="A51" i="7"/>
  <c r="A55" i="7"/>
  <c r="A59" i="7"/>
  <c r="A63" i="7"/>
  <c r="A67" i="7"/>
  <c r="A71" i="7"/>
  <c r="A75" i="7"/>
  <c r="A79" i="7"/>
  <c r="A83" i="7"/>
  <c r="A87" i="7"/>
  <c r="A91" i="7"/>
  <c r="A95" i="7"/>
  <c r="A99" i="7"/>
  <c r="A103" i="7"/>
  <c r="A107" i="7"/>
  <c r="A111" i="7"/>
  <c r="A115" i="7"/>
  <c r="A119" i="7"/>
  <c r="A123" i="7"/>
  <c r="A127" i="7"/>
  <c r="A131" i="7"/>
  <c r="A135" i="7"/>
  <c r="A139" i="7"/>
  <c r="A143" i="7"/>
  <c r="A147" i="7"/>
  <c r="A151" i="7"/>
  <c r="A155" i="7"/>
  <c r="A159" i="7"/>
  <c r="A163" i="7"/>
  <c r="A167" i="7"/>
  <c r="A171" i="7"/>
  <c r="A175" i="7"/>
  <c r="A179" i="7"/>
  <c r="A183" i="7"/>
  <c r="A187" i="7"/>
  <c r="A191" i="7"/>
  <c r="A195" i="7"/>
  <c r="A199" i="7"/>
  <c r="A203" i="7"/>
  <c r="A207" i="7"/>
  <c r="A211" i="7"/>
  <c r="A215" i="7"/>
  <c r="A219" i="7"/>
  <c r="A223" i="7"/>
  <c r="A227" i="7"/>
  <c r="A231" i="7"/>
  <c r="A235" i="7"/>
  <c r="A239" i="7"/>
  <c r="A243" i="7"/>
  <c r="A247" i="7"/>
  <c r="A251" i="7"/>
  <c r="A255" i="7"/>
  <c r="A259" i="7"/>
  <c r="A263" i="7"/>
  <c r="A267" i="7"/>
  <c r="A271" i="7"/>
  <c r="A275" i="7"/>
  <c r="A279" i="7"/>
  <c r="A283" i="7"/>
  <c r="A287" i="7"/>
  <c r="A291" i="7"/>
  <c r="A295" i="7"/>
  <c r="A4" i="7"/>
  <c r="A8" i="7"/>
  <c r="A12" i="7"/>
  <c r="A16" i="7"/>
  <c r="A20" i="7"/>
  <c r="A24" i="7"/>
  <c r="A28" i="7"/>
  <c r="A32" i="7"/>
  <c r="A36" i="7"/>
  <c r="A40" i="7"/>
  <c r="A44" i="7"/>
  <c r="A48" i="7"/>
  <c r="A52" i="7"/>
  <c r="A56" i="7"/>
  <c r="A60" i="7"/>
  <c r="A64" i="7"/>
  <c r="A68" i="7"/>
  <c r="A72" i="7"/>
  <c r="A76" i="7"/>
  <c r="A80" i="7"/>
  <c r="A84" i="7"/>
  <c r="A88" i="7"/>
  <c r="A92" i="7"/>
  <c r="A96" i="7"/>
  <c r="A100" i="7"/>
  <c r="A104" i="7"/>
  <c r="A108" i="7"/>
  <c r="A112" i="7"/>
  <c r="A116" i="7"/>
  <c r="A120" i="7"/>
  <c r="A124" i="7"/>
  <c r="A128" i="7"/>
  <c r="A132" i="7"/>
  <c r="A136" i="7"/>
  <c r="A140" i="7"/>
  <c r="A144" i="7"/>
  <c r="A148" i="7"/>
  <c r="A152" i="7"/>
  <c r="A156" i="7"/>
  <c r="A160" i="7"/>
  <c r="A164" i="7"/>
  <c r="A168" i="7"/>
  <c r="A172" i="7"/>
  <c r="A176" i="7"/>
  <c r="A180" i="7"/>
  <c r="A184" i="7"/>
  <c r="A188" i="7"/>
  <c r="A192" i="7"/>
  <c r="A196" i="7"/>
  <c r="A200" i="7"/>
  <c r="A204" i="7"/>
  <c r="A208" i="7"/>
  <c r="A212" i="7"/>
  <c r="A216" i="7"/>
  <c r="A220" i="7"/>
  <c r="A224" i="7"/>
  <c r="A228" i="7"/>
  <c r="A232" i="7"/>
  <c r="A236" i="7"/>
  <c r="A240" i="7"/>
  <c r="A244" i="7"/>
  <c r="A248" i="7"/>
  <c r="A5" i="7"/>
  <c r="A9" i="7"/>
  <c r="A13" i="7"/>
  <c r="A17" i="7"/>
  <c r="A21" i="7"/>
  <c r="A25" i="7"/>
  <c r="A29" i="7"/>
  <c r="A33" i="7"/>
  <c r="A37" i="7"/>
  <c r="A41" i="7"/>
  <c r="A45" i="7"/>
  <c r="A49" i="7"/>
  <c r="A53" i="7"/>
  <c r="A57" i="7"/>
  <c r="A61" i="7"/>
  <c r="A65" i="7"/>
  <c r="A69" i="7"/>
  <c r="A73" i="7"/>
  <c r="A77" i="7"/>
  <c r="A81" i="7"/>
  <c r="A85" i="7"/>
  <c r="A89" i="7"/>
  <c r="A93" i="7"/>
  <c r="A97" i="7"/>
  <c r="A101" i="7"/>
  <c r="A105" i="7"/>
  <c r="A109" i="7"/>
  <c r="A113" i="7"/>
  <c r="A117" i="7"/>
  <c r="A121" i="7"/>
  <c r="A125" i="7"/>
  <c r="A129" i="7"/>
  <c r="A133" i="7"/>
  <c r="A137" i="7"/>
  <c r="A141" i="7"/>
  <c r="A145" i="7"/>
  <c r="A149" i="7"/>
  <c r="A153" i="7"/>
  <c r="A157" i="7"/>
  <c r="A161" i="7"/>
  <c r="A165" i="7"/>
  <c r="A169" i="7"/>
  <c r="A173" i="7"/>
  <c r="A177" i="7"/>
  <c r="A181" i="7"/>
  <c r="A185" i="7"/>
  <c r="A189" i="7"/>
  <c r="A193" i="7"/>
  <c r="A197" i="7"/>
  <c r="A201" i="7"/>
  <c r="A205" i="7"/>
  <c r="A209" i="7"/>
  <c r="A213" i="7"/>
  <c r="A217" i="7"/>
  <c r="A221" i="7"/>
  <c r="A225" i="7"/>
  <c r="A229" i="7"/>
  <c r="A233" i="7"/>
  <c r="A237" i="7"/>
  <c r="A241" i="7"/>
  <c r="A245" i="7"/>
  <c r="A249" i="7"/>
  <c r="A253" i="7"/>
  <c r="A257" i="7"/>
  <c r="A261" i="7"/>
  <c r="A265" i="7"/>
  <c r="A269" i="7"/>
  <c r="A273" i="7"/>
  <c r="A277" i="7"/>
  <c r="A281" i="7"/>
  <c r="A285" i="7"/>
  <c r="A289" i="7"/>
  <c r="A293" i="7"/>
  <c r="A297" i="7"/>
  <c r="A301" i="7"/>
  <c r="A305" i="7"/>
  <c r="A309" i="7"/>
  <c r="A313" i="7"/>
  <c r="A317" i="7"/>
  <c r="A321" i="7"/>
  <c r="A325" i="7"/>
  <c r="A329" i="7"/>
  <c r="A333" i="7"/>
  <c r="A337" i="7"/>
  <c r="A341" i="7"/>
  <c r="A6" i="7"/>
  <c r="A22" i="7"/>
  <c r="A38" i="7"/>
  <c r="A54" i="7"/>
  <c r="A70" i="7"/>
  <c r="A86" i="7"/>
  <c r="A102" i="7"/>
  <c r="A118" i="7"/>
  <c r="A134" i="7"/>
  <c r="A150" i="7"/>
  <c r="A166" i="7"/>
  <c r="A182" i="7"/>
  <c r="A198" i="7"/>
  <c r="A214" i="7"/>
  <c r="A230" i="7"/>
  <c r="A246" i="7"/>
  <c r="A256" i="7"/>
  <c r="A264" i="7"/>
  <c r="A272" i="7"/>
  <c r="A280" i="7"/>
  <c r="A288" i="7"/>
  <c r="A296" i="7"/>
  <c r="A302" i="7"/>
  <c r="A307" i="7"/>
  <c r="A312" i="7"/>
  <c r="A318" i="7"/>
  <c r="A323" i="7"/>
  <c r="A328" i="7"/>
  <c r="A334" i="7"/>
  <c r="A339" i="7"/>
  <c r="A344" i="7"/>
  <c r="A348" i="7"/>
  <c r="A352" i="7"/>
  <c r="A356" i="7"/>
  <c r="A360" i="7"/>
  <c r="A364" i="7"/>
  <c r="A368" i="7"/>
  <c r="A372" i="7"/>
  <c r="A376" i="7"/>
  <c r="A380" i="7"/>
  <c r="A384" i="7"/>
  <c r="A388" i="7"/>
  <c r="A392" i="7"/>
  <c r="A396" i="7"/>
  <c r="A400" i="7"/>
  <c r="A404" i="7"/>
  <c r="A408" i="7"/>
  <c r="A412" i="7"/>
  <c r="A416" i="7"/>
  <c r="A420" i="7"/>
  <c r="A424" i="7"/>
  <c r="A428" i="7"/>
  <c r="A432" i="7"/>
  <c r="A436" i="7"/>
  <c r="A440" i="7"/>
  <c r="A444" i="7"/>
  <c r="A448" i="7"/>
  <c r="A452" i="7"/>
  <c r="A456" i="7"/>
  <c r="A460" i="7"/>
  <c r="A464" i="7"/>
  <c r="A468" i="7"/>
  <c r="A472" i="7"/>
  <c r="A476" i="7"/>
  <c r="A480" i="7"/>
  <c r="A484" i="7"/>
  <c r="A488" i="7"/>
  <c r="A492" i="7"/>
  <c r="A496" i="7"/>
  <c r="A500" i="7"/>
  <c r="A504" i="7"/>
  <c r="A508" i="7"/>
  <c r="A512" i="7"/>
  <c r="A516" i="7"/>
  <c r="A30" i="7"/>
  <c r="A110" i="7"/>
  <c r="A142" i="7"/>
  <c r="A174" i="7"/>
  <c r="A206" i="7"/>
  <c r="A238" i="7"/>
  <c r="A260" i="7"/>
  <c r="A276" i="7"/>
  <c r="A10" i="7"/>
  <c r="A26" i="7"/>
  <c r="A42" i="7"/>
  <c r="A58" i="7"/>
  <c r="A74" i="7"/>
  <c r="A90" i="7"/>
  <c r="A106" i="7"/>
  <c r="A122" i="7"/>
  <c r="A138" i="7"/>
  <c r="A154" i="7"/>
  <c r="A170" i="7"/>
  <c r="A186" i="7"/>
  <c r="A202" i="7"/>
  <c r="A218" i="7"/>
  <c r="A234" i="7"/>
  <c r="A250" i="7"/>
  <c r="A258" i="7"/>
  <c r="A266" i="7"/>
  <c r="A274" i="7"/>
  <c r="A282" i="7"/>
  <c r="A290" i="7"/>
  <c r="A298" i="7"/>
  <c r="A303" i="7"/>
  <c r="A308" i="7"/>
  <c r="A314" i="7"/>
  <c r="A319" i="7"/>
  <c r="A324" i="7"/>
  <c r="A330" i="7"/>
  <c r="A335" i="7"/>
  <c r="A340" i="7"/>
  <c r="A345" i="7"/>
  <c r="A349" i="7"/>
  <c r="A353" i="7"/>
  <c r="A357" i="7"/>
  <c r="A361" i="7"/>
  <c r="A365" i="7"/>
  <c r="A369" i="7"/>
  <c r="A373" i="7"/>
  <c r="A377" i="7"/>
  <c r="A381" i="7"/>
  <c r="A385" i="7"/>
  <c r="A389" i="7"/>
  <c r="A393" i="7"/>
  <c r="A397" i="7"/>
  <c r="A401" i="7"/>
  <c r="A405" i="7"/>
  <c r="A409" i="7"/>
  <c r="A413" i="7"/>
  <c r="A417" i="7"/>
  <c r="A421" i="7"/>
  <c r="A425" i="7"/>
  <c r="A429" i="7"/>
  <c r="A433" i="7"/>
  <c r="A437" i="7"/>
  <c r="A441" i="7"/>
  <c r="A445" i="7"/>
  <c r="A449" i="7"/>
  <c r="A453" i="7"/>
  <c r="A457" i="7"/>
  <c r="A461" i="7"/>
  <c r="A465" i="7"/>
  <c r="A469" i="7"/>
  <c r="A473" i="7"/>
  <c r="A477" i="7"/>
  <c r="A481" i="7"/>
  <c r="A485" i="7"/>
  <c r="A489" i="7"/>
  <c r="A493" i="7"/>
  <c r="A497" i="7"/>
  <c r="A501" i="7"/>
  <c r="A505" i="7"/>
  <c r="A509" i="7"/>
  <c r="A513" i="7"/>
  <c r="A517" i="7"/>
  <c r="A14" i="7"/>
  <c r="A46" i="7"/>
  <c r="A62" i="7"/>
  <c r="A78" i="7"/>
  <c r="A94" i="7"/>
  <c r="A126" i="7"/>
  <c r="A158" i="7"/>
  <c r="A190" i="7"/>
  <c r="A222" i="7"/>
  <c r="A252" i="7"/>
  <c r="A268" i="7"/>
  <c r="A18" i="7"/>
  <c r="A82" i="7"/>
  <c r="A146" i="7"/>
  <c r="A210" i="7"/>
  <c r="A262" i="7"/>
  <c r="A286" i="7"/>
  <c r="A300" i="7"/>
  <c r="A311" i="7"/>
  <c r="A322" i="7"/>
  <c r="A332" i="7"/>
  <c r="A343" i="7"/>
  <c r="A351" i="7"/>
  <c r="A359" i="7"/>
  <c r="A367" i="7"/>
  <c r="A375" i="7"/>
  <c r="A383" i="7"/>
  <c r="A391" i="7"/>
  <c r="A399" i="7"/>
  <c r="A407" i="7"/>
  <c r="A415" i="7"/>
  <c r="A423" i="7"/>
  <c r="A431" i="7"/>
  <c r="A439" i="7"/>
  <c r="A447" i="7"/>
  <c r="A455" i="7"/>
  <c r="A463" i="7"/>
  <c r="A471" i="7"/>
  <c r="A479" i="7"/>
  <c r="A487" i="7"/>
  <c r="A495" i="7"/>
  <c r="A503" i="7"/>
  <c r="A511" i="7"/>
  <c r="A2" i="7"/>
  <c r="A66" i="7"/>
  <c r="A130" i="7"/>
  <c r="A194" i="7"/>
  <c r="A254" i="7"/>
  <c r="A284" i="7"/>
  <c r="A299" i="7"/>
  <c r="A310" i="7"/>
  <c r="A320" i="7"/>
  <c r="A331" i="7"/>
  <c r="A342" i="7"/>
  <c r="A350" i="7"/>
  <c r="A358" i="7"/>
  <c r="A366" i="7"/>
  <c r="A374" i="7"/>
  <c r="A382" i="7"/>
  <c r="A390" i="7"/>
  <c r="A398" i="7"/>
  <c r="A406" i="7"/>
  <c r="A414" i="7"/>
  <c r="A422" i="7"/>
  <c r="A430" i="7"/>
  <c r="A438" i="7"/>
  <c r="A446" i="7"/>
  <c r="A454" i="7"/>
  <c r="A462" i="7"/>
  <c r="A470" i="7"/>
  <c r="A478" i="7"/>
  <c r="A486" i="7"/>
  <c r="A494" i="7"/>
  <c r="A502" i="7"/>
  <c r="A510" i="7"/>
  <c r="A518" i="7"/>
  <c r="A34" i="7"/>
  <c r="A98" i="7"/>
  <c r="A162" i="7"/>
  <c r="A226" i="7"/>
  <c r="A270" i="7"/>
  <c r="A292" i="7"/>
  <c r="A304" i="7"/>
  <c r="A315" i="7"/>
  <c r="A326" i="7"/>
  <c r="A336" i="7"/>
  <c r="A346" i="7"/>
  <c r="A354" i="7"/>
  <c r="A362" i="7"/>
  <c r="A370" i="7"/>
  <c r="A378" i="7"/>
  <c r="A386" i="7"/>
  <c r="A394" i="7"/>
  <c r="A402" i="7"/>
  <c r="A410" i="7"/>
  <c r="A418" i="7"/>
  <c r="A426" i="7"/>
  <c r="A434" i="7"/>
  <c r="A442" i="7"/>
  <c r="A450" i="7"/>
  <c r="A458" i="7"/>
  <c r="A466" i="7"/>
  <c r="A474" i="7"/>
  <c r="A482" i="7"/>
  <c r="A490" i="7"/>
  <c r="A498" i="7"/>
  <c r="A506" i="7"/>
  <c r="A514" i="7"/>
  <c r="A50" i="7"/>
  <c r="A114" i="7"/>
  <c r="A178" i="7"/>
  <c r="A242" i="7"/>
  <c r="A278" i="7"/>
  <c r="A294" i="7"/>
  <c r="A306" i="7"/>
  <c r="A316" i="7"/>
  <c r="A327" i="7"/>
  <c r="A338" i="7"/>
  <c r="A347" i="7"/>
  <c r="A355" i="7"/>
  <c r="A363" i="7"/>
  <c r="A371" i="7"/>
  <c r="A379" i="7"/>
  <c r="A387" i="7"/>
  <c r="A395" i="7"/>
  <c r="A403" i="7"/>
  <c r="A411" i="7"/>
  <c r="A419" i="7"/>
  <c r="A427" i="7"/>
  <c r="A435" i="7"/>
  <c r="A443" i="7"/>
  <c r="A451" i="7"/>
  <c r="A459" i="7"/>
  <c r="A467" i="7"/>
  <c r="A475" i="7"/>
  <c r="A483" i="7"/>
  <c r="A491" i="7"/>
  <c r="A499" i="7"/>
  <c r="A507" i="7"/>
  <c r="A515" i="7"/>
  <c r="B497" i="7"/>
  <c r="B162" i="7"/>
  <c r="B158" i="7"/>
  <c r="B505" i="7"/>
  <c r="B489" i="7"/>
  <c r="B473" i="7"/>
  <c r="B501" i="7"/>
  <c r="B485" i="7"/>
  <c r="C1" i="7"/>
  <c r="B3" i="7"/>
  <c r="B7" i="7"/>
  <c r="B11" i="7"/>
  <c r="B15" i="7"/>
  <c r="B19" i="7"/>
  <c r="B23" i="7"/>
  <c r="B27" i="7"/>
  <c r="B31" i="7"/>
  <c r="B35" i="7"/>
  <c r="B39" i="7"/>
  <c r="B43" i="7"/>
  <c r="B47" i="7"/>
  <c r="B51" i="7"/>
  <c r="B55" i="7"/>
  <c r="B59" i="7"/>
  <c r="B63" i="7"/>
  <c r="B67" i="7"/>
  <c r="B71" i="7"/>
  <c r="B75" i="7"/>
  <c r="B79" i="7"/>
  <c r="B83" i="7"/>
  <c r="B87" i="7"/>
  <c r="B91" i="7"/>
  <c r="B95" i="7"/>
  <c r="B99" i="7"/>
  <c r="B103" i="7"/>
  <c r="B107" i="7"/>
  <c r="B111" i="7"/>
  <c r="B115" i="7"/>
  <c r="B119" i="7"/>
  <c r="B123" i="7"/>
  <c r="B127" i="7"/>
  <c r="B131" i="7"/>
  <c r="B135" i="7"/>
  <c r="B139" i="7"/>
  <c r="B143" i="7"/>
  <c r="B147" i="7"/>
  <c r="B151" i="7"/>
  <c r="B155" i="7"/>
  <c r="B159" i="7"/>
  <c r="B163" i="7"/>
  <c r="B167" i="7"/>
  <c r="B171" i="7"/>
  <c r="B175" i="7"/>
  <c r="B179" i="7"/>
  <c r="B183" i="7"/>
  <c r="B187" i="7"/>
  <c r="B191" i="7"/>
  <c r="B195" i="7"/>
  <c r="B199" i="7"/>
  <c r="B203" i="7"/>
  <c r="B207" i="7"/>
  <c r="B211" i="7"/>
  <c r="B215" i="7"/>
  <c r="B4" i="7"/>
  <c r="B8" i="7"/>
  <c r="B12" i="7"/>
  <c r="B16" i="7"/>
  <c r="B20" i="7"/>
  <c r="B24" i="7"/>
  <c r="B28" i="7"/>
  <c r="B32" i="7"/>
  <c r="B36" i="7"/>
  <c r="B40" i="7"/>
  <c r="B44" i="7"/>
  <c r="B48" i="7"/>
  <c r="B52" i="7"/>
  <c r="B56" i="7"/>
  <c r="B60" i="7"/>
  <c r="B64" i="7"/>
  <c r="B68" i="7"/>
  <c r="B72" i="7"/>
  <c r="B76" i="7"/>
  <c r="B80" i="7"/>
  <c r="B84" i="7"/>
  <c r="B88" i="7"/>
  <c r="B92" i="7"/>
  <c r="B96" i="7"/>
  <c r="B100" i="7"/>
  <c r="B104" i="7"/>
  <c r="B108" i="7"/>
  <c r="B112" i="7"/>
  <c r="B116" i="7"/>
  <c r="B120" i="7"/>
  <c r="B124" i="7"/>
  <c r="B128" i="7"/>
  <c r="B132" i="7"/>
  <c r="B136" i="7"/>
  <c r="B140" i="7"/>
  <c r="B144" i="7"/>
  <c r="B148" i="7"/>
  <c r="B152" i="7"/>
  <c r="B156" i="7"/>
  <c r="B160" i="7"/>
  <c r="B164" i="7"/>
  <c r="B168" i="7"/>
  <c r="B172" i="7"/>
  <c r="B176" i="7"/>
  <c r="B180" i="7"/>
  <c r="B184" i="7"/>
  <c r="B188" i="7"/>
  <c r="B192" i="7"/>
  <c r="B196" i="7"/>
  <c r="B200" i="7"/>
  <c r="B204" i="7"/>
  <c r="B208" i="7"/>
  <c r="B212" i="7"/>
  <c r="B216" i="7"/>
  <c r="B220" i="7"/>
  <c r="B224" i="7"/>
  <c r="B228" i="7"/>
  <c r="B232" i="7"/>
  <c r="B236" i="7"/>
  <c r="B240" i="7"/>
  <c r="B244" i="7"/>
  <c r="B248" i="7"/>
  <c r="B252" i="7"/>
  <c r="B256" i="7"/>
  <c r="B260" i="7"/>
  <c r="B264" i="7"/>
  <c r="B268" i="7"/>
  <c r="B272" i="7"/>
  <c r="B276" i="7"/>
  <c r="B280" i="7"/>
  <c r="B284" i="7"/>
  <c r="B288" i="7"/>
  <c r="B292" i="7"/>
  <c r="B296" i="7"/>
  <c r="B300" i="7"/>
  <c r="B304" i="7"/>
  <c r="B308" i="7"/>
  <c r="B312" i="7"/>
  <c r="B5" i="7"/>
  <c r="B9" i="7"/>
  <c r="B13" i="7"/>
  <c r="B17" i="7"/>
  <c r="B21" i="7"/>
  <c r="B25" i="7"/>
  <c r="B29" i="7"/>
  <c r="B33" i="7"/>
  <c r="B37" i="7"/>
  <c r="B41" i="7"/>
  <c r="B45" i="7"/>
  <c r="B49" i="7"/>
  <c r="B53" i="7"/>
  <c r="B57" i="7"/>
  <c r="B61" i="7"/>
  <c r="B65" i="7"/>
  <c r="B69" i="7"/>
  <c r="B73" i="7"/>
  <c r="B77" i="7"/>
  <c r="B81" i="7"/>
  <c r="B85" i="7"/>
  <c r="B89" i="7"/>
  <c r="B93" i="7"/>
  <c r="B97" i="7"/>
  <c r="B101" i="7"/>
  <c r="B105" i="7"/>
  <c r="B109" i="7"/>
  <c r="B113" i="7"/>
  <c r="B117" i="7"/>
  <c r="B121" i="7"/>
  <c r="B125" i="7"/>
  <c r="B129" i="7"/>
  <c r="B133" i="7"/>
  <c r="B137" i="7"/>
  <c r="B141" i="7"/>
  <c r="B145" i="7"/>
  <c r="B149" i="7"/>
  <c r="B153" i="7"/>
  <c r="B157" i="7"/>
  <c r="B161" i="7"/>
  <c r="B165" i="7"/>
  <c r="B169" i="7"/>
  <c r="B173" i="7"/>
  <c r="B177" i="7"/>
  <c r="B181" i="7"/>
  <c r="B185" i="7"/>
  <c r="B189" i="7"/>
  <c r="B193" i="7"/>
  <c r="B197" i="7"/>
  <c r="B201" i="7"/>
  <c r="B205" i="7"/>
  <c r="B209" i="7"/>
  <c r="B213" i="7"/>
  <c r="B217" i="7"/>
  <c r="B221" i="7"/>
  <c r="B225" i="7"/>
  <c r="B229" i="7"/>
  <c r="B233" i="7"/>
  <c r="B237" i="7"/>
  <c r="B241" i="7"/>
  <c r="B245" i="7"/>
  <c r="B249" i="7"/>
  <c r="B253" i="7"/>
  <c r="B257" i="7"/>
  <c r="B261" i="7"/>
  <c r="B265" i="7"/>
  <c r="B269" i="7"/>
  <c r="B273" i="7"/>
  <c r="B277" i="7"/>
  <c r="B281" i="7"/>
  <c r="B285" i="7"/>
  <c r="B289" i="7"/>
  <c r="B293" i="7"/>
  <c r="B297" i="7"/>
  <c r="B301" i="7"/>
  <c r="B305" i="7"/>
  <c r="B309" i="7"/>
  <c r="B313" i="7"/>
  <c r="B317" i="7"/>
  <c r="B321" i="7"/>
  <c r="B325" i="7"/>
  <c r="B329" i="7"/>
  <c r="B333" i="7"/>
  <c r="B337" i="7"/>
  <c r="B341" i="7"/>
  <c r="B6" i="7"/>
  <c r="B22" i="7"/>
  <c r="B38" i="7"/>
  <c r="B54" i="7"/>
  <c r="B70" i="7"/>
  <c r="B86" i="7"/>
  <c r="B102" i="7"/>
  <c r="B118" i="7"/>
  <c r="B134" i="7"/>
  <c r="B150" i="7"/>
  <c r="B166" i="7"/>
  <c r="B182" i="7"/>
  <c r="B198" i="7"/>
  <c r="B214" i="7"/>
  <c r="B223" i="7"/>
  <c r="B231" i="7"/>
  <c r="B239" i="7"/>
  <c r="B247" i="7"/>
  <c r="B255" i="7"/>
  <c r="B263" i="7"/>
  <c r="B271" i="7"/>
  <c r="B279" i="7"/>
  <c r="B287" i="7"/>
  <c r="B295" i="7"/>
  <c r="B303" i="7"/>
  <c r="B311" i="7"/>
  <c r="B318" i="7"/>
  <c r="B323" i="7"/>
  <c r="B328" i="7"/>
  <c r="B334" i="7"/>
  <c r="B339" i="7"/>
  <c r="B344" i="7"/>
  <c r="B348" i="7"/>
  <c r="B352" i="7"/>
  <c r="B356" i="7"/>
  <c r="B360" i="7"/>
  <c r="B364" i="7"/>
  <c r="B368" i="7"/>
  <c r="B372" i="7"/>
  <c r="B376" i="7"/>
  <c r="B380" i="7"/>
  <c r="B384" i="7"/>
  <c r="B388" i="7"/>
  <c r="B392" i="7"/>
  <c r="B396" i="7"/>
  <c r="B400" i="7"/>
  <c r="B404" i="7"/>
  <c r="B408" i="7"/>
  <c r="B412" i="7"/>
  <c r="B416" i="7"/>
  <c r="B420" i="7"/>
  <c r="B424" i="7"/>
  <c r="B428" i="7"/>
  <c r="B432" i="7"/>
  <c r="B436" i="7"/>
  <c r="B440" i="7"/>
  <c r="B444" i="7"/>
  <c r="B448" i="7"/>
  <c r="B452" i="7"/>
  <c r="B456" i="7"/>
  <c r="B460" i="7"/>
  <c r="B464" i="7"/>
  <c r="B468" i="7"/>
  <c r="B472" i="7"/>
  <c r="B476" i="7"/>
  <c r="B480" i="7"/>
  <c r="B484" i="7"/>
  <c r="B488" i="7"/>
  <c r="B492" i="7"/>
  <c r="B496" i="7"/>
  <c r="B500" i="7"/>
  <c r="B504" i="7"/>
  <c r="B508" i="7"/>
  <c r="B2" i="7"/>
  <c r="B417" i="7"/>
  <c r="B425" i="7"/>
  <c r="B429" i="7"/>
  <c r="B433" i="7"/>
  <c r="B437" i="7"/>
  <c r="B441" i="7"/>
  <c r="B445" i="7"/>
  <c r="B449" i="7"/>
  <c r="B453" i="7"/>
  <c r="B461" i="7"/>
  <c r="B465" i="7"/>
  <c r="B10" i="7"/>
  <c r="B26" i="7"/>
  <c r="B42" i="7"/>
  <c r="B58" i="7"/>
  <c r="B74" i="7"/>
  <c r="B90" i="7"/>
  <c r="B106" i="7"/>
  <c r="B122" i="7"/>
  <c r="B138" i="7"/>
  <c r="B154" i="7"/>
  <c r="B170" i="7"/>
  <c r="B186" i="7"/>
  <c r="B202" i="7"/>
  <c r="B218" i="7"/>
  <c r="B226" i="7"/>
  <c r="B234" i="7"/>
  <c r="B242" i="7"/>
  <c r="B250" i="7"/>
  <c r="B258" i="7"/>
  <c r="B266" i="7"/>
  <c r="B274" i="7"/>
  <c r="B282" i="7"/>
  <c r="B290" i="7"/>
  <c r="B298" i="7"/>
  <c r="B306" i="7"/>
  <c r="B314" i="7"/>
  <c r="B319" i="7"/>
  <c r="B324" i="7"/>
  <c r="B330" i="7"/>
  <c r="B335" i="7"/>
  <c r="B340" i="7"/>
  <c r="B345" i="7"/>
  <c r="B349" i="7"/>
  <c r="B353" i="7"/>
  <c r="B357" i="7"/>
  <c r="B361" i="7"/>
  <c r="B365" i="7"/>
  <c r="B369" i="7"/>
  <c r="B373" i="7"/>
  <c r="B377" i="7"/>
  <c r="B381" i="7"/>
  <c r="B385" i="7"/>
  <c r="B389" i="7"/>
  <c r="B393" i="7"/>
  <c r="B397" i="7"/>
  <c r="B401" i="7"/>
  <c r="B405" i="7"/>
  <c r="B409" i="7"/>
  <c r="B413" i="7"/>
  <c r="B421" i="7"/>
  <c r="B14" i="7"/>
  <c r="B30" i="7"/>
  <c r="B46" i="7"/>
  <c r="B62" i="7"/>
  <c r="B78" i="7"/>
  <c r="B94" i="7"/>
  <c r="B110" i="7"/>
  <c r="B126" i="7"/>
  <c r="B142" i="7"/>
  <c r="B174" i="7"/>
  <c r="B190" i="7"/>
  <c r="B206" i="7"/>
  <c r="B219" i="7"/>
  <c r="B227" i="7"/>
  <c r="B235" i="7"/>
  <c r="B243" i="7"/>
  <c r="B251" i="7"/>
  <c r="B259" i="7"/>
  <c r="B267" i="7"/>
  <c r="B275" i="7"/>
  <c r="B283" i="7"/>
  <c r="B291" i="7"/>
  <c r="B299" i="7"/>
  <c r="B307" i="7"/>
  <c r="B315" i="7"/>
  <c r="B320" i="7"/>
  <c r="B326" i="7"/>
  <c r="B331" i="7"/>
  <c r="B336" i="7"/>
  <c r="B342" i="7"/>
  <c r="B346" i="7"/>
  <c r="B350" i="7"/>
  <c r="B354" i="7"/>
  <c r="B358" i="7"/>
  <c r="B362" i="7"/>
  <c r="B366" i="7"/>
  <c r="B370" i="7"/>
  <c r="B374" i="7"/>
  <c r="B378" i="7"/>
  <c r="B382" i="7"/>
  <c r="B386" i="7"/>
  <c r="B390" i="7"/>
  <c r="B394" i="7"/>
  <c r="B398" i="7"/>
  <c r="B402" i="7"/>
  <c r="B406" i="7"/>
  <c r="B410" i="7"/>
  <c r="B414" i="7"/>
  <c r="B418" i="7"/>
  <c r="B422" i="7"/>
  <c r="B426" i="7"/>
  <c r="B430" i="7"/>
  <c r="B434" i="7"/>
  <c r="B438" i="7"/>
  <c r="B442" i="7"/>
  <c r="B446" i="7"/>
  <c r="B450" i="7"/>
  <c r="B454" i="7"/>
  <c r="B458" i="7"/>
  <c r="B462" i="7"/>
  <c r="B466" i="7"/>
  <c r="B470" i="7"/>
  <c r="B474" i="7"/>
  <c r="B478" i="7"/>
  <c r="B482" i="7"/>
  <c r="B486" i="7"/>
  <c r="B490" i="7"/>
  <c r="B494" i="7"/>
  <c r="B498" i="7"/>
  <c r="B502" i="7"/>
  <c r="B506" i="7"/>
  <c r="B510" i="7"/>
  <c r="B18" i="7"/>
  <c r="B34" i="7"/>
  <c r="B50" i="7"/>
  <c r="B66" i="7"/>
  <c r="B82" i="7"/>
  <c r="B98" i="7"/>
  <c r="B114" i="7"/>
  <c r="B130" i="7"/>
  <c r="B146" i="7"/>
  <c r="B178" i="7"/>
  <c r="B194" i="7"/>
  <c r="B210" i="7"/>
  <c r="B222" i="7"/>
  <c r="B230" i="7"/>
  <c r="B238" i="7"/>
  <c r="B246" i="7"/>
  <c r="B254" i="7"/>
  <c r="B262" i="7"/>
  <c r="B270" i="7"/>
  <c r="B278" i="7"/>
  <c r="B286" i="7"/>
  <c r="B294" i="7"/>
  <c r="B302" i="7"/>
  <c r="B310" i="7"/>
  <c r="B316" i="7"/>
  <c r="B322" i="7"/>
  <c r="B327" i="7"/>
  <c r="B332" i="7"/>
  <c r="B338" i="7"/>
  <c r="B343" i="7"/>
  <c r="B347" i="7"/>
  <c r="B351" i="7"/>
  <c r="B355" i="7"/>
  <c r="B359" i="7"/>
  <c r="B363" i="7"/>
  <c r="B367" i="7"/>
  <c r="B371" i="7"/>
  <c r="B375" i="7"/>
  <c r="B379" i="7"/>
  <c r="B383" i="7"/>
  <c r="B387" i="7"/>
  <c r="B391" i="7"/>
  <c r="B395" i="7"/>
  <c r="B399" i="7"/>
  <c r="B403" i="7"/>
  <c r="B407" i="7"/>
  <c r="B411" i="7"/>
  <c r="B415" i="7"/>
  <c r="B419" i="7"/>
  <c r="B423" i="7"/>
  <c r="B427" i="7"/>
  <c r="B431" i="7"/>
  <c r="B435" i="7"/>
  <c r="B439" i="7"/>
  <c r="B443" i="7"/>
  <c r="B447" i="7"/>
  <c r="B451" i="7"/>
  <c r="B455" i="7"/>
  <c r="B459" i="7"/>
  <c r="B463" i="7"/>
  <c r="B467" i="7"/>
  <c r="B471" i="7"/>
  <c r="B475" i="7"/>
  <c r="B479" i="7"/>
  <c r="B483" i="7"/>
  <c r="B487" i="7"/>
  <c r="B491" i="7"/>
  <c r="B495" i="7"/>
  <c r="B499" i="7"/>
  <c r="B503" i="7"/>
  <c r="B507" i="7"/>
  <c r="B511" i="7"/>
  <c r="B457" i="7"/>
  <c r="B469" i="7"/>
  <c r="B481" i="7"/>
  <c r="B509" i="7"/>
  <c r="B493" i="7"/>
  <c r="B477" i="7"/>
  <c r="C114" i="5" l="1"/>
  <c r="C115" i="5"/>
  <c r="C116" i="5"/>
  <c r="C120" i="5"/>
  <c r="C124" i="5"/>
  <c r="C128" i="5"/>
  <c r="C132" i="5"/>
  <c r="C136" i="5"/>
  <c r="C140" i="5"/>
  <c r="C144" i="5"/>
  <c r="C148" i="5"/>
  <c r="C152" i="5"/>
  <c r="C156" i="5"/>
  <c r="C119" i="5"/>
  <c r="C125" i="5"/>
  <c r="C130" i="5"/>
  <c r="C135" i="5"/>
  <c r="C141" i="5"/>
  <c r="C146" i="5"/>
  <c r="C151" i="5"/>
  <c r="C157" i="5"/>
  <c r="C118" i="5"/>
  <c r="C126" i="5"/>
  <c r="C133" i="5"/>
  <c r="C139" i="5"/>
  <c r="C147" i="5"/>
  <c r="C154" i="5"/>
  <c r="C117" i="5"/>
  <c r="C123" i="5"/>
  <c r="C131" i="5"/>
  <c r="C138" i="5"/>
  <c r="C145" i="5"/>
  <c r="C153" i="5"/>
  <c r="C159" i="5"/>
  <c r="C127" i="5"/>
  <c r="C142" i="5"/>
  <c r="C155" i="5"/>
  <c r="C129" i="5"/>
  <c r="C143" i="5"/>
  <c r="C158" i="5"/>
  <c r="C121" i="5"/>
  <c r="C134" i="5"/>
  <c r="C149" i="5"/>
  <c r="C122" i="5"/>
  <c r="C137" i="5"/>
  <c r="C150" i="5"/>
  <c r="C27" i="5"/>
  <c r="AF27" i="5" s="1"/>
  <c r="C106" i="5"/>
  <c r="C110" i="5"/>
  <c r="C32" i="5"/>
  <c r="C109" i="5"/>
  <c r="C105" i="5"/>
  <c r="C111" i="5"/>
  <c r="C107" i="5"/>
  <c r="C112" i="5"/>
  <c r="C28" i="5"/>
  <c r="C108" i="5"/>
  <c r="C113" i="5"/>
  <c r="C9" i="12"/>
  <c r="C19" i="12"/>
  <c r="H19" i="12" s="1"/>
  <c r="C35" i="12"/>
  <c r="H35" i="12" s="1"/>
  <c r="C51" i="12"/>
  <c r="H51" i="12" s="1"/>
  <c r="C67" i="12"/>
  <c r="H67" i="12" s="1"/>
  <c r="C83" i="12"/>
  <c r="H83" i="12" s="1"/>
  <c r="C99" i="12"/>
  <c r="H99" i="12" s="1"/>
  <c r="C17" i="12"/>
  <c r="H17" i="12" s="1"/>
  <c r="C33" i="12"/>
  <c r="H33" i="12" s="1"/>
  <c r="C49" i="12"/>
  <c r="H49" i="12" s="1"/>
  <c r="C65" i="12"/>
  <c r="H65" i="12" s="1"/>
  <c r="C81" i="12"/>
  <c r="H81" i="12" s="1"/>
  <c r="C97" i="12"/>
  <c r="H97" i="12" s="1"/>
  <c r="C14" i="12"/>
  <c r="H14" i="12" s="1"/>
  <c r="C30" i="12"/>
  <c r="H30" i="12" s="1"/>
  <c r="C46" i="12"/>
  <c r="H46" i="12" s="1"/>
  <c r="C62" i="12"/>
  <c r="H62" i="12" s="1"/>
  <c r="C78" i="12"/>
  <c r="H78" i="12" s="1"/>
  <c r="C94" i="12"/>
  <c r="H94" i="12" s="1"/>
  <c r="C12" i="12"/>
  <c r="H12" i="12" s="1"/>
  <c r="C28" i="12"/>
  <c r="H28" i="12" s="1"/>
  <c r="C44" i="12"/>
  <c r="H44" i="12" s="1"/>
  <c r="C60" i="12"/>
  <c r="H60" i="12" s="1"/>
  <c r="C76" i="12"/>
  <c r="H76" i="12" s="1"/>
  <c r="C92" i="12"/>
  <c r="H92" i="12" s="1"/>
  <c r="C39" i="12"/>
  <c r="H39" i="12" s="1"/>
  <c r="C55" i="12"/>
  <c r="H55" i="12" s="1"/>
  <c r="C87" i="12"/>
  <c r="H87" i="12" s="1"/>
  <c r="C103" i="12"/>
  <c r="H103" i="12" s="1"/>
  <c r="C21" i="12"/>
  <c r="H21" i="12" s="1"/>
  <c r="C53" i="12"/>
  <c r="H53" i="12" s="1"/>
  <c r="C69" i="12"/>
  <c r="H69" i="12" s="1"/>
  <c r="C48" i="12"/>
  <c r="H48" i="12" s="1"/>
  <c r="C80" i="12"/>
  <c r="H80" i="12" s="1"/>
  <c r="C11" i="12"/>
  <c r="H11" i="12" s="1"/>
  <c r="C43" i="12"/>
  <c r="H43" i="12" s="1"/>
  <c r="C75" i="12"/>
  <c r="H75" i="12" s="1"/>
  <c r="C107" i="12"/>
  <c r="H107" i="12" s="1"/>
  <c r="C41" i="12"/>
  <c r="H41" i="12" s="1"/>
  <c r="C73" i="12"/>
  <c r="H73" i="12" s="1"/>
  <c r="C105" i="12"/>
  <c r="H105" i="12" s="1"/>
  <c r="C38" i="12"/>
  <c r="H38" i="12" s="1"/>
  <c r="C70" i="12"/>
  <c r="H70" i="12" s="1"/>
  <c r="C102" i="12"/>
  <c r="H102" i="12" s="1"/>
  <c r="C36" i="12"/>
  <c r="H36" i="12" s="1"/>
  <c r="C84" i="12"/>
  <c r="H84" i="12" s="1"/>
  <c r="C31" i="12"/>
  <c r="H31" i="12" s="1"/>
  <c r="C63" i="12"/>
  <c r="H63" i="12" s="1"/>
  <c r="C95" i="12"/>
  <c r="H95" i="12" s="1"/>
  <c r="C29" i="12"/>
  <c r="H29" i="12" s="1"/>
  <c r="C61" i="12"/>
  <c r="H61" i="12" s="1"/>
  <c r="C93" i="12"/>
  <c r="H93" i="12" s="1"/>
  <c r="C26" i="12"/>
  <c r="H26" i="12" s="1"/>
  <c r="C58" i="12"/>
  <c r="H58" i="12" s="1"/>
  <c r="C90" i="12"/>
  <c r="H90" i="12" s="1"/>
  <c r="C24" i="12"/>
  <c r="H24" i="12" s="1"/>
  <c r="C56" i="12"/>
  <c r="H56" i="12" s="1"/>
  <c r="C88" i="12"/>
  <c r="H88" i="12" s="1"/>
  <c r="C23" i="12"/>
  <c r="H23" i="12" s="1"/>
  <c r="C71" i="12"/>
  <c r="H71" i="12" s="1"/>
  <c r="C37" i="12"/>
  <c r="H37" i="12" s="1"/>
  <c r="C85" i="12"/>
  <c r="H85" i="12" s="1"/>
  <c r="C101" i="12"/>
  <c r="H101" i="12" s="1"/>
  <c r="C18" i="12"/>
  <c r="H18" i="12" s="1"/>
  <c r="C34" i="12"/>
  <c r="H34" i="12" s="1"/>
  <c r="C50" i="12"/>
  <c r="H50" i="12" s="1"/>
  <c r="C66" i="12"/>
  <c r="H66" i="12" s="1"/>
  <c r="C82" i="12"/>
  <c r="H82" i="12" s="1"/>
  <c r="C98" i="12"/>
  <c r="H98" i="12" s="1"/>
  <c r="C16" i="12"/>
  <c r="H16" i="12" s="1"/>
  <c r="C32" i="12"/>
  <c r="H32" i="12" s="1"/>
  <c r="C64" i="12"/>
  <c r="H64" i="12" s="1"/>
  <c r="C96" i="12"/>
  <c r="H96" i="12" s="1"/>
  <c r="C27" i="12"/>
  <c r="H27" i="12" s="1"/>
  <c r="C59" i="12"/>
  <c r="H59" i="12" s="1"/>
  <c r="C91" i="12"/>
  <c r="H91" i="12" s="1"/>
  <c r="C25" i="12"/>
  <c r="H25" i="12" s="1"/>
  <c r="C57" i="12"/>
  <c r="H57" i="12" s="1"/>
  <c r="C89" i="12"/>
  <c r="H89" i="12" s="1"/>
  <c r="C22" i="12"/>
  <c r="H22" i="12" s="1"/>
  <c r="C54" i="12"/>
  <c r="H54" i="12" s="1"/>
  <c r="C86" i="12"/>
  <c r="H86" i="12" s="1"/>
  <c r="C20" i="12"/>
  <c r="H20" i="12" s="1"/>
  <c r="C52" i="12"/>
  <c r="H52" i="12" s="1"/>
  <c r="C68" i="12"/>
  <c r="H68" i="12" s="1"/>
  <c r="C100" i="12"/>
  <c r="H100" i="12" s="1"/>
  <c r="C15" i="12"/>
  <c r="H15" i="12" s="1"/>
  <c r="C47" i="12"/>
  <c r="H47" i="12" s="1"/>
  <c r="C79" i="12"/>
  <c r="H79" i="12" s="1"/>
  <c r="C13" i="12"/>
  <c r="H13" i="12" s="1"/>
  <c r="C45" i="12"/>
  <c r="H45" i="12" s="1"/>
  <c r="C77" i="12"/>
  <c r="H77" i="12" s="1"/>
  <c r="C10" i="12"/>
  <c r="H10" i="12" s="1"/>
  <c r="C42" i="12"/>
  <c r="H42" i="12" s="1"/>
  <c r="C74" i="12"/>
  <c r="H74" i="12" s="1"/>
  <c r="C106" i="12"/>
  <c r="H106" i="12" s="1"/>
  <c r="C40" i="12"/>
  <c r="H40" i="12" s="1"/>
  <c r="C72" i="12"/>
  <c r="H72" i="12" s="1"/>
  <c r="C104" i="12"/>
  <c r="H104" i="12" s="1"/>
  <c r="G60" i="12"/>
  <c r="C10" i="5"/>
  <c r="C9" i="5"/>
  <c r="C29" i="5"/>
  <c r="C40" i="5"/>
  <c r="C84" i="5"/>
  <c r="AF84" i="5" s="1"/>
  <c r="C37" i="5"/>
  <c r="C24" i="5"/>
  <c r="AF24" i="5" s="1"/>
  <c r="C99" i="5"/>
  <c r="AF99" i="5" s="1"/>
  <c r="C102" i="5"/>
  <c r="AF102" i="5" s="1"/>
  <c r="C21" i="5"/>
  <c r="C47" i="5"/>
  <c r="AF47" i="5" s="1"/>
  <c r="C25" i="5"/>
  <c r="AF25" i="5" s="1"/>
  <c r="C52" i="5"/>
  <c r="AF52" i="5" s="1"/>
  <c r="C67" i="5"/>
  <c r="C33" i="5"/>
  <c r="AF33" i="5" s="1"/>
  <c r="C50" i="5"/>
  <c r="C83" i="5"/>
  <c r="AF83" i="5" s="1"/>
  <c r="C18" i="5"/>
  <c r="AF18" i="5" s="1"/>
  <c r="C86" i="5"/>
  <c r="AF86" i="5" s="1"/>
  <c r="C36" i="5"/>
  <c r="AF36" i="5" s="1"/>
  <c r="C64" i="5"/>
  <c r="C72" i="5"/>
  <c r="AF72" i="5" s="1"/>
  <c r="C70" i="5"/>
  <c r="AF70" i="5" s="1"/>
  <c r="C73" i="5"/>
  <c r="AF73" i="5" s="1"/>
  <c r="C66" i="5"/>
  <c r="AF66" i="5" s="1"/>
  <c r="C7" i="5"/>
  <c r="AF7" i="5" s="1"/>
  <c r="C92" i="5"/>
  <c r="C42" i="5"/>
  <c r="AF42" i="5" s="1"/>
  <c r="C96" i="5"/>
  <c r="AF96" i="5" s="1"/>
  <c r="C78" i="5"/>
  <c r="AF78" i="5" s="1"/>
  <c r="C38" i="5"/>
  <c r="AF38" i="5" s="1"/>
  <c r="C26" i="5"/>
  <c r="AF26" i="5" s="1"/>
  <c r="C87" i="5"/>
  <c r="AF87" i="5" s="1"/>
  <c r="C71" i="5"/>
  <c r="AF71" i="5" s="1"/>
  <c r="C65" i="5"/>
  <c r="AF65" i="5" s="1"/>
  <c r="C41" i="5"/>
  <c r="AF41" i="5" s="1"/>
  <c r="C14" i="5"/>
  <c r="AF14" i="5" s="1"/>
  <c r="C80" i="5"/>
  <c r="AF80" i="5" s="1"/>
  <c r="C61" i="5"/>
  <c r="AF61" i="5" s="1"/>
  <c r="C4" i="5"/>
  <c r="AF4" i="5" s="1"/>
  <c r="C91" i="5"/>
  <c r="AF91" i="5" s="1"/>
  <c r="C74" i="5"/>
  <c r="C56" i="5"/>
  <c r="AF56" i="5" s="1"/>
  <c r="C44" i="5"/>
  <c r="AF44" i="5" s="1"/>
  <c r="C31" i="5"/>
  <c r="C88" i="5"/>
  <c r="AF88" i="5" s="1"/>
  <c r="C89" i="5"/>
  <c r="AF89" i="5" s="1"/>
  <c r="C11" i="5"/>
  <c r="C76" i="5"/>
  <c r="AF76" i="5" s="1"/>
  <c r="C45" i="5"/>
  <c r="AF45" i="5" s="1"/>
  <c r="C17" i="5"/>
  <c r="AF17" i="5" s="1"/>
  <c r="C15" i="5"/>
  <c r="AF15" i="5" s="1"/>
  <c r="C95" i="5"/>
  <c r="AF95" i="5" s="1"/>
  <c r="C79" i="5"/>
  <c r="AF79" i="5" s="1"/>
  <c r="C58" i="5"/>
  <c r="AF58" i="5" s="1"/>
  <c r="C48" i="5"/>
  <c r="AF48" i="5" s="1"/>
  <c r="C30" i="5"/>
  <c r="AF30" i="5" s="1"/>
  <c r="C100" i="5"/>
  <c r="C59" i="5"/>
  <c r="AF59" i="5" s="1"/>
  <c r="C20" i="5"/>
  <c r="AF20" i="5" s="1"/>
  <c r="C98" i="5"/>
  <c r="AF98" i="5" s="1"/>
  <c r="C82" i="5"/>
  <c r="AF82" i="5" s="1"/>
  <c r="C63" i="5"/>
  <c r="AF63" i="5" s="1"/>
  <c r="C49" i="5"/>
  <c r="AF49" i="5" s="1"/>
  <c r="C34" i="5"/>
  <c r="AF34" i="5" s="1"/>
  <c r="C22" i="5"/>
  <c r="AF22" i="5" s="1"/>
  <c r="C19" i="5"/>
  <c r="AF19" i="5" s="1"/>
  <c r="C35" i="5"/>
  <c r="AF35" i="5" s="1"/>
  <c r="C104" i="5"/>
  <c r="AF104" i="5" s="1"/>
  <c r="C6" i="5"/>
  <c r="AF6" i="5" s="1"/>
  <c r="C16" i="5"/>
  <c r="AF16" i="5" s="1"/>
  <c r="C5" i="5"/>
  <c r="AF5" i="5" s="1"/>
  <c r="C75" i="5"/>
  <c r="C23" i="5"/>
  <c r="AF23" i="5" s="1"/>
  <c r="C3" i="5"/>
  <c r="AF3" i="5" s="1"/>
  <c r="C93" i="5"/>
  <c r="AF93" i="5" s="1"/>
  <c r="C53" i="5"/>
  <c r="AF53" i="5" s="1"/>
  <c r="C13" i="5"/>
  <c r="AF13" i="5" s="1"/>
  <c r="C94" i="5"/>
  <c r="AF94" i="5" s="1"/>
  <c r="C68" i="5"/>
  <c r="AF68" i="5" s="1"/>
  <c r="C57" i="5"/>
  <c r="AF57" i="5" s="1"/>
  <c r="C54" i="5"/>
  <c r="AF54" i="5" s="1"/>
  <c r="C8" i="5"/>
  <c r="AF8" i="5" s="1"/>
  <c r="C103" i="5"/>
  <c r="AF103" i="5" s="1"/>
  <c r="C12" i="5"/>
  <c r="AF12" i="5" s="1"/>
  <c r="C101" i="5"/>
  <c r="AF101" i="5" s="1"/>
  <c r="C85" i="5"/>
  <c r="AF85" i="5" s="1"/>
  <c r="C69" i="5"/>
  <c r="AF69" i="5" s="1"/>
  <c r="C97" i="5"/>
  <c r="AF97" i="5" s="1"/>
  <c r="C77" i="5"/>
  <c r="AF77" i="5" s="1"/>
  <c r="C62" i="5"/>
  <c r="AF62" i="5" s="1"/>
  <c r="C60" i="5"/>
  <c r="AF60" i="5" s="1"/>
  <c r="C90" i="5"/>
  <c r="AF90" i="5" s="1"/>
  <c r="C51" i="5"/>
  <c r="AF51" i="5" s="1"/>
  <c r="C46" i="5"/>
  <c r="AF46" i="5" s="1"/>
  <c r="C55" i="5"/>
  <c r="AF55" i="5" s="1"/>
  <c r="C43" i="5"/>
  <c r="AF43" i="5" s="1"/>
  <c r="C39" i="5"/>
  <c r="AF39" i="5" s="1"/>
  <c r="C81" i="5"/>
  <c r="AF81" i="5" s="1"/>
  <c r="U37" i="5" l="1"/>
  <c r="AF37" i="5"/>
  <c r="R9" i="5"/>
  <c r="AF9" i="5"/>
  <c r="F28" i="5"/>
  <c r="AF28" i="5"/>
  <c r="F105" i="5"/>
  <c r="AF105" i="5"/>
  <c r="F106" i="5"/>
  <c r="AF106" i="5"/>
  <c r="F122" i="5"/>
  <c r="AF122" i="5"/>
  <c r="F158" i="5"/>
  <c r="AF158" i="5"/>
  <c r="F142" i="5"/>
  <c r="AF142" i="5"/>
  <c r="F145" i="5"/>
  <c r="AF145" i="5"/>
  <c r="F117" i="5"/>
  <c r="AF117" i="5"/>
  <c r="F133" i="5"/>
  <c r="AF133" i="5"/>
  <c r="F151" i="5"/>
  <c r="AF151" i="5"/>
  <c r="F130" i="5"/>
  <c r="AF130" i="5"/>
  <c r="F152" i="5"/>
  <c r="AF152" i="5"/>
  <c r="F136" i="5"/>
  <c r="AF136" i="5"/>
  <c r="F120" i="5"/>
  <c r="AF120" i="5"/>
  <c r="R11" i="5"/>
  <c r="AF11" i="5"/>
  <c r="R50" i="5"/>
  <c r="AF50" i="5"/>
  <c r="O40" i="5"/>
  <c r="AF40" i="5"/>
  <c r="X92" i="5"/>
  <c r="AF92" i="5"/>
  <c r="V29" i="5"/>
  <c r="AF29" i="5"/>
  <c r="R100" i="5"/>
  <c r="AF100" i="5"/>
  <c r="X74" i="5"/>
  <c r="AF74" i="5"/>
  <c r="U67" i="5"/>
  <c r="AF67" i="5"/>
  <c r="L21" i="5"/>
  <c r="AF21" i="5"/>
  <c r="J75" i="5"/>
  <c r="AF75" i="5"/>
  <c r="R31" i="5"/>
  <c r="AF31" i="5"/>
  <c r="J64" i="5"/>
  <c r="AF64" i="5"/>
  <c r="X10" i="5"/>
  <c r="AF10" i="5"/>
  <c r="F112" i="5"/>
  <c r="AF112" i="5"/>
  <c r="F109" i="5"/>
  <c r="AF109" i="5"/>
  <c r="F149" i="5"/>
  <c r="AF149" i="5"/>
  <c r="F143" i="5"/>
  <c r="AF143" i="5"/>
  <c r="F127" i="5"/>
  <c r="AF127" i="5"/>
  <c r="F138" i="5"/>
  <c r="AF138" i="5"/>
  <c r="F154" i="5"/>
  <c r="AF154" i="5"/>
  <c r="F126" i="5"/>
  <c r="AF126" i="5"/>
  <c r="F146" i="5"/>
  <c r="AF146" i="5"/>
  <c r="F125" i="5"/>
  <c r="AF125" i="5"/>
  <c r="F148" i="5"/>
  <c r="AF148" i="5"/>
  <c r="F132" i="5"/>
  <c r="AF132" i="5"/>
  <c r="F116" i="5"/>
  <c r="AF116" i="5"/>
  <c r="F113" i="5"/>
  <c r="AF113" i="5"/>
  <c r="F107" i="5"/>
  <c r="AF107" i="5"/>
  <c r="F32" i="5"/>
  <c r="H32" i="5" s="1"/>
  <c r="AF32" i="5"/>
  <c r="F150" i="5"/>
  <c r="AF150" i="5"/>
  <c r="F134" i="5"/>
  <c r="AF134" i="5"/>
  <c r="F129" i="5"/>
  <c r="AF129" i="5"/>
  <c r="F159" i="5"/>
  <c r="AF159" i="5"/>
  <c r="F131" i="5"/>
  <c r="AF131" i="5"/>
  <c r="F147" i="5"/>
  <c r="AF147" i="5"/>
  <c r="F118" i="5"/>
  <c r="AF118" i="5"/>
  <c r="F141" i="5"/>
  <c r="AF141" i="5"/>
  <c r="F119" i="5"/>
  <c r="AF119" i="5"/>
  <c r="F144" i="5"/>
  <c r="AF144" i="5"/>
  <c r="F128" i="5"/>
  <c r="AF128" i="5"/>
  <c r="F115" i="5"/>
  <c r="AF115" i="5"/>
  <c r="F108" i="5"/>
  <c r="AF108" i="5"/>
  <c r="F111" i="5"/>
  <c r="AF111" i="5"/>
  <c r="F110" i="5"/>
  <c r="AF110" i="5"/>
  <c r="F137" i="5"/>
  <c r="AF137" i="5"/>
  <c r="F121" i="5"/>
  <c r="AF121" i="5"/>
  <c r="F155" i="5"/>
  <c r="AF155" i="5"/>
  <c r="F153" i="5"/>
  <c r="AF153" i="5"/>
  <c r="F123" i="5"/>
  <c r="AF123" i="5"/>
  <c r="F139" i="5"/>
  <c r="AF139" i="5"/>
  <c r="F157" i="5"/>
  <c r="AF157" i="5"/>
  <c r="F135" i="5"/>
  <c r="AF135" i="5"/>
  <c r="F156" i="5"/>
  <c r="AF156" i="5"/>
  <c r="F140" i="5"/>
  <c r="AF140" i="5"/>
  <c r="F124" i="5"/>
  <c r="AF124" i="5"/>
  <c r="F114" i="5"/>
  <c r="AF114" i="5"/>
  <c r="G19" i="12"/>
  <c r="G84" i="12"/>
  <c r="G14" i="12"/>
  <c r="G39" i="12"/>
  <c r="G49" i="12"/>
  <c r="G78" i="12"/>
  <c r="G44" i="12"/>
  <c r="G107" i="12"/>
  <c r="G21" i="12"/>
  <c r="G83" i="12"/>
  <c r="G80" i="12"/>
  <c r="G58" i="12"/>
  <c r="K28" i="5"/>
  <c r="O28" i="5"/>
  <c r="S28" i="5"/>
  <c r="W28" i="5"/>
  <c r="D28" i="5"/>
  <c r="R28" i="5"/>
  <c r="U28" i="5"/>
  <c r="X28" i="5"/>
  <c r="N28" i="5"/>
  <c r="Q28" i="5"/>
  <c r="T28" i="5"/>
  <c r="J28" i="5"/>
  <c r="M28" i="5"/>
  <c r="P28" i="5"/>
  <c r="Z28" i="5"/>
  <c r="E28" i="5"/>
  <c r="L28" i="5"/>
  <c r="V28" i="5"/>
  <c r="Y28" i="5"/>
  <c r="E105" i="5"/>
  <c r="M105" i="5"/>
  <c r="Q105" i="5"/>
  <c r="U105" i="5"/>
  <c r="Y105" i="5"/>
  <c r="P105" i="5"/>
  <c r="S105" i="5"/>
  <c r="V105" i="5"/>
  <c r="L105" i="5"/>
  <c r="O105" i="5"/>
  <c r="R105" i="5"/>
  <c r="D105" i="5"/>
  <c r="K105" i="5"/>
  <c r="N105" i="5"/>
  <c r="X105" i="5"/>
  <c r="J105" i="5"/>
  <c r="T105" i="5"/>
  <c r="W105" i="5"/>
  <c r="Z105" i="5"/>
  <c r="D106" i="5"/>
  <c r="L106" i="5"/>
  <c r="P106" i="5"/>
  <c r="T106" i="5"/>
  <c r="X106" i="5"/>
  <c r="J106" i="5"/>
  <c r="M106" i="5"/>
  <c r="W106" i="5"/>
  <c r="Z106" i="5"/>
  <c r="E106" i="5"/>
  <c r="S106" i="5"/>
  <c r="V106" i="5"/>
  <c r="Y106" i="5"/>
  <c r="O106" i="5"/>
  <c r="R106" i="5"/>
  <c r="U106" i="5"/>
  <c r="K106" i="5"/>
  <c r="N106" i="5"/>
  <c r="Q106" i="5"/>
  <c r="D122" i="5"/>
  <c r="J122" i="5"/>
  <c r="E122" i="5"/>
  <c r="K122" i="5"/>
  <c r="M122" i="5"/>
  <c r="N122" i="5"/>
  <c r="O122" i="5"/>
  <c r="L122" i="5"/>
  <c r="P122" i="5"/>
  <c r="Q122" i="5"/>
  <c r="X122" i="5"/>
  <c r="Z122" i="5"/>
  <c r="S122" i="5"/>
  <c r="Y122" i="5"/>
  <c r="R122" i="5"/>
  <c r="V122" i="5"/>
  <c r="W122" i="5"/>
  <c r="T122" i="5"/>
  <c r="U122" i="5"/>
  <c r="D158" i="5"/>
  <c r="Y158" i="5"/>
  <c r="U158" i="5"/>
  <c r="Q158" i="5"/>
  <c r="M158" i="5"/>
  <c r="E158" i="5"/>
  <c r="X158" i="5"/>
  <c r="T158" i="5"/>
  <c r="P158" i="5"/>
  <c r="L158" i="5"/>
  <c r="S158" i="5"/>
  <c r="K158" i="5"/>
  <c r="V158" i="5"/>
  <c r="N158" i="5"/>
  <c r="W158" i="5"/>
  <c r="O158" i="5"/>
  <c r="Z158" i="5"/>
  <c r="R158" i="5"/>
  <c r="J158" i="5"/>
  <c r="D142" i="5"/>
  <c r="J142" i="5"/>
  <c r="K142" i="5"/>
  <c r="M142" i="5"/>
  <c r="E142" i="5"/>
  <c r="L142" i="5"/>
  <c r="R142" i="5"/>
  <c r="N142" i="5"/>
  <c r="O142" i="5"/>
  <c r="V142" i="5"/>
  <c r="W142" i="5"/>
  <c r="X142" i="5"/>
  <c r="Z142" i="5"/>
  <c r="P142" i="5"/>
  <c r="Q142" i="5"/>
  <c r="T142" i="5"/>
  <c r="U142" i="5"/>
  <c r="S142" i="5"/>
  <c r="Y142" i="5"/>
  <c r="E145" i="5"/>
  <c r="N145" i="5"/>
  <c r="P145" i="5"/>
  <c r="R145" i="5"/>
  <c r="T145" i="5"/>
  <c r="V145" i="5"/>
  <c r="Q145" i="5"/>
  <c r="O145" i="5"/>
  <c r="D145" i="5"/>
  <c r="J145" i="5"/>
  <c r="K145" i="5"/>
  <c r="S145" i="5"/>
  <c r="U145" i="5"/>
  <c r="L145" i="5"/>
  <c r="Y145" i="5"/>
  <c r="Z145" i="5"/>
  <c r="X145" i="5"/>
  <c r="M145" i="5"/>
  <c r="W145" i="5"/>
  <c r="E117" i="5"/>
  <c r="K117" i="5"/>
  <c r="N117" i="5"/>
  <c r="P117" i="5"/>
  <c r="R117" i="5"/>
  <c r="T117" i="5"/>
  <c r="V117" i="5"/>
  <c r="O117" i="5"/>
  <c r="D117" i="5"/>
  <c r="J117" i="5"/>
  <c r="Q117" i="5"/>
  <c r="U117" i="5"/>
  <c r="Y117" i="5"/>
  <c r="Z117" i="5"/>
  <c r="L117" i="5"/>
  <c r="S117" i="5"/>
  <c r="X117" i="5"/>
  <c r="M117" i="5"/>
  <c r="W117" i="5"/>
  <c r="E133" i="5"/>
  <c r="J133" i="5"/>
  <c r="N133" i="5"/>
  <c r="P133" i="5"/>
  <c r="R133" i="5"/>
  <c r="T133" i="5"/>
  <c r="V133" i="5"/>
  <c r="K133" i="5"/>
  <c r="O133" i="5"/>
  <c r="D133" i="5"/>
  <c r="L133" i="5"/>
  <c r="M133" i="5"/>
  <c r="Q133" i="5"/>
  <c r="W133" i="5"/>
  <c r="Y133" i="5"/>
  <c r="Z133" i="5"/>
  <c r="U133" i="5"/>
  <c r="X133" i="5"/>
  <c r="S133" i="5"/>
  <c r="D151" i="5"/>
  <c r="E151" i="5"/>
  <c r="M151" i="5"/>
  <c r="O151" i="5"/>
  <c r="Q151" i="5"/>
  <c r="S151" i="5"/>
  <c r="U151" i="5"/>
  <c r="J151" i="5"/>
  <c r="R151" i="5"/>
  <c r="P151" i="5"/>
  <c r="T151" i="5"/>
  <c r="K151" i="5"/>
  <c r="N151" i="5"/>
  <c r="Z151" i="5"/>
  <c r="L151" i="5"/>
  <c r="X151" i="5"/>
  <c r="Y151" i="5"/>
  <c r="V151" i="5"/>
  <c r="W151" i="5"/>
  <c r="D130" i="5"/>
  <c r="J130" i="5"/>
  <c r="K130" i="5"/>
  <c r="M130" i="5"/>
  <c r="E130" i="5"/>
  <c r="R130" i="5"/>
  <c r="P130" i="5"/>
  <c r="Q130" i="5"/>
  <c r="T130" i="5"/>
  <c r="U130" i="5"/>
  <c r="X130" i="5"/>
  <c r="Z130" i="5"/>
  <c r="N130" i="5"/>
  <c r="O130" i="5"/>
  <c r="S130" i="5"/>
  <c r="Y130" i="5"/>
  <c r="L130" i="5"/>
  <c r="V130" i="5"/>
  <c r="W130" i="5"/>
  <c r="E152" i="5"/>
  <c r="L152" i="5"/>
  <c r="K152" i="5"/>
  <c r="D152" i="5"/>
  <c r="J152" i="5"/>
  <c r="Q152" i="5"/>
  <c r="R152" i="5"/>
  <c r="M152" i="5"/>
  <c r="N152" i="5"/>
  <c r="U152" i="5"/>
  <c r="V152" i="5"/>
  <c r="W152" i="5"/>
  <c r="Y152" i="5"/>
  <c r="O152" i="5"/>
  <c r="P152" i="5"/>
  <c r="S152" i="5"/>
  <c r="T152" i="5"/>
  <c r="Z152" i="5"/>
  <c r="X152" i="5"/>
  <c r="E136" i="5"/>
  <c r="L136" i="5"/>
  <c r="D136" i="5"/>
  <c r="K136" i="5"/>
  <c r="M136" i="5"/>
  <c r="Q136" i="5"/>
  <c r="R136" i="5"/>
  <c r="J136" i="5"/>
  <c r="N136" i="5"/>
  <c r="U136" i="5"/>
  <c r="V136" i="5"/>
  <c r="Y136" i="5"/>
  <c r="O136" i="5"/>
  <c r="P136" i="5"/>
  <c r="W136" i="5"/>
  <c r="Z136" i="5"/>
  <c r="S136" i="5"/>
  <c r="T136" i="5"/>
  <c r="X136" i="5"/>
  <c r="E120" i="5"/>
  <c r="K120" i="5"/>
  <c r="L120" i="5"/>
  <c r="D120" i="5"/>
  <c r="M120" i="5"/>
  <c r="Q120" i="5"/>
  <c r="R120" i="5"/>
  <c r="J120" i="5"/>
  <c r="N120" i="5"/>
  <c r="U120" i="5"/>
  <c r="V120" i="5"/>
  <c r="Y120" i="5"/>
  <c r="W120" i="5"/>
  <c r="O120" i="5"/>
  <c r="P120" i="5"/>
  <c r="S120" i="5"/>
  <c r="T120" i="5"/>
  <c r="Z120" i="5"/>
  <c r="X120" i="5"/>
  <c r="Y10" i="5"/>
  <c r="A113" i="5"/>
  <c r="A117" i="5"/>
  <c r="A121" i="5"/>
  <c r="A125" i="5"/>
  <c r="A129" i="5"/>
  <c r="A133" i="5"/>
  <c r="A137" i="5"/>
  <c r="A141" i="5"/>
  <c r="A145" i="5"/>
  <c r="A114" i="5"/>
  <c r="A118" i="5"/>
  <c r="A122" i="5"/>
  <c r="A126" i="5"/>
  <c r="A130" i="5"/>
  <c r="A134" i="5"/>
  <c r="A138" i="5"/>
  <c r="A142" i="5"/>
  <c r="A146" i="5"/>
  <c r="A115" i="5"/>
  <c r="A119" i="5"/>
  <c r="A123" i="5"/>
  <c r="A127" i="5"/>
  <c r="A131" i="5"/>
  <c r="A135" i="5"/>
  <c r="A139" i="5"/>
  <c r="A143" i="5"/>
  <c r="A147" i="5"/>
  <c r="A128" i="5"/>
  <c r="A144" i="5"/>
  <c r="A116" i="5"/>
  <c r="A136" i="5"/>
  <c r="A120" i="5"/>
  <c r="A124" i="5"/>
  <c r="A132" i="5"/>
  <c r="A140" i="5"/>
  <c r="A148" i="5"/>
  <c r="A105" i="5"/>
  <c r="A109" i="5"/>
  <c r="A102" i="5"/>
  <c r="A110" i="5"/>
  <c r="A104" i="5"/>
  <c r="A106" i="5"/>
  <c r="A111" i="5"/>
  <c r="A107" i="5"/>
  <c r="A112" i="5"/>
  <c r="A108" i="5"/>
  <c r="A103" i="5"/>
  <c r="N112" i="5"/>
  <c r="Y112" i="5"/>
  <c r="U112" i="5"/>
  <c r="Q112" i="5"/>
  <c r="M112" i="5"/>
  <c r="S112" i="5"/>
  <c r="K112" i="5"/>
  <c r="V112" i="5"/>
  <c r="E112" i="5"/>
  <c r="X112" i="5"/>
  <c r="T112" i="5"/>
  <c r="P112" i="5"/>
  <c r="L112" i="5"/>
  <c r="D112" i="5"/>
  <c r="W112" i="5"/>
  <c r="O112" i="5"/>
  <c r="Z112" i="5"/>
  <c r="R112" i="5"/>
  <c r="J112" i="5"/>
  <c r="E109" i="5"/>
  <c r="M109" i="5"/>
  <c r="Q109" i="5"/>
  <c r="U109" i="5"/>
  <c r="Y109" i="5"/>
  <c r="L109" i="5"/>
  <c r="O109" i="5"/>
  <c r="R109" i="5"/>
  <c r="D109" i="5"/>
  <c r="K109" i="5"/>
  <c r="N109" i="5"/>
  <c r="X109" i="5"/>
  <c r="J109" i="5"/>
  <c r="T109" i="5"/>
  <c r="W109" i="5"/>
  <c r="Z109" i="5"/>
  <c r="P109" i="5"/>
  <c r="S109" i="5"/>
  <c r="V109" i="5"/>
  <c r="D27" i="5"/>
  <c r="L27" i="5"/>
  <c r="P27" i="5"/>
  <c r="T27" i="5"/>
  <c r="X27" i="5"/>
  <c r="K27" i="5"/>
  <c r="N27" i="5"/>
  <c r="Q27" i="5"/>
  <c r="F27" i="5"/>
  <c r="J27" i="5"/>
  <c r="M27" i="5"/>
  <c r="W27" i="5"/>
  <c r="Z27" i="5"/>
  <c r="E27" i="5"/>
  <c r="S27" i="5"/>
  <c r="V27" i="5"/>
  <c r="Y27" i="5"/>
  <c r="O27" i="5"/>
  <c r="R27" i="5"/>
  <c r="U27" i="5"/>
  <c r="E149" i="5"/>
  <c r="D149" i="5"/>
  <c r="N149" i="5"/>
  <c r="P149" i="5"/>
  <c r="R149" i="5"/>
  <c r="T149" i="5"/>
  <c r="V149" i="5"/>
  <c r="L149" i="5"/>
  <c r="O149" i="5"/>
  <c r="K149" i="5"/>
  <c r="M149" i="5"/>
  <c r="J149" i="5"/>
  <c r="Q149" i="5"/>
  <c r="Y149" i="5"/>
  <c r="Z149" i="5"/>
  <c r="W149" i="5"/>
  <c r="X149" i="5"/>
  <c r="U149" i="5"/>
  <c r="S149" i="5"/>
  <c r="D143" i="5"/>
  <c r="E143" i="5"/>
  <c r="J143" i="5"/>
  <c r="M143" i="5"/>
  <c r="O143" i="5"/>
  <c r="Q143" i="5"/>
  <c r="S143" i="5"/>
  <c r="U143" i="5"/>
  <c r="W143" i="5"/>
  <c r="N143" i="5"/>
  <c r="K143" i="5"/>
  <c r="L143" i="5"/>
  <c r="P143" i="5"/>
  <c r="X143" i="5"/>
  <c r="Y143" i="5"/>
  <c r="R143" i="5"/>
  <c r="V143" i="5"/>
  <c r="T143" i="5"/>
  <c r="Z143" i="5"/>
  <c r="D127" i="5"/>
  <c r="E127" i="5"/>
  <c r="J127" i="5"/>
  <c r="M127" i="5"/>
  <c r="O127" i="5"/>
  <c r="Q127" i="5"/>
  <c r="S127" i="5"/>
  <c r="U127" i="5"/>
  <c r="W127" i="5"/>
  <c r="K127" i="5"/>
  <c r="L127" i="5"/>
  <c r="N127" i="5"/>
  <c r="P127" i="5"/>
  <c r="X127" i="5"/>
  <c r="Y127" i="5"/>
  <c r="V127" i="5"/>
  <c r="T127" i="5"/>
  <c r="R127" i="5"/>
  <c r="Z127" i="5"/>
  <c r="D138" i="5"/>
  <c r="J138" i="5"/>
  <c r="E138" i="5"/>
  <c r="K138" i="5"/>
  <c r="M138" i="5"/>
  <c r="N138" i="5"/>
  <c r="O138" i="5"/>
  <c r="P138" i="5"/>
  <c r="Q138" i="5"/>
  <c r="X138" i="5"/>
  <c r="Z138" i="5"/>
  <c r="L138" i="5"/>
  <c r="T138" i="5"/>
  <c r="U138" i="5"/>
  <c r="Y138" i="5"/>
  <c r="R138" i="5"/>
  <c r="S138" i="5"/>
  <c r="V138" i="5"/>
  <c r="W138" i="5"/>
  <c r="D154" i="5"/>
  <c r="Z154" i="5"/>
  <c r="Y154" i="5"/>
  <c r="U154" i="5"/>
  <c r="Q154" i="5"/>
  <c r="M154" i="5"/>
  <c r="E154" i="5"/>
  <c r="X154" i="5"/>
  <c r="T154" i="5"/>
  <c r="P154" i="5"/>
  <c r="L154" i="5"/>
  <c r="W154" i="5"/>
  <c r="S154" i="5"/>
  <c r="O154" i="5"/>
  <c r="K154" i="5"/>
  <c r="V154" i="5"/>
  <c r="R154" i="5"/>
  <c r="N154" i="5"/>
  <c r="J154" i="5"/>
  <c r="D126" i="5"/>
  <c r="J126" i="5"/>
  <c r="K126" i="5"/>
  <c r="M126" i="5"/>
  <c r="L126" i="5"/>
  <c r="E126" i="5"/>
  <c r="R126" i="5"/>
  <c r="N126" i="5"/>
  <c r="O126" i="5"/>
  <c r="V126" i="5"/>
  <c r="W126" i="5"/>
  <c r="X126" i="5"/>
  <c r="Z126" i="5"/>
  <c r="T126" i="5"/>
  <c r="U126" i="5"/>
  <c r="S126" i="5"/>
  <c r="P126" i="5"/>
  <c r="Q126" i="5"/>
  <c r="Y126" i="5"/>
  <c r="D146" i="5"/>
  <c r="J146" i="5"/>
  <c r="K146" i="5"/>
  <c r="R146" i="5"/>
  <c r="P146" i="5"/>
  <c r="Q146" i="5"/>
  <c r="E146" i="5"/>
  <c r="L146" i="5"/>
  <c r="M146" i="5"/>
  <c r="T146" i="5"/>
  <c r="U146" i="5"/>
  <c r="X146" i="5"/>
  <c r="Z146" i="5"/>
  <c r="V146" i="5"/>
  <c r="W146" i="5"/>
  <c r="S146" i="5"/>
  <c r="Y146" i="5"/>
  <c r="N146" i="5"/>
  <c r="O146" i="5"/>
  <c r="J125" i="5"/>
  <c r="K125" i="5"/>
  <c r="N125" i="5"/>
  <c r="P125" i="5"/>
  <c r="R125" i="5"/>
  <c r="T125" i="5"/>
  <c r="V125" i="5"/>
  <c r="E125" i="5"/>
  <c r="D125" i="5"/>
  <c r="Q125" i="5"/>
  <c r="L125" i="5"/>
  <c r="M125" i="5"/>
  <c r="U125" i="5"/>
  <c r="W125" i="5"/>
  <c r="S125" i="5"/>
  <c r="Y125" i="5"/>
  <c r="Z125" i="5"/>
  <c r="O125" i="5"/>
  <c r="X125" i="5"/>
  <c r="E148" i="5"/>
  <c r="D148" i="5"/>
  <c r="J148" i="5"/>
  <c r="L148" i="5"/>
  <c r="K148" i="5"/>
  <c r="M148" i="5"/>
  <c r="N148" i="5"/>
  <c r="O148" i="5"/>
  <c r="P148" i="5"/>
  <c r="W148" i="5"/>
  <c r="Y148" i="5"/>
  <c r="X148" i="5"/>
  <c r="U148" i="5"/>
  <c r="V148" i="5"/>
  <c r="S148" i="5"/>
  <c r="T148" i="5"/>
  <c r="Q148" i="5"/>
  <c r="R148" i="5"/>
  <c r="Z148" i="5"/>
  <c r="E132" i="5"/>
  <c r="D132" i="5"/>
  <c r="J132" i="5"/>
  <c r="L132" i="5"/>
  <c r="M132" i="5"/>
  <c r="N132" i="5"/>
  <c r="K132" i="5"/>
  <c r="O132" i="5"/>
  <c r="P132" i="5"/>
  <c r="W132" i="5"/>
  <c r="Y132" i="5"/>
  <c r="Q132" i="5"/>
  <c r="R132" i="5"/>
  <c r="U132" i="5"/>
  <c r="V132" i="5"/>
  <c r="X132" i="5"/>
  <c r="S132" i="5"/>
  <c r="T132" i="5"/>
  <c r="Z132" i="5"/>
  <c r="E116" i="5"/>
  <c r="K116" i="5"/>
  <c r="D116" i="5"/>
  <c r="J116" i="5"/>
  <c r="L116" i="5"/>
  <c r="M116" i="5"/>
  <c r="N116" i="5"/>
  <c r="S116" i="5"/>
  <c r="O116" i="5"/>
  <c r="P116" i="5"/>
  <c r="W116" i="5"/>
  <c r="Y116" i="5"/>
  <c r="T116" i="5"/>
  <c r="X116" i="5"/>
  <c r="Q116" i="5"/>
  <c r="R116" i="5"/>
  <c r="U116" i="5"/>
  <c r="V116" i="5"/>
  <c r="Z116" i="5"/>
  <c r="O113" i="5"/>
  <c r="Z113" i="5"/>
  <c r="V113" i="5"/>
  <c r="R113" i="5"/>
  <c r="N113" i="5"/>
  <c r="J113" i="5"/>
  <c r="T113" i="5"/>
  <c r="L113" i="5"/>
  <c r="Y113" i="5"/>
  <c r="U113" i="5"/>
  <c r="Q113" i="5"/>
  <c r="M113" i="5"/>
  <c r="E113" i="5"/>
  <c r="X113" i="5"/>
  <c r="P113" i="5"/>
  <c r="D113" i="5"/>
  <c r="W113" i="5"/>
  <c r="S113" i="5"/>
  <c r="K113" i="5"/>
  <c r="K107" i="5"/>
  <c r="O107" i="5"/>
  <c r="S107" i="5"/>
  <c r="W107" i="5"/>
  <c r="N107" i="5"/>
  <c r="Q107" i="5"/>
  <c r="T107" i="5"/>
  <c r="J107" i="5"/>
  <c r="M107" i="5"/>
  <c r="P107" i="5"/>
  <c r="Z107" i="5"/>
  <c r="E107" i="5"/>
  <c r="L107" i="5"/>
  <c r="V107" i="5"/>
  <c r="Y107" i="5"/>
  <c r="D107" i="5"/>
  <c r="R107" i="5"/>
  <c r="U107" i="5"/>
  <c r="X107" i="5"/>
  <c r="J32" i="5"/>
  <c r="N32" i="5"/>
  <c r="R32" i="5"/>
  <c r="V32" i="5"/>
  <c r="Z32" i="5"/>
  <c r="E32" i="5"/>
  <c r="L32" i="5"/>
  <c r="O32" i="5"/>
  <c r="Y32" i="5"/>
  <c r="D32" i="5"/>
  <c r="K32" i="5"/>
  <c r="U32" i="5"/>
  <c r="X32" i="5"/>
  <c r="Q32" i="5"/>
  <c r="T32" i="5"/>
  <c r="W32" i="5"/>
  <c r="M32" i="5"/>
  <c r="P32" i="5"/>
  <c r="S32" i="5"/>
  <c r="D150" i="5"/>
  <c r="J150" i="5"/>
  <c r="K150" i="5"/>
  <c r="E150" i="5"/>
  <c r="P150" i="5"/>
  <c r="Q150" i="5"/>
  <c r="L150" i="5"/>
  <c r="N150" i="5"/>
  <c r="O150" i="5"/>
  <c r="R150" i="5"/>
  <c r="S150" i="5"/>
  <c r="X150" i="5"/>
  <c r="Z150" i="5"/>
  <c r="M150" i="5"/>
  <c r="Y150" i="5"/>
  <c r="V150" i="5"/>
  <c r="W150" i="5"/>
  <c r="T150" i="5"/>
  <c r="U150" i="5"/>
  <c r="D134" i="5"/>
  <c r="J134" i="5"/>
  <c r="K134" i="5"/>
  <c r="M134" i="5"/>
  <c r="L134" i="5"/>
  <c r="P134" i="5"/>
  <c r="Q134" i="5"/>
  <c r="N134" i="5"/>
  <c r="O134" i="5"/>
  <c r="E134" i="5"/>
  <c r="R134" i="5"/>
  <c r="S134" i="5"/>
  <c r="X134" i="5"/>
  <c r="Z134" i="5"/>
  <c r="V134" i="5"/>
  <c r="W134" i="5"/>
  <c r="Y134" i="5"/>
  <c r="T134" i="5"/>
  <c r="U134" i="5"/>
  <c r="D129" i="5"/>
  <c r="E129" i="5"/>
  <c r="N129" i="5"/>
  <c r="P129" i="5"/>
  <c r="R129" i="5"/>
  <c r="T129" i="5"/>
  <c r="V129" i="5"/>
  <c r="Q129" i="5"/>
  <c r="L129" i="5"/>
  <c r="M129" i="5"/>
  <c r="O129" i="5"/>
  <c r="K129" i="5"/>
  <c r="J129" i="5"/>
  <c r="S129" i="5"/>
  <c r="Y129" i="5"/>
  <c r="Z129" i="5"/>
  <c r="W129" i="5"/>
  <c r="X129" i="5"/>
  <c r="U129" i="5"/>
  <c r="D159" i="5"/>
  <c r="W159" i="5"/>
  <c r="S159" i="5"/>
  <c r="O159" i="5"/>
  <c r="K159" i="5"/>
  <c r="Z159" i="5"/>
  <c r="V159" i="5"/>
  <c r="R159" i="5"/>
  <c r="N159" i="5"/>
  <c r="J159" i="5"/>
  <c r="Y159" i="5"/>
  <c r="T159" i="5"/>
  <c r="L159" i="5"/>
  <c r="U159" i="5"/>
  <c r="Q159" i="5"/>
  <c r="M159" i="5"/>
  <c r="E159" i="5"/>
  <c r="X159" i="5"/>
  <c r="P159" i="5"/>
  <c r="K131" i="5"/>
  <c r="L131" i="5"/>
  <c r="O131" i="5"/>
  <c r="Q131" i="5"/>
  <c r="S131" i="5"/>
  <c r="U131" i="5"/>
  <c r="W131" i="5"/>
  <c r="J131" i="5"/>
  <c r="R131" i="5"/>
  <c r="D131" i="5"/>
  <c r="E131" i="5"/>
  <c r="N131" i="5"/>
  <c r="V131" i="5"/>
  <c r="P131" i="5"/>
  <c r="T131" i="5"/>
  <c r="M131" i="5"/>
  <c r="Z131" i="5"/>
  <c r="X131" i="5"/>
  <c r="Y131" i="5"/>
  <c r="J147" i="5"/>
  <c r="K147" i="5"/>
  <c r="L147" i="5"/>
  <c r="M147" i="5"/>
  <c r="O147" i="5"/>
  <c r="Q147" i="5"/>
  <c r="S147" i="5"/>
  <c r="U147" i="5"/>
  <c r="W147" i="5"/>
  <c r="R147" i="5"/>
  <c r="D147" i="5"/>
  <c r="E147" i="5"/>
  <c r="N147" i="5"/>
  <c r="V147" i="5"/>
  <c r="T147" i="5"/>
  <c r="Z147" i="5"/>
  <c r="P147" i="5"/>
  <c r="X147" i="5"/>
  <c r="Y147" i="5"/>
  <c r="D118" i="5"/>
  <c r="J118" i="5"/>
  <c r="M118" i="5"/>
  <c r="K118" i="5"/>
  <c r="P118" i="5"/>
  <c r="Q118" i="5"/>
  <c r="N118" i="5"/>
  <c r="O118" i="5"/>
  <c r="E118" i="5"/>
  <c r="L118" i="5"/>
  <c r="R118" i="5"/>
  <c r="S118" i="5"/>
  <c r="X118" i="5"/>
  <c r="Z118" i="5"/>
  <c r="V118" i="5"/>
  <c r="W118" i="5"/>
  <c r="T118" i="5"/>
  <c r="U118" i="5"/>
  <c r="Y118" i="5"/>
  <c r="D141" i="5"/>
  <c r="K141" i="5"/>
  <c r="N141" i="5"/>
  <c r="P141" i="5"/>
  <c r="R141" i="5"/>
  <c r="T141" i="5"/>
  <c r="V141" i="5"/>
  <c r="J141" i="5"/>
  <c r="L141" i="5"/>
  <c r="M141" i="5"/>
  <c r="E141" i="5"/>
  <c r="Q141" i="5"/>
  <c r="U141" i="5"/>
  <c r="W141" i="5"/>
  <c r="O141" i="5"/>
  <c r="S141" i="5"/>
  <c r="Y141" i="5"/>
  <c r="Z141" i="5"/>
  <c r="X141" i="5"/>
  <c r="J119" i="5"/>
  <c r="K119" i="5"/>
  <c r="O119" i="5"/>
  <c r="Q119" i="5"/>
  <c r="S119" i="5"/>
  <c r="U119" i="5"/>
  <c r="W119" i="5"/>
  <c r="L119" i="5"/>
  <c r="R119" i="5"/>
  <c r="P119" i="5"/>
  <c r="D119" i="5"/>
  <c r="E119" i="5"/>
  <c r="M119" i="5"/>
  <c r="T119" i="5"/>
  <c r="V119" i="5"/>
  <c r="Z119" i="5"/>
  <c r="N119" i="5"/>
  <c r="X119" i="5"/>
  <c r="Y119" i="5"/>
  <c r="E144" i="5"/>
  <c r="L144" i="5"/>
  <c r="D144" i="5"/>
  <c r="O144" i="5"/>
  <c r="P144" i="5"/>
  <c r="J144" i="5"/>
  <c r="M144" i="5"/>
  <c r="N144" i="5"/>
  <c r="K144" i="5"/>
  <c r="Q144" i="5"/>
  <c r="R144" i="5"/>
  <c r="Y144" i="5"/>
  <c r="S144" i="5"/>
  <c r="T144" i="5"/>
  <c r="Z144" i="5"/>
  <c r="X144" i="5"/>
  <c r="W144" i="5"/>
  <c r="U144" i="5"/>
  <c r="V144" i="5"/>
  <c r="E128" i="5"/>
  <c r="L128" i="5"/>
  <c r="D128" i="5"/>
  <c r="M128" i="5"/>
  <c r="O128" i="5"/>
  <c r="P128" i="5"/>
  <c r="K128" i="5"/>
  <c r="N128" i="5"/>
  <c r="J128" i="5"/>
  <c r="Q128" i="5"/>
  <c r="R128" i="5"/>
  <c r="Y128" i="5"/>
  <c r="Z128" i="5"/>
  <c r="W128" i="5"/>
  <c r="X128" i="5"/>
  <c r="U128" i="5"/>
  <c r="V128" i="5"/>
  <c r="S128" i="5"/>
  <c r="T128" i="5"/>
  <c r="D115" i="5"/>
  <c r="E115" i="5"/>
  <c r="L115" i="5"/>
  <c r="O115" i="5"/>
  <c r="Q115" i="5"/>
  <c r="S115" i="5"/>
  <c r="U115" i="5"/>
  <c r="W115" i="5"/>
  <c r="J115" i="5"/>
  <c r="M115" i="5"/>
  <c r="R115" i="5"/>
  <c r="K115" i="5"/>
  <c r="N115" i="5"/>
  <c r="V115" i="5"/>
  <c r="P115" i="5"/>
  <c r="Z115" i="5"/>
  <c r="T115" i="5"/>
  <c r="X115" i="5"/>
  <c r="Y115" i="5"/>
  <c r="J108" i="5"/>
  <c r="N108" i="5"/>
  <c r="R108" i="5"/>
  <c r="V108" i="5"/>
  <c r="Z108" i="5"/>
  <c r="D108" i="5"/>
  <c r="K108" i="5"/>
  <c r="U108" i="5"/>
  <c r="X108" i="5"/>
  <c r="Q108" i="5"/>
  <c r="T108" i="5"/>
  <c r="W108" i="5"/>
  <c r="M108" i="5"/>
  <c r="P108" i="5"/>
  <c r="S108" i="5"/>
  <c r="E108" i="5"/>
  <c r="L108" i="5"/>
  <c r="O108" i="5"/>
  <c r="Y108" i="5"/>
  <c r="Q111" i="5"/>
  <c r="E111" i="5"/>
  <c r="X111" i="5"/>
  <c r="T111" i="5"/>
  <c r="P111" i="5"/>
  <c r="L111" i="5"/>
  <c r="V111" i="5"/>
  <c r="N111" i="5"/>
  <c r="Y111" i="5"/>
  <c r="M111" i="5"/>
  <c r="D111" i="5"/>
  <c r="W111" i="5"/>
  <c r="S111" i="5"/>
  <c r="O111" i="5"/>
  <c r="K111" i="5"/>
  <c r="Z111" i="5"/>
  <c r="R111" i="5"/>
  <c r="J111" i="5"/>
  <c r="U111" i="5"/>
  <c r="D110" i="5"/>
  <c r="L110" i="5"/>
  <c r="P110" i="5"/>
  <c r="T110" i="5"/>
  <c r="X110" i="5"/>
  <c r="E110" i="5"/>
  <c r="S110" i="5"/>
  <c r="V110" i="5"/>
  <c r="Y110" i="5"/>
  <c r="O110" i="5"/>
  <c r="R110" i="5"/>
  <c r="U110" i="5"/>
  <c r="K110" i="5"/>
  <c r="N110" i="5"/>
  <c r="Q110" i="5"/>
  <c r="J110" i="5"/>
  <c r="M110" i="5"/>
  <c r="W110" i="5"/>
  <c r="Z110" i="5"/>
  <c r="D137" i="5"/>
  <c r="J137" i="5"/>
  <c r="E137" i="5"/>
  <c r="L137" i="5"/>
  <c r="M137" i="5"/>
  <c r="N137" i="5"/>
  <c r="P137" i="5"/>
  <c r="R137" i="5"/>
  <c r="T137" i="5"/>
  <c r="V137" i="5"/>
  <c r="K137" i="5"/>
  <c r="O137" i="5"/>
  <c r="W137" i="5"/>
  <c r="S137" i="5"/>
  <c r="X137" i="5"/>
  <c r="Q137" i="5"/>
  <c r="U137" i="5"/>
  <c r="Y137" i="5"/>
  <c r="Z137" i="5"/>
  <c r="D121" i="5"/>
  <c r="J121" i="5"/>
  <c r="E121" i="5"/>
  <c r="L121" i="5"/>
  <c r="M121" i="5"/>
  <c r="N121" i="5"/>
  <c r="P121" i="5"/>
  <c r="R121" i="5"/>
  <c r="T121" i="5"/>
  <c r="V121" i="5"/>
  <c r="K121" i="5"/>
  <c r="O121" i="5"/>
  <c r="W121" i="5"/>
  <c r="X121" i="5"/>
  <c r="Q121" i="5"/>
  <c r="U121" i="5"/>
  <c r="S121" i="5"/>
  <c r="Y121" i="5"/>
  <c r="Z121" i="5"/>
  <c r="D155" i="5"/>
  <c r="T155" i="5"/>
  <c r="W155" i="5"/>
  <c r="S155" i="5"/>
  <c r="O155" i="5"/>
  <c r="K155" i="5"/>
  <c r="Z155" i="5"/>
  <c r="V155" i="5"/>
  <c r="R155" i="5"/>
  <c r="N155" i="5"/>
  <c r="J155" i="5"/>
  <c r="Y155" i="5"/>
  <c r="U155" i="5"/>
  <c r="Q155" i="5"/>
  <c r="M155" i="5"/>
  <c r="E155" i="5"/>
  <c r="X155" i="5"/>
  <c r="P155" i="5"/>
  <c r="L155" i="5"/>
  <c r="D153" i="5"/>
  <c r="J153" i="5"/>
  <c r="L153" i="5"/>
  <c r="N153" i="5"/>
  <c r="P153" i="5"/>
  <c r="R153" i="5"/>
  <c r="T153" i="5"/>
  <c r="V153" i="5"/>
  <c r="E153" i="5"/>
  <c r="M153" i="5"/>
  <c r="K153" i="5"/>
  <c r="O153" i="5"/>
  <c r="Q153" i="5"/>
  <c r="U153" i="5"/>
  <c r="W153" i="5"/>
  <c r="X153" i="5"/>
  <c r="S153" i="5"/>
  <c r="Y153" i="5"/>
  <c r="Z153" i="5"/>
  <c r="D123" i="5"/>
  <c r="E123" i="5"/>
  <c r="O123" i="5"/>
  <c r="Q123" i="5"/>
  <c r="S123" i="5"/>
  <c r="U123" i="5"/>
  <c r="W123" i="5"/>
  <c r="J123" i="5"/>
  <c r="P123" i="5"/>
  <c r="M123" i="5"/>
  <c r="N123" i="5"/>
  <c r="K123" i="5"/>
  <c r="R123" i="5"/>
  <c r="T123" i="5"/>
  <c r="Z123" i="5"/>
  <c r="X123" i="5"/>
  <c r="Y123" i="5"/>
  <c r="L123" i="5"/>
  <c r="V123" i="5"/>
  <c r="O139" i="5"/>
  <c r="Q139" i="5"/>
  <c r="S139" i="5"/>
  <c r="U139" i="5"/>
  <c r="W139" i="5"/>
  <c r="D139" i="5"/>
  <c r="E139" i="5"/>
  <c r="P139" i="5"/>
  <c r="N139" i="5"/>
  <c r="J139" i="5"/>
  <c r="K139" i="5"/>
  <c r="L139" i="5"/>
  <c r="R139" i="5"/>
  <c r="V139" i="5"/>
  <c r="Z139" i="5"/>
  <c r="T139" i="5"/>
  <c r="X139" i="5"/>
  <c r="Y139" i="5"/>
  <c r="M139" i="5"/>
  <c r="J157" i="5"/>
  <c r="M157" i="5"/>
  <c r="O157" i="5"/>
  <c r="Q157" i="5"/>
  <c r="S157" i="5"/>
  <c r="U157" i="5"/>
  <c r="K157" i="5"/>
  <c r="L157" i="5"/>
  <c r="P157" i="5"/>
  <c r="D157" i="5"/>
  <c r="E157" i="5"/>
  <c r="N157" i="5"/>
  <c r="R157" i="5"/>
  <c r="Z157" i="5"/>
  <c r="V157" i="5"/>
  <c r="X157" i="5"/>
  <c r="Y157" i="5"/>
  <c r="T157" i="5"/>
  <c r="W157" i="5"/>
  <c r="D135" i="5"/>
  <c r="E135" i="5"/>
  <c r="O135" i="5"/>
  <c r="Q135" i="5"/>
  <c r="S135" i="5"/>
  <c r="U135" i="5"/>
  <c r="W135" i="5"/>
  <c r="M135" i="5"/>
  <c r="R135" i="5"/>
  <c r="J135" i="5"/>
  <c r="K135" i="5"/>
  <c r="L135" i="5"/>
  <c r="P135" i="5"/>
  <c r="T135" i="5"/>
  <c r="N135" i="5"/>
  <c r="Z135" i="5"/>
  <c r="V135" i="5"/>
  <c r="X135" i="5"/>
  <c r="Y135" i="5"/>
  <c r="D156" i="5"/>
  <c r="J156" i="5"/>
  <c r="E156" i="5"/>
  <c r="K156" i="5"/>
  <c r="N156" i="5"/>
  <c r="O156" i="5"/>
  <c r="M156" i="5"/>
  <c r="L156" i="5"/>
  <c r="P156" i="5"/>
  <c r="Q156" i="5"/>
  <c r="X156" i="5"/>
  <c r="Z156" i="5"/>
  <c r="R156" i="5"/>
  <c r="V156" i="5"/>
  <c r="Y156" i="5"/>
  <c r="T156" i="5"/>
  <c r="U156" i="5"/>
  <c r="W156" i="5"/>
  <c r="S156" i="5"/>
  <c r="E140" i="5"/>
  <c r="L140" i="5"/>
  <c r="J140" i="5"/>
  <c r="K140" i="5"/>
  <c r="Q140" i="5"/>
  <c r="R140" i="5"/>
  <c r="D140" i="5"/>
  <c r="O140" i="5"/>
  <c r="P140" i="5"/>
  <c r="M140" i="5"/>
  <c r="S140" i="5"/>
  <c r="T140" i="5"/>
  <c r="Y140" i="5"/>
  <c r="W140" i="5"/>
  <c r="U140" i="5"/>
  <c r="V140" i="5"/>
  <c r="Z140" i="5"/>
  <c r="N140" i="5"/>
  <c r="X140" i="5"/>
  <c r="E124" i="5"/>
  <c r="L124" i="5"/>
  <c r="D124" i="5"/>
  <c r="Q124" i="5"/>
  <c r="R124" i="5"/>
  <c r="J124" i="5"/>
  <c r="O124" i="5"/>
  <c r="P124" i="5"/>
  <c r="K124" i="5"/>
  <c r="S124" i="5"/>
  <c r="T124" i="5"/>
  <c r="Y124" i="5"/>
  <c r="M124" i="5"/>
  <c r="U124" i="5"/>
  <c r="V124" i="5"/>
  <c r="Z124" i="5"/>
  <c r="X124" i="5"/>
  <c r="N124" i="5"/>
  <c r="W124" i="5"/>
  <c r="D114" i="5"/>
  <c r="J114" i="5"/>
  <c r="M114" i="5"/>
  <c r="E114" i="5"/>
  <c r="R114" i="5"/>
  <c r="S114" i="5"/>
  <c r="L114" i="5"/>
  <c r="P114" i="5"/>
  <c r="Q114" i="5"/>
  <c r="K114" i="5"/>
  <c r="T114" i="5"/>
  <c r="U114" i="5"/>
  <c r="X114" i="5"/>
  <c r="Z114" i="5"/>
  <c r="N114" i="5"/>
  <c r="O114" i="5"/>
  <c r="V114" i="5"/>
  <c r="W114" i="5"/>
  <c r="Y114" i="5"/>
  <c r="G31" i="12"/>
  <c r="R17" i="5"/>
  <c r="J17" i="5"/>
  <c r="G23" i="12"/>
  <c r="G90" i="12"/>
  <c r="G38" i="12"/>
  <c r="G29" i="12"/>
  <c r="G35" i="12"/>
  <c r="G30" i="12"/>
  <c r="G61" i="12"/>
  <c r="G88" i="12"/>
  <c r="G11" i="12"/>
  <c r="G53" i="12"/>
  <c r="G55" i="12"/>
  <c r="G24" i="12"/>
  <c r="G94" i="12"/>
  <c r="G51" i="12"/>
  <c r="G65" i="12"/>
  <c r="G12" i="12"/>
  <c r="G71" i="12"/>
  <c r="G41" i="12"/>
  <c r="G99" i="12"/>
  <c r="G70" i="12"/>
  <c r="G69" i="12"/>
  <c r="G73" i="12"/>
  <c r="G105" i="12"/>
  <c r="G36" i="12"/>
  <c r="G17" i="12"/>
  <c r="G96" i="12"/>
  <c r="G47" i="12"/>
  <c r="G46" i="12"/>
  <c r="G43" i="12"/>
  <c r="G87" i="12"/>
  <c r="G93" i="12"/>
  <c r="G63" i="12"/>
  <c r="G67" i="12"/>
  <c r="G97" i="12"/>
  <c r="G26" i="12"/>
  <c r="G103" i="12"/>
  <c r="G64" i="12"/>
  <c r="G77" i="12"/>
  <c r="G18" i="12"/>
  <c r="G16" i="12"/>
  <c r="G42" i="12"/>
  <c r="G40" i="12"/>
  <c r="G52" i="12"/>
  <c r="G91" i="12"/>
  <c r="G100" i="12"/>
  <c r="G50" i="12"/>
  <c r="G27" i="12"/>
  <c r="G56" i="12"/>
  <c r="G13" i="12"/>
  <c r="G92" i="12"/>
  <c r="G86" i="12"/>
  <c r="G95" i="12"/>
  <c r="G48" i="12"/>
  <c r="G28" i="12"/>
  <c r="G33" i="12"/>
  <c r="G81" i="12"/>
  <c r="G82" i="12"/>
  <c r="G57" i="12"/>
  <c r="G102" i="12"/>
  <c r="G62" i="12"/>
  <c r="G75" i="12"/>
  <c r="G76" i="12"/>
  <c r="G85" i="12"/>
  <c r="G45" i="12"/>
  <c r="G72" i="12"/>
  <c r="G74" i="12"/>
  <c r="G89" i="12"/>
  <c r="G15" i="12"/>
  <c r="G25" i="12"/>
  <c r="G54" i="12"/>
  <c r="G68" i="12"/>
  <c r="G98" i="12"/>
  <c r="G20" i="12"/>
  <c r="G37" i="12"/>
  <c r="G101" i="12"/>
  <c r="G34" i="12"/>
  <c r="G10" i="12"/>
  <c r="G22" i="12"/>
  <c r="G59" i="12"/>
  <c r="G79" i="12"/>
  <c r="G66" i="12"/>
  <c r="G106" i="12"/>
  <c r="G32" i="12"/>
  <c r="G104" i="12"/>
  <c r="H9" i="12"/>
  <c r="K9" i="12"/>
  <c r="G9" i="12"/>
  <c r="D9" i="12"/>
  <c r="I9" i="12" s="1"/>
  <c r="W10" i="5"/>
  <c r="D37" i="5"/>
  <c r="M10" i="5"/>
  <c r="P10" i="5"/>
  <c r="O37" i="5"/>
  <c r="X29" i="5"/>
  <c r="D10" i="5"/>
  <c r="T10" i="5"/>
  <c r="Q10" i="5"/>
  <c r="N29" i="5"/>
  <c r="S10" i="5"/>
  <c r="S67" i="5"/>
  <c r="O21" i="5"/>
  <c r="K21" i="5"/>
  <c r="O10" i="5"/>
  <c r="K10" i="5"/>
  <c r="J26" i="5"/>
  <c r="R26" i="5"/>
  <c r="F25" i="5"/>
  <c r="I25" i="5" s="1"/>
  <c r="R25" i="5"/>
  <c r="P99" i="5"/>
  <c r="R99" i="5"/>
  <c r="J12" i="5"/>
  <c r="R12" i="5"/>
  <c r="J104" i="5"/>
  <c r="R104" i="5"/>
  <c r="J103" i="5"/>
  <c r="R103" i="5"/>
  <c r="J5" i="5"/>
  <c r="R5" i="5"/>
  <c r="J20" i="5"/>
  <c r="R20" i="5"/>
  <c r="J15" i="5"/>
  <c r="R15" i="5"/>
  <c r="J19" i="5"/>
  <c r="R19" i="5"/>
  <c r="J101" i="5"/>
  <c r="R101" i="5"/>
  <c r="J13" i="5"/>
  <c r="R13" i="5"/>
  <c r="J6" i="5"/>
  <c r="R6" i="5"/>
  <c r="J22" i="5"/>
  <c r="R22" i="5"/>
  <c r="Q24" i="5"/>
  <c r="R24" i="5"/>
  <c r="J98" i="5"/>
  <c r="R98" i="5"/>
  <c r="S18" i="5"/>
  <c r="R18" i="5"/>
  <c r="U21" i="5"/>
  <c r="R21" i="5"/>
  <c r="J4" i="5"/>
  <c r="R4" i="5"/>
  <c r="N102" i="5"/>
  <c r="R102" i="5"/>
  <c r="J81" i="5"/>
  <c r="R81" i="5"/>
  <c r="J46" i="5"/>
  <c r="R46" i="5"/>
  <c r="J62" i="5"/>
  <c r="R62" i="5"/>
  <c r="J85" i="5"/>
  <c r="R85" i="5"/>
  <c r="J8" i="5"/>
  <c r="R8" i="5"/>
  <c r="J94" i="5"/>
  <c r="R94" i="5"/>
  <c r="J3" i="5"/>
  <c r="R3" i="5"/>
  <c r="J16" i="5"/>
  <c r="R16" i="5"/>
  <c r="J63" i="5"/>
  <c r="R63" i="5"/>
  <c r="J59" i="5"/>
  <c r="R59" i="5"/>
  <c r="J58" i="5"/>
  <c r="R58" i="5"/>
  <c r="J89" i="5"/>
  <c r="R89" i="5"/>
  <c r="N56" i="5"/>
  <c r="R56" i="5"/>
  <c r="E61" i="5"/>
  <c r="R61" i="5"/>
  <c r="Y65" i="5"/>
  <c r="R65" i="5"/>
  <c r="W42" i="5"/>
  <c r="R42" i="5"/>
  <c r="L73" i="5"/>
  <c r="R73" i="5"/>
  <c r="S36" i="5"/>
  <c r="R36" i="5"/>
  <c r="L10" i="5"/>
  <c r="R10" i="5"/>
  <c r="J39" i="5"/>
  <c r="R39" i="5"/>
  <c r="J51" i="5"/>
  <c r="R51" i="5"/>
  <c r="J77" i="5"/>
  <c r="R77" i="5"/>
  <c r="J54" i="5"/>
  <c r="R54" i="5"/>
  <c r="J23" i="5"/>
  <c r="R23" i="5"/>
  <c r="J82" i="5"/>
  <c r="R82" i="5"/>
  <c r="J79" i="5"/>
  <c r="R79" i="5"/>
  <c r="J45" i="5"/>
  <c r="R45" i="5"/>
  <c r="X88" i="5"/>
  <c r="R88" i="5"/>
  <c r="S74" i="5"/>
  <c r="R74" i="5"/>
  <c r="S80" i="5"/>
  <c r="R80" i="5"/>
  <c r="V71" i="5"/>
  <c r="R71" i="5"/>
  <c r="S38" i="5"/>
  <c r="R38" i="5"/>
  <c r="E92" i="5"/>
  <c r="R92" i="5"/>
  <c r="S70" i="5"/>
  <c r="R70" i="5"/>
  <c r="X86" i="5"/>
  <c r="R86" i="5"/>
  <c r="Q33" i="5"/>
  <c r="R33" i="5"/>
  <c r="T47" i="5"/>
  <c r="R47" i="5"/>
  <c r="F40" i="5"/>
  <c r="I40" i="5" s="1"/>
  <c r="R40" i="5"/>
  <c r="J90" i="5"/>
  <c r="R90" i="5"/>
  <c r="J97" i="5"/>
  <c r="R97" i="5"/>
  <c r="J57" i="5"/>
  <c r="R57" i="5"/>
  <c r="J53" i="5"/>
  <c r="R53" i="5"/>
  <c r="R75" i="5"/>
  <c r="J34" i="5"/>
  <c r="R34" i="5"/>
  <c r="E30" i="5"/>
  <c r="R30" i="5"/>
  <c r="E95" i="5"/>
  <c r="R95" i="5"/>
  <c r="F76" i="5"/>
  <c r="I76" i="5" s="1"/>
  <c r="R76" i="5"/>
  <c r="T91" i="5"/>
  <c r="R91" i="5"/>
  <c r="N14" i="5"/>
  <c r="R14" i="5"/>
  <c r="U87" i="5"/>
  <c r="R87" i="5"/>
  <c r="X78" i="5"/>
  <c r="R78" i="5"/>
  <c r="Q7" i="5"/>
  <c r="R7" i="5"/>
  <c r="T72" i="5"/>
  <c r="R72" i="5"/>
  <c r="E67" i="5"/>
  <c r="R67" i="5"/>
  <c r="L37" i="5"/>
  <c r="R37" i="5"/>
  <c r="F29" i="5"/>
  <c r="I29" i="5" s="1"/>
  <c r="R29" i="5"/>
  <c r="J43" i="5"/>
  <c r="R43" i="5"/>
  <c r="J55" i="5"/>
  <c r="R55" i="5"/>
  <c r="J60" i="5"/>
  <c r="R60" i="5"/>
  <c r="J69" i="5"/>
  <c r="R69" i="5"/>
  <c r="J68" i="5"/>
  <c r="R68" i="5"/>
  <c r="J93" i="5"/>
  <c r="R93" i="5"/>
  <c r="J35" i="5"/>
  <c r="R35" i="5"/>
  <c r="J49" i="5"/>
  <c r="R49" i="5"/>
  <c r="J48" i="5"/>
  <c r="R48" i="5"/>
  <c r="J44" i="5"/>
  <c r="R44" i="5"/>
  <c r="X41" i="5"/>
  <c r="R41" i="5"/>
  <c r="S96" i="5"/>
  <c r="R96" i="5"/>
  <c r="X66" i="5"/>
  <c r="R66" i="5"/>
  <c r="P64" i="5"/>
  <c r="R64" i="5"/>
  <c r="P83" i="5"/>
  <c r="R83" i="5"/>
  <c r="J52" i="5"/>
  <c r="R52" i="5"/>
  <c r="N84" i="5"/>
  <c r="R84" i="5"/>
  <c r="N10" i="5"/>
  <c r="V10" i="5"/>
  <c r="U10" i="5"/>
  <c r="V31" i="5"/>
  <c r="J31" i="5"/>
  <c r="P71" i="5"/>
  <c r="M47" i="5"/>
  <c r="F24" i="5"/>
  <c r="I24" i="5" s="1"/>
  <c r="D71" i="5"/>
  <c r="W86" i="5"/>
  <c r="AE86" i="5" s="1"/>
  <c r="U92" i="5"/>
  <c r="S47" i="5"/>
  <c r="O91" i="5"/>
  <c r="K34" i="12"/>
  <c r="E34" i="12"/>
  <c r="F34" i="12" s="1"/>
  <c r="M34" i="12" s="1"/>
  <c r="L34" i="12"/>
  <c r="D34" i="12"/>
  <c r="I34" i="12" s="1"/>
  <c r="L14" i="12"/>
  <c r="D14" i="12"/>
  <c r="I14" i="12" s="1"/>
  <c r="K14" i="12"/>
  <c r="E14" i="12"/>
  <c r="F14" i="12" s="1"/>
  <c r="M14" i="12" s="1"/>
  <c r="K69" i="12"/>
  <c r="L69" i="12"/>
  <c r="D69" i="12"/>
  <c r="I69" i="12" s="1"/>
  <c r="E69" i="12"/>
  <c r="F69" i="12" s="1"/>
  <c r="M69" i="12" s="1"/>
  <c r="L41" i="12"/>
  <c r="D41" i="12"/>
  <c r="I41" i="12" s="1"/>
  <c r="E41" i="12"/>
  <c r="F41" i="12" s="1"/>
  <c r="M41" i="12" s="1"/>
  <c r="K41" i="12"/>
  <c r="D53" i="12"/>
  <c r="I53" i="12" s="1"/>
  <c r="L53" i="12"/>
  <c r="K53" i="12"/>
  <c r="E53" i="12"/>
  <c r="F53" i="12" s="1"/>
  <c r="M53" i="12" s="1"/>
  <c r="L107" i="12"/>
  <c r="D107" i="12"/>
  <c r="I107" i="12" s="1"/>
  <c r="E107" i="12"/>
  <c r="F107" i="12" s="1"/>
  <c r="M107" i="12" s="1"/>
  <c r="K107" i="12"/>
  <c r="K105" i="12"/>
  <c r="D105" i="12"/>
  <c r="I105" i="12" s="1"/>
  <c r="E105" i="12"/>
  <c r="F105" i="12" s="1"/>
  <c r="M105" i="12" s="1"/>
  <c r="L105" i="12"/>
  <c r="L10" i="12"/>
  <c r="K10" i="12"/>
  <c r="D10" i="12"/>
  <c r="I10" i="12" s="1"/>
  <c r="E10" i="12"/>
  <c r="F10" i="12" s="1"/>
  <c r="M10" i="12" s="1"/>
  <c r="E35" i="12"/>
  <c r="F35" i="12" s="1"/>
  <c r="M35" i="12" s="1"/>
  <c r="K35" i="12"/>
  <c r="D35" i="12"/>
  <c r="I35" i="12" s="1"/>
  <c r="L35" i="12"/>
  <c r="L81" i="12"/>
  <c r="D81" i="12"/>
  <c r="I81" i="12" s="1"/>
  <c r="K81" i="12"/>
  <c r="E81" i="12"/>
  <c r="F81" i="12" s="1"/>
  <c r="M81" i="12" s="1"/>
  <c r="E78" i="12"/>
  <c r="F78" i="12" s="1"/>
  <c r="M78" i="12" s="1"/>
  <c r="D78" i="12"/>
  <c r="I78" i="12" s="1"/>
  <c r="K78" i="12"/>
  <c r="L78" i="12"/>
  <c r="L93" i="12"/>
  <c r="D93" i="12"/>
  <c r="I93" i="12" s="1"/>
  <c r="K93" i="12"/>
  <c r="E93" i="12"/>
  <c r="F93" i="12" s="1"/>
  <c r="M93" i="12" s="1"/>
  <c r="K22" i="12"/>
  <c r="E22" i="12"/>
  <c r="F22" i="12" s="1"/>
  <c r="M22" i="12" s="1"/>
  <c r="L22" i="12"/>
  <c r="D22" i="12"/>
  <c r="I22" i="12" s="1"/>
  <c r="K21" i="12"/>
  <c r="D21" i="12"/>
  <c r="I21" i="12" s="1"/>
  <c r="L21" i="12"/>
  <c r="E21" i="12"/>
  <c r="F21" i="12" s="1"/>
  <c r="M21" i="12" s="1"/>
  <c r="E58" i="12"/>
  <c r="F58" i="12" s="1"/>
  <c r="M58" i="12" s="1"/>
  <c r="L58" i="12"/>
  <c r="D58" i="12"/>
  <c r="I58" i="12" s="1"/>
  <c r="K58" i="12"/>
  <c r="L59" i="12"/>
  <c r="E59" i="12"/>
  <c r="F59" i="12" s="1"/>
  <c r="M59" i="12" s="1"/>
  <c r="D59" i="12"/>
  <c r="I59" i="12" s="1"/>
  <c r="K59" i="12"/>
  <c r="K72" i="12"/>
  <c r="L72" i="12"/>
  <c r="E72" i="12"/>
  <c r="F72" i="12" s="1"/>
  <c r="M72" i="12" s="1"/>
  <c r="D72" i="12"/>
  <c r="I72" i="12" s="1"/>
  <c r="K102" i="12"/>
  <c r="D102" i="12"/>
  <c r="I102" i="12" s="1"/>
  <c r="E102" i="12"/>
  <c r="F102" i="12" s="1"/>
  <c r="M102" i="12" s="1"/>
  <c r="L102" i="12"/>
  <c r="E62" i="12"/>
  <c r="F62" i="12" s="1"/>
  <c r="M62" i="12" s="1"/>
  <c r="L62" i="12"/>
  <c r="D62" i="12"/>
  <c r="I62" i="12" s="1"/>
  <c r="K62" i="12"/>
  <c r="E23" i="12"/>
  <c r="F23" i="12" s="1"/>
  <c r="M23" i="12" s="1"/>
  <c r="L23" i="12"/>
  <c r="K23" i="12"/>
  <c r="D23" i="12"/>
  <c r="I23" i="12" s="1"/>
  <c r="K79" i="12"/>
  <c r="D79" i="12"/>
  <c r="I79" i="12" s="1"/>
  <c r="L79" i="12"/>
  <c r="E79" i="12"/>
  <c r="F79" i="12" s="1"/>
  <c r="M79" i="12" s="1"/>
  <c r="K66" i="12"/>
  <c r="L66" i="12"/>
  <c r="E66" i="12"/>
  <c r="F66" i="12" s="1"/>
  <c r="M66" i="12" s="1"/>
  <c r="D66" i="12"/>
  <c r="I66" i="12" s="1"/>
  <c r="L76" i="12"/>
  <c r="E76" i="12"/>
  <c r="F76" i="12" s="1"/>
  <c r="M76" i="12" s="1"/>
  <c r="K76" i="12"/>
  <c r="D76" i="12"/>
  <c r="I76" i="12" s="1"/>
  <c r="E106" i="12"/>
  <c r="F106" i="12" s="1"/>
  <c r="M106" i="12" s="1"/>
  <c r="L106" i="12"/>
  <c r="K106" i="12"/>
  <c r="D106" i="12"/>
  <c r="I106" i="12" s="1"/>
  <c r="L11" i="12"/>
  <c r="D11" i="12"/>
  <c r="I11" i="12" s="1"/>
  <c r="E11" i="12"/>
  <c r="F11" i="12" s="1"/>
  <c r="M11" i="12" s="1"/>
  <c r="K11" i="12"/>
  <c r="L44" i="12"/>
  <c r="D44" i="12"/>
  <c r="I44" i="12" s="1"/>
  <c r="K44" i="12"/>
  <c r="E44" i="12"/>
  <c r="F44" i="12" s="1"/>
  <c r="M44" i="12" s="1"/>
  <c r="L46" i="12"/>
  <c r="D46" i="12"/>
  <c r="I46" i="12" s="1"/>
  <c r="E46" i="12"/>
  <c r="F46" i="12" s="1"/>
  <c r="M46" i="12" s="1"/>
  <c r="K46" i="12"/>
  <c r="L17" i="12"/>
  <c r="E17" i="12"/>
  <c r="F17" i="12" s="1"/>
  <c r="M17" i="12" s="1"/>
  <c r="K17" i="12"/>
  <c r="D17" i="12"/>
  <c r="I17" i="12" s="1"/>
  <c r="L49" i="12"/>
  <c r="D49" i="12"/>
  <c r="I49" i="12" s="1"/>
  <c r="K49" i="12"/>
  <c r="E49" i="12"/>
  <c r="F49" i="12" s="1"/>
  <c r="M49" i="12" s="1"/>
  <c r="E85" i="12"/>
  <c r="F85" i="12" s="1"/>
  <c r="M85" i="12" s="1"/>
  <c r="D85" i="12"/>
  <c r="I85" i="12" s="1"/>
  <c r="L85" i="12"/>
  <c r="K85" i="12"/>
  <c r="E64" i="12"/>
  <c r="F64" i="12" s="1"/>
  <c r="M64" i="12" s="1"/>
  <c r="L64" i="12"/>
  <c r="K64" i="12"/>
  <c r="D64" i="12"/>
  <c r="I64" i="12" s="1"/>
  <c r="L94" i="12"/>
  <c r="E94" i="12"/>
  <c r="F94" i="12" s="1"/>
  <c r="M94" i="12" s="1"/>
  <c r="K94" i="12"/>
  <c r="D94" i="12"/>
  <c r="I94" i="12" s="1"/>
  <c r="L71" i="12"/>
  <c r="D71" i="12"/>
  <c r="I71" i="12" s="1"/>
  <c r="E71" i="12"/>
  <c r="F71" i="12" s="1"/>
  <c r="M71" i="12" s="1"/>
  <c r="K71" i="12"/>
  <c r="K43" i="12"/>
  <c r="D43" i="12"/>
  <c r="I43" i="12" s="1"/>
  <c r="E43" i="12"/>
  <c r="F43" i="12" s="1"/>
  <c r="M43" i="12" s="1"/>
  <c r="L43" i="12"/>
  <c r="D61" i="12"/>
  <c r="I61" i="12" s="1"/>
  <c r="E61" i="12"/>
  <c r="F61" i="12" s="1"/>
  <c r="M61" i="12" s="1"/>
  <c r="L61" i="12"/>
  <c r="K61" i="12"/>
  <c r="E55" i="12"/>
  <c r="F55" i="12" s="1"/>
  <c r="M55" i="12" s="1"/>
  <c r="D55" i="12"/>
  <c r="I55" i="12" s="1"/>
  <c r="K55" i="12"/>
  <c r="L55" i="12"/>
  <c r="K82" i="12"/>
  <c r="D82" i="12"/>
  <c r="I82" i="12" s="1"/>
  <c r="E82" i="12"/>
  <c r="F82" i="12" s="1"/>
  <c r="M82" i="12" s="1"/>
  <c r="L82" i="12"/>
  <c r="K36" i="12"/>
  <c r="E36" i="12"/>
  <c r="F36" i="12" s="1"/>
  <c r="M36" i="12" s="1"/>
  <c r="L36" i="12"/>
  <c r="D36" i="12"/>
  <c r="I36" i="12" s="1"/>
  <c r="K29" i="12"/>
  <c r="D29" i="12"/>
  <c r="I29" i="12" s="1"/>
  <c r="E29" i="12"/>
  <c r="F29" i="12" s="1"/>
  <c r="M29" i="12" s="1"/>
  <c r="L29" i="12"/>
  <c r="E65" i="12"/>
  <c r="F65" i="12" s="1"/>
  <c r="M65" i="12" s="1"/>
  <c r="K65" i="12"/>
  <c r="L65" i="12"/>
  <c r="D65" i="12"/>
  <c r="I65" i="12" s="1"/>
  <c r="E103" i="12"/>
  <c r="F103" i="12" s="1"/>
  <c r="M103" i="12" s="1"/>
  <c r="K103" i="12"/>
  <c r="D103" i="12"/>
  <c r="I103" i="12" s="1"/>
  <c r="L103" i="12"/>
  <c r="E96" i="12"/>
  <c r="F96" i="12" s="1"/>
  <c r="M96" i="12" s="1"/>
  <c r="K96" i="12"/>
  <c r="D96" i="12"/>
  <c r="I96" i="12" s="1"/>
  <c r="L96" i="12"/>
  <c r="K42" i="12"/>
  <c r="E42" i="12"/>
  <c r="F42" i="12" s="1"/>
  <c r="M42" i="12" s="1"/>
  <c r="L42" i="12"/>
  <c r="D42" i="12"/>
  <c r="I42" i="12" s="1"/>
  <c r="L32" i="12"/>
  <c r="D32" i="12"/>
  <c r="I32" i="12" s="1"/>
  <c r="K32" i="12"/>
  <c r="E32" i="12"/>
  <c r="F32" i="12" s="1"/>
  <c r="M32" i="12" s="1"/>
  <c r="E31" i="12"/>
  <c r="F31" i="12" s="1"/>
  <c r="M31" i="12" s="1"/>
  <c r="L31" i="12"/>
  <c r="D31" i="12"/>
  <c r="I31" i="12" s="1"/>
  <c r="K31" i="12"/>
  <c r="E67" i="12"/>
  <c r="F67" i="12" s="1"/>
  <c r="M67" i="12" s="1"/>
  <c r="D67" i="12"/>
  <c r="I67" i="12" s="1"/>
  <c r="L67" i="12"/>
  <c r="K67" i="12"/>
  <c r="D70" i="12"/>
  <c r="I70" i="12" s="1"/>
  <c r="K70" i="12"/>
  <c r="E70" i="12"/>
  <c r="F70" i="12" s="1"/>
  <c r="M70" i="12" s="1"/>
  <c r="L70" i="12"/>
  <c r="D104" i="12"/>
  <c r="I104" i="12" s="1"/>
  <c r="L104" i="12"/>
  <c r="E104" i="12"/>
  <c r="F104" i="12" s="1"/>
  <c r="M104" i="12" s="1"/>
  <c r="K104" i="12"/>
  <c r="L40" i="12"/>
  <c r="E40" i="12"/>
  <c r="F40" i="12" s="1"/>
  <c r="M40" i="12" s="1"/>
  <c r="K40" i="12"/>
  <c r="D40" i="12"/>
  <c r="I40" i="12" s="1"/>
  <c r="L24" i="12"/>
  <c r="D24" i="12"/>
  <c r="I24" i="12" s="1"/>
  <c r="E24" i="12"/>
  <c r="F24" i="12" s="1"/>
  <c r="M24" i="12" s="1"/>
  <c r="K24" i="12"/>
  <c r="D83" i="12"/>
  <c r="I83" i="12" s="1"/>
  <c r="E83" i="12"/>
  <c r="F83" i="12" s="1"/>
  <c r="M83" i="12" s="1"/>
  <c r="L83" i="12"/>
  <c r="K83" i="12"/>
  <c r="L28" i="12"/>
  <c r="D28" i="12"/>
  <c r="I28" i="12" s="1"/>
  <c r="K28" i="12"/>
  <c r="E28" i="12"/>
  <c r="F28" i="12" s="1"/>
  <c r="M28" i="12" s="1"/>
  <c r="L25" i="12"/>
  <c r="E25" i="12"/>
  <c r="F25" i="12" s="1"/>
  <c r="M25" i="12" s="1"/>
  <c r="K25" i="12"/>
  <c r="D25" i="12"/>
  <c r="I25" i="12" s="1"/>
  <c r="K54" i="12"/>
  <c r="E54" i="12"/>
  <c r="F54" i="12" s="1"/>
  <c r="M54" i="12" s="1"/>
  <c r="L54" i="12"/>
  <c r="D54" i="12"/>
  <c r="I54" i="12" s="1"/>
  <c r="K77" i="12"/>
  <c r="D77" i="12"/>
  <c r="I77" i="12" s="1"/>
  <c r="L77" i="12"/>
  <c r="E77" i="12"/>
  <c r="F77" i="12" s="1"/>
  <c r="M77" i="12" s="1"/>
  <c r="D80" i="12"/>
  <c r="I80" i="12" s="1"/>
  <c r="E80" i="12"/>
  <c r="F80" i="12" s="1"/>
  <c r="M80" i="12" s="1"/>
  <c r="K80" i="12"/>
  <c r="L80" i="12"/>
  <c r="L50" i="12"/>
  <c r="K50" i="12"/>
  <c r="D50" i="12"/>
  <c r="I50" i="12" s="1"/>
  <c r="E50" i="12"/>
  <c r="F50" i="12" s="1"/>
  <c r="M50" i="12" s="1"/>
  <c r="E19" i="12"/>
  <c r="F19" i="12" s="1"/>
  <c r="M19" i="12" s="1"/>
  <c r="D19" i="12"/>
  <c r="I19" i="12" s="1"/>
  <c r="K19" i="12"/>
  <c r="L19" i="12"/>
  <c r="K51" i="12"/>
  <c r="E51" i="12"/>
  <c r="F51" i="12" s="1"/>
  <c r="M51" i="12" s="1"/>
  <c r="L51" i="12"/>
  <c r="D51" i="12"/>
  <c r="I51" i="12" s="1"/>
  <c r="E99" i="12"/>
  <c r="F99" i="12" s="1"/>
  <c r="M99" i="12" s="1"/>
  <c r="K99" i="12"/>
  <c r="L99" i="12"/>
  <c r="D99" i="12"/>
  <c r="I99" i="12" s="1"/>
  <c r="K68" i="12"/>
  <c r="L68" i="12"/>
  <c r="E68" i="12"/>
  <c r="F68" i="12" s="1"/>
  <c r="M68" i="12" s="1"/>
  <c r="D68" i="12"/>
  <c r="I68" i="12" s="1"/>
  <c r="K98" i="12"/>
  <c r="L98" i="12"/>
  <c r="D98" i="12"/>
  <c r="I98" i="12" s="1"/>
  <c r="E98" i="12"/>
  <c r="F98" i="12" s="1"/>
  <c r="M98" i="12" s="1"/>
  <c r="K20" i="12"/>
  <c r="E20" i="12"/>
  <c r="F20" i="12" s="1"/>
  <c r="M20" i="12" s="1"/>
  <c r="L20" i="12"/>
  <c r="D20" i="12"/>
  <c r="I20" i="12" s="1"/>
  <c r="L37" i="12"/>
  <c r="E37" i="12"/>
  <c r="F37" i="12" s="1"/>
  <c r="M37" i="12" s="1"/>
  <c r="D37" i="12"/>
  <c r="I37" i="12" s="1"/>
  <c r="K37" i="12"/>
  <c r="E84" i="12"/>
  <c r="F84" i="12" s="1"/>
  <c r="M84" i="12" s="1"/>
  <c r="L84" i="12"/>
  <c r="K84" i="12"/>
  <c r="D84" i="12"/>
  <c r="I84" i="12" s="1"/>
  <c r="E92" i="12"/>
  <c r="F92" i="12" s="1"/>
  <c r="M92" i="12" s="1"/>
  <c r="K92" i="12"/>
  <c r="L92" i="12"/>
  <c r="D92" i="12"/>
  <c r="I92" i="12" s="1"/>
  <c r="L97" i="12"/>
  <c r="E97" i="12"/>
  <c r="F97" i="12" s="1"/>
  <c r="M97" i="12" s="1"/>
  <c r="D97" i="12"/>
  <c r="I97" i="12" s="1"/>
  <c r="K97" i="12"/>
  <c r="L91" i="12"/>
  <c r="D91" i="12"/>
  <c r="I91" i="12" s="1"/>
  <c r="E91" i="12"/>
  <c r="F91" i="12" s="1"/>
  <c r="M91" i="12" s="1"/>
  <c r="K91" i="12"/>
  <c r="L16" i="12"/>
  <c r="D16" i="12"/>
  <c r="I16" i="12" s="1"/>
  <c r="E16" i="12"/>
  <c r="F16" i="12" s="1"/>
  <c r="M16" i="12" s="1"/>
  <c r="K16" i="12"/>
  <c r="L39" i="12"/>
  <c r="D39" i="12"/>
  <c r="I39" i="12" s="1"/>
  <c r="E39" i="12"/>
  <c r="F39" i="12" s="1"/>
  <c r="M39" i="12" s="1"/>
  <c r="K39" i="12"/>
  <c r="D95" i="12"/>
  <c r="I95" i="12" s="1"/>
  <c r="L95" i="12"/>
  <c r="K95" i="12"/>
  <c r="E95" i="12"/>
  <c r="F95" i="12" s="1"/>
  <c r="M95" i="12" s="1"/>
  <c r="D100" i="12"/>
  <c r="I100" i="12" s="1"/>
  <c r="L100" i="12"/>
  <c r="E100" i="12"/>
  <c r="F100" i="12" s="1"/>
  <c r="M100" i="12" s="1"/>
  <c r="K100" i="12"/>
  <c r="K101" i="12"/>
  <c r="D101" i="12"/>
  <c r="I101" i="12" s="1"/>
  <c r="E101" i="12"/>
  <c r="F101" i="12" s="1"/>
  <c r="M101" i="12" s="1"/>
  <c r="L101" i="12"/>
  <c r="K48" i="12"/>
  <c r="L48" i="12"/>
  <c r="E48" i="12"/>
  <c r="F48" i="12" s="1"/>
  <c r="M48" i="12" s="1"/>
  <c r="D48" i="12"/>
  <c r="I48" i="12" s="1"/>
  <c r="F10" i="5"/>
  <c r="I10" i="5" s="1"/>
  <c r="K52" i="12"/>
  <c r="E52" i="12"/>
  <c r="F52" i="12" s="1"/>
  <c r="M52" i="12" s="1"/>
  <c r="L52" i="12"/>
  <c r="D52" i="12"/>
  <c r="I52" i="12" s="1"/>
  <c r="L30" i="12"/>
  <c r="D30" i="12"/>
  <c r="I30" i="12" s="1"/>
  <c r="K30" i="12"/>
  <c r="E30" i="12"/>
  <c r="F30" i="12" s="1"/>
  <c r="M30" i="12" s="1"/>
  <c r="L12" i="12"/>
  <c r="K12" i="12"/>
  <c r="E12" i="12"/>
  <c r="F12" i="12" s="1"/>
  <c r="M12" i="12" s="1"/>
  <c r="D12" i="12"/>
  <c r="I12" i="12" s="1"/>
  <c r="K33" i="12"/>
  <c r="D33" i="12"/>
  <c r="I33" i="12" s="1"/>
  <c r="L33" i="12"/>
  <c r="E33" i="12"/>
  <c r="F33" i="12" s="1"/>
  <c r="M33" i="12" s="1"/>
  <c r="K73" i="12"/>
  <c r="D73" i="12"/>
  <c r="I73" i="12" s="1"/>
  <c r="L73" i="12"/>
  <c r="E73" i="12"/>
  <c r="F73" i="12" s="1"/>
  <c r="M73" i="12" s="1"/>
  <c r="L74" i="12"/>
  <c r="K74" i="12"/>
  <c r="E74" i="12"/>
  <c r="F74" i="12" s="1"/>
  <c r="M74" i="12" s="1"/>
  <c r="D74" i="12"/>
  <c r="I74" i="12" s="1"/>
  <c r="K89" i="12"/>
  <c r="D89" i="12"/>
  <c r="I89" i="12" s="1"/>
  <c r="L89" i="12"/>
  <c r="E89" i="12"/>
  <c r="F89" i="12" s="1"/>
  <c r="M89" i="12" s="1"/>
  <c r="L38" i="12"/>
  <c r="K38" i="12"/>
  <c r="D38" i="12"/>
  <c r="I38" i="12" s="1"/>
  <c r="E38" i="12"/>
  <c r="F38" i="12" s="1"/>
  <c r="M38" i="12" s="1"/>
  <c r="E27" i="12"/>
  <c r="F27" i="12" s="1"/>
  <c r="M27" i="12" s="1"/>
  <c r="L27" i="12"/>
  <c r="D27" i="12"/>
  <c r="I27" i="12" s="1"/>
  <c r="K27" i="12"/>
  <c r="L56" i="12"/>
  <c r="E56" i="12"/>
  <c r="F56" i="12" s="1"/>
  <c r="M56" i="12" s="1"/>
  <c r="D56" i="12"/>
  <c r="I56" i="12" s="1"/>
  <c r="K56" i="12"/>
  <c r="E87" i="12"/>
  <c r="F87" i="12" s="1"/>
  <c r="M87" i="12" s="1"/>
  <c r="K87" i="12"/>
  <c r="L87" i="12"/>
  <c r="D87" i="12"/>
  <c r="I87" i="12" s="1"/>
  <c r="E88" i="12"/>
  <c r="F88" i="12" s="1"/>
  <c r="M88" i="12" s="1"/>
  <c r="L88" i="12"/>
  <c r="K88" i="12"/>
  <c r="D88" i="12"/>
  <c r="I88" i="12" s="1"/>
  <c r="L26" i="12"/>
  <c r="E26" i="12"/>
  <c r="F26" i="12" s="1"/>
  <c r="M26" i="12" s="1"/>
  <c r="K26" i="12"/>
  <c r="D26" i="12"/>
  <c r="I26" i="12" s="1"/>
  <c r="K13" i="12"/>
  <c r="D13" i="12"/>
  <c r="I13" i="12" s="1"/>
  <c r="L13" i="12"/>
  <c r="E13" i="12"/>
  <c r="F13" i="12" s="1"/>
  <c r="M13" i="12" s="1"/>
  <c r="K45" i="12"/>
  <c r="E45" i="12"/>
  <c r="F45" i="12" s="1"/>
  <c r="M45" i="12" s="1"/>
  <c r="L45" i="12"/>
  <c r="D45" i="12"/>
  <c r="I45" i="12" s="1"/>
  <c r="L63" i="12"/>
  <c r="K63" i="12"/>
  <c r="E63" i="12"/>
  <c r="F63" i="12" s="1"/>
  <c r="M63" i="12" s="1"/>
  <c r="D63" i="12"/>
  <c r="I63" i="12" s="1"/>
  <c r="L57" i="12"/>
  <c r="E57" i="12"/>
  <c r="F57" i="12" s="1"/>
  <c r="M57" i="12" s="1"/>
  <c r="K57" i="12"/>
  <c r="D57" i="12"/>
  <c r="I57" i="12" s="1"/>
  <c r="K86" i="12"/>
  <c r="D86" i="12"/>
  <c r="I86" i="12" s="1"/>
  <c r="E86" i="12"/>
  <c r="F86" i="12" s="1"/>
  <c r="M86" i="12" s="1"/>
  <c r="L86" i="12"/>
  <c r="K18" i="12"/>
  <c r="E18" i="12"/>
  <c r="F18" i="12" s="1"/>
  <c r="M18" i="12" s="1"/>
  <c r="L18" i="12"/>
  <c r="D18" i="12"/>
  <c r="I18" i="12" s="1"/>
  <c r="E15" i="12"/>
  <c r="F15" i="12" s="1"/>
  <c r="M15" i="12" s="1"/>
  <c r="L15" i="12"/>
  <c r="D15" i="12"/>
  <c r="I15" i="12" s="1"/>
  <c r="K15" i="12"/>
  <c r="L47" i="12"/>
  <c r="D47" i="12"/>
  <c r="I47" i="12" s="1"/>
  <c r="K47" i="12"/>
  <c r="E47" i="12"/>
  <c r="F47" i="12" s="1"/>
  <c r="M47" i="12" s="1"/>
  <c r="E75" i="12"/>
  <c r="F75" i="12" s="1"/>
  <c r="M75" i="12" s="1"/>
  <c r="D75" i="12"/>
  <c r="I75" i="12" s="1"/>
  <c r="L75" i="12"/>
  <c r="K75" i="12"/>
  <c r="D60" i="12"/>
  <c r="I60" i="12" s="1"/>
  <c r="E60" i="12"/>
  <c r="F60" i="12" s="1"/>
  <c r="M60" i="12" s="1"/>
  <c r="K60" i="12"/>
  <c r="L60" i="12"/>
  <c r="L90" i="12"/>
  <c r="E90" i="12"/>
  <c r="F90" i="12" s="1"/>
  <c r="M90" i="12" s="1"/>
  <c r="K90" i="12"/>
  <c r="D90" i="12"/>
  <c r="I90" i="12" s="1"/>
  <c r="L9" i="12"/>
  <c r="E9" i="12"/>
  <c r="F9" i="12" s="1"/>
  <c r="M9" i="12" s="1"/>
  <c r="T30" i="5"/>
  <c r="D67" i="5"/>
  <c r="U29" i="5"/>
  <c r="T29" i="5"/>
  <c r="K37" i="5"/>
  <c r="N37" i="5"/>
  <c r="P37" i="5"/>
  <c r="F21" i="5"/>
  <c r="I21" i="5" s="1"/>
  <c r="Q21" i="5"/>
  <c r="O67" i="5"/>
  <c r="N67" i="5"/>
  <c r="P67" i="5"/>
  <c r="D29" i="5"/>
  <c r="Q29" i="5"/>
  <c r="O29" i="5"/>
  <c r="T37" i="5"/>
  <c r="V37" i="5"/>
  <c r="W21" i="5"/>
  <c r="Y21" i="5"/>
  <c r="K67" i="5"/>
  <c r="V67" i="5"/>
  <c r="Y29" i="5"/>
  <c r="S29" i="5"/>
  <c r="F37" i="5"/>
  <c r="I37" i="5" s="1"/>
  <c r="Y37" i="5"/>
  <c r="T21" i="5"/>
  <c r="P21" i="5"/>
  <c r="X67" i="5"/>
  <c r="M67" i="5"/>
  <c r="E10" i="5"/>
  <c r="W24" i="5"/>
  <c r="Y86" i="5"/>
  <c r="O71" i="5"/>
  <c r="P40" i="5"/>
  <c r="S88" i="5"/>
  <c r="U71" i="5"/>
  <c r="O102" i="5"/>
  <c r="K83" i="5"/>
  <c r="D38" i="5"/>
  <c r="M24" i="5"/>
  <c r="X70" i="5"/>
  <c r="M88" i="5"/>
  <c r="E80" i="5"/>
  <c r="O92" i="5"/>
  <c r="L52" i="5"/>
  <c r="K84" i="5"/>
  <c r="E70" i="5"/>
  <c r="S86" i="5"/>
  <c r="U74" i="5"/>
  <c r="X80" i="5"/>
  <c r="X38" i="5"/>
  <c r="F47" i="5"/>
  <c r="I47" i="5" s="1"/>
  <c r="X33" i="5"/>
  <c r="F102" i="5"/>
  <c r="I102" i="5" s="1"/>
  <c r="F84" i="5"/>
  <c r="I84" i="5" s="1"/>
  <c r="Y84" i="5"/>
  <c r="L24" i="5"/>
  <c r="O52" i="5"/>
  <c r="V86" i="5"/>
  <c r="P102" i="5"/>
  <c r="T88" i="5"/>
  <c r="N74" i="5"/>
  <c r="X71" i="5"/>
  <c r="L38" i="5"/>
  <c r="Y92" i="5"/>
  <c r="V47" i="5"/>
  <c r="K64" i="5"/>
  <c r="E84" i="5"/>
  <c r="O33" i="5"/>
  <c r="D70" i="5"/>
  <c r="N24" i="5"/>
  <c r="M40" i="5"/>
  <c r="K40" i="5"/>
  <c r="V70" i="5"/>
  <c r="W70" i="5"/>
  <c r="AE70" i="5" s="1"/>
  <c r="E86" i="5"/>
  <c r="U88" i="5"/>
  <c r="N88" i="5"/>
  <c r="T74" i="5"/>
  <c r="Q80" i="5"/>
  <c r="W80" i="5"/>
  <c r="AE80" i="5" s="1"/>
  <c r="F71" i="5"/>
  <c r="I71" i="5" s="1"/>
  <c r="Y38" i="5"/>
  <c r="W38" i="5"/>
  <c r="AE38" i="5" s="1"/>
  <c r="N92" i="5"/>
  <c r="X47" i="5"/>
  <c r="V33" i="5"/>
  <c r="D86" i="5"/>
  <c r="D21" i="5"/>
  <c r="M29" i="5"/>
  <c r="P29" i="5"/>
  <c r="W29" i="5"/>
  <c r="Y40" i="5"/>
  <c r="Y70" i="5"/>
  <c r="M74" i="5"/>
  <c r="Y80" i="5"/>
  <c r="E38" i="5"/>
  <c r="Q76" i="5"/>
  <c r="X37" i="5"/>
  <c r="Q37" i="5"/>
  <c r="E37" i="5"/>
  <c r="S21" i="5"/>
  <c r="M21" i="5"/>
  <c r="E21" i="5"/>
  <c r="W67" i="5"/>
  <c r="Q67" i="5"/>
  <c r="L67" i="5"/>
  <c r="P50" i="5"/>
  <c r="E50" i="5"/>
  <c r="F88" i="5"/>
  <c r="I88" i="5" s="1"/>
  <c r="K88" i="5"/>
  <c r="E88" i="5"/>
  <c r="Y88" i="5"/>
  <c r="F74" i="5"/>
  <c r="I74" i="5" s="1"/>
  <c r="K74" i="5"/>
  <c r="E74" i="5"/>
  <c r="Y74" i="5"/>
  <c r="D74" i="5"/>
  <c r="N80" i="5"/>
  <c r="O80" i="5"/>
  <c r="L80" i="5"/>
  <c r="M80" i="5"/>
  <c r="L71" i="5"/>
  <c r="M71" i="5"/>
  <c r="N71" i="5"/>
  <c r="T71" i="5"/>
  <c r="N38" i="5"/>
  <c r="O38" i="5"/>
  <c r="U38" i="5"/>
  <c r="P38" i="5"/>
  <c r="P92" i="5"/>
  <c r="Q92" i="5"/>
  <c r="S92" i="5"/>
  <c r="K92" i="5"/>
  <c r="D92" i="5"/>
  <c r="N70" i="5"/>
  <c r="O70" i="5"/>
  <c r="L70" i="5"/>
  <c r="Q70" i="5"/>
  <c r="N86" i="5"/>
  <c r="O86" i="5"/>
  <c r="L86" i="5"/>
  <c r="Q86" i="5"/>
  <c r="E33" i="5"/>
  <c r="Y33" i="5"/>
  <c r="F33" i="5"/>
  <c r="I33" i="5" s="1"/>
  <c r="N33" i="5"/>
  <c r="D33" i="5"/>
  <c r="L33" i="5"/>
  <c r="M33" i="5"/>
  <c r="S33" i="5"/>
  <c r="W33" i="5"/>
  <c r="N47" i="5"/>
  <c r="O47" i="5"/>
  <c r="L47" i="5"/>
  <c r="Y47" i="5"/>
  <c r="E24" i="5"/>
  <c r="Y24" i="5"/>
  <c r="O24" i="5"/>
  <c r="S24" i="5"/>
  <c r="W40" i="5"/>
  <c r="AE40" i="5" s="1"/>
  <c r="X40" i="5"/>
  <c r="Q40" i="5"/>
  <c r="V40" i="5"/>
  <c r="D40" i="5"/>
  <c r="D24" i="5"/>
  <c r="T24" i="5"/>
  <c r="X24" i="5"/>
  <c r="U24" i="5"/>
  <c r="U40" i="5"/>
  <c r="E40" i="5"/>
  <c r="S40" i="5"/>
  <c r="U70" i="5"/>
  <c r="T70" i="5"/>
  <c r="F70" i="5"/>
  <c r="I70" i="5" s="1"/>
  <c r="U86" i="5"/>
  <c r="T86" i="5"/>
  <c r="F86" i="5"/>
  <c r="I86" i="5" s="1"/>
  <c r="V88" i="5"/>
  <c r="P88" i="5"/>
  <c r="O88" i="5"/>
  <c r="V74" i="5"/>
  <c r="P74" i="5"/>
  <c r="O74" i="5"/>
  <c r="U80" i="5"/>
  <c r="T80" i="5"/>
  <c r="F80" i="5"/>
  <c r="I80" i="5" s="1"/>
  <c r="W71" i="5"/>
  <c r="AE71" i="5" s="1"/>
  <c r="Q71" i="5"/>
  <c r="E71" i="5"/>
  <c r="V38" i="5"/>
  <c r="T38" i="5"/>
  <c r="F38" i="5"/>
  <c r="I38" i="5" s="1"/>
  <c r="T92" i="5"/>
  <c r="V92" i="5"/>
  <c r="L92" i="5"/>
  <c r="P47" i="5"/>
  <c r="U47" i="5"/>
  <c r="K47" i="5"/>
  <c r="T33" i="5"/>
  <c r="U33" i="5"/>
  <c r="D80" i="5"/>
  <c r="D47" i="5"/>
  <c r="K24" i="5"/>
  <c r="V24" i="5"/>
  <c r="P24" i="5"/>
  <c r="L40" i="5"/>
  <c r="T40" i="5"/>
  <c r="N40" i="5"/>
  <c r="M70" i="5"/>
  <c r="P70" i="5"/>
  <c r="K70" i="5"/>
  <c r="M86" i="5"/>
  <c r="P86" i="5"/>
  <c r="K86" i="5"/>
  <c r="Q88" i="5"/>
  <c r="L88" i="5"/>
  <c r="W88" i="5"/>
  <c r="Q74" i="5"/>
  <c r="L74" i="5"/>
  <c r="AB74" i="5"/>
  <c r="V80" i="5"/>
  <c r="P80" i="5"/>
  <c r="K80" i="5"/>
  <c r="K71" i="5"/>
  <c r="S71" i="5"/>
  <c r="Y71" i="5"/>
  <c r="Q38" i="5"/>
  <c r="M38" i="5"/>
  <c r="K38" i="5"/>
  <c r="N42" i="5"/>
  <c r="W92" i="5"/>
  <c r="M92" i="5"/>
  <c r="F92" i="5"/>
  <c r="I92" i="5" s="1"/>
  <c r="E47" i="5"/>
  <c r="Q47" i="5"/>
  <c r="W47" i="5"/>
  <c r="K33" i="5"/>
  <c r="P33" i="5"/>
  <c r="L29" i="5"/>
  <c r="E29" i="5"/>
  <c r="K29" i="5"/>
  <c r="X95" i="5"/>
  <c r="S37" i="5"/>
  <c r="W37" i="5"/>
  <c r="AE37" i="5" s="1"/>
  <c r="M37" i="5"/>
  <c r="X21" i="5"/>
  <c r="N21" i="5"/>
  <c r="V21" i="5"/>
  <c r="T67" i="5"/>
  <c r="F67" i="5"/>
  <c r="I67" i="5" s="1"/>
  <c r="Y67" i="5"/>
  <c r="A3" i="5"/>
  <c r="A4" i="5"/>
  <c r="D9" i="5"/>
  <c r="N9" i="5"/>
  <c r="V9" i="5"/>
  <c r="X9" i="5"/>
  <c r="Y9" i="5"/>
  <c r="J9" i="5"/>
  <c r="Q9" i="5"/>
  <c r="T9" i="5"/>
  <c r="U9" i="5"/>
  <c r="S9" i="5"/>
  <c r="E9" i="5"/>
  <c r="L9" i="5"/>
  <c r="F9" i="5"/>
  <c r="Z9" i="5"/>
  <c r="M9" i="5"/>
  <c r="O9" i="5"/>
  <c r="K9" i="5"/>
  <c r="W9" i="5"/>
  <c r="P9" i="5"/>
  <c r="X73" i="5"/>
  <c r="V36" i="5"/>
  <c r="D50" i="5"/>
  <c r="O36" i="5"/>
  <c r="K52" i="5"/>
  <c r="K102" i="5"/>
  <c r="P42" i="5"/>
  <c r="M64" i="5"/>
  <c r="M83" i="5"/>
  <c r="T50" i="5"/>
  <c r="M84" i="5"/>
  <c r="P84" i="5"/>
  <c r="T84" i="5"/>
  <c r="S84" i="5"/>
  <c r="D84" i="5"/>
  <c r="Q102" i="5"/>
  <c r="L102" i="5"/>
  <c r="L96" i="5"/>
  <c r="S64" i="5"/>
  <c r="S83" i="5"/>
  <c r="Q84" i="5"/>
  <c r="U84" i="5"/>
  <c r="X84" i="5"/>
  <c r="W84" i="5"/>
  <c r="D102" i="5"/>
  <c r="Q52" i="5"/>
  <c r="M102" i="5"/>
  <c r="E102" i="5"/>
  <c r="S102" i="5"/>
  <c r="Y73" i="5"/>
  <c r="X52" i="5"/>
  <c r="P52" i="5"/>
  <c r="Y102" i="5"/>
  <c r="T102" i="5"/>
  <c r="U73" i="5"/>
  <c r="K42" i="5"/>
  <c r="X50" i="5"/>
  <c r="V84" i="5"/>
  <c r="L84" i="5"/>
  <c r="O84" i="5"/>
  <c r="W73" i="5"/>
  <c r="AE73" i="5" s="1"/>
  <c r="E73" i="5"/>
  <c r="U42" i="5"/>
  <c r="F42" i="5"/>
  <c r="I42" i="5" s="1"/>
  <c r="Q36" i="5"/>
  <c r="K36" i="5"/>
  <c r="O50" i="5"/>
  <c r="D42" i="5"/>
  <c r="S73" i="5"/>
  <c r="L42" i="5"/>
  <c r="P36" i="5"/>
  <c r="F36" i="5"/>
  <c r="I36" i="5" s="1"/>
  <c r="U50" i="5"/>
  <c r="P87" i="5"/>
  <c r="X30" i="5"/>
  <c r="AB95" i="5"/>
  <c r="U76" i="5"/>
  <c r="D76" i="5"/>
  <c r="U78" i="5"/>
  <c r="V30" i="5"/>
  <c r="V95" i="5"/>
  <c r="X76" i="5"/>
  <c r="E72" i="5"/>
  <c r="F73" i="5"/>
  <c r="I73" i="5" s="1"/>
  <c r="T42" i="5"/>
  <c r="U30" i="5"/>
  <c r="U95" i="5"/>
  <c r="W76" i="5"/>
  <c r="AE76" i="5" s="1"/>
  <c r="L36" i="5"/>
  <c r="W50" i="5"/>
  <c r="M50" i="5"/>
  <c r="Y14" i="5"/>
  <c r="J11" i="5"/>
  <c r="F11" i="5"/>
  <c r="I11" i="5" s="1"/>
  <c r="F17" i="5"/>
  <c r="I17" i="5" s="1"/>
  <c r="D36" i="5"/>
  <c r="T73" i="5"/>
  <c r="Q73" i="5"/>
  <c r="V42" i="5"/>
  <c r="O42" i="5"/>
  <c r="U36" i="5"/>
  <c r="W36" i="5"/>
  <c r="S50" i="5"/>
  <c r="Y50" i="5"/>
  <c r="T31" i="5"/>
  <c r="F31" i="5"/>
  <c r="I31" i="5" s="1"/>
  <c r="Y7" i="5"/>
  <c r="F7" i="5"/>
  <c r="I7" i="5" s="1"/>
  <c r="S72" i="5"/>
  <c r="Q31" i="5"/>
  <c r="V91" i="5"/>
  <c r="F91" i="5"/>
  <c r="I91" i="5" s="1"/>
  <c r="T87" i="5"/>
  <c r="W78" i="5"/>
  <c r="P78" i="5"/>
  <c r="L7" i="5"/>
  <c r="K30" i="5"/>
  <c r="O30" i="5"/>
  <c r="Q30" i="5"/>
  <c r="P30" i="5"/>
  <c r="T95" i="5"/>
  <c r="S95" i="5"/>
  <c r="Q95" i="5"/>
  <c r="P95" i="5"/>
  <c r="M76" i="5"/>
  <c r="P76" i="5"/>
  <c r="T76" i="5"/>
  <c r="S76" i="5"/>
  <c r="D30" i="5"/>
  <c r="M72" i="5"/>
  <c r="N72" i="5"/>
  <c r="Y31" i="5"/>
  <c r="Y91" i="5"/>
  <c r="W14" i="5"/>
  <c r="AA14" i="5" s="1"/>
  <c r="N87" i="5"/>
  <c r="T78" i="5"/>
  <c r="X7" i="5"/>
  <c r="S30" i="5"/>
  <c r="W30" i="5"/>
  <c r="M30" i="5"/>
  <c r="L30" i="5"/>
  <c r="O95" i="5"/>
  <c r="N95" i="5"/>
  <c r="M95" i="5"/>
  <c r="L95" i="5"/>
  <c r="V76" i="5"/>
  <c r="L76" i="5"/>
  <c r="O76" i="5"/>
  <c r="N76" i="5"/>
  <c r="D78" i="5"/>
  <c r="D95" i="5"/>
  <c r="Y72" i="5"/>
  <c r="K31" i="5"/>
  <c r="P91" i="5"/>
  <c r="V87" i="5"/>
  <c r="V78" i="5"/>
  <c r="F30" i="5"/>
  <c r="I30" i="5" s="1"/>
  <c r="N30" i="5"/>
  <c r="Y30" i="5"/>
  <c r="K95" i="5"/>
  <c r="F95" i="5"/>
  <c r="I95" i="5" s="1"/>
  <c r="Y95" i="5"/>
  <c r="Y76" i="5"/>
  <c r="E76" i="5"/>
  <c r="K76" i="5"/>
  <c r="U14" i="5"/>
  <c r="E14" i="5"/>
  <c r="O56" i="5"/>
  <c r="F66" i="5"/>
  <c r="I66" i="5" s="1"/>
  <c r="D96" i="5"/>
  <c r="X96" i="5"/>
  <c r="Q66" i="5"/>
  <c r="V45" i="5"/>
  <c r="Q96" i="5"/>
  <c r="AB96" i="5"/>
  <c r="E66" i="5"/>
  <c r="L45" i="5"/>
  <c r="M96" i="5"/>
  <c r="Q25" i="5"/>
  <c r="U25" i="5"/>
  <c r="O25" i="5"/>
  <c r="D25" i="5"/>
  <c r="L25" i="5"/>
  <c r="V25" i="5"/>
  <c r="W25" i="5"/>
  <c r="W53" i="5"/>
  <c r="Y25" i="5"/>
  <c r="X25" i="5"/>
  <c r="S25" i="5"/>
  <c r="X75" i="5"/>
  <c r="E25" i="5"/>
  <c r="T25" i="5"/>
  <c r="N25" i="5"/>
  <c r="K73" i="5"/>
  <c r="V73" i="5"/>
  <c r="P73" i="5"/>
  <c r="E42" i="5"/>
  <c r="Q42" i="5"/>
  <c r="S42" i="5"/>
  <c r="E36" i="5"/>
  <c r="X36" i="5"/>
  <c r="N36" i="5"/>
  <c r="K50" i="5"/>
  <c r="V50" i="5"/>
  <c r="L50" i="5"/>
  <c r="K41" i="5"/>
  <c r="T98" i="5"/>
  <c r="F53" i="5"/>
  <c r="I53" i="5" s="1"/>
  <c r="S98" i="5"/>
  <c r="Q98" i="5"/>
  <c r="N12" i="5"/>
  <c r="P98" i="5"/>
  <c r="F61" i="5"/>
  <c r="I61" i="5" s="1"/>
  <c r="X99" i="5"/>
  <c r="N99" i="5"/>
  <c r="M99" i="5"/>
  <c r="L99" i="5"/>
  <c r="T99" i="5"/>
  <c r="F99" i="5"/>
  <c r="I99" i="5" s="1"/>
  <c r="Y99" i="5"/>
  <c r="E99" i="5"/>
  <c r="O99" i="5"/>
  <c r="W99" i="5"/>
  <c r="V99" i="5"/>
  <c r="U99" i="5"/>
  <c r="D73" i="5"/>
  <c r="D99" i="5"/>
  <c r="P25" i="5"/>
  <c r="M25" i="5"/>
  <c r="K25" i="5"/>
  <c r="O73" i="5"/>
  <c r="N73" i="5"/>
  <c r="M73" i="5"/>
  <c r="L56" i="5"/>
  <c r="X65" i="5"/>
  <c r="Y42" i="5"/>
  <c r="M42" i="5"/>
  <c r="X42" i="5"/>
  <c r="K99" i="5"/>
  <c r="S99" i="5"/>
  <c r="Q99" i="5"/>
  <c r="Y36" i="5"/>
  <c r="M36" i="5"/>
  <c r="T36" i="5"/>
  <c r="N50" i="5"/>
  <c r="F50" i="5"/>
  <c r="I50" i="5" s="1"/>
  <c r="Q50" i="5"/>
  <c r="E18" i="5"/>
  <c r="T18" i="5"/>
  <c r="N18" i="5"/>
  <c r="L18" i="5"/>
  <c r="O18" i="5"/>
  <c r="F18" i="5"/>
  <c r="I18" i="5" s="1"/>
  <c r="V18" i="5"/>
  <c r="Y18" i="5"/>
  <c r="K18" i="5"/>
  <c r="T104" i="5"/>
  <c r="M57" i="5"/>
  <c r="E53" i="5"/>
  <c r="D14" i="5"/>
  <c r="D7" i="5"/>
  <c r="M18" i="5"/>
  <c r="Q18" i="5"/>
  <c r="V104" i="5"/>
  <c r="T14" i="5"/>
  <c r="X87" i="5"/>
  <c r="O57" i="5"/>
  <c r="S61" i="5"/>
  <c r="Z42" i="5"/>
  <c r="J42" i="5"/>
  <c r="Z73" i="5"/>
  <c r="J73" i="5"/>
  <c r="Z36" i="5"/>
  <c r="J36" i="5"/>
  <c r="Z50" i="5"/>
  <c r="J50" i="5"/>
  <c r="Z25" i="5"/>
  <c r="J25" i="5"/>
  <c r="Z99" i="5"/>
  <c r="J99" i="5"/>
  <c r="Z84" i="5"/>
  <c r="J84" i="5"/>
  <c r="Z100" i="5"/>
  <c r="J100" i="5"/>
  <c r="M56" i="5"/>
  <c r="J56" i="5"/>
  <c r="V61" i="5"/>
  <c r="J61" i="5"/>
  <c r="F65" i="5"/>
  <c r="I65" i="5" s="1"/>
  <c r="J65" i="5"/>
  <c r="U56" i="5"/>
  <c r="U61" i="5"/>
  <c r="U65" i="5"/>
  <c r="Z30" i="5"/>
  <c r="J30" i="5"/>
  <c r="Z95" i="5"/>
  <c r="J95" i="5"/>
  <c r="Z76" i="5"/>
  <c r="J76" i="5"/>
  <c r="Z88" i="5"/>
  <c r="J88" i="5"/>
  <c r="Z74" i="5"/>
  <c r="J74" i="5"/>
  <c r="Z80" i="5"/>
  <c r="J80" i="5"/>
  <c r="Z71" i="5"/>
  <c r="J71" i="5"/>
  <c r="Z38" i="5"/>
  <c r="J38" i="5"/>
  <c r="Z92" i="5"/>
  <c r="J92" i="5"/>
  <c r="Z70" i="5"/>
  <c r="J70" i="5"/>
  <c r="Z86" i="5"/>
  <c r="J86" i="5"/>
  <c r="Z33" i="5"/>
  <c r="J33" i="5"/>
  <c r="Z47" i="5"/>
  <c r="J47" i="5"/>
  <c r="Z24" i="5"/>
  <c r="J24" i="5"/>
  <c r="S31" i="5"/>
  <c r="N91" i="5"/>
  <c r="J91" i="5"/>
  <c r="J14" i="5"/>
  <c r="M87" i="5"/>
  <c r="J87" i="5"/>
  <c r="M78" i="5"/>
  <c r="J78" i="5"/>
  <c r="W7" i="5"/>
  <c r="AA7" i="5" s="1"/>
  <c r="J7" i="5"/>
  <c r="K72" i="5"/>
  <c r="J72" i="5"/>
  <c r="Z18" i="5"/>
  <c r="J18" i="5"/>
  <c r="Z67" i="5"/>
  <c r="J67" i="5"/>
  <c r="Z21" i="5"/>
  <c r="J21" i="5"/>
  <c r="Z37" i="5"/>
  <c r="J37" i="5"/>
  <c r="Z40" i="5"/>
  <c r="J40" i="5"/>
  <c r="V41" i="5"/>
  <c r="J41" i="5"/>
  <c r="N96" i="5"/>
  <c r="J96" i="5"/>
  <c r="K66" i="5"/>
  <c r="J66" i="5"/>
  <c r="L64" i="5"/>
  <c r="L83" i="5"/>
  <c r="J83" i="5"/>
  <c r="Z102" i="5"/>
  <c r="J102" i="5"/>
  <c r="Z10" i="5"/>
  <c r="J10" i="5"/>
  <c r="Z29" i="5"/>
  <c r="J29" i="5"/>
  <c r="M31" i="5"/>
  <c r="E31" i="5"/>
  <c r="W31" i="5"/>
  <c r="AA31" i="5" s="1"/>
  <c r="M91" i="5"/>
  <c r="L91" i="5"/>
  <c r="K91" i="5"/>
  <c r="S14" i="5"/>
  <c r="V14" i="5"/>
  <c r="L14" i="5"/>
  <c r="W87" i="5"/>
  <c r="AE87" i="5" s="1"/>
  <c r="Q87" i="5"/>
  <c r="L87" i="5"/>
  <c r="S78" i="5"/>
  <c r="Q78" i="5"/>
  <c r="L78" i="5"/>
  <c r="U96" i="5"/>
  <c r="T96" i="5"/>
  <c r="E7" i="5"/>
  <c r="K7" i="5"/>
  <c r="Y66" i="5"/>
  <c r="N64" i="5"/>
  <c r="N83" i="5"/>
  <c r="E41" i="5"/>
  <c r="F41" i="5"/>
  <c r="I41" i="5" s="1"/>
  <c r="Z96" i="5"/>
  <c r="F96" i="5"/>
  <c r="I96" i="5" s="1"/>
  <c r="K96" i="5"/>
  <c r="E96" i="5"/>
  <c r="Y96" i="5"/>
  <c r="Z66" i="5"/>
  <c r="N66" i="5"/>
  <c r="O66" i="5"/>
  <c r="L66" i="5"/>
  <c r="V66" i="5"/>
  <c r="D66" i="5"/>
  <c r="S66" i="5"/>
  <c r="T66" i="5"/>
  <c r="P66" i="5"/>
  <c r="M66" i="5"/>
  <c r="Z64" i="5"/>
  <c r="U64" i="5"/>
  <c r="V64" i="5"/>
  <c r="W64" i="5"/>
  <c r="T64" i="5"/>
  <c r="E64" i="5"/>
  <c r="Y64" i="5"/>
  <c r="F64" i="5"/>
  <c r="I64" i="5" s="1"/>
  <c r="X64" i="5"/>
  <c r="Z83" i="5"/>
  <c r="U83" i="5"/>
  <c r="V83" i="5"/>
  <c r="W83" i="5"/>
  <c r="T83" i="5"/>
  <c r="D83" i="5"/>
  <c r="E83" i="5"/>
  <c r="Y83" i="5"/>
  <c r="F83" i="5"/>
  <c r="I83" i="5" s="1"/>
  <c r="X83" i="5"/>
  <c r="Z52" i="5"/>
  <c r="U52" i="5"/>
  <c r="V52" i="5"/>
  <c r="W52" i="5"/>
  <c r="S52" i="5"/>
  <c r="D52" i="5"/>
  <c r="D31" i="5"/>
  <c r="N52" i="5"/>
  <c r="M52" i="5"/>
  <c r="E52" i="5"/>
  <c r="P72" i="5"/>
  <c r="O72" i="5"/>
  <c r="F72" i="5"/>
  <c r="I72" i="5" s="1"/>
  <c r="D72" i="5"/>
  <c r="D64" i="5"/>
  <c r="F52" i="5"/>
  <c r="I52" i="5" s="1"/>
  <c r="T52" i="5"/>
  <c r="Y52" i="5"/>
  <c r="Q72" i="5"/>
  <c r="L72" i="5"/>
  <c r="L31" i="5"/>
  <c r="X31" i="5"/>
  <c r="W91" i="5"/>
  <c r="E91" i="5"/>
  <c r="X14" i="5"/>
  <c r="M14" i="5"/>
  <c r="M41" i="5"/>
  <c r="K87" i="5"/>
  <c r="S87" i="5"/>
  <c r="N78" i="5"/>
  <c r="F78" i="5"/>
  <c r="I78" i="5" s="1"/>
  <c r="V96" i="5"/>
  <c r="P96" i="5"/>
  <c r="O96" i="5"/>
  <c r="V7" i="5"/>
  <c r="U66" i="5"/>
  <c r="W66" i="5"/>
  <c r="O64" i="5"/>
  <c r="Q64" i="5"/>
  <c r="O83" i="5"/>
  <c r="Q83" i="5"/>
  <c r="Z31" i="5"/>
  <c r="N31" i="5"/>
  <c r="O31" i="5"/>
  <c r="P31" i="5"/>
  <c r="U31" i="5"/>
  <c r="Z91" i="5"/>
  <c r="S91" i="5"/>
  <c r="X91" i="5"/>
  <c r="U91" i="5"/>
  <c r="Q91" i="5"/>
  <c r="D91" i="5"/>
  <c r="P14" i="5"/>
  <c r="Q14" i="5"/>
  <c r="O14" i="5"/>
  <c r="K14" i="5"/>
  <c r="Z87" i="5"/>
  <c r="E87" i="5"/>
  <c r="Y87" i="5"/>
  <c r="F87" i="5"/>
  <c r="I87" i="5" s="1"/>
  <c r="O87" i="5"/>
  <c r="D87" i="5"/>
  <c r="Z78" i="5"/>
  <c r="E78" i="5"/>
  <c r="Y78" i="5"/>
  <c r="O78" i="5"/>
  <c r="K78" i="5"/>
  <c r="Z7" i="5"/>
  <c r="N7" i="5"/>
  <c r="O7" i="5"/>
  <c r="U7" i="5"/>
  <c r="P7" i="5"/>
  <c r="S7" i="5"/>
  <c r="T7" i="5"/>
  <c r="M7" i="5"/>
  <c r="Z72" i="5"/>
  <c r="W72" i="5"/>
  <c r="AE72" i="5" s="1"/>
  <c r="X72" i="5"/>
  <c r="U72" i="5"/>
  <c r="V72" i="5"/>
  <c r="D18" i="5"/>
  <c r="V102" i="5"/>
  <c r="U102" i="5"/>
  <c r="X102" i="5"/>
  <c r="W102" i="5"/>
  <c r="P18" i="5"/>
  <c r="U18" i="5"/>
  <c r="X18" i="5"/>
  <c r="W18" i="5"/>
  <c r="V56" i="5"/>
  <c r="W61" i="5"/>
  <c r="AA61" i="5" s="1"/>
  <c r="K65" i="5"/>
  <c r="X56" i="5"/>
  <c r="Q56" i="5"/>
  <c r="O61" i="5"/>
  <c r="L61" i="5"/>
  <c r="V65" i="5"/>
  <c r="W65" i="5"/>
  <c r="K56" i="5"/>
  <c r="P56" i="5"/>
  <c r="T61" i="5"/>
  <c r="M61" i="5"/>
  <c r="E65" i="5"/>
  <c r="Q65" i="5"/>
  <c r="N65" i="5"/>
  <c r="D56" i="5"/>
  <c r="F56" i="5"/>
  <c r="I56" i="5" s="1"/>
  <c r="T56" i="5"/>
  <c r="K61" i="5"/>
  <c r="P61" i="5"/>
  <c r="M65" i="5"/>
  <c r="O65" i="5"/>
  <c r="W55" i="5"/>
  <c r="Z55" i="5"/>
  <c r="P60" i="5"/>
  <c r="Z60" i="5"/>
  <c r="L69" i="5"/>
  <c r="Z69" i="5"/>
  <c r="K103" i="5"/>
  <c r="Z103" i="5"/>
  <c r="Y68" i="5"/>
  <c r="Z68" i="5"/>
  <c r="P93" i="5"/>
  <c r="Z93" i="5"/>
  <c r="Q35" i="5"/>
  <c r="Z35" i="5"/>
  <c r="W81" i="5"/>
  <c r="Z81" i="5"/>
  <c r="S46" i="5"/>
  <c r="Z46" i="5"/>
  <c r="E62" i="5"/>
  <c r="Z62" i="5"/>
  <c r="P85" i="5"/>
  <c r="Z85" i="5"/>
  <c r="P8" i="5"/>
  <c r="Z8" i="5"/>
  <c r="V94" i="5"/>
  <c r="Z94" i="5"/>
  <c r="O3" i="5"/>
  <c r="Z3" i="5"/>
  <c r="V16" i="5"/>
  <c r="Z16" i="5"/>
  <c r="P19" i="5"/>
  <c r="Z19" i="5"/>
  <c r="S63" i="5"/>
  <c r="Z63" i="5"/>
  <c r="N59" i="5"/>
  <c r="Z59" i="5"/>
  <c r="Y58" i="5"/>
  <c r="Z58" i="5"/>
  <c r="V17" i="5"/>
  <c r="Z17" i="5"/>
  <c r="O11" i="5"/>
  <c r="Z11" i="5"/>
  <c r="S44" i="5"/>
  <c r="Z44" i="5"/>
  <c r="P39" i="5"/>
  <c r="Z39" i="5"/>
  <c r="W51" i="5"/>
  <c r="Z51" i="5"/>
  <c r="P77" i="5"/>
  <c r="Z77" i="5"/>
  <c r="U101" i="5"/>
  <c r="Z101" i="5"/>
  <c r="F54" i="5"/>
  <c r="I54" i="5" s="1"/>
  <c r="Z54" i="5"/>
  <c r="T13" i="5"/>
  <c r="Z13" i="5"/>
  <c r="Y23" i="5"/>
  <c r="Z23" i="5"/>
  <c r="Q6" i="5"/>
  <c r="Z6" i="5"/>
  <c r="S22" i="5"/>
  <c r="Z22" i="5"/>
  <c r="S82" i="5"/>
  <c r="Z82" i="5"/>
  <c r="U79" i="5"/>
  <c r="Z79" i="5"/>
  <c r="U45" i="5"/>
  <c r="Z45" i="5"/>
  <c r="W43" i="5"/>
  <c r="Z43" i="5"/>
  <c r="E90" i="5"/>
  <c r="Z90" i="5"/>
  <c r="L97" i="5"/>
  <c r="Z97" i="5"/>
  <c r="P12" i="5"/>
  <c r="Z12" i="5"/>
  <c r="U57" i="5"/>
  <c r="Z57" i="5"/>
  <c r="L53" i="5"/>
  <c r="Z53" i="5"/>
  <c r="P75" i="5"/>
  <c r="Z75" i="5"/>
  <c r="E104" i="5"/>
  <c r="Z104" i="5"/>
  <c r="S34" i="5"/>
  <c r="Z34" i="5"/>
  <c r="AB98" i="5"/>
  <c r="Z98" i="5"/>
  <c r="S49" i="5"/>
  <c r="Z49" i="5"/>
  <c r="K20" i="5"/>
  <c r="Z20" i="5"/>
  <c r="N48" i="5"/>
  <c r="Z48" i="5"/>
  <c r="P15" i="5"/>
  <c r="Z15" i="5"/>
  <c r="F14" i="5"/>
  <c r="I14" i="5" s="1"/>
  <c r="Z14" i="5"/>
  <c r="F5" i="5"/>
  <c r="I5" i="5" s="1"/>
  <c r="Z5" i="5"/>
  <c r="F4" i="5"/>
  <c r="I4" i="5" s="1"/>
  <c r="Z4" i="5"/>
  <c r="P41" i="5"/>
  <c r="Z41" i="5"/>
  <c r="L89" i="5"/>
  <c r="Z89" i="5"/>
  <c r="E56" i="5"/>
  <c r="Z56" i="5"/>
  <c r="Q61" i="5"/>
  <c r="Z61" i="5"/>
  <c r="S65" i="5"/>
  <c r="Z65" i="5"/>
  <c r="K26" i="5"/>
  <c r="Z26" i="5"/>
  <c r="D45" i="5"/>
  <c r="Q104" i="5"/>
  <c r="M75" i="5"/>
  <c r="M12" i="5"/>
  <c r="T57" i="5"/>
  <c r="K34" i="5"/>
  <c r="K104" i="5"/>
  <c r="T75" i="5"/>
  <c r="E75" i="5"/>
  <c r="W12" i="5"/>
  <c r="E12" i="5"/>
  <c r="L57" i="5"/>
  <c r="U53" i="5"/>
  <c r="P34" i="5"/>
  <c r="N34" i="5"/>
  <c r="D57" i="5"/>
  <c r="S104" i="5"/>
  <c r="U104" i="5"/>
  <c r="W75" i="5"/>
  <c r="AE75" i="5" s="1"/>
  <c r="Y75" i="5"/>
  <c r="S12" i="5"/>
  <c r="Y12" i="5"/>
  <c r="W57" i="5"/>
  <c r="N57" i="5"/>
  <c r="N53" i="5"/>
  <c r="V53" i="5"/>
  <c r="V34" i="5"/>
  <c r="E34" i="5"/>
  <c r="F34" i="5"/>
  <c r="I34" i="5" s="1"/>
  <c r="D34" i="5"/>
  <c r="N104" i="5"/>
  <c r="P104" i="5"/>
  <c r="F75" i="5"/>
  <c r="I75" i="5" s="1"/>
  <c r="L75" i="5"/>
  <c r="O12" i="5"/>
  <c r="L12" i="5"/>
  <c r="V57" i="5"/>
  <c r="P57" i="5"/>
  <c r="S53" i="5"/>
  <c r="Y53" i="5"/>
  <c r="L34" i="5"/>
  <c r="O34" i="5"/>
  <c r="V98" i="5"/>
  <c r="L98" i="5"/>
  <c r="O98" i="5"/>
  <c r="N98" i="5"/>
  <c r="D75" i="5"/>
  <c r="D98" i="5"/>
  <c r="X104" i="5"/>
  <c r="F104" i="5"/>
  <c r="I104" i="5" s="1"/>
  <c r="M104" i="5"/>
  <c r="L104" i="5"/>
  <c r="O75" i="5"/>
  <c r="S75" i="5"/>
  <c r="V75" i="5"/>
  <c r="U75" i="5"/>
  <c r="T12" i="5"/>
  <c r="F12" i="5"/>
  <c r="I12" i="5" s="1"/>
  <c r="V12" i="5"/>
  <c r="U12" i="5"/>
  <c r="X57" i="5"/>
  <c r="Q57" i="5"/>
  <c r="F57" i="5"/>
  <c r="I57" i="5" s="1"/>
  <c r="Y57" i="5"/>
  <c r="E57" i="5"/>
  <c r="T53" i="5"/>
  <c r="X53" i="5"/>
  <c r="Q53" i="5"/>
  <c r="P53" i="5"/>
  <c r="M34" i="5"/>
  <c r="Q34" i="5"/>
  <c r="X34" i="5"/>
  <c r="W34" i="5"/>
  <c r="M98" i="5"/>
  <c r="Y98" i="5"/>
  <c r="E98" i="5"/>
  <c r="K98" i="5"/>
  <c r="F98" i="5"/>
  <c r="I98" i="5" s="1"/>
  <c r="D104" i="5"/>
  <c r="D12" i="5"/>
  <c r="O104" i="5"/>
  <c r="W104" i="5"/>
  <c r="Y104" i="5"/>
  <c r="L23" i="5"/>
  <c r="K75" i="5"/>
  <c r="N75" i="5"/>
  <c r="Q75" i="5"/>
  <c r="K12" i="5"/>
  <c r="X12" i="5"/>
  <c r="Q12" i="5"/>
  <c r="S57" i="5"/>
  <c r="K57" i="5"/>
  <c r="N13" i="5"/>
  <c r="K53" i="5"/>
  <c r="O53" i="5"/>
  <c r="M53" i="5"/>
  <c r="U34" i="5"/>
  <c r="Y34" i="5"/>
  <c r="T34" i="5"/>
  <c r="U98" i="5"/>
  <c r="X98" i="5"/>
  <c r="F79" i="5"/>
  <c r="I79" i="5" s="1"/>
  <c r="L17" i="5"/>
  <c r="D79" i="5"/>
  <c r="O79" i="5"/>
  <c r="S45" i="5"/>
  <c r="N54" i="5"/>
  <c r="P45" i="5"/>
  <c r="U3" i="5"/>
  <c r="N6" i="5"/>
  <c r="M79" i="5"/>
  <c r="N45" i="5"/>
  <c r="U13" i="5"/>
  <c r="U82" i="5"/>
  <c r="N49" i="5"/>
  <c r="Q11" i="5"/>
  <c r="U44" i="5"/>
  <c r="T79" i="5"/>
  <c r="P79" i="5"/>
  <c r="X45" i="5"/>
  <c r="M45" i="5"/>
  <c r="V103" i="5"/>
  <c r="T68" i="5"/>
  <c r="O93" i="5"/>
  <c r="P82" i="5"/>
  <c r="D15" i="5"/>
  <c r="N26" i="5"/>
  <c r="Q26" i="5"/>
  <c r="Y26" i="5"/>
  <c r="L26" i="5"/>
  <c r="X15" i="5"/>
  <c r="K15" i="5"/>
  <c r="Y15" i="5"/>
  <c r="F26" i="5"/>
  <c r="I26" i="5" s="1"/>
  <c r="T26" i="5"/>
  <c r="M26" i="5"/>
  <c r="U26" i="5"/>
  <c r="E26" i="5"/>
  <c r="W15" i="5"/>
  <c r="U15" i="5"/>
  <c r="E35" i="5"/>
  <c r="D41" i="5"/>
  <c r="E44" i="5"/>
  <c r="T41" i="5"/>
  <c r="W41" i="5"/>
  <c r="AA41" i="5" s="1"/>
  <c r="U41" i="5"/>
  <c r="W26" i="5"/>
  <c r="X26" i="5"/>
  <c r="P26" i="5"/>
  <c r="K58" i="5"/>
  <c r="N15" i="5"/>
  <c r="V15" i="5"/>
  <c r="L15" i="5"/>
  <c r="K19" i="5"/>
  <c r="D61" i="5"/>
  <c r="D65" i="5"/>
  <c r="D26" i="5"/>
  <c r="V11" i="5"/>
  <c r="S56" i="5"/>
  <c r="W56" i="5"/>
  <c r="Y56" i="5"/>
  <c r="X61" i="5"/>
  <c r="Y61" i="5"/>
  <c r="N61" i="5"/>
  <c r="S41" i="5"/>
  <c r="N41" i="5"/>
  <c r="P65" i="5"/>
  <c r="L65" i="5"/>
  <c r="T65" i="5"/>
  <c r="S26" i="5"/>
  <c r="V26" i="5"/>
  <c r="O26" i="5"/>
  <c r="K23" i="5"/>
  <c r="Y5" i="5"/>
  <c r="X79" i="5"/>
  <c r="V79" i="5"/>
  <c r="F15" i="5"/>
  <c r="I15" i="5" s="1"/>
  <c r="S15" i="5"/>
  <c r="M15" i="5"/>
  <c r="E15" i="5"/>
  <c r="K45" i="5"/>
  <c r="Q45" i="5"/>
  <c r="T82" i="5"/>
  <c r="D48" i="5"/>
  <c r="Q48" i="5"/>
  <c r="U48" i="5"/>
  <c r="O48" i="5"/>
  <c r="F48" i="5"/>
  <c r="I48" i="5" s="1"/>
  <c r="T89" i="5"/>
  <c r="U89" i="5"/>
  <c r="M48" i="5"/>
  <c r="L48" i="5"/>
  <c r="K48" i="5"/>
  <c r="W89" i="5"/>
  <c r="V89" i="5"/>
  <c r="P89" i="5"/>
  <c r="L103" i="5"/>
  <c r="N68" i="5"/>
  <c r="X35" i="5"/>
  <c r="Q49" i="5"/>
  <c r="D63" i="5"/>
  <c r="K44" i="5"/>
  <c r="W5" i="5"/>
  <c r="K16" i="5"/>
  <c r="V48" i="5"/>
  <c r="E48" i="5"/>
  <c r="W48" i="5"/>
  <c r="V58" i="5"/>
  <c r="K89" i="5"/>
  <c r="S89" i="5"/>
  <c r="Q89" i="5"/>
  <c r="E89" i="5"/>
  <c r="M93" i="5"/>
  <c r="K35" i="5"/>
  <c r="E49" i="5"/>
  <c r="Y48" i="5"/>
  <c r="X48" i="5"/>
  <c r="N79" i="5"/>
  <c r="O45" i="5"/>
  <c r="F45" i="5"/>
  <c r="I45" i="5" s="1"/>
  <c r="X89" i="5"/>
  <c r="N89" i="5"/>
  <c r="Y89" i="5"/>
  <c r="N8" i="5"/>
  <c r="P63" i="5"/>
  <c r="F100" i="5"/>
  <c r="I100" i="5" s="1"/>
  <c r="W100" i="5"/>
  <c r="U100" i="5"/>
  <c r="E79" i="5"/>
  <c r="Y79" i="5"/>
  <c r="W79" i="5"/>
  <c r="AE79" i="5" s="1"/>
  <c r="K79" i="5"/>
  <c r="E45" i="5"/>
  <c r="Y45" i="5"/>
  <c r="W45" i="5"/>
  <c r="T45" i="5"/>
  <c r="D100" i="5"/>
  <c r="E4" i="5"/>
  <c r="Q20" i="5"/>
  <c r="M20" i="5"/>
  <c r="W20" i="5"/>
  <c r="V100" i="5"/>
  <c r="S100" i="5"/>
  <c r="W103" i="5"/>
  <c r="X103" i="5"/>
  <c r="U103" i="5"/>
  <c r="M103" i="5"/>
  <c r="W68" i="5"/>
  <c r="X68" i="5"/>
  <c r="U68" i="5"/>
  <c r="F93" i="5"/>
  <c r="I93" i="5" s="1"/>
  <c r="K93" i="5"/>
  <c r="E93" i="5"/>
  <c r="Y93" i="5"/>
  <c r="U5" i="5"/>
  <c r="V5" i="5"/>
  <c r="S5" i="5"/>
  <c r="K5" i="5"/>
  <c r="L35" i="5"/>
  <c r="M35" i="5"/>
  <c r="F35" i="5"/>
  <c r="I35" i="5" s="1"/>
  <c r="N35" i="5"/>
  <c r="L49" i="5"/>
  <c r="M49" i="5"/>
  <c r="K49" i="5"/>
  <c r="O49" i="5"/>
  <c r="D49" i="5"/>
  <c r="D93" i="5"/>
  <c r="D5" i="5"/>
  <c r="D68" i="5"/>
  <c r="Q4" i="5"/>
  <c r="X4" i="5"/>
  <c r="O5" i="5"/>
  <c r="P5" i="5"/>
  <c r="E103" i="5"/>
  <c r="S103" i="5"/>
  <c r="M68" i="5"/>
  <c r="P68" i="5"/>
  <c r="O68" i="5"/>
  <c r="F68" i="5"/>
  <c r="I68" i="5" s="1"/>
  <c r="V93" i="5"/>
  <c r="L93" i="5"/>
  <c r="W93" i="5"/>
  <c r="O35" i="5"/>
  <c r="S35" i="5"/>
  <c r="Y35" i="5"/>
  <c r="F49" i="5"/>
  <c r="I49" i="5" s="1"/>
  <c r="T49" i="5"/>
  <c r="Y49" i="5"/>
  <c r="P20" i="5"/>
  <c r="X20" i="5"/>
  <c r="S20" i="5"/>
  <c r="P100" i="5"/>
  <c r="Q58" i="5"/>
  <c r="X58" i="5"/>
  <c r="D58" i="5"/>
  <c r="X17" i="5"/>
  <c r="D17" i="5"/>
  <c r="U11" i="5"/>
  <c r="K11" i="5"/>
  <c r="Y44" i="5"/>
  <c r="W44" i="5"/>
  <c r="D44" i="5"/>
  <c r="D4" i="5"/>
  <c r="D103" i="5"/>
  <c r="D35" i="5"/>
  <c r="W11" i="5"/>
  <c r="AA11" i="5" s="1"/>
  <c r="P11" i="5"/>
  <c r="M4" i="5"/>
  <c r="W4" i="5"/>
  <c r="T5" i="5"/>
  <c r="Q5" i="5"/>
  <c r="L5" i="5"/>
  <c r="W58" i="5"/>
  <c r="U58" i="5"/>
  <c r="Q17" i="5"/>
  <c r="K17" i="5"/>
  <c r="Y103" i="5"/>
  <c r="T103" i="5"/>
  <c r="N103" i="5"/>
  <c r="V68" i="5"/>
  <c r="L68" i="5"/>
  <c r="K68" i="5"/>
  <c r="E94" i="5"/>
  <c r="Q93" i="5"/>
  <c r="X93" i="5"/>
  <c r="S93" i="5"/>
  <c r="W35" i="5"/>
  <c r="AA35" i="5" s="1"/>
  <c r="U35" i="5"/>
  <c r="Q19" i="5"/>
  <c r="X49" i="5"/>
  <c r="U49" i="5"/>
  <c r="U20" i="5"/>
  <c r="E20" i="5"/>
  <c r="T20" i="5"/>
  <c r="F20" i="5"/>
  <c r="I20" i="5" s="1"/>
  <c r="X100" i="5"/>
  <c r="Q54" i="5"/>
  <c r="P54" i="5"/>
  <c r="O13" i="5"/>
  <c r="V13" i="5"/>
  <c r="O6" i="5"/>
  <c r="F6" i="5"/>
  <c r="I6" i="5" s="1"/>
  <c r="P6" i="5"/>
  <c r="X82" i="5"/>
  <c r="Q82" i="5"/>
  <c r="D13" i="5"/>
  <c r="D54" i="5"/>
  <c r="S11" i="5"/>
  <c r="X44" i="5"/>
  <c r="V44" i="5"/>
  <c r="U4" i="5"/>
  <c r="N23" i="5"/>
  <c r="X5" i="5"/>
  <c r="N5" i="5"/>
  <c r="M5" i="5"/>
  <c r="E5" i="5"/>
  <c r="S58" i="5"/>
  <c r="F58" i="5"/>
  <c r="I58" i="5" s="1"/>
  <c r="S79" i="5"/>
  <c r="Q79" i="5"/>
  <c r="L79" i="5"/>
  <c r="E17" i="5"/>
  <c r="W17" i="5"/>
  <c r="Q103" i="5"/>
  <c r="P103" i="5"/>
  <c r="O103" i="5"/>
  <c r="F103" i="5"/>
  <c r="I103" i="5" s="1"/>
  <c r="L54" i="5"/>
  <c r="Q68" i="5"/>
  <c r="E68" i="5"/>
  <c r="S68" i="5"/>
  <c r="F94" i="5"/>
  <c r="I94" i="5" s="1"/>
  <c r="U93" i="5"/>
  <c r="T93" i="5"/>
  <c r="N93" i="5"/>
  <c r="T35" i="5"/>
  <c r="V35" i="5"/>
  <c r="P35" i="5"/>
  <c r="W49" i="5"/>
  <c r="V49" i="5"/>
  <c r="P49" i="5"/>
  <c r="M82" i="5"/>
  <c r="W82" i="5"/>
  <c r="L20" i="5"/>
  <c r="M100" i="5"/>
  <c r="T100" i="5"/>
  <c r="N20" i="5"/>
  <c r="O20" i="5"/>
  <c r="V20" i="5"/>
  <c r="Y20" i="5"/>
  <c r="D20" i="5"/>
  <c r="S48" i="5"/>
  <c r="T48" i="5"/>
  <c r="P48" i="5"/>
  <c r="N4" i="5"/>
  <c r="K4" i="5"/>
  <c r="Y4" i="5"/>
  <c r="L41" i="5"/>
  <c r="Q41" i="5"/>
  <c r="O41" i="5"/>
  <c r="Y41" i="5"/>
  <c r="D89" i="5"/>
  <c r="O15" i="5"/>
  <c r="T15" i="5"/>
  <c r="Q15" i="5"/>
  <c r="O89" i="5"/>
  <c r="F89" i="5"/>
  <c r="I89" i="5" s="1"/>
  <c r="M89" i="5"/>
  <c r="D59" i="5"/>
  <c r="S8" i="5"/>
  <c r="T8" i="5"/>
  <c r="Y8" i="5"/>
  <c r="U8" i="5"/>
  <c r="W8" i="5"/>
  <c r="X8" i="5"/>
  <c r="Q8" i="5"/>
  <c r="V8" i="5"/>
  <c r="S94" i="5"/>
  <c r="T94" i="5"/>
  <c r="P94" i="5"/>
  <c r="Q94" i="5"/>
  <c r="AB94" i="5"/>
  <c r="X94" i="5"/>
  <c r="U94" i="5"/>
  <c r="L3" i="5"/>
  <c r="M3" i="5"/>
  <c r="N3" i="5"/>
  <c r="F3" i="5"/>
  <c r="I3" i="5" s="1"/>
  <c r="P3" i="5"/>
  <c r="Q3" i="5"/>
  <c r="W3" i="5"/>
  <c r="S3" i="5"/>
  <c r="E16" i="5"/>
  <c r="Y16" i="5"/>
  <c r="O16" i="5"/>
  <c r="L16" i="5"/>
  <c r="M16" i="5"/>
  <c r="F16" i="5"/>
  <c r="I16" i="5" s="1"/>
  <c r="T16" i="5"/>
  <c r="W63" i="5"/>
  <c r="X63" i="5"/>
  <c r="U63" i="5"/>
  <c r="Q63" i="5"/>
  <c r="F63" i="5"/>
  <c r="I63" i="5" s="1"/>
  <c r="K63" i="5"/>
  <c r="E63" i="5"/>
  <c r="Y63" i="5"/>
  <c r="V63" i="5"/>
  <c r="D19" i="5"/>
  <c r="L63" i="5"/>
  <c r="N63" i="5"/>
  <c r="M59" i="5"/>
  <c r="O59" i="5"/>
  <c r="S23" i="5"/>
  <c r="T23" i="5"/>
  <c r="P23" i="5"/>
  <c r="Q23" i="5"/>
  <c r="X23" i="5"/>
  <c r="U23" i="5"/>
  <c r="V23" i="5"/>
  <c r="D23" i="5"/>
  <c r="K3" i="5"/>
  <c r="V3" i="5"/>
  <c r="E23" i="5"/>
  <c r="F23" i="5"/>
  <c r="I23" i="5" s="1"/>
  <c r="S16" i="5"/>
  <c r="U16" i="5"/>
  <c r="E6" i="5"/>
  <c r="L8" i="5"/>
  <c r="O8" i="5"/>
  <c r="K54" i="5"/>
  <c r="Y94" i="5"/>
  <c r="K94" i="5"/>
  <c r="Y13" i="5"/>
  <c r="X19" i="5"/>
  <c r="L22" i="5"/>
  <c r="W22" i="5"/>
  <c r="M63" i="5"/>
  <c r="T63" i="5"/>
  <c r="P59" i="5"/>
  <c r="S59" i="5"/>
  <c r="V22" i="5"/>
  <c r="X22" i="5"/>
  <c r="Q59" i="5"/>
  <c r="T59" i="5"/>
  <c r="U19" i="5"/>
  <c r="V19" i="5"/>
  <c r="F19" i="5"/>
  <c r="I19" i="5" s="1"/>
  <c r="T19" i="5"/>
  <c r="E19" i="5"/>
  <c r="Y19" i="5"/>
  <c r="S19" i="5"/>
  <c r="W19" i="5"/>
  <c r="D16" i="5"/>
  <c r="T3" i="5"/>
  <c r="E3" i="5"/>
  <c r="X16" i="5"/>
  <c r="Q16" i="5"/>
  <c r="M8" i="5"/>
  <c r="E8" i="5"/>
  <c r="F8" i="5"/>
  <c r="I8" i="5" s="1"/>
  <c r="M94" i="5"/>
  <c r="O94" i="5"/>
  <c r="N19" i="5"/>
  <c r="M19" i="5"/>
  <c r="M22" i="5"/>
  <c r="T22" i="5"/>
  <c r="U54" i="5"/>
  <c r="V54" i="5"/>
  <c r="S54" i="5"/>
  <c r="T54" i="5"/>
  <c r="E54" i="5"/>
  <c r="Y54" i="5"/>
  <c r="W54" i="5"/>
  <c r="O54" i="5"/>
  <c r="W13" i="5"/>
  <c r="X13" i="5"/>
  <c r="E13" i="5"/>
  <c r="Q13" i="5"/>
  <c r="F13" i="5"/>
  <c r="I13" i="5" s="1"/>
  <c r="K13" i="5"/>
  <c r="M13" i="5"/>
  <c r="P13" i="5"/>
  <c r="S6" i="5"/>
  <c r="T6" i="5"/>
  <c r="Y6" i="5"/>
  <c r="M6" i="5"/>
  <c r="W6" i="5"/>
  <c r="X6" i="5"/>
  <c r="L6" i="5"/>
  <c r="V6" i="5"/>
  <c r="D6" i="5"/>
  <c r="D3" i="5"/>
  <c r="D8" i="5"/>
  <c r="D94" i="5"/>
  <c r="X3" i="5"/>
  <c r="Y3" i="5"/>
  <c r="M23" i="5"/>
  <c r="O23" i="5"/>
  <c r="N16" i="5"/>
  <c r="P16" i="5"/>
  <c r="U6" i="5"/>
  <c r="K6" i="5"/>
  <c r="K8" i="5"/>
  <c r="X54" i="5"/>
  <c r="M54" i="5"/>
  <c r="L94" i="5"/>
  <c r="N94" i="5"/>
  <c r="L13" i="5"/>
  <c r="S13" i="5"/>
  <c r="O19" i="5"/>
  <c r="L19" i="5"/>
  <c r="P22" i="5"/>
  <c r="O63" i="5"/>
  <c r="L59" i="5"/>
  <c r="W59" i="5"/>
  <c r="X59" i="5"/>
  <c r="U59" i="5"/>
  <c r="V59" i="5"/>
  <c r="F59" i="5"/>
  <c r="I59" i="5" s="1"/>
  <c r="K59" i="5"/>
  <c r="E59" i="5"/>
  <c r="Y59" i="5"/>
  <c r="L58" i="5"/>
  <c r="E58" i="5"/>
  <c r="O58" i="5"/>
  <c r="P58" i="5"/>
  <c r="M58" i="5"/>
  <c r="N58" i="5"/>
  <c r="T58" i="5"/>
  <c r="N17" i="5"/>
  <c r="O17" i="5"/>
  <c r="U17" i="5"/>
  <c r="P17" i="5"/>
  <c r="S17" i="5"/>
  <c r="T17" i="5"/>
  <c r="M17" i="5"/>
  <c r="Y17" i="5"/>
  <c r="E11" i="5"/>
  <c r="Y11" i="5"/>
  <c r="T11" i="5"/>
  <c r="X11" i="5"/>
  <c r="L11" i="5"/>
  <c r="M11" i="5"/>
  <c r="N11" i="5"/>
  <c r="L44" i="5"/>
  <c r="M44" i="5"/>
  <c r="F44" i="5"/>
  <c r="I44" i="5" s="1"/>
  <c r="O44" i="5"/>
  <c r="P44" i="5"/>
  <c r="Q44" i="5"/>
  <c r="N44" i="5"/>
  <c r="T44" i="5"/>
  <c r="F22" i="5"/>
  <c r="I22" i="5" s="1"/>
  <c r="K22" i="5"/>
  <c r="Q22" i="5"/>
  <c r="U22" i="5"/>
  <c r="E22" i="5"/>
  <c r="N22" i="5"/>
  <c r="O22" i="5"/>
  <c r="Y22" i="5"/>
  <c r="D22" i="5"/>
  <c r="F82" i="5"/>
  <c r="I82" i="5" s="1"/>
  <c r="K82" i="5"/>
  <c r="E82" i="5"/>
  <c r="Y82" i="5"/>
  <c r="V82" i="5"/>
  <c r="N82" i="5"/>
  <c r="O82" i="5"/>
  <c r="L82" i="5"/>
  <c r="D82" i="5"/>
  <c r="P4" i="5"/>
  <c r="T4" i="5"/>
  <c r="S4" i="5"/>
  <c r="Q100" i="5"/>
  <c r="L100" i="5"/>
  <c r="O100" i="5"/>
  <c r="N100" i="5"/>
  <c r="V4" i="5"/>
  <c r="L4" i="5"/>
  <c r="O4" i="5"/>
  <c r="Y100" i="5"/>
  <c r="E100" i="5"/>
  <c r="K100" i="5"/>
  <c r="S90" i="5"/>
  <c r="Q69" i="5"/>
  <c r="O55" i="5"/>
  <c r="X69" i="5"/>
  <c r="Q90" i="5"/>
  <c r="U90" i="5"/>
  <c r="O90" i="5"/>
  <c r="N90" i="5"/>
  <c r="P90" i="5"/>
  <c r="A7" i="5"/>
  <c r="A5" i="5"/>
  <c r="T90" i="5"/>
  <c r="V90" i="5"/>
  <c r="A6" i="5"/>
  <c r="A13" i="5"/>
  <c r="A11" i="5"/>
  <c r="A8" i="5"/>
  <c r="A14" i="5"/>
  <c r="A9" i="5"/>
  <c r="A10" i="5"/>
  <c r="A19" i="5"/>
  <c r="A16" i="5"/>
  <c r="A15" i="5"/>
  <c r="A17" i="5"/>
  <c r="A12" i="5"/>
  <c r="A18" i="5"/>
  <c r="Q55" i="5"/>
  <c r="D69" i="5"/>
  <c r="S69" i="5"/>
  <c r="M55" i="5"/>
  <c r="X60" i="5"/>
  <c r="U69" i="5"/>
  <c r="U55" i="5"/>
  <c r="F55" i="5"/>
  <c r="I55" i="5" s="1"/>
  <c r="E60" i="5"/>
  <c r="S51" i="5"/>
  <c r="D39" i="5"/>
  <c r="T39" i="5"/>
  <c r="A30" i="5"/>
  <c r="L39" i="5"/>
  <c r="K77" i="5"/>
  <c r="E51" i="5"/>
  <c r="O97" i="5"/>
  <c r="AB97" i="5"/>
  <c r="Y97" i="5"/>
  <c r="E97" i="5"/>
  <c r="F77" i="5"/>
  <c r="I77" i="5" s="1"/>
  <c r="T97" i="5"/>
  <c r="S97" i="5"/>
  <c r="V97" i="5"/>
  <c r="U97" i="5"/>
  <c r="A21" i="5"/>
  <c r="D90" i="5"/>
  <c r="D97" i="5"/>
  <c r="V39" i="5"/>
  <c r="T51" i="5"/>
  <c r="K90" i="5"/>
  <c r="F90" i="5"/>
  <c r="I90" i="5" s="1"/>
  <c r="M90" i="5"/>
  <c r="L90" i="5"/>
  <c r="M77" i="5"/>
  <c r="K97" i="5"/>
  <c r="N97" i="5"/>
  <c r="Q97" i="5"/>
  <c r="P97" i="5"/>
  <c r="A28" i="5"/>
  <c r="K39" i="5"/>
  <c r="E39" i="5"/>
  <c r="V51" i="5"/>
  <c r="N51" i="5"/>
  <c r="O39" i="5"/>
  <c r="M39" i="5"/>
  <c r="Q51" i="5"/>
  <c r="O51" i="5"/>
  <c r="X90" i="5"/>
  <c r="W90" i="5"/>
  <c r="Y90" i="5"/>
  <c r="L77" i="5"/>
  <c r="X97" i="5"/>
  <c r="F97" i="5"/>
  <c r="I97" i="5" s="1"/>
  <c r="M97" i="5"/>
  <c r="K101" i="5"/>
  <c r="N101" i="5"/>
  <c r="P101" i="5"/>
  <c r="X39" i="5"/>
  <c r="F39" i="5"/>
  <c r="I39" i="5" s="1"/>
  <c r="Y39" i="5"/>
  <c r="L51" i="5"/>
  <c r="Y51" i="5"/>
  <c r="M51" i="5"/>
  <c r="K51" i="5"/>
  <c r="F51" i="5"/>
  <c r="I51" i="5" s="1"/>
  <c r="O101" i="5"/>
  <c r="F101" i="5"/>
  <c r="I101" i="5" s="1"/>
  <c r="M101" i="5"/>
  <c r="L101" i="5"/>
  <c r="X77" i="5"/>
  <c r="AB77" i="5"/>
  <c r="Y77" i="5"/>
  <c r="E77" i="5"/>
  <c r="A31" i="5"/>
  <c r="A22" i="5"/>
  <c r="A24" i="5"/>
  <c r="Q101" i="5"/>
  <c r="D101" i="5"/>
  <c r="D77" i="5"/>
  <c r="N39" i="5"/>
  <c r="U39" i="5"/>
  <c r="U51" i="5"/>
  <c r="P51" i="5"/>
  <c r="X51" i="5"/>
  <c r="X101" i="5"/>
  <c r="W101" i="5"/>
  <c r="Y101" i="5"/>
  <c r="E101" i="5"/>
  <c r="T77" i="5"/>
  <c r="S77" i="5"/>
  <c r="V77" i="5"/>
  <c r="U77" i="5"/>
  <c r="A23" i="5"/>
  <c r="A26" i="5"/>
  <c r="A29" i="5"/>
  <c r="A27" i="5"/>
  <c r="A20" i="5"/>
  <c r="T101" i="5"/>
  <c r="S101" i="5"/>
  <c r="V101" i="5"/>
  <c r="O77" i="5"/>
  <c r="N77" i="5"/>
  <c r="Q77" i="5"/>
  <c r="A25" i="5"/>
  <c r="A32" i="5"/>
  <c r="A39" i="5"/>
  <c r="A49" i="5"/>
  <c r="A50" i="5"/>
  <c r="A65" i="5"/>
  <c r="A64" i="5"/>
  <c r="A33" i="5"/>
  <c r="Y85" i="5"/>
  <c r="A97" i="5"/>
  <c r="A70" i="5"/>
  <c r="W85" i="5"/>
  <c r="O62" i="5"/>
  <c r="A87" i="5"/>
  <c r="A55" i="5"/>
  <c r="A98" i="5"/>
  <c r="A66" i="5"/>
  <c r="A34" i="5"/>
  <c r="A89" i="5"/>
  <c r="A73" i="5"/>
  <c r="A57" i="5"/>
  <c r="A41" i="5"/>
  <c r="A91" i="5"/>
  <c r="A43" i="5"/>
  <c r="A46" i="5"/>
  <c r="A80" i="5"/>
  <c r="A48" i="5"/>
  <c r="A71" i="5"/>
  <c r="A75" i="5"/>
  <c r="V85" i="5"/>
  <c r="F62" i="5"/>
  <c r="I62" i="5" s="1"/>
  <c r="A79" i="5"/>
  <c r="A47" i="5"/>
  <c r="A90" i="5"/>
  <c r="A58" i="5"/>
  <c r="A101" i="5"/>
  <c r="A85" i="5"/>
  <c r="A69" i="5"/>
  <c r="A53" i="5"/>
  <c r="A37" i="5"/>
  <c r="A83" i="5"/>
  <c r="A35" i="5"/>
  <c r="A94" i="5"/>
  <c r="A38" i="5"/>
  <c r="A100" i="5"/>
  <c r="A68" i="5"/>
  <c r="A36" i="5"/>
  <c r="A82" i="5"/>
  <c r="A81" i="5"/>
  <c r="A96" i="5"/>
  <c r="K85" i="5"/>
  <c r="K81" i="5"/>
  <c r="T62" i="5"/>
  <c r="A99" i="5"/>
  <c r="A63" i="5"/>
  <c r="A74" i="5"/>
  <c r="A42" i="5"/>
  <c r="A93" i="5"/>
  <c r="A77" i="5"/>
  <c r="A61" i="5"/>
  <c r="A45" i="5"/>
  <c r="A95" i="5"/>
  <c r="A67" i="5"/>
  <c r="A62" i="5"/>
  <c r="A84" i="5"/>
  <c r="A52" i="5"/>
  <c r="A51" i="5"/>
  <c r="A78" i="5"/>
  <c r="A88" i="5"/>
  <c r="A72" i="5"/>
  <c r="A56" i="5"/>
  <c r="A40" i="5"/>
  <c r="A59" i="5"/>
  <c r="A86" i="5"/>
  <c r="A54" i="5"/>
  <c r="A92" i="5"/>
  <c r="A76" i="5"/>
  <c r="A60" i="5"/>
  <c r="A44" i="5"/>
  <c r="W39" i="5"/>
  <c r="AE39" i="5" s="1"/>
  <c r="S39" i="5"/>
  <c r="Q39" i="5"/>
  <c r="W60" i="5"/>
  <c r="K69" i="5"/>
  <c r="V69" i="5"/>
  <c r="O85" i="5"/>
  <c r="E85" i="5"/>
  <c r="V55" i="5"/>
  <c r="N55" i="5"/>
  <c r="V62" i="5"/>
  <c r="L62" i="5"/>
  <c r="Y60" i="5"/>
  <c r="D62" i="5"/>
  <c r="N69" i="5"/>
  <c r="P69" i="5"/>
  <c r="S85" i="5"/>
  <c r="U85" i="5"/>
  <c r="Y55" i="5"/>
  <c r="K55" i="5"/>
  <c r="F81" i="5"/>
  <c r="I81" i="5" s="1"/>
  <c r="P62" i="5"/>
  <c r="N62" i="5"/>
  <c r="O69" i="5"/>
  <c r="W69" i="5"/>
  <c r="AE69" i="5" s="1"/>
  <c r="Y69" i="5"/>
  <c r="E69" i="5"/>
  <c r="T85" i="5"/>
  <c r="F85" i="5"/>
  <c r="I85" i="5" s="1"/>
  <c r="M85" i="5"/>
  <c r="L85" i="5"/>
  <c r="E55" i="5"/>
  <c r="T55" i="5"/>
  <c r="S55" i="5"/>
  <c r="V81" i="5"/>
  <c r="U62" i="5"/>
  <c r="Y62" i="5"/>
  <c r="X62" i="5"/>
  <c r="S62" i="5"/>
  <c r="K62" i="5"/>
  <c r="K60" i="5"/>
  <c r="F60" i="5"/>
  <c r="I60" i="5" s="1"/>
  <c r="M60" i="5"/>
  <c r="L60" i="5"/>
  <c r="T60" i="5"/>
  <c r="S60" i="5"/>
  <c r="V60" i="5"/>
  <c r="U60" i="5"/>
  <c r="D85" i="5"/>
  <c r="D55" i="5"/>
  <c r="D81" i="5"/>
  <c r="D60" i="5"/>
  <c r="T69" i="5"/>
  <c r="F69" i="5"/>
  <c r="I69" i="5" s="1"/>
  <c r="M69" i="5"/>
  <c r="X85" i="5"/>
  <c r="N85" i="5"/>
  <c r="Q85" i="5"/>
  <c r="L55" i="5"/>
  <c r="P55" i="5"/>
  <c r="X55" i="5"/>
  <c r="Q81" i="5"/>
  <c r="Q62" i="5"/>
  <c r="M62" i="5"/>
  <c r="W62" i="5"/>
  <c r="AA62" i="5" s="1"/>
  <c r="O60" i="5"/>
  <c r="N60" i="5"/>
  <c r="Q60" i="5"/>
  <c r="L46" i="5"/>
  <c r="O46" i="5"/>
  <c r="N46" i="5"/>
  <c r="L81" i="5"/>
  <c r="P81" i="5"/>
  <c r="T81" i="5"/>
  <c r="S81" i="5"/>
  <c r="Q46" i="5"/>
  <c r="U46" i="5"/>
  <c r="X46" i="5"/>
  <c r="W46" i="5"/>
  <c r="AA46" i="5" s="1"/>
  <c r="D46" i="5"/>
  <c r="V46" i="5"/>
  <c r="Y46" i="5"/>
  <c r="E46" i="5"/>
  <c r="K46" i="5"/>
  <c r="F46" i="5"/>
  <c r="I46" i="5" s="1"/>
  <c r="Y81" i="5"/>
  <c r="E81" i="5"/>
  <c r="O81" i="5"/>
  <c r="N81" i="5"/>
  <c r="M46" i="5"/>
  <c r="P46" i="5"/>
  <c r="T46" i="5"/>
  <c r="U81" i="5"/>
  <c r="X81" i="5"/>
  <c r="M81" i="5"/>
  <c r="Y43" i="5"/>
  <c r="E43" i="5"/>
  <c r="K43" i="5"/>
  <c r="F43" i="5"/>
  <c r="I43" i="5" s="1"/>
  <c r="V43" i="5"/>
  <c r="P43" i="5"/>
  <c r="T43" i="5"/>
  <c r="S43" i="5"/>
  <c r="D43" i="5"/>
  <c r="Q43" i="5"/>
  <c r="L43" i="5"/>
  <c r="O43" i="5"/>
  <c r="N43" i="5"/>
  <c r="M43" i="5"/>
  <c r="U43" i="5"/>
  <c r="X43" i="5"/>
  <c r="B9" i="18" l="1" a="1"/>
  <c r="B9" i="18" s="1"/>
  <c r="I32" i="5"/>
  <c r="G32" i="5"/>
  <c r="K9" i="16" a="1"/>
  <c r="K9" i="16" s="1"/>
  <c r="F9" i="16" a="1"/>
  <c r="F9" i="16" s="1"/>
  <c r="B9" i="16" a="1"/>
  <c r="B9" i="16" s="1"/>
  <c r="G9" i="18" a="1"/>
  <c r="G9" i="18" s="1"/>
  <c r="C9" i="18" a="1"/>
  <c r="C9" i="18" s="1"/>
  <c r="F9" i="10" a="1"/>
  <c r="F9" i="10" s="1"/>
  <c r="E9" i="16" a="1"/>
  <c r="E9" i="16" s="1"/>
  <c r="B9" i="10" a="1"/>
  <c r="B9" i="10" s="1"/>
  <c r="F9" i="18" a="1"/>
  <c r="F9" i="18" s="1"/>
  <c r="E9" i="10" a="1"/>
  <c r="E9" i="10" s="1"/>
  <c r="G9" i="10" a="1"/>
  <c r="G9" i="10" s="1"/>
  <c r="J9" i="16" a="1"/>
  <c r="J9" i="16" s="1"/>
  <c r="J9" i="10" a="1"/>
  <c r="J9" i="10" s="1"/>
  <c r="D9" i="18" a="1"/>
  <c r="D9" i="18" s="1"/>
  <c r="D9" i="16" a="1"/>
  <c r="D9" i="16" s="1"/>
  <c r="J9" i="18" a="1"/>
  <c r="J9" i="18" s="1"/>
  <c r="E9" i="18" a="1"/>
  <c r="E9" i="18" s="1"/>
  <c r="I9" i="10" a="1"/>
  <c r="I9" i="10" s="1"/>
  <c r="D9" i="10" a="1"/>
  <c r="D9" i="10" s="1"/>
  <c r="G9" i="16" a="1"/>
  <c r="G9" i="16" s="1"/>
  <c r="C9" i="16" a="1"/>
  <c r="C9" i="16" s="1"/>
  <c r="I9" i="18" a="1"/>
  <c r="I9" i="18" s="1"/>
  <c r="C9" i="10" a="1"/>
  <c r="C9" i="10" s="1"/>
  <c r="AB68" i="5"/>
  <c r="AB69" i="5"/>
  <c r="AB79" i="5"/>
  <c r="AB57" i="5"/>
  <c r="AB75" i="5"/>
  <c r="AB55" i="5"/>
  <c r="AB72" i="5"/>
  <c r="AB66" i="5"/>
  <c r="AB64" i="5"/>
  <c r="AB73" i="5"/>
  <c r="AB60" i="5"/>
  <c r="AB58" i="5"/>
  <c r="AB52" i="5"/>
  <c r="AB76" i="5"/>
  <c r="AB84" i="5"/>
  <c r="AB67" i="5"/>
  <c r="AB80" i="5"/>
  <c r="AB59" i="5"/>
  <c r="AB63" i="5"/>
  <c r="AB81" i="5"/>
  <c r="AB71" i="5"/>
  <c r="AB82" i="5"/>
  <c r="AB56" i="5"/>
  <c r="AB83" i="5"/>
  <c r="AB78" i="5"/>
  <c r="AB50" i="5"/>
  <c r="AB70" i="5"/>
  <c r="AB93" i="5"/>
  <c r="AA26" i="5"/>
  <c r="AB26" i="5" s="1"/>
  <c r="AA15" i="5"/>
  <c r="AB15" i="5" s="1"/>
  <c r="AA18" i="5"/>
  <c r="AB18" i="5" s="1"/>
  <c r="AB102" i="5"/>
  <c r="AA25" i="5"/>
  <c r="AB25" i="5" s="1"/>
  <c r="AA88" i="5"/>
  <c r="AB88" i="5" s="1"/>
  <c r="AA21" i="5"/>
  <c r="AB21" i="5" s="1"/>
  <c r="AB86" i="5"/>
  <c r="AA42" i="5"/>
  <c r="AB42" i="5" s="1"/>
  <c r="AA156" i="5"/>
  <c r="AB156" i="5" s="1"/>
  <c r="AA111" i="5"/>
  <c r="AB111" i="5" s="1"/>
  <c r="AA119" i="5"/>
  <c r="AB119" i="5" s="1"/>
  <c r="AA141" i="5"/>
  <c r="AB141" i="5" s="1"/>
  <c r="AA131" i="5"/>
  <c r="AB131" i="5" s="1"/>
  <c r="AA159" i="5"/>
  <c r="AB159" i="5" s="1"/>
  <c r="AA129" i="5"/>
  <c r="AB129" i="5" s="1"/>
  <c r="AA134" i="5"/>
  <c r="AB134" i="5" s="1"/>
  <c r="AA116" i="5"/>
  <c r="AB116" i="5" s="1"/>
  <c r="AA132" i="5"/>
  <c r="AB132" i="5" s="1"/>
  <c r="AA146" i="5"/>
  <c r="AB146" i="5" s="1"/>
  <c r="AA112" i="5"/>
  <c r="AB112" i="5" s="1"/>
  <c r="AA152" i="5"/>
  <c r="AB152" i="5" s="1"/>
  <c r="AA130" i="5"/>
  <c r="AB130" i="5" s="1"/>
  <c r="AA145" i="5"/>
  <c r="AB145" i="5" s="1"/>
  <c r="AA105" i="5"/>
  <c r="AB105" i="5" s="1"/>
  <c r="AB85" i="5"/>
  <c r="AB100" i="5"/>
  <c r="AA5" i="5"/>
  <c r="AB5" i="5" s="1"/>
  <c r="AB101" i="5"/>
  <c r="AA19" i="5"/>
  <c r="AB19" i="5" s="1"/>
  <c r="AA22" i="5"/>
  <c r="AB22" i="5" s="1"/>
  <c r="AA4" i="5"/>
  <c r="AB4" i="5" s="1"/>
  <c r="AB89" i="5"/>
  <c r="AB104" i="5"/>
  <c r="AA12" i="5"/>
  <c r="AB12" i="5" s="1"/>
  <c r="AB87" i="5"/>
  <c r="G8" i="24" a="1"/>
  <c r="G8" i="24" s="1"/>
  <c r="C8" i="24" a="1"/>
  <c r="C8" i="24" s="1"/>
  <c r="D8" i="24" a="1"/>
  <c r="D8" i="24" s="1"/>
  <c r="K8" i="24" a="1"/>
  <c r="K8" i="24" s="1"/>
  <c r="F8" i="24" a="1"/>
  <c r="F8" i="24" s="1"/>
  <c r="B8" i="24" a="1"/>
  <c r="B8" i="24" s="1"/>
  <c r="J8" i="24" a="1"/>
  <c r="E8" i="24" a="1"/>
  <c r="E8" i="24" s="1"/>
  <c r="A8" i="24" a="1"/>
  <c r="A8" i="24" s="1"/>
  <c r="AA124" i="5"/>
  <c r="AB124" i="5" s="1"/>
  <c r="AA140" i="5"/>
  <c r="AB140" i="5" s="1"/>
  <c r="AA157" i="5"/>
  <c r="AB157" i="5" s="1"/>
  <c r="AA155" i="5"/>
  <c r="AB155" i="5" s="1"/>
  <c r="AA137" i="5"/>
  <c r="AB137" i="5" s="1"/>
  <c r="AA118" i="5"/>
  <c r="AB118" i="5" s="1"/>
  <c r="AA107" i="5"/>
  <c r="AB107" i="5" s="1"/>
  <c r="AA154" i="5"/>
  <c r="AB154" i="5" s="1"/>
  <c r="AA138" i="5"/>
  <c r="AB138" i="5" s="1"/>
  <c r="AA143" i="5"/>
  <c r="AB143" i="5" s="1"/>
  <c r="AA149" i="5"/>
  <c r="AB149" i="5" s="1"/>
  <c r="AA27" i="5"/>
  <c r="AB27" i="5" s="1"/>
  <c r="AA109" i="5"/>
  <c r="AB109" i="5" s="1"/>
  <c r="AA120" i="5"/>
  <c r="AB120" i="5" s="1"/>
  <c r="AA117" i="5"/>
  <c r="AB117" i="5" s="1"/>
  <c r="AA28" i="5"/>
  <c r="AB28" i="5" s="1"/>
  <c r="AB90" i="5"/>
  <c r="AA6" i="5"/>
  <c r="AB6" i="5" s="1"/>
  <c r="AA13" i="5"/>
  <c r="AB13" i="5" s="1"/>
  <c r="AA20" i="5"/>
  <c r="AB20" i="5" s="1"/>
  <c r="AA51" i="5"/>
  <c r="AB51" i="5" s="1"/>
  <c r="AB91" i="5"/>
  <c r="AB99" i="5"/>
  <c r="AB92" i="5"/>
  <c r="AA135" i="5"/>
  <c r="AB135" i="5" s="1"/>
  <c r="AA139" i="5"/>
  <c r="AB139" i="5" s="1"/>
  <c r="AA153" i="5"/>
  <c r="AB153" i="5" s="1"/>
  <c r="AA121" i="5"/>
  <c r="AB121" i="5" s="1"/>
  <c r="AA115" i="5"/>
  <c r="AB115" i="5" s="1"/>
  <c r="AA150" i="5"/>
  <c r="AB150" i="5" s="1"/>
  <c r="AA32" i="5"/>
  <c r="AB32" i="5" s="1"/>
  <c r="AA125" i="5"/>
  <c r="AB125" i="5" s="1"/>
  <c r="AA127" i="5"/>
  <c r="AB127" i="5" s="1"/>
  <c r="AA136" i="5"/>
  <c r="AB136" i="5" s="1"/>
  <c r="AA158" i="5"/>
  <c r="AB158" i="5" s="1"/>
  <c r="AB103" i="5"/>
  <c r="AA65" i="5"/>
  <c r="AB65" i="5" s="1"/>
  <c r="AA53" i="5"/>
  <c r="AB53" i="5" s="1"/>
  <c r="AA24" i="5"/>
  <c r="AB24" i="5" s="1"/>
  <c r="AA114" i="5"/>
  <c r="AB114" i="5" s="1"/>
  <c r="AA123" i="5"/>
  <c r="AB123" i="5" s="1"/>
  <c r="AA110" i="5"/>
  <c r="AB110" i="5" s="1"/>
  <c r="AA108" i="5"/>
  <c r="AB108" i="5" s="1"/>
  <c r="AA128" i="5"/>
  <c r="AB128" i="5" s="1"/>
  <c r="AA144" i="5"/>
  <c r="AB144" i="5" s="1"/>
  <c r="AA147" i="5"/>
  <c r="AB147" i="5" s="1"/>
  <c r="AA113" i="5"/>
  <c r="AB113" i="5" s="1"/>
  <c r="AA148" i="5"/>
  <c r="AB148" i="5" s="1"/>
  <c r="AA126" i="5"/>
  <c r="AB126" i="5" s="1"/>
  <c r="AA151" i="5"/>
  <c r="AB151" i="5" s="1"/>
  <c r="AA133" i="5"/>
  <c r="AB133" i="5" s="1"/>
  <c r="AA142" i="5"/>
  <c r="AB142" i="5" s="1"/>
  <c r="AA122" i="5"/>
  <c r="AB122" i="5" s="1"/>
  <c r="AA106" i="5"/>
  <c r="AB106" i="5" s="1"/>
  <c r="AB35" i="5"/>
  <c r="AG16" i="5"/>
  <c r="AB61" i="5"/>
  <c r="AG31" i="5"/>
  <c r="AB8" i="5"/>
  <c r="AG13" i="5"/>
  <c r="AB11" i="5"/>
  <c r="AG8" i="5"/>
  <c r="AB45" i="5"/>
  <c r="AG27" i="5"/>
  <c r="AB48" i="5"/>
  <c r="AG30" i="5"/>
  <c r="AB7" i="5"/>
  <c r="AG7" i="5"/>
  <c r="AB30" i="5"/>
  <c r="AG14" i="5"/>
  <c r="AG4" i="5"/>
  <c r="AB40" i="5"/>
  <c r="AG21" i="5"/>
  <c r="AB23" i="5"/>
  <c r="AG26" i="5"/>
  <c r="AB16" i="5"/>
  <c r="AG23" i="5"/>
  <c r="AB62" i="5"/>
  <c r="AG32" i="5"/>
  <c r="AB39" i="5"/>
  <c r="AG20" i="5"/>
  <c r="AB44" i="5"/>
  <c r="AG25" i="5"/>
  <c r="AB43" i="5"/>
  <c r="AG24" i="5"/>
  <c r="AB31" i="5"/>
  <c r="AG9" i="5"/>
  <c r="AB14" i="5"/>
  <c r="AG6" i="5"/>
  <c r="AB36" i="5"/>
  <c r="AG15" i="5"/>
  <c r="AB33" i="5"/>
  <c r="AG12" i="5"/>
  <c r="AB29" i="5"/>
  <c r="AG5" i="5"/>
  <c r="AB38" i="5"/>
  <c r="AG19" i="5"/>
  <c r="AG3" i="5"/>
  <c r="AB54" i="5"/>
  <c r="AG29" i="5"/>
  <c r="AB46" i="5"/>
  <c r="AG28" i="5"/>
  <c r="AB3" i="5"/>
  <c r="AG10" i="5"/>
  <c r="AB49" i="5"/>
  <c r="AG33" i="5"/>
  <c r="AB17" i="5"/>
  <c r="AG11" i="5"/>
  <c r="AB41" i="5"/>
  <c r="AG22" i="5"/>
  <c r="AB34" i="5"/>
  <c r="AG17" i="5"/>
  <c r="AB37" i="5"/>
  <c r="AG18" i="5"/>
  <c r="AB47" i="5"/>
  <c r="AG34" i="5"/>
  <c r="J9" i="21" a="1"/>
  <c r="D9" i="21" a="1"/>
  <c r="D9" i="21" s="1"/>
  <c r="G9" i="21" a="1"/>
  <c r="G9" i="21" s="1"/>
  <c r="C9" i="21" a="1"/>
  <c r="C9" i="21" s="1"/>
  <c r="A9" i="21" a="1"/>
  <c r="A9" i="21" s="1"/>
  <c r="K9" i="21" a="1"/>
  <c r="K9" i="21" s="1"/>
  <c r="F9" i="21" a="1"/>
  <c r="F9" i="21" s="1"/>
  <c r="B9" i="21" a="1"/>
  <c r="B9" i="21" s="1"/>
  <c r="E9" i="21" a="1"/>
  <c r="E9" i="21" s="1"/>
  <c r="G124" i="5"/>
  <c r="H124" i="5"/>
  <c r="I124" i="5"/>
  <c r="G121" i="5"/>
  <c r="H121" i="5"/>
  <c r="I121" i="5"/>
  <c r="G141" i="5"/>
  <c r="H141" i="5"/>
  <c r="I141" i="5"/>
  <c r="G131" i="5"/>
  <c r="H131" i="5"/>
  <c r="I131" i="5"/>
  <c r="H154" i="5"/>
  <c r="G154" i="5"/>
  <c r="I154" i="5"/>
  <c r="G120" i="5"/>
  <c r="H120" i="5"/>
  <c r="I120" i="5"/>
  <c r="G136" i="5"/>
  <c r="H136" i="5"/>
  <c r="I136" i="5"/>
  <c r="G145" i="5"/>
  <c r="H145" i="5"/>
  <c r="I145" i="5"/>
  <c r="G158" i="5"/>
  <c r="H158" i="5"/>
  <c r="I158" i="5"/>
  <c r="G28" i="5"/>
  <c r="H28" i="5"/>
  <c r="I28" i="5"/>
  <c r="G153" i="5"/>
  <c r="H153" i="5"/>
  <c r="I153" i="5"/>
  <c r="G137" i="5"/>
  <c r="H137" i="5"/>
  <c r="I137" i="5"/>
  <c r="I115" i="5"/>
  <c r="G115" i="5"/>
  <c r="H115" i="5"/>
  <c r="H119" i="5"/>
  <c r="I119" i="5"/>
  <c r="G119" i="5"/>
  <c r="I147" i="5"/>
  <c r="H147" i="5"/>
  <c r="G147" i="5"/>
  <c r="G129" i="5"/>
  <c r="H129" i="5"/>
  <c r="I129" i="5"/>
  <c r="G116" i="5"/>
  <c r="H116" i="5"/>
  <c r="I116" i="5"/>
  <c r="G132" i="5"/>
  <c r="H132" i="5"/>
  <c r="I132" i="5"/>
  <c r="G125" i="5"/>
  <c r="H125" i="5"/>
  <c r="I125" i="5"/>
  <c r="I146" i="5"/>
  <c r="H146" i="5"/>
  <c r="G146" i="5"/>
  <c r="G126" i="5"/>
  <c r="I126" i="5"/>
  <c r="H126" i="5"/>
  <c r="I138" i="5"/>
  <c r="H138" i="5"/>
  <c r="G138" i="5"/>
  <c r="G149" i="5"/>
  <c r="H149" i="5"/>
  <c r="I149" i="5"/>
  <c r="G109" i="5"/>
  <c r="H109" i="5"/>
  <c r="I109" i="5"/>
  <c r="H151" i="5"/>
  <c r="I151" i="5"/>
  <c r="G151" i="5"/>
  <c r="I114" i="5"/>
  <c r="H114" i="5"/>
  <c r="G114" i="5"/>
  <c r="G140" i="5"/>
  <c r="H140" i="5"/>
  <c r="I140" i="5"/>
  <c r="G156" i="5"/>
  <c r="H156" i="5"/>
  <c r="I156" i="5"/>
  <c r="H135" i="5"/>
  <c r="I135" i="5"/>
  <c r="G135" i="5"/>
  <c r="H155" i="5"/>
  <c r="G155" i="5"/>
  <c r="I155" i="5"/>
  <c r="H108" i="5"/>
  <c r="G108" i="5"/>
  <c r="I108" i="5"/>
  <c r="G128" i="5"/>
  <c r="H128" i="5"/>
  <c r="I128" i="5"/>
  <c r="G144" i="5"/>
  <c r="H144" i="5"/>
  <c r="I144" i="5"/>
  <c r="G118" i="5"/>
  <c r="H118" i="5"/>
  <c r="I118" i="5"/>
  <c r="I159" i="5"/>
  <c r="H159" i="5"/>
  <c r="G159" i="5"/>
  <c r="G134" i="5"/>
  <c r="I134" i="5"/>
  <c r="H134" i="5"/>
  <c r="G150" i="5"/>
  <c r="I150" i="5"/>
  <c r="H150" i="5"/>
  <c r="H107" i="5"/>
  <c r="G107" i="5"/>
  <c r="I107" i="5"/>
  <c r="G113" i="5"/>
  <c r="H113" i="5"/>
  <c r="I113" i="5"/>
  <c r="H127" i="5"/>
  <c r="G127" i="5"/>
  <c r="I127" i="5"/>
  <c r="H27" i="5"/>
  <c r="G27" i="5"/>
  <c r="I27" i="5"/>
  <c r="G112" i="5"/>
  <c r="I112" i="5"/>
  <c r="H112" i="5"/>
  <c r="I130" i="5"/>
  <c r="H130" i="5"/>
  <c r="G130" i="5"/>
  <c r="G133" i="5"/>
  <c r="H133" i="5"/>
  <c r="I133" i="5"/>
  <c r="G117" i="5"/>
  <c r="H117" i="5"/>
  <c r="I117" i="5"/>
  <c r="G142" i="5"/>
  <c r="H142" i="5"/>
  <c r="I142" i="5"/>
  <c r="I122" i="5"/>
  <c r="G122" i="5"/>
  <c r="H122" i="5"/>
  <c r="G105" i="5"/>
  <c r="H105" i="5"/>
  <c r="I105" i="5"/>
  <c r="G157" i="5"/>
  <c r="H157" i="5"/>
  <c r="I157" i="5"/>
  <c r="G139" i="5"/>
  <c r="H139" i="5"/>
  <c r="I139" i="5"/>
  <c r="H123" i="5"/>
  <c r="G123" i="5"/>
  <c r="I123" i="5"/>
  <c r="G110" i="5"/>
  <c r="I110" i="5"/>
  <c r="H110" i="5"/>
  <c r="H111" i="5"/>
  <c r="G111" i="5"/>
  <c r="I111" i="5"/>
  <c r="G148" i="5"/>
  <c r="H148" i="5"/>
  <c r="I148" i="5"/>
  <c r="G143" i="5"/>
  <c r="H143" i="5"/>
  <c r="I143" i="5"/>
  <c r="A149" i="5" a="1"/>
  <c r="A149" i="5" s="1"/>
  <c r="A150" i="5" s="1" a="1"/>
  <c r="A150" i="5" s="1"/>
  <c r="A151" i="5" s="1" a="1"/>
  <c r="A151" i="5" s="1"/>
  <c r="A152" i="5" s="1" a="1"/>
  <c r="A152" i="5" s="1"/>
  <c r="G152" i="5"/>
  <c r="H152" i="5"/>
  <c r="I152" i="5"/>
  <c r="G106" i="5"/>
  <c r="I106" i="5"/>
  <c r="H106" i="5"/>
  <c r="A9" i="10" a="1"/>
  <c r="A9" i="10" s="1"/>
  <c r="A9" i="18" a="1"/>
  <c r="A9" i="18" s="1"/>
  <c r="A9" i="16" a="1"/>
  <c r="A9" i="16" s="1"/>
  <c r="H24" i="5"/>
  <c r="G24" i="5"/>
  <c r="H25" i="5"/>
  <c r="H40" i="5"/>
  <c r="H29" i="5"/>
  <c r="G29" i="5"/>
  <c r="G40" i="5"/>
  <c r="G76" i="5"/>
  <c r="G25" i="5"/>
  <c r="H76" i="5"/>
  <c r="G21" i="5"/>
  <c r="H71" i="5"/>
  <c r="H10" i="5"/>
  <c r="H102" i="5"/>
  <c r="G37" i="5"/>
  <c r="G71" i="5"/>
  <c r="G102" i="5"/>
  <c r="H92" i="5"/>
  <c r="G84" i="5"/>
  <c r="H74" i="5"/>
  <c r="H38" i="5"/>
  <c r="G74" i="5"/>
  <c r="H88" i="5"/>
  <c r="H33" i="5"/>
  <c r="G88" i="5"/>
  <c r="G38" i="5"/>
  <c r="G33" i="5"/>
  <c r="H84" i="5"/>
  <c r="G10" i="5"/>
  <c r="G47" i="5"/>
  <c r="H37" i="5"/>
  <c r="H21" i="5"/>
  <c r="H47" i="5"/>
  <c r="G70" i="5"/>
  <c r="G80" i="5"/>
  <c r="H67" i="5"/>
  <c r="H80" i="5"/>
  <c r="H70" i="5"/>
  <c r="P63" i="12"/>
  <c r="O63" i="12"/>
  <c r="N63" i="12"/>
  <c r="R63" i="12"/>
  <c r="Q63" i="12"/>
  <c r="P87" i="12"/>
  <c r="R87" i="12"/>
  <c r="O87" i="12"/>
  <c r="N87" i="12"/>
  <c r="Q87" i="12"/>
  <c r="Q38" i="12"/>
  <c r="R38" i="12"/>
  <c r="P38" i="12"/>
  <c r="O38" i="12"/>
  <c r="N38" i="12"/>
  <c r="O74" i="12"/>
  <c r="N74" i="12"/>
  <c r="R74" i="12"/>
  <c r="Q74" i="12"/>
  <c r="P74" i="12"/>
  <c r="O12" i="12"/>
  <c r="R12" i="12"/>
  <c r="P12" i="12"/>
  <c r="Q12" i="12"/>
  <c r="N12" i="12"/>
  <c r="P95" i="12"/>
  <c r="O95" i="12"/>
  <c r="R95" i="12"/>
  <c r="N95" i="12"/>
  <c r="Q95" i="12"/>
  <c r="P84" i="12"/>
  <c r="O84" i="12"/>
  <c r="Q84" i="12"/>
  <c r="N84" i="12"/>
  <c r="R84" i="12"/>
  <c r="N19" i="12"/>
  <c r="R19" i="12"/>
  <c r="Q19" i="12"/>
  <c r="P19" i="12"/>
  <c r="O19" i="12"/>
  <c r="N80" i="12"/>
  <c r="O80" i="12"/>
  <c r="R80" i="12"/>
  <c r="Q80" i="12"/>
  <c r="P80" i="12"/>
  <c r="R25" i="12"/>
  <c r="P25" i="12"/>
  <c r="N25" i="12"/>
  <c r="Q25" i="12"/>
  <c r="O25" i="12"/>
  <c r="R28" i="12"/>
  <c r="Q28" i="12"/>
  <c r="P28" i="12"/>
  <c r="N28" i="12"/>
  <c r="O28" i="12"/>
  <c r="Q40" i="12"/>
  <c r="N40" i="12"/>
  <c r="R40" i="12"/>
  <c r="O40" i="12"/>
  <c r="P40" i="12"/>
  <c r="R32" i="12"/>
  <c r="Q32" i="12"/>
  <c r="P32" i="12"/>
  <c r="N32" i="12"/>
  <c r="O32" i="12"/>
  <c r="Q55" i="12"/>
  <c r="R55" i="12"/>
  <c r="P55" i="12"/>
  <c r="N55" i="12"/>
  <c r="O55" i="12"/>
  <c r="O94" i="12"/>
  <c r="P94" i="12"/>
  <c r="R94" i="12"/>
  <c r="N94" i="12"/>
  <c r="Q94" i="12"/>
  <c r="P64" i="12"/>
  <c r="N64" i="12"/>
  <c r="O64" i="12"/>
  <c r="R64" i="12"/>
  <c r="Q64" i="12"/>
  <c r="R49" i="12"/>
  <c r="P49" i="12"/>
  <c r="N49" i="12"/>
  <c r="O49" i="12"/>
  <c r="Q49" i="12"/>
  <c r="O17" i="12"/>
  <c r="R17" i="12"/>
  <c r="P17" i="12"/>
  <c r="N17" i="12"/>
  <c r="Q17" i="12"/>
  <c r="Q44" i="12"/>
  <c r="R44" i="12"/>
  <c r="P44" i="12"/>
  <c r="N44" i="12"/>
  <c r="O44" i="12"/>
  <c r="R106" i="12"/>
  <c r="N106" i="12"/>
  <c r="Q106" i="12"/>
  <c r="O106" i="12"/>
  <c r="P106" i="12"/>
  <c r="P76" i="12"/>
  <c r="O76" i="12"/>
  <c r="N76" i="12"/>
  <c r="Q76" i="12"/>
  <c r="R76" i="12"/>
  <c r="P23" i="12"/>
  <c r="Q23" i="12"/>
  <c r="O23" i="12"/>
  <c r="R23" i="12"/>
  <c r="N23" i="12"/>
  <c r="N93" i="12"/>
  <c r="R93" i="12"/>
  <c r="P93" i="12"/>
  <c r="Q93" i="12"/>
  <c r="O93" i="12"/>
  <c r="R78" i="12"/>
  <c r="O78" i="12"/>
  <c r="P78" i="12"/>
  <c r="N78" i="12"/>
  <c r="Q78" i="12"/>
  <c r="R81" i="12"/>
  <c r="O81" i="12"/>
  <c r="N81" i="12"/>
  <c r="P81" i="12"/>
  <c r="Q81" i="12"/>
  <c r="R53" i="12"/>
  <c r="P53" i="12"/>
  <c r="Q53" i="12"/>
  <c r="O53" i="12"/>
  <c r="N53" i="12"/>
  <c r="O14" i="12"/>
  <c r="N14" i="12"/>
  <c r="Q14" i="12"/>
  <c r="P14" i="12"/>
  <c r="R14" i="12"/>
  <c r="G72" i="5"/>
  <c r="N18" i="12"/>
  <c r="O18" i="12"/>
  <c r="Q18" i="12"/>
  <c r="R18" i="12"/>
  <c r="P18" i="12"/>
  <c r="O86" i="12"/>
  <c r="P86" i="12"/>
  <c r="R86" i="12"/>
  <c r="Q86" i="12"/>
  <c r="N86" i="12"/>
  <c r="N45" i="12"/>
  <c r="O45" i="12"/>
  <c r="P45" i="12"/>
  <c r="R45" i="12"/>
  <c r="Q45" i="12"/>
  <c r="Q13" i="12"/>
  <c r="O13" i="12"/>
  <c r="P13" i="12"/>
  <c r="R13" i="12"/>
  <c r="N13" i="12"/>
  <c r="R89" i="12"/>
  <c r="N89" i="12"/>
  <c r="Q89" i="12"/>
  <c r="P89" i="12"/>
  <c r="O89" i="12"/>
  <c r="R73" i="12"/>
  <c r="O73" i="12"/>
  <c r="Q73" i="12"/>
  <c r="N73" i="12"/>
  <c r="P73" i="12"/>
  <c r="N33" i="12"/>
  <c r="O33" i="12"/>
  <c r="P33" i="12"/>
  <c r="R33" i="12"/>
  <c r="Q33" i="12"/>
  <c r="Q52" i="12"/>
  <c r="N52" i="12"/>
  <c r="O52" i="12"/>
  <c r="R52" i="12"/>
  <c r="P52" i="12"/>
  <c r="O92" i="12"/>
  <c r="R92" i="12"/>
  <c r="Q92" i="12"/>
  <c r="N92" i="12"/>
  <c r="P92" i="12"/>
  <c r="R99" i="12"/>
  <c r="O99" i="12"/>
  <c r="N99" i="12"/>
  <c r="Q99" i="12"/>
  <c r="P99" i="12"/>
  <c r="O50" i="12"/>
  <c r="R50" i="12"/>
  <c r="Q50" i="12"/>
  <c r="P50" i="12"/>
  <c r="N50" i="12"/>
  <c r="Q70" i="12"/>
  <c r="N70" i="12"/>
  <c r="O70" i="12"/>
  <c r="R70" i="12"/>
  <c r="P70" i="12"/>
  <c r="R96" i="12"/>
  <c r="Q96" i="12"/>
  <c r="N96" i="12"/>
  <c r="P96" i="12"/>
  <c r="O96" i="12"/>
  <c r="N103" i="12"/>
  <c r="Q103" i="12"/>
  <c r="P103" i="12"/>
  <c r="R103" i="12"/>
  <c r="O103" i="12"/>
  <c r="Q65" i="12"/>
  <c r="R65" i="12"/>
  <c r="P65" i="12"/>
  <c r="N65" i="12"/>
  <c r="O65" i="12"/>
  <c r="Q35" i="12"/>
  <c r="R35" i="12"/>
  <c r="N35" i="12"/>
  <c r="P35" i="12"/>
  <c r="O35" i="12"/>
  <c r="P10" i="12"/>
  <c r="N10" i="12"/>
  <c r="Q10" i="12"/>
  <c r="O10" i="12"/>
  <c r="R10" i="12"/>
  <c r="P75" i="12"/>
  <c r="O75" i="12"/>
  <c r="Q75" i="12"/>
  <c r="R75" i="12"/>
  <c r="N75" i="12"/>
  <c r="P15" i="12"/>
  <c r="N15" i="12"/>
  <c r="Q15" i="12"/>
  <c r="O15" i="12"/>
  <c r="R15" i="12"/>
  <c r="N56" i="12"/>
  <c r="P56" i="12"/>
  <c r="Q56" i="12"/>
  <c r="O56" i="12"/>
  <c r="R56" i="12"/>
  <c r="N27" i="12"/>
  <c r="Q27" i="12"/>
  <c r="P27" i="12"/>
  <c r="O27" i="12"/>
  <c r="R27" i="12"/>
  <c r="O48" i="12"/>
  <c r="P48" i="12"/>
  <c r="N48" i="12"/>
  <c r="Q48" i="12"/>
  <c r="R48" i="12"/>
  <c r="P101" i="12"/>
  <c r="Q101" i="12"/>
  <c r="R101" i="12"/>
  <c r="O101" i="12"/>
  <c r="N101" i="12"/>
  <c r="O20" i="12"/>
  <c r="Q20" i="12"/>
  <c r="N20" i="12"/>
  <c r="P20" i="12"/>
  <c r="R20" i="12"/>
  <c r="O98" i="12"/>
  <c r="P98" i="12"/>
  <c r="N98" i="12"/>
  <c r="Q98" i="12"/>
  <c r="R98" i="12"/>
  <c r="Q68" i="12"/>
  <c r="P68" i="12"/>
  <c r="N68" i="12"/>
  <c r="O68" i="12"/>
  <c r="R68" i="12"/>
  <c r="R51" i="12"/>
  <c r="P51" i="12"/>
  <c r="Q51" i="12"/>
  <c r="O51" i="12"/>
  <c r="N51" i="12"/>
  <c r="N77" i="12"/>
  <c r="O77" i="12"/>
  <c r="Q77" i="12"/>
  <c r="R77" i="12"/>
  <c r="P77" i="12"/>
  <c r="R54" i="12"/>
  <c r="Q54" i="12"/>
  <c r="O54" i="12"/>
  <c r="P54" i="12"/>
  <c r="N54" i="12"/>
  <c r="P42" i="12"/>
  <c r="R42" i="12"/>
  <c r="N42" i="12"/>
  <c r="Q42" i="12"/>
  <c r="O42" i="12"/>
  <c r="R29" i="12"/>
  <c r="P29" i="12"/>
  <c r="Q29" i="12"/>
  <c r="O29" i="12"/>
  <c r="N29" i="12"/>
  <c r="P36" i="12"/>
  <c r="Q36" i="12"/>
  <c r="N36" i="12"/>
  <c r="O36" i="12"/>
  <c r="R36" i="12"/>
  <c r="Q82" i="12"/>
  <c r="R82" i="12"/>
  <c r="N82" i="12"/>
  <c r="O82" i="12"/>
  <c r="P82" i="12"/>
  <c r="N43" i="12"/>
  <c r="Q43" i="12"/>
  <c r="O43" i="12"/>
  <c r="P43" i="12"/>
  <c r="R43" i="12"/>
  <c r="O66" i="12"/>
  <c r="N66" i="12"/>
  <c r="Q66" i="12"/>
  <c r="R66" i="12"/>
  <c r="P66" i="12"/>
  <c r="N79" i="12"/>
  <c r="O79" i="12"/>
  <c r="P79" i="12"/>
  <c r="R79" i="12"/>
  <c r="Q79" i="12"/>
  <c r="R102" i="12"/>
  <c r="P102" i="12"/>
  <c r="O102" i="12"/>
  <c r="N102" i="12"/>
  <c r="Q102" i="12"/>
  <c r="N72" i="12"/>
  <c r="O72" i="12"/>
  <c r="Q72" i="12"/>
  <c r="P72" i="12"/>
  <c r="R72" i="12"/>
  <c r="O21" i="12"/>
  <c r="Q21" i="12"/>
  <c r="P21" i="12"/>
  <c r="R21" i="12"/>
  <c r="N21" i="12"/>
  <c r="N22" i="12"/>
  <c r="Q22" i="12"/>
  <c r="R22" i="12"/>
  <c r="P22" i="12"/>
  <c r="O22" i="12"/>
  <c r="Q105" i="12"/>
  <c r="R105" i="12"/>
  <c r="N105" i="12"/>
  <c r="P105" i="12"/>
  <c r="O105" i="12"/>
  <c r="N69" i="12"/>
  <c r="P69" i="12"/>
  <c r="O69" i="12"/>
  <c r="Q69" i="12"/>
  <c r="R69" i="12"/>
  <c r="O34" i="12"/>
  <c r="N34" i="12"/>
  <c r="Q34" i="12"/>
  <c r="R34" i="12"/>
  <c r="P34" i="12"/>
  <c r="N9" i="12"/>
  <c r="A9" i="12"/>
  <c r="P9" i="12"/>
  <c r="R9" i="12"/>
  <c r="O9" i="12"/>
  <c r="Q9" i="12"/>
  <c r="J9" i="12"/>
  <c r="A34" i="12"/>
  <c r="A93" i="12"/>
  <c r="A71" i="12"/>
  <c r="A78" i="12"/>
  <c r="A51" i="12"/>
  <c r="A19" i="12"/>
  <c r="A22" i="12"/>
  <c r="A86" i="12"/>
  <c r="A103" i="12"/>
  <c r="A77" i="12"/>
  <c r="A64" i="12"/>
  <c r="A52" i="12"/>
  <c r="A43" i="12"/>
  <c r="A10" i="12"/>
  <c r="A99" i="12"/>
  <c r="A73" i="12"/>
  <c r="A62" i="12"/>
  <c r="A50" i="12"/>
  <c r="A41" i="12"/>
  <c r="A12" i="12"/>
  <c r="A95" i="12"/>
  <c r="A69" i="12"/>
  <c r="A56" i="12"/>
  <c r="A48" i="12"/>
  <c r="A39" i="12"/>
  <c r="A16" i="12"/>
  <c r="A107" i="12"/>
  <c r="A81" i="12"/>
  <c r="A74" i="12"/>
  <c r="A60" i="12"/>
  <c r="A45" i="12"/>
  <c r="A20" i="12"/>
  <c r="A96" i="12"/>
  <c r="A87" i="12"/>
  <c r="A61" i="12"/>
  <c r="A88" i="12"/>
  <c r="A44" i="12"/>
  <c r="A35" i="12"/>
  <c r="A24" i="12"/>
  <c r="A83" i="12"/>
  <c r="A104" i="12"/>
  <c r="A80" i="12"/>
  <c r="A42" i="12"/>
  <c r="A33" i="12"/>
  <c r="A28" i="12"/>
  <c r="A106" i="12"/>
  <c r="A105" i="12"/>
  <c r="A72" i="12"/>
  <c r="A40" i="12"/>
  <c r="A31" i="12"/>
  <c r="A32" i="12"/>
  <c r="A91" i="12"/>
  <c r="A65" i="12"/>
  <c r="A54" i="12"/>
  <c r="A46" i="12"/>
  <c r="A37" i="12"/>
  <c r="A36" i="12"/>
  <c r="A18" i="12"/>
  <c r="A98" i="12"/>
  <c r="A89" i="12"/>
  <c r="A66" i="12"/>
  <c r="A55" i="12"/>
  <c r="A27" i="12"/>
  <c r="A13" i="12"/>
  <c r="A94" i="12"/>
  <c r="A85" i="12"/>
  <c r="A59" i="12"/>
  <c r="A76" i="12"/>
  <c r="A25" i="12"/>
  <c r="A11" i="12"/>
  <c r="A90" i="12"/>
  <c r="A79" i="12"/>
  <c r="A57" i="12"/>
  <c r="A58" i="12"/>
  <c r="A23" i="12"/>
  <c r="A14" i="12"/>
  <c r="A102" i="12"/>
  <c r="A97" i="12"/>
  <c r="A68" i="12"/>
  <c r="A38" i="12"/>
  <c r="A29" i="12"/>
  <c r="A67" i="12"/>
  <c r="A92" i="12"/>
  <c r="A26" i="12"/>
  <c r="A47" i="12"/>
  <c r="A75" i="12"/>
  <c r="A70" i="12"/>
  <c r="A84" i="12"/>
  <c r="A15" i="12"/>
  <c r="A100" i="12"/>
  <c r="A49" i="12"/>
  <c r="A82" i="12"/>
  <c r="A30" i="12"/>
  <c r="A53" i="12"/>
  <c r="A17" i="12"/>
  <c r="A63" i="12"/>
  <c r="A101" i="12"/>
  <c r="A21" i="12"/>
  <c r="O90" i="12"/>
  <c r="P90" i="12"/>
  <c r="R90" i="12"/>
  <c r="N90" i="12"/>
  <c r="Q90" i="12"/>
  <c r="N60" i="12"/>
  <c r="R60" i="12"/>
  <c r="O60" i="12"/>
  <c r="Q60" i="12"/>
  <c r="P60" i="12"/>
  <c r="R47" i="12"/>
  <c r="P47" i="12"/>
  <c r="N47" i="12"/>
  <c r="O47" i="12"/>
  <c r="Q47" i="12"/>
  <c r="R57" i="12"/>
  <c r="P57" i="12"/>
  <c r="N57" i="12"/>
  <c r="O57" i="12"/>
  <c r="Q57" i="12"/>
  <c r="N26" i="12"/>
  <c r="Q26" i="12"/>
  <c r="P26" i="12"/>
  <c r="O26" i="12"/>
  <c r="R26" i="12"/>
  <c r="Q88" i="12"/>
  <c r="N88" i="12"/>
  <c r="P88" i="12"/>
  <c r="O88" i="12"/>
  <c r="R88" i="12"/>
  <c r="P30" i="12"/>
  <c r="R30" i="12"/>
  <c r="O30" i="12"/>
  <c r="N30" i="12"/>
  <c r="Q30" i="12"/>
  <c r="P100" i="12"/>
  <c r="N100" i="12"/>
  <c r="R100" i="12"/>
  <c r="Q100" i="12"/>
  <c r="O100" i="12"/>
  <c r="O39" i="12"/>
  <c r="Q39" i="12"/>
  <c r="R39" i="12"/>
  <c r="P39" i="12"/>
  <c r="N39" i="12"/>
  <c r="Q16" i="12"/>
  <c r="P16" i="12"/>
  <c r="N16" i="12"/>
  <c r="O16" i="12"/>
  <c r="R16" i="12"/>
  <c r="N91" i="12"/>
  <c r="P91" i="12"/>
  <c r="O91" i="12"/>
  <c r="R91" i="12"/>
  <c r="Q91" i="12"/>
  <c r="O97" i="12"/>
  <c r="R97" i="12"/>
  <c r="N97" i="12"/>
  <c r="P97" i="12"/>
  <c r="Q97" i="12"/>
  <c r="O37" i="12"/>
  <c r="Q37" i="12"/>
  <c r="R37" i="12"/>
  <c r="P37" i="12"/>
  <c r="N37" i="12"/>
  <c r="R83" i="12"/>
  <c r="Q83" i="12"/>
  <c r="P83" i="12"/>
  <c r="O83" i="12"/>
  <c r="N83" i="12"/>
  <c r="Q24" i="12"/>
  <c r="P24" i="12"/>
  <c r="O24" i="12"/>
  <c r="R24" i="12"/>
  <c r="N24" i="12"/>
  <c r="O104" i="12"/>
  <c r="N104" i="12"/>
  <c r="R104" i="12"/>
  <c r="Q104" i="12"/>
  <c r="P104" i="12"/>
  <c r="N67" i="12"/>
  <c r="Q67" i="12"/>
  <c r="P67" i="12"/>
  <c r="O67" i="12"/>
  <c r="R67" i="12"/>
  <c r="R31" i="12"/>
  <c r="O31" i="12"/>
  <c r="N31" i="12"/>
  <c r="Q31" i="12"/>
  <c r="P31" i="12"/>
  <c r="P61" i="12"/>
  <c r="R61" i="12"/>
  <c r="O61" i="12"/>
  <c r="N61" i="12"/>
  <c r="Q61" i="12"/>
  <c r="R71" i="12"/>
  <c r="N71" i="12"/>
  <c r="Q71" i="12"/>
  <c r="P71" i="12"/>
  <c r="O71" i="12"/>
  <c r="N85" i="12"/>
  <c r="Q85" i="12"/>
  <c r="R85" i="12"/>
  <c r="O85" i="12"/>
  <c r="P85" i="12"/>
  <c r="P46" i="12"/>
  <c r="R46" i="12"/>
  <c r="O46" i="12"/>
  <c r="N46" i="12"/>
  <c r="Q46" i="12"/>
  <c r="N11" i="12"/>
  <c r="O11" i="12"/>
  <c r="Q11" i="12"/>
  <c r="R11" i="12"/>
  <c r="P11" i="12"/>
  <c r="O62" i="12"/>
  <c r="N62" i="12"/>
  <c r="R62" i="12"/>
  <c r="Q62" i="12"/>
  <c r="P62" i="12"/>
  <c r="Q59" i="12"/>
  <c r="O59" i="12"/>
  <c r="P59" i="12"/>
  <c r="N59" i="12"/>
  <c r="R59" i="12"/>
  <c r="O58" i="12"/>
  <c r="N58" i="12"/>
  <c r="R58" i="12"/>
  <c r="Q58" i="12"/>
  <c r="P58" i="12"/>
  <c r="Q107" i="12"/>
  <c r="N107" i="12"/>
  <c r="P107" i="12"/>
  <c r="O107" i="12"/>
  <c r="R107" i="12"/>
  <c r="O41" i="12"/>
  <c r="Q41" i="12"/>
  <c r="R41" i="12"/>
  <c r="P41" i="12"/>
  <c r="N41" i="12"/>
  <c r="G86" i="5"/>
  <c r="G67" i="5"/>
  <c r="G92" i="5"/>
  <c r="H86" i="5"/>
  <c r="H30" i="5"/>
  <c r="G31" i="5"/>
  <c r="H31" i="5"/>
  <c r="I9" i="5"/>
  <c r="H9" i="5"/>
  <c r="G9" i="5"/>
  <c r="H95" i="5"/>
  <c r="G36" i="5"/>
  <c r="G42" i="5"/>
  <c r="H73" i="5"/>
  <c r="G73" i="5"/>
  <c r="H42" i="5"/>
  <c r="H36" i="5"/>
  <c r="G95" i="5"/>
  <c r="H91" i="5"/>
  <c r="H66" i="5"/>
  <c r="G53" i="5"/>
  <c r="H7" i="5"/>
  <c r="G7" i="5"/>
  <c r="G91" i="5"/>
  <c r="G30" i="5"/>
  <c r="H53" i="5"/>
  <c r="H99" i="5"/>
  <c r="G66" i="5"/>
  <c r="G50" i="5"/>
  <c r="G99" i="5"/>
  <c r="G61" i="5"/>
  <c r="H72" i="5"/>
  <c r="H61" i="5"/>
  <c r="H50" i="5"/>
  <c r="H87" i="5"/>
  <c r="H52" i="5"/>
  <c r="H41" i="5"/>
  <c r="G18" i="5"/>
  <c r="H65" i="5"/>
  <c r="H18" i="5"/>
  <c r="G65" i="5"/>
  <c r="H96" i="5"/>
  <c r="H56" i="5"/>
  <c r="H64" i="5"/>
  <c r="G56" i="5"/>
  <c r="H78" i="5"/>
  <c r="G41" i="5"/>
  <c r="H83" i="5"/>
  <c r="G96" i="5"/>
  <c r="G64" i="5"/>
  <c r="G52" i="5"/>
  <c r="G78" i="5"/>
  <c r="G87" i="5"/>
  <c r="G83" i="5"/>
  <c r="G77" i="5"/>
  <c r="H77" i="5"/>
  <c r="G94" i="5"/>
  <c r="H94" i="5"/>
  <c r="G101" i="5"/>
  <c r="H101" i="5"/>
  <c r="G39" i="5"/>
  <c r="H39" i="5"/>
  <c r="G90" i="5"/>
  <c r="H90" i="5"/>
  <c r="G3" i="5"/>
  <c r="H3" i="5"/>
  <c r="G103" i="5"/>
  <c r="H103" i="5"/>
  <c r="G20" i="5"/>
  <c r="H20" i="5"/>
  <c r="G68" i="5"/>
  <c r="H68" i="5"/>
  <c r="G45" i="5"/>
  <c r="H45" i="5"/>
  <c r="G48" i="5"/>
  <c r="H48" i="5"/>
  <c r="G57" i="5"/>
  <c r="H57" i="5"/>
  <c r="G5" i="5"/>
  <c r="H5" i="5"/>
  <c r="G46" i="5"/>
  <c r="H46" i="5"/>
  <c r="G81" i="5"/>
  <c r="H81" i="5"/>
  <c r="G43" i="5"/>
  <c r="H43" i="5"/>
  <c r="G11" i="5"/>
  <c r="H11" i="5"/>
  <c r="G16" i="5"/>
  <c r="H16" i="5"/>
  <c r="G89" i="5"/>
  <c r="H89" i="5"/>
  <c r="G58" i="5"/>
  <c r="H58" i="5"/>
  <c r="G6" i="5"/>
  <c r="H6" i="5"/>
  <c r="G49" i="5"/>
  <c r="H49" i="5"/>
  <c r="G93" i="5"/>
  <c r="H93" i="5"/>
  <c r="G26" i="5"/>
  <c r="H26" i="5"/>
  <c r="G79" i="5"/>
  <c r="H79" i="5"/>
  <c r="G98" i="5"/>
  <c r="H98" i="5"/>
  <c r="G12" i="5"/>
  <c r="H12" i="5"/>
  <c r="G104" i="5"/>
  <c r="H104" i="5"/>
  <c r="G85" i="5"/>
  <c r="H85" i="5"/>
  <c r="G22" i="5"/>
  <c r="H22" i="5"/>
  <c r="G63" i="5"/>
  <c r="H63" i="5"/>
  <c r="G35" i="5"/>
  <c r="H35" i="5"/>
  <c r="G15" i="5"/>
  <c r="H15" i="5"/>
  <c r="G62" i="5"/>
  <c r="H62" i="5"/>
  <c r="G55" i="5"/>
  <c r="H55" i="5"/>
  <c r="G44" i="5"/>
  <c r="H44" i="5"/>
  <c r="G8" i="5"/>
  <c r="H8" i="5"/>
  <c r="G23" i="5"/>
  <c r="H23" i="5"/>
  <c r="G69" i="5"/>
  <c r="H69" i="5"/>
  <c r="G60" i="5"/>
  <c r="H60" i="5"/>
  <c r="G51" i="5"/>
  <c r="H51" i="5"/>
  <c r="G97" i="5"/>
  <c r="H97" i="5"/>
  <c r="G82" i="5"/>
  <c r="H82" i="5"/>
  <c r="G59" i="5"/>
  <c r="H59" i="5"/>
  <c r="G13" i="5"/>
  <c r="H13" i="5"/>
  <c r="G19" i="5"/>
  <c r="H19" i="5"/>
  <c r="G100" i="5"/>
  <c r="H100" i="5"/>
  <c r="G17" i="5"/>
  <c r="H17" i="5"/>
  <c r="G75" i="5"/>
  <c r="H75" i="5"/>
  <c r="G34" i="5"/>
  <c r="H34" i="5"/>
  <c r="G4" i="5"/>
  <c r="H4" i="5"/>
  <c r="G14" i="5"/>
  <c r="H14" i="5"/>
  <c r="G54" i="5"/>
  <c r="H54" i="5"/>
  <c r="H9" i="16" l="1" a="1"/>
  <c r="H9" i="16" s="1"/>
  <c r="H9" i="10"/>
  <c r="O9" i="10" s="1"/>
  <c r="H8" i="24" a="1"/>
  <c r="H8" i="24" s="1"/>
  <c r="J8" i="24"/>
  <c r="I8" i="24" s="1"/>
  <c r="L8" i="24" s="1"/>
  <c r="H9" i="21" a="1"/>
  <c r="H9" i="21" s="1"/>
  <c r="R9" i="16" a="1"/>
  <c r="R9" i="16" s="1"/>
  <c r="J9" i="21"/>
  <c r="I9" i="21" s="1"/>
  <c r="I10" i="21" s="1"/>
  <c r="A153" i="5" a="1"/>
  <c r="A153" i="5" s="1"/>
  <c r="H9" i="18"/>
  <c r="O9" i="18" s="1"/>
  <c r="J10" i="12"/>
  <c r="J11" i="12" s="1"/>
  <c r="J12" i="12" s="1"/>
  <c r="J13" i="12" s="1"/>
  <c r="J14" i="12" s="1"/>
  <c r="J15" i="12" s="1"/>
  <c r="J16" i="12" s="1"/>
  <c r="J17" i="12" s="1"/>
  <c r="J18" i="12" s="1"/>
  <c r="J19" i="12" s="1"/>
  <c r="J20" i="12" s="1"/>
  <c r="J21" i="12" s="1"/>
  <c r="J22" i="12" s="1"/>
  <c r="J23" i="12" s="1"/>
  <c r="J24" i="12" s="1"/>
  <c r="J25" i="12" s="1"/>
  <c r="J26" i="12" s="1"/>
  <c r="J27" i="12" s="1"/>
  <c r="J28" i="12" s="1"/>
  <c r="J29" i="12" s="1"/>
  <c r="J30" i="12" s="1"/>
  <c r="J31" i="12" s="1"/>
  <c r="J32" i="12" s="1"/>
  <c r="J33" i="12" s="1"/>
  <c r="J34" i="12" s="1"/>
  <c r="J35" i="12" s="1"/>
  <c r="J36" i="12" s="1"/>
  <c r="J37" i="12" s="1"/>
  <c r="J38" i="12" s="1"/>
  <c r="J39" i="12" s="1"/>
  <c r="J40" i="12" s="1"/>
  <c r="J41" i="12" s="1"/>
  <c r="J42" i="12" s="1"/>
  <c r="J43" i="12" s="1"/>
  <c r="J44" i="12" s="1"/>
  <c r="J45" i="12" s="1"/>
  <c r="J46" i="12" s="1"/>
  <c r="J47" i="12" s="1"/>
  <c r="J48" i="12" s="1"/>
  <c r="J49" i="12" s="1"/>
  <c r="J50" i="12" s="1"/>
  <c r="J51" i="12" s="1"/>
  <c r="J52" i="12" s="1"/>
  <c r="J53" i="12" s="1"/>
  <c r="J54" i="12" s="1"/>
  <c r="J55" i="12" s="1"/>
  <c r="J56" i="12" s="1"/>
  <c r="J57" i="12" s="1"/>
  <c r="I9" i="24" l="1"/>
  <c r="L9" i="24" s="1"/>
  <c r="M10" i="21"/>
  <c r="N10" i="21"/>
  <c r="L10" i="21"/>
  <c r="Q10" i="21"/>
  <c r="O10" i="21"/>
  <c r="P10" i="21"/>
  <c r="I11" i="21"/>
  <c r="O9" i="21"/>
  <c r="P9" i="21"/>
  <c r="N9" i="21"/>
  <c r="L9" i="21"/>
  <c r="M9" i="21"/>
  <c r="Q9" i="21"/>
  <c r="AY4" i="20"/>
  <c r="A154" i="5" a="1"/>
  <c r="A154" i="5" s="1"/>
  <c r="AY4" i="15"/>
  <c r="K9" i="18"/>
  <c r="H10" i="18"/>
  <c r="M9" i="18"/>
  <c r="N9" i="18"/>
  <c r="L9" i="18"/>
  <c r="P9" i="18"/>
  <c r="H10" i="10"/>
  <c r="K9" i="10"/>
  <c r="M9" i="10"/>
  <c r="P9" i="10"/>
  <c r="N9" i="10"/>
  <c r="L9" i="10"/>
  <c r="L10" i="10" l="1"/>
  <c r="O10" i="10"/>
  <c r="H11" i="18"/>
  <c r="O11" i="18" s="1"/>
  <c r="O10" i="18"/>
  <c r="I10" i="24"/>
  <c r="L10" i="24" s="1"/>
  <c r="Q11" i="21"/>
  <c r="O11" i="21"/>
  <c r="M11" i="21"/>
  <c r="P11" i="21"/>
  <c r="N11" i="21"/>
  <c r="L11" i="21"/>
  <c r="I12" i="21"/>
  <c r="A155" i="5" a="1"/>
  <c r="A155" i="5" s="1"/>
  <c r="A156" i="5" s="1" a="1"/>
  <c r="A156" i="5" s="1"/>
  <c r="N10" i="18"/>
  <c r="L10" i="18"/>
  <c r="K10" i="18"/>
  <c r="M10" i="18"/>
  <c r="P10" i="18"/>
  <c r="P10" i="10"/>
  <c r="M10" i="10"/>
  <c r="N10" i="10"/>
  <c r="H11" i="10"/>
  <c r="K10" i="10"/>
  <c r="H12" i="18" l="1"/>
  <c r="O12" i="18" s="1"/>
  <c r="N11" i="18"/>
  <c r="P11" i="18"/>
  <c r="M11" i="18"/>
  <c r="K11" i="18"/>
  <c r="L11" i="18"/>
  <c r="H12" i="10"/>
  <c r="O12" i="10" s="1"/>
  <c r="O11" i="10"/>
  <c r="H13" i="18"/>
  <c r="I11" i="24"/>
  <c r="L11" i="24" s="1"/>
  <c r="O12" i="21"/>
  <c r="M12" i="21"/>
  <c r="Q12" i="21"/>
  <c r="L12" i="21"/>
  <c r="N12" i="21"/>
  <c r="P12" i="21"/>
  <c r="I13" i="21"/>
  <c r="A157" i="5" a="1"/>
  <c r="A157" i="5" s="1"/>
  <c r="A158" i="5" s="1" a="1"/>
  <c r="A158" i="5" s="1"/>
  <c r="A159" i="5" s="1" a="1"/>
  <c r="A159" i="5" s="1"/>
  <c r="A160" i="5" s="1" a="1"/>
  <c r="A160" i="5" s="1"/>
  <c r="A161" i="5" s="1" a="1"/>
  <c r="A161" i="5" s="1"/>
  <c r="A162" i="5" s="1" a="1"/>
  <c r="A162" i="5" s="1"/>
  <c r="A163" i="5" s="1" a="1"/>
  <c r="A163" i="5" s="1"/>
  <c r="A164" i="5" s="1" a="1"/>
  <c r="A164" i="5" s="1"/>
  <c r="A165" i="5" s="1" a="1"/>
  <c r="A165" i="5" s="1"/>
  <c r="A166" i="5" s="1" a="1"/>
  <c r="A166" i="5" s="1"/>
  <c r="A167" i="5" s="1" a="1"/>
  <c r="A167" i="5" s="1"/>
  <c r="K11" i="10"/>
  <c r="L11" i="10"/>
  <c r="N11" i="10"/>
  <c r="M11" i="10"/>
  <c r="P11" i="10"/>
  <c r="L12" i="18" l="1"/>
  <c r="P12" i="18"/>
  <c r="N12" i="18"/>
  <c r="M12" i="18"/>
  <c r="K12" i="18"/>
  <c r="O13" i="18"/>
  <c r="H14" i="18"/>
  <c r="N12" i="10"/>
  <c r="L12" i="10"/>
  <c r="P12" i="10"/>
  <c r="K12" i="10"/>
  <c r="M12" i="10"/>
  <c r="K13" i="18"/>
  <c r="N13" i="18"/>
  <c r="M13" i="18"/>
  <c r="P13" i="18"/>
  <c r="L13" i="18"/>
  <c r="I12" i="24"/>
  <c r="L12" i="24" s="1"/>
  <c r="L13" i="21"/>
  <c r="Q13" i="21"/>
  <c r="O13" i="21"/>
  <c r="M13" i="21"/>
  <c r="P13" i="21"/>
  <c r="N13" i="21"/>
  <c r="I14" i="21"/>
  <c r="A168" i="5" a="1"/>
  <c r="A168" i="5" s="1"/>
  <c r="A169" i="5" s="1" a="1"/>
  <c r="A169" i="5" s="1"/>
  <c r="A170" i="5" s="1" a="1"/>
  <c r="A170" i="5" s="1"/>
  <c r="H13" i="10"/>
  <c r="O14" i="18" l="1"/>
  <c r="P14" i="18"/>
  <c r="N14" i="18"/>
  <c r="L14" i="18"/>
  <c r="M14" i="18"/>
  <c r="K14" i="18"/>
  <c r="H14" i="10"/>
  <c r="P14" i="10" s="1"/>
  <c r="O13" i="10"/>
  <c r="I13" i="24"/>
  <c r="L13" i="24" s="1"/>
  <c r="Q14" i="21"/>
  <c r="O14" i="21"/>
  <c r="M14" i="21"/>
  <c r="N14" i="21"/>
  <c r="L14" i="21"/>
  <c r="P14" i="21"/>
  <c r="I15" i="21"/>
  <c r="K13" i="10"/>
  <c r="N13" i="10"/>
  <c r="M13" i="10"/>
  <c r="P13" i="10"/>
  <c r="L13" i="10"/>
  <c r="H30" i="10"/>
  <c r="O30" i="10" s="1"/>
  <c r="A171" i="5" a="1"/>
  <c r="A171" i="5" s="1"/>
  <c r="A172" i="5" s="1" a="1"/>
  <c r="A172" i="5" s="1"/>
  <c r="A173" i="5" s="1" a="1"/>
  <c r="A173" i="5" s="1"/>
  <c r="A174" i="5" s="1" a="1"/>
  <c r="A174" i="5" s="1"/>
  <c r="A175" i="5" s="1" a="1"/>
  <c r="A175" i="5" s="1"/>
  <c r="A176" i="5" s="1" a="1"/>
  <c r="A176" i="5" s="1"/>
  <c r="A177" i="5" s="1" a="1"/>
  <c r="A177" i="5" s="1"/>
  <c r="A178" i="5" s="1" a="1"/>
  <c r="A178" i="5" s="1"/>
  <c r="A179" i="5" s="1" a="1"/>
  <c r="A179" i="5" s="1"/>
  <c r="A180" i="5" s="1" a="1"/>
  <c r="A180" i="5" s="1"/>
  <c r="H15" i="10" l="1"/>
  <c r="O15" i="10" s="1"/>
  <c r="N14" i="10"/>
  <c r="L14" i="10"/>
  <c r="M14" i="10"/>
  <c r="K14" i="10"/>
  <c r="O14" i="10"/>
  <c r="I14" i="24"/>
  <c r="L14" i="24" s="1"/>
  <c r="P15" i="21"/>
  <c r="N15" i="21"/>
  <c r="L15" i="21"/>
  <c r="Q15" i="21"/>
  <c r="O15" i="21"/>
  <c r="M15" i="21"/>
  <c r="I16" i="21"/>
  <c r="K30" i="10"/>
  <c r="P30" i="10"/>
  <c r="M30" i="10"/>
  <c r="H31" i="10"/>
  <c r="O31" i="10" s="1"/>
  <c r="N30" i="10"/>
  <c r="L30" i="10"/>
  <c r="M15" i="10" l="1"/>
  <c r="P15" i="10"/>
  <c r="N15" i="10"/>
  <c r="H16" i="10"/>
  <c r="H17" i="10" s="1"/>
  <c r="K15" i="10"/>
  <c r="L15" i="10"/>
  <c r="N16" i="21"/>
  <c r="M16" i="21"/>
  <c r="Q16" i="21"/>
  <c r="P16" i="21"/>
  <c r="O16" i="21"/>
  <c r="L16" i="21"/>
  <c r="I17" i="21"/>
  <c r="K31" i="10"/>
  <c r="P31" i="10"/>
  <c r="H32" i="10"/>
  <c r="O32" i="10" s="1"/>
  <c r="M31" i="10"/>
  <c r="L31" i="10"/>
  <c r="N31" i="10"/>
  <c r="N16" i="10" l="1"/>
  <c r="P16" i="10"/>
  <c r="K16" i="10"/>
  <c r="O16" i="10"/>
  <c r="L16" i="10"/>
  <c r="M16" i="10"/>
  <c r="K17" i="10"/>
  <c r="O17" i="10"/>
  <c r="P17" i="21"/>
  <c r="M17" i="21"/>
  <c r="O17" i="21"/>
  <c r="L17" i="21"/>
  <c r="N17" i="21"/>
  <c r="Q17" i="21"/>
  <c r="I18" i="21"/>
  <c r="H18" i="10"/>
  <c r="H19" i="10" s="1"/>
  <c r="O19" i="10" s="1"/>
  <c r="M17" i="10"/>
  <c r="K32" i="10"/>
  <c r="P32" i="10"/>
  <c r="L17" i="10"/>
  <c r="P17" i="10"/>
  <c r="N17" i="10"/>
  <c r="N32" i="10"/>
  <c r="M32" i="10"/>
  <c r="H33" i="10"/>
  <c r="O33" i="10" s="1"/>
  <c r="L32" i="10"/>
  <c r="M18" i="10" l="1"/>
  <c r="O18" i="10"/>
  <c r="O18" i="21"/>
  <c r="Q18" i="21"/>
  <c r="P18" i="21"/>
  <c r="N18" i="21"/>
  <c r="L18" i="21"/>
  <c r="M18" i="21"/>
  <c r="I19" i="21"/>
  <c r="N18" i="10"/>
  <c r="K18" i="10"/>
  <c r="P18" i="10"/>
  <c r="L18" i="10"/>
  <c r="K33" i="10"/>
  <c r="P33" i="10"/>
  <c r="K19" i="10"/>
  <c r="P19" i="10"/>
  <c r="N19" i="10"/>
  <c r="M19" i="10"/>
  <c r="L19" i="10"/>
  <c r="H20" i="10"/>
  <c r="O20" i="10" s="1"/>
  <c r="H34" i="10"/>
  <c r="O34" i="10" s="1"/>
  <c r="L33" i="10"/>
  <c r="M33" i="10"/>
  <c r="N33" i="10"/>
  <c r="P19" i="21" l="1"/>
  <c r="L19" i="21"/>
  <c r="Q19" i="21"/>
  <c r="O19" i="21"/>
  <c r="M19" i="21"/>
  <c r="N19" i="21"/>
  <c r="I20" i="21"/>
  <c r="K34" i="10"/>
  <c r="P34" i="10"/>
  <c r="K20" i="10"/>
  <c r="P20" i="10"/>
  <c r="H21" i="10"/>
  <c r="O21" i="10" s="1"/>
  <c r="N20" i="10"/>
  <c r="M20" i="10"/>
  <c r="L20" i="10"/>
  <c r="L34" i="10"/>
  <c r="H35" i="10"/>
  <c r="O35" i="10" s="1"/>
  <c r="M34" i="10"/>
  <c r="N34" i="10"/>
  <c r="N20" i="21" l="1"/>
  <c r="O20" i="21"/>
  <c r="Q20" i="21"/>
  <c r="L20" i="21"/>
  <c r="M20" i="21"/>
  <c r="P20" i="21"/>
  <c r="I21" i="21"/>
  <c r="K35" i="10"/>
  <c r="P35" i="10"/>
  <c r="K21" i="10"/>
  <c r="P21" i="10"/>
  <c r="L21" i="10"/>
  <c r="M21" i="10"/>
  <c r="N21" i="10"/>
  <c r="H22" i="10"/>
  <c r="O22" i="10" s="1"/>
  <c r="H36" i="10"/>
  <c r="O36" i="10" s="1"/>
  <c r="L35" i="10"/>
  <c r="N35" i="10"/>
  <c r="M35" i="10"/>
  <c r="O21" i="21" l="1"/>
  <c r="P21" i="21"/>
  <c r="N21" i="21"/>
  <c r="M21" i="21"/>
  <c r="L21" i="21"/>
  <c r="Q21" i="21"/>
  <c r="I22" i="21"/>
  <c r="K36" i="10"/>
  <c r="P36" i="10"/>
  <c r="K22" i="10"/>
  <c r="P22" i="10"/>
  <c r="M22" i="10"/>
  <c r="N22" i="10"/>
  <c r="L22" i="10"/>
  <c r="H23" i="10"/>
  <c r="O23" i="10" s="1"/>
  <c r="L36" i="10"/>
  <c r="H37" i="10"/>
  <c r="O37" i="10" s="1"/>
  <c r="M36" i="10"/>
  <c r="N36" i="10"/>
  <c r="H24" i="10" l="1"/>
  <c r="O24" i="10" s="1"/>
  <c r="P22" i="21"/>
  <c r="L22" i="21"/>
  <c r="Q22" i="21"/>
  <c r="O22" i="21"/>
  <c r="N22" i="21"/>
  <c r="M22" i="21"/>
  <c r="I23" i="21"/>
  <c r="K37" i="10"/>
  <c r="P37" i="10"/>
  <c r="K23" i="10"/>
  <c r="P23" i="10"/>
  <c r="L23" i="10"/>
  <c r="N23" i="10"/>
  <c r="M23" i="10"/>
  <c r="H25" i="10"/>
  <c r="H38" i="10"/>
  <c r="O38" i="10" s="1"/>
  <c r="N37" i="10"/>
  <c r="L37" i="10"/>
  <c r="M37" i="10"/>
  <c r="K24" i="10" l="1"/>
  <c r="N24" i="10"/>
  <c r="L24" i="10"/>
  <c r="M24" i="10"/>
  <c r="P24" i="10"/>
  <c r="O25" i="10"/>
  <c r="H26" i="10"/>
  <c r="M23" i="21"/>
  <c r="I24" i="21"/>
  <c r="P23" i="21"/>
  <c r="O23" i="21"/>
  <c r="L23" i="21"/>
  <c r="Q23" i="21"/>
  <c r="N23" i="21"/>
  <c r="K25" i="10"/>
  <c r="P25" i="10"/>
  <c r="K38" i="10"/>
  <c r="P38" i="10"/>
  <c r="N25" i="10"/>
  <c r="M25" i="10"/>
  <c r="L38" i="10"/>
  <c r="H39" i="10"/>
  <c r="O39" i="10" s="1"/>
  <c r="M38" i="10"/>
  <c r="N38" i="10"/>
  <c r="O26" i="10" l="1"/>
  <c r="L26" i="10"/>
  <c r="N26" i="10"/>
  <c r="K26" i="10"/>
  <c r="P26" i="10"/>
  <c r="M26" i="10"/>
  <c r="H27" i="10"/>
  <c r="Q24" i="21"/>
  <c r="P24" i="21"/>
  <c r="O24" i="21"/>
  <c r="N24" i="21"/>
  <c r="L24" i="21"/>
  <c r="M24" i="21"/>
  <c r="I25" i="21"/>
  <c r="K39" i="10"/>
  <c r="P39" i="10"/>
  <c r="H40" i="10"/>
  <c r="L39" i="10"/>
  <c r="M39" i="10"/>
  <c r="N39" i="10"/>
  <c r="O27" i="10" l="1"/>
  <c r="M27" i="10"/>
  <c r="L27" i="10"/>
  <c r="N27" i="10"/>
  <c r="P27" i="10"/>
  <c r="H28" i="10"/>
  <c r="K27" i="10"/>
  <c r="P40" i="10"/>
  <c r="O40" i="10"/>
  <c r="L25" i="21"/>
  <c r="O25" i="21"/>
  <c r="I26" i="21"/>
  <c r="P25" i="21"/>
  <c r="Q25" i="21"/>
  <c r="N25" i="21"/>
  <c r="K40" i="10"/>
  <c r="N40" i="10"/>
  <c r="L40" i="10"/>
  <c r="M40" i="10"/>
  <c r="H29" i="10" l="1"/>
  <c r="O28" i="10"/>
  <c r="M28" i="10"/>
  <c r="K28" i="10"/>
  <c r="N28" i="10"/>
  <c r="P28" i="10"/>
  <c r="L28" i="10"/>
  <c r="P26" i="21"/>
  <c r="I27" i="21"/>
  <c r="L26" i="21"/>
  <c r="Q26" i="21"/>
  <c r="O26" i="21"/>
  <c r="M26" i="21"/>
  <c r="N26" i="21"/>
  <c r="K2" i="12"/>
  <c r="I2" i="10"/>
  <c r="O29" i="10" l="1"/>
  <c r="M29" i="10"/>
  <c r="K29" i="10"/>
  <c r="L29" i="10"/>
  <c r="P29" i="10"/>
  <c r="N29" i="10"/>
  <c r="Y16" i="8"/>
  <c r="M27" i="21"/>
  <c r="P27" i="21"/>
  <c r="I28" i="21"/>
  <c r="N27" i="21"/>
  <c r="O27" i="21"/>
  <c r="Q27" i="21"/>
  <c r="L27" i="21"/>
  <c r="N28" i="21" l="1"/>
  <c r="M28" i="21"/>
  <c r="L28" i="21"/>
  <c r="I29" i="21"/>
  <c r="O28" i="21"/>
  <c r="P28" i="21"/>
  <c r="Q28" i="21"/>
  <c r="M29" i="21" l="1"/>
  <c r="O29" i="21"/>
  <c r="P29" i="21"/>
  <c r="I30" i="21"/>
  <c r="L29" i="21"/>
  <c r="Q29" i="21"/>
  <c r="N29" i="21"/>
  <c r="I9" i="16"/>
  <c r="P9" i="16" s="1"/>
  <c r="L30" i="21" l="1"/>
  <c r="Q30" i="21"/>
  <c r="N30" i="21"/>
  <c r="M30" i="21"/>
  <c r="I31" i="21"/>
  <c r="P30" i="21"/>
  <c r="O30" i="21"/>
  <c r="I10" i="16"/>
  <c r="P10" i="16" s="1"/>
  <c r="N9" i="16"/>
  <c r="L9" i="16"/>
  <c r="Q9" i="16"/>
  <c r="O9" i="16"/>
  <c r="M9" i="16"/>
  <c r="O31" i="21" l="1"/>
  <c r="N31" i="21"/>
  <c r="L31" i="21"/>
  <c r="P31" i="21"/>
  <c r="M31" i="21"/>
  <c r="I32" i="21"/>
  <c r="Q31" i="21"/>
  <c r="I11" i="16"/>
  <c r="P11" i="16" s="1"/>
  <c r="N10" i="16"/>
  <c r="O10" i="16"/>
  <c r="Q10" i="16"/>
  <c r="L10" i="16"/>
  <c r="M10" i="16"/>
  <c r="M32" i="21" l="1"/>
  <c r="O32" i="21"/>
  <c r="L32" i="21"/>
  <c r="Q32" i="21"/>
  <c r="P32" i="21"/>
  <c r="I33" i="21"/>
  <c r="N32" i="21"/>
  <c r="I12" i="16"/>
  <c r="P12" i="16" s="1"/>
  <c r="M11" i="16"/>
  <c r="O11" i="16"/>
  <c r="Q11" i="16"/>
  <c r="L11" i="16"/>
  <c r="N11" i="16"/>
  <c r="Q33" i="21" l="1"/>
  <c r="P33" i="21"/>
  <c r="N33" i="21"/>
  <c r="L33" i="21"/>
  <c r="M33" i="21"/>
  <c r="O33" i="21"/>
  <c r="I34" i="21"/>
  <c r="L12" i="16"/>
  <c r="I13" i="16"/>
  <c r="P13" i="16" s="1"/>
  <c r="N12" i="16"/>
  <c r="M12" i="16"/>
  <c r="Q12" i="16"/>
  <c r="O12" i="16"/>
  <c r="L34" i="21" l="1"/>
  <c r="Q34" i="21"/>
  <c r="O34" i="21"/>
  <c r="N34" i="21"/>
  <c r="I35" i="21"/>
  <c r="M34" i="21"/>
  <c r="P34" i="21"/>
  <c r="I14" i="16"/>
  <c r="P14" i="16" s="1"/>
  <c r="M13" i="16"/>
  <c r="O13" i="16"/>
  <c r="Q13" i="16"/>
  <c r="N13" i="16"/>
  <c r="L13" i="16"/>
  <c r="P35" i="21" l="1"/>
  <c r="Q35" i="21"/>
  <c r="N35" i="21"/>
  <c r="O35" i="21"/>
  <c r="L35" i="21"/>
  <c r="M35" i="21"/>
  <c r="I36" i="21"/>
  <c r="I15" i="16"/>
  <c r="P15" i="16" s="1"/>
  <c r="L14" i="16"/>
  <c r="M14" i="16"/>
  <c r="O14" i="16"/>
  <c r="Q14" i="16"/>
  <c r="N14" i="16"/>
  <c r="Q36" i="21" l="1"/>
  <c r="N36" i="21"/>
  <c r="M36" i="21"/>
  <c r="L36" i="21"/>
  <c r="I37" i="21"/>
  <c r="O36" i="21"/>
  <c r="P36" i="21"/>
  <c r="L15" i="16"/>
  <c r="Q15" i="16"/>
  <c r="O15" i="16"/>
  <c r="N15" i="16"/>
  <c r="M15" i="16"/>
  <c r="I16" i="16"/>
  <c r="P16" i="16" s="1"/>
  <c r="L37" i="21" l="1"/>
  <c r="Q37" i="21"/>
  <c r="O37" i="21"/>
  <c r="N37" i="21"/>
  <c r="M37" i="21"/>
  <c r="P37" i="21"/>
  <c r="I38" i="21"/>
  <c r="L16" i="16"/>
  <c r="Q16" i="16"/>
  <c r="N16" i="16"/>
  <c r="O16" i="16"/>
  <c r="M16" i="16"/>
  <c r="I17" i="16"/>
  <c r="P17" i="16" s="1"/>
  <c r="M38" i="21" l="1"/>
  <c r="I39" i="21"/>
  <c r="P38" i="21"/>
  <c r="O38" i="21"/>
  <c r="L38" i="21"/>
  <c r="Q38" i="21"/>
  <c r="N38" i="21"/>
  <c r="L17" i="16"/>
  <c r="O17" i="16"/>
  <c r="Q17" i="16"/>
  <c r="N17" i="16"/>
  <c r="M17" i="16"/>
  <c r="I18" i="16"/>
  <c r="P18" i="16" s="1"/>
  <c r="Q39" i="21" l="1"/>
  <c r="P39" i="21"/>
  <c r="M39" i="21"/>
  <c r="I40" i="21"/>
  <c r="O39" i="21"/>
  <c r="N39" i="21"/>
  <c r="L39" i="21"/>
  <c r="L18" i="16"/>
  <c r="N18" i="16"/>
  <c r="Q18" i="16"/>
  <c r="O18" i="16"/>
  <c r="M18" i="16"/>
  <c r="I19" i="16"/>
  <c r="P19" i="16" s="1"/>
  <c r="P40" i="21" l="1"/>
  <c r="I41" i="21"/>
  <c r="M40" i="21"/>
  <c r="L40" i="21"/>
  <c r="Q40" i="21"/>
  <c r="O40" i="21"/>
  <c r="N40" i="21"/>
  <c r="I20" i="16"/>
  <c r="P20" i="16" s="1"/>
  <c r="L19" i="16"/>
  <c r="N19" i="16"/>
  <c r="O19" i="16"/>
  <c r="Q19" i="16"/>
  <c r="M19" i="16"/>
  <c r="L41" i="21" l="1"/>
  <c r="M41" i="21"/>
  <c r="O41" i="21"/>
  <c r="I42" i="21"/>
  <c r="Q41" i="21"/>
  <c r="P41" i="21"/>
  <c r="N41" i="21"/>
  <c r="I21" i="16"/>
  <c r="P21" i="16" s="1"/>
  <c r="L20" i="16"/>
  <c r="Q20" i="16"/>
  <c r="O20" i="16"/>
  <c r="N20" i="16"/>
  <c r="M20" i="16"/>
  <c r="M42" i="21" l="1"/>
  <c r="N42" i="21"/>
  <c r="L42" i="21"/>
  <c r="P42" i="21"/>
  <c r="I43" i="21"/>
  <c r="O42" i="21"/>
  <c r="Q42" i="21"/>
  <c r="I22" i="16"/>
  <c r="P22" i="16" s="1"/>
  <c r="L21" i="16"/>
  <c r="O21" i="16"/>
  <c r="M21" i="16"/>
  <c r="Q21" i="16"/>
  <c r="N21" i="16"/>
  <c r="Q43" i="21" l="1"/>
  <c r="L43" i="21"/>
  <c r="O43" i="21"/>
  <c r="M43" i="21"/>
  <c r="I44" i="21"/>
  <c r="P43" i="21"/>
  <c r="N43" i="21"/>
  <c r="I23" i="16"/>
  <c r="P23" i="16" s="1"/>
  <c r="N22" i="16"/>
  <c r="M22" i="16"/>
  <c r="O22" i="16"/>
  <c r="Q22" i="16"/>
  <c r="L22" i="16"/>
  <c r="N44" i="21" l="1"/>
  <c r="M44" i="21"/>
  <c r="L44" i="21"/>
  <c r="I45" i="21"/>
  <c r="Q44" i="21"/>
  <c r="O44" i="21"/>
  <c r="P44" i="21"/>
  <c r="I24" i="16"/>
  <c r="P24" i="16" s="1"/>
  <c r="Q23" i="16"/>
  <c r="N23" i="16"/>
  <c r="O23" i="16"/>
  <c r="L23" i="16"/>
  <c r="M23" i="16"/>
  <c r="L45" i="21" l="1"/>
  <c r="Q45" i="21"/>
  <c r="O45" i="21"/>
  <c r="N45" i="21"/>
  <c r="M45" i="21"/>
  <c r="P45" i="21"/>
  <c r="I46" i="21"/>
  <c r="I25" i="16"/>
  <c r="P25" i="16" s="1"/>
  <c r="Q24" i="16"/>
  <c r="O24" i="16"/>
  <c r="L24" i="16"/>
  <c r="M24" i="16"/>
  <c r="N24" i="16"/>
  <c r="M25" i="16" l="1"/>
  <c r="M46" i="21"/>
  <c r="I47" i="21"/>
  <c r="P46" i="21"/>
  <c r="O46" i="21"/>
  <c r="L46" i="21"/>
  <c r="Q46" i="21"/>
  <c r="N46" i="21"/>
  <c r="I26" i="16"/>
  <c r="P26" i="16" s="1"/>
  <c r="L25" i="16"/>
  <c r="O25" i="16"/>
  <c r="N25" i="16"/>
  <c r="Q25" i="16"/>
  <c r="Q47" i="21" l="1"/>
  <c r="P47" i="21"/>
  <c r="O47" i="21"/>
  <c r="M47" i="21"/>
  <c r="I48" i="21"/>
  <c r="N47" i="21"/>
  <c r="L47" i="21"/>
  <c r="I27" i="16"/>
  <c r="P27" i="16" s="1"/>
  <c r="L26" i="16"/>
  <c r="Q26" i="16"/>
  <c r="O26" i="16"/>
  <c r="M26" i="16"/>
  <c r="N26" i="16"/>
  <c r="N48" i="21" l="1"/>
  <c r="Q48" i="21"/>
  <c r="P48" i="21"/>
  <c r="I49" i="21"/>
  <c r="M48" i="21"/>
  <c r="O48" i="21"/>
  <c r="L48" i="21"/>
  <c r="I28" i="16"/>
  <c r="P28" i="16" s="1"/>
  <c r="Q27" i="16"/>
  <c r="M27" i="16"/>
  <c r="L27" i="16"/>
  <c r="O27" i="16"/>
  <c r="N27" i="16"/>
  <c r="L49" i="21" l="1"/>
  <c r="M49" i="21"/>
  <c r="Q49" i="21"/>
  <c r="O49" i="21"/>
  <c r="I50" i="21"/>
  <c r="N49" i="21"/>
  <c r="P49" i="21"/>
  <c r="I29" i="16"/>
  <c r="P29" i="16" s="1"/>
  <c r="L28" i="16"/>
  <c r="M28" i="16"/>
  <c r="Q28" i="16"/>
  <c r="O28" i="16"/>
  <c r="N28" i="16"/>
  <c r="M50" i="21" l="1"/>
  <c r="N50" i="21"/>
  <c r="P50" i="21"/>
  <c r="I51" i="21"/>
  <c r="L50" i="21"/>
  <c r="O50" i="21"/>
  <c r="Q50" i="21"/>
  <c r="I30" i="16"/>
  <c r="P30" i="16" s="1"/>
  <c r="Q29" i="16"/>
  <c r="O29" i="16"/>
  <c r="L29" i="16"/>
  <c r="N29" i="16"/>
  <c r="M29" i="16"/>
  <c r="Q51" i="21" l="1"/>
  <c r="L51" i="21"/>
  <c r="M51" i="21"/>
  <c r="I52" i="21"/>
  <c r="P51" i="21"/>
  <c r="N51" i="21"/>
  <c r="O51" i="21"/>
  <c r="I31" i="16"/>
  <c r="P31" i="16" s="1"/>
  <c r="Q30" i="16"/>
  <c r="O30" i="16"/>
  <c r="N30" i="16"/>
  <c r="L30" i="16"/>
  <c r="M30" i="16"/>
  <c r="N52" i="21" l="1"/>
  <c r="M52" i="21"/>
  <c r="Q52" i="21"/>
  <c r="L52" i="21"/>
  <c r="I53" i="21"/>
  <c r="O52" i="21"/>
  <c r="P52" i="21"/>
  <c r="I32" i="16"/>
  <c r="P32" i="16" s="1"/>
  <c r="L31" i="16"/>
  <c r="M31" i="16"/>
  <c r="N31" i="16"/>
  <c r="O31" i="16"/>
  <c r="Q31" i="16"/>
  <c r="L53" i="21" l="1"/>
  <c r="Q53" i="21"/>
  <c r="O53" i="21"/>
  <c r="N53" i="21"/>
  <c r="M53" i="21"/>
  <c r="P53" i="21"/>
  <c r="I54" i="21"/>
  <c r="I33" i="16"/>
  <c r="P33" i="16" s="1"/>
  <c r="M32" i="16"/>
  <c r="N32" i="16"/>
  <c r="O32" i="16"/>
  <c r="L32" i="16"/>
  <c r="Q32" i="16"/>
  <c r="M54" i="21" l="1"/>
  <c r="I55" i="21"/>
  <c r="P54" i="21"/>
  <c r="O54" i="21"/>
  <c r="L54" i="21"/>
  <c r="Q54" i="21"/>
  <c r="N54" i="21"/>
  <c r="I34" i="16"/>
  <c r="P34" i="16" s="1"/>
  <c r="L33" i="16"/>
  <c r="O33" i="16"/>
  <c r="M33" i="16"/>
  <c r="N33" i="16"/>
  <c r="Q33" i="16"/>
  <c r="Q55" i="21" l="1"/>
  <c r="P55" i="21"/>
  <c r="M55" i="21"/>
  <c r="L55" i="21"/>
  <c r="O55" i="21"/>
  <c r="N55" i="21"/>
  <c r="U1" i="21"/>
  <c r="I35" i="16"/>
  <c r="P35" i="16" s="1"/>
  <c r="L34" i="16"/>
  <c r="N34" i="16"/>
  <c r="M34" i="16"/>
  <c r="O34" i="16"/>
  <c r="Q34" i="16"/>
  <c r="I36" i="16" l="1"/>
  <c r="P36" i="16" s="1"/>
  <c r="L35" i="16"/>
  <c r="M35" i="16"/>
  <c r="O35" i="16"/>
  <c r="Q35" i="16"/>
  <c r="N35" i="16"/>
  <c r="I37" i="16" l="1"/>
  <c r="P37" i="16" s="1"/>
  <c r="L36" i="16"/>
  <c r="Q36" i="16"/>
  <c r="O36" i="16"/>
  <c r="N36" i="16"/>
  <c r="M36" i="16"/>
  <c r="I38" i="16" l="1"/>
  <c r="P38" i="16" s="1"/>
  <c r="N37" i="16"/>
  <c r="Q37" i="16"/>
  <c r="M37" i="16"/>
  <c r="L37" i="16"/>
  <c r="O37" i="16"/>
  <c r="I39" i="16" l="1"/>
  <c r="P39" i="16" s="1"/>
  <c r="L38" i="16"/>
  <c r="Q38" i="16"/>
  <c r="N38" i="16"/>
  <c r="M38" i="16"/>
  <c r="O38" i="16"/>
  <c r="I40" i="16" l="1"/>
  <c r="P40" i="16" s="1"/>
  <c r="N39" i="16"/>
  <c r="Q39" i="16"/>
  <c r="M39" i="16"/>
  <c r="L39" i="16"/>
  <c r="O39" i="16"/>
  <c r="L40" i="16" l="1"/>
  <c r="O40" i="16"/>
  <c r="I41" i="16"/>
  <c r="P41" i="16" s="1"/>
  <c r="M40" i="16"/>
  <c r="Q40" i="16"/>
  <c r="N40" i="16"/>
  <c r="I42" i="16" l="1"/>
  <c r="P42" i="16" s="1"/>
  <c r="Q41" i="16"/>
  <c r="L41" i="16"/>
  <c r="O41" i="16"/>
  <c r="M41" i="16"/>
  <c r="N41" i="16"/>
  <c r="I43" i="16" l="1"/>
  <c r="P43" i="16" s="1"/>
  <c r="N42" i="16"/>
  <c r="L42" i="16"/>
  <c r="M42" i="16"/>
  <c r="O42" i="16"/>
  <c r="Q42" i="16"/>
  <c r="I44" i="16" l="1"/>
  <c r="P44" i="16" s="1"/>
  <c r="M43" i="16"/>
  <c r="N43" i="16"/>
  <c r="O43" i="16"/>
  <c r="Q43" i="16"/>
  <c r="L43" i="16"/>
  <c r="I45" i="16" l="1"/>
  <c r="P45" i="16" s="1"/>
  <c r="N44" i="16"/>
  <c r="M44" i="16"/>
  <c r="L44" i="16"/>
  <c r="Q44" i="16"/>
  <c r="O44" i="16"/>
  <c r="M45" i="16" l="1"/>
  <c r="O45" i="16"/>
  <c r="I46" i="16"/>
  <c r="P46" i="16" s="1"/>
  <c r="Q45" i="16"/>
  <c r="N45" i="16"/>
  <c r="L45" i="16"/>
  <c r="O46" i="16" l="1"/>
  <c r="M46" i="16"/>
  <c r="I47" i="16"/>
  <c r="P47" i="16" s="1"/>
  <c r="L46" i="16"/>
  <c r="Q46" i="16"/>
  <c r="N46" i="16"/>
  <c r="O47" i="16" l="1"/>
  <c r="L47" i="16"/>
  <c r="I48" i="16"/>
  <c r="P48" i="16" s="1"/>
  <c r="Q47" i="16"/>
  <c r="M47" i="16"/>
  <c r="N47" i="16"/>
  <c r="I49" i="16" l="1"/>
  <c r="P49" i="16" s="1"/>
  <c r="Q48" i="16"/>
  <c r="L48" i="16"/>
  <c r="O48" i="16"/>
  <c r="N48" i="16"/>
  <c r="M48" i="16"/>
  <c r="M49" i="16" l="1"/>
  <c r="L49" i="16"/>
  <c r="N49" i="16"/>
  <c r="I50" i="16"/>
  <c r="P50" i="16" s="1"/>
  <c r="O49" i="16"/>
  <c r="Q49" i="16"/>
  <c r="Q50" i="16" l="1"/>
  <c r="O50" i="16"/>
  <c r="I51" i="16"/>
  <c r="P51" i="16" s="1"/>
  <c r="N50" i="16"/>
  <c r="M50" i="16"/>
  <c r="L50" i="16"/>
  <c r="L51" i="16" l="1"/>
  <c r="N51" i="16"/>
  <c r="I52" i="16"/>
  <c r="P52" i="16" s="1"/>
  <c r="M51" i="16"/>
  <c r="Q51" i="16"/>
  <c r="O51" i="16"/>
  <c r="L52" i="16" l="1"/>
  <c r="O52" i="16"/>
  <c r="I53" i="16"/>
  <c r="P53" i="16" s="1"/>
  <c r="M52" i="16"/>
  <c r="Q52" i="16"/>
  <c r="N52" i="16"/>
  <c r="Q53" i="16" l="1"/>
  <c r="M53" i="16"/>
  <c r="I54" i="16"/>
  <c r="P54" i="16" s="1"/>
  <c r="L53" i="16"/>
  <c r="O53" i="16"/>
  <c r="N53" i="16"/>
  <c r="I55" i="16"/>
  <c r="P55" i="16" s="1"/>
  <c r="L54" i="16" l="1"/>
  <c r="M54" i="16"/>
  <c r="Q54" i="16"/>
  <c r="N54" i="16"/>
  <c r="O54" i="16"/>
  <c r="U1" i="16"/>
  <c r="N55" i="16"/>
  <c r="Q55" i="16"/>
  <c r="O55" i="16"/>
  <c r="M55" i="16"/>
  <c r="L55" i="16"/>
  <c r="Y14" i="20" l="1"/>
  <c r="O11" i="20"/>
  <c r="O14" i="20"/>
  <c r="O11" i="15"/>
  <c r="O14" i="15"/>
  <c r="Y14" i="15"/>
  <c r="O37" i="15" l="1"/>
  <c r="O31" i="15"/>
  <c r="O37" i="20"/>
  <c r="C9" i="20" s="1"/>
  <c r="W37" i="20"/>
  <c r="W37" i="15"/>
  <c r="C9" i="15" s="1"/>
  <c r="C57" i="15" l="1"/>
  <c r="N57" i="15" s="1"/>
  <c r="C56" i="15"/>
  <c r="N56" i="15" s="1"/>
  <c r="C58" i="15"/>
  <c r="N58"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C5BE8F0-1B1C-4903-9871-D052FF28B5E7}" keepAlive="1" name="Consulta - DBGenzai" description="Conexión a la consulta 'DBGenzai' en el libro." type="5" refreshedVersion="8" background="1" saveData="1">
    <dbPr connection="Provider=Microsoft.Mashup.OleDb.1;Data Source=$Workbook$;Location=DBGenzai;Extended Properties=&quot;&quot;" command="SELECT * FROM [DBGenzai]"/>
  </connection>
  <connection id="2" xr16:uid="{CC86EB4F-CE42-4F27-9B22-7186FAA0B10D}" keepAlive="1" name="Consulta - DBGenzai(1)" description="Conexión a la consulta 'DBGenzai' en el libro." type="5" refreshedVersion="0" background="1" saveData="1">
    <dbPr connection="Provider=Microsoft.Mashup.OleDb.1;Data Source=$Workbook$;Location=DBGenzai;Extended Properties=&quot;&quot;" command="SELECT * FROM [DBGenzai]"/>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<sst xmlns="http://schemas.openxmlformats.org/spreadsheetml/2006/main" count="16580" uniqueCount="3589">
  <si>
    <t>（乙）</t>
    <rPh sb="1" eb="2">
      <t>オツ</t>
    </rPh>
    <phoneticPr fontId="1"/>
  </si>
  <si>
    <t>締日</t>
    <rPh sb="0" eb="2">
      <t>シメビ</t>
    </rPh>
    <phoneticPr fontId="1"/>
  </si>
  <si>
    <t>支払日</t>
    <rPh sb="0" eb="3">
      <t>シハライビ</t>
    </rPh>
    <phoneticPr fontId="1"/>
  </si>
  <si>
    <t>支払方法</t>
    <rPh sb="0" eb="2">
      <t>シハライ</t>
    </rPh>
    <rPh sb="2" eb="4">
      <t>ホウホウ</t>
    </rPh>
    <phoneticPr fontId="1"/>
  </si>
  <si>
    <t>銀行振込</t>
    <rPh sb="0" eb="2">
      <t>ギンコウ</t>
    </rPh>
    <rPh sb="2" eb="4">
      <t>フリコミ</t>
    </rPh>
    <phoneticPr fontId="1"/>
  </si>
  <si>
    <t>No</t>
  </si>
  <si>
    <t>氏名</t>
    <rPh sb="0" eb="2">
      <t>シメイ</t>
    </rPh>
    <phoneticPr fontId="3"/>
  </si>
  <si>
    <t>性別</t>
    <rPh sb="0" eb="2">
      <t>セイベツ</t>
    </rPh>
    <phoneticPr fontId="3"/>
  </si>
  <si>
    <t>年齢</t>
    <rPh sb="0" eb="2">
      <t>ネンレイ</t>
    </rPh>
    <phoneticPr fontId="3"/>
  </si>
  <si>
    <t>雇用保険</t>
    <rPh sb="0" eb="2">
      <t>コヨウ</t>
    </rPh>
    <rPh sb="2" eb="4">
      <t>ホケン</t>
    </rPh>
    <phoneticPr fontId="3"/>
  </si>
  <si>
    <t>健康保険</t>
    <rPh sb="0" eb="2">
      <t>ケンコウ</t>
    </rPh>
    <rPh sb="2" eb="4">
      <t>ホケン</t>
    </rPh>
    <phoneticPr fontId="3"/>
  </si>
  <si>
    <t>厚生年金保険</t>
    <rPh sb="0" eb="2">
      <t>コウセイ</t>
    </rPh>
    <rPh sb="2" eb="4">
      <t>ネンキン</t>
    </rPh>
    <rPh sb="4" eb="6">
      <t>ホケン</t>
    </rPh>
    <phoneticPr fontId="3"/>
  </si>
  <si>
    <t>雇用期間</t>
  </si>
  <si>
    <t>愛知県名古屋市北区西味鋺1‐511水野ビル201</t>
    <rPh sb="0" eb="3">
      <t>アイチケン</t>
    </rPh>
    <rPh sb="3" eb="7">
      <t>ナゴヤシ</t>
    </rPh>
    <rPh sb="7" eb="9">
      <t>キタク</t>
    </rPh>
    <rPh sb="9" eb="10">
      <t>ニシ</t>
    </rPh>
    <rPh sb="10" eb="12">
      <t>アジマ</t>
    </rPh>
    <rPh sb="17" eb="19">
      <t>ミズノ</t>
    </rPh>
    <phoneticPr fontId="1"/>
  </si>
  <si>
    <t>ユニバーサル企画株式会社</t>
    <rPh sb="6" eb="8">
      <t>キカク</t>
    </rPh>
    <rPh sb="8" eb="12">
      <t>カブシキカイシャ</t>
    </rPh>
    <phoneticPr fontId="3"/>
  </si>
  <si>
    <t>派遣先通知書</t>
    <rPh sb="0" eb="2">
      <t>ハケン</t>
    </rPh>
    <rPh sb="2" eb="3">
      <t>サキ</t>
    </rPh>
    <rPh sb="3" eb="6">
      <t>ツウチショ</t>
    </rPh>
    <phoneticPr fontId="1"/>
  </si>
  <si>
    <t>令和　　　年　　　月　　　日</t>
    <rPh sb="0" eb="2">
      <t>レイワ</t>
    </rPh>
    <rPh sb="5" eb="6">
      <t>ネン</t>
    </rPh>
    <rPh sb="9" eb="10">
      <t>ガツ</t>
    </rPh>
    <rPh sb="13" eb="14">
      <t>ヒ</t>
    </rPh>
    <phoneticPr fontId="3"/>
  </si>
  <si>
    <t>女</t>
  </si>
  <si>
    <t>男</t>
  </si>
  <si>
    <t>令和　4　年　1　月　1　日付の労働者派遣個別契約に基づき以下の者を派遣します。</t>
    <rPh sb="0" eb="2">
      <t>レイワ</t>
    </rPh>
    <rPh sb="5" eb="6">
      <t>ネン</t>
    </rPh>
    <rPh sb="9" eb="10">
      <t>ツキ</t>
    </rPh>
    <rPh sb="13" eb="14">
      <t>ヒ</t>
    </rPh>
    <rPh sb="14" eb="15">
      <t>ツ</t>
    </rPh>
    <rPh sb="16" eb="19">
      <t>ロウドウシャ</t>
    </rPh>
    <rPh sb="19" eb="21">
      <t>ハケン</t>
    </rPh>
    <rPh sb="21" eb="23">
      <t>コベツ</t>
    </rPh>
    <rPh sb="23" eb="25">
      <t>ケイヤク</t>
    </rPh>
    <rPh sb="26" eb="27">
      <t>モト</t>
    </rPh>
    <rPh sb="29" eb="31">
      <t>イカ</t>
    </rPh>
    <rPh sb="32" eb="33">
      <t>モノ</t>
    </rPh>
    <rPh sb="34" eb="36">
      <t>ハケン</t>
    </rPh>
    <phoneticPr fontId="3"/>
  </si>
  <si>
    <t>現在</t>
  </si>
  <si>
    <t>社員№</t>
  </si>
  <si>
    <t>派遣先ID</t>
  </si>
  <si>
    <t>派遣先</t>
  </si>
  <si>
    <t>配属先</t>
  </si>
  <si>
    <t>氏名</t>
  </si>
  <si>
    <t>カナ</t>
  </si>
  <si>
    <t>性別</t>
  </si>
  <si>
    <t>国籍</t>
  </si>
  <si>
    <t>生年月日</t>
  </si>
  <si>
    <t>年齢</t>
  </si>
  <si>
    <t>時給</t>
  </si>
  <si>
    <t>時給改定</t>
  </si>
  <si>
    <t>請求単価</t>
  </si>
  <si>
    <t>請求改定</t>
  </si>
  <si>
    <t>差額利益</t>
  </si>
  <si>
    <t>ビザ期限</t>
  </si>
  <si>
    <t>ｱﾗｰﾄ(ﾋﾞｻﾞ更新)</t>
  </si>
  <si>
    <t>ビザ種類</t>
  </si>
  <si>
    <t>〒</t>
  </si>
  <si>
    <t>住所</t>
  </si>
  <si>
    <t>ｱﾊﾟｰﾄ</t>
  </si>
  <si>
    <t>入居</t>
  </si>
  <si>
    <t>入社日</t>
  </si>
  <si>
    <t>退社日</t>
  </si>
  <si>
    <t>退去</t>
  </si>
  <si>
    <t>社保加入</t>
  </si>
  <si>
    <t>口座名義</t>
  </si>
  <si>
    <t>銀行名</t>
  </si>
  <si>
    <t>支店番号</t>
  </si>
  <si>
    <t>支店名</t>
  </si>
  <si>
    <t>口座番号</t>
  </si>
  <si>
    <t>入社依頼</t>
  </si>
  <si>
    <t>備考</t>
  </si>
  <si>
    <t>在職中</t>
  </si>
  <si>
    <t>HOANG ANH DAC</t>
  </si>
  <si>
    <t>ホアン　アン　ダック</t>
  </si>
  <si>
    <t>ﾍﾞﾄﾅﾑ</t>
  </si>
  <si>
    <t>2021/2/21~　1800⇒1850</t>
  </si>
  <si>
    <t>残り期限90日!</t>
  </si>
  <si>
    <t>技術・人文知識・国際業務</t>
  </si>
  <si>
    <t>471-0805</t>
  </si>
  <si>
    <t>愛知県豊田市松平志賀町柿谷下28番地</t>
  </si>
  <si>
    <t>個人</t>
  </si>
  <si>
    <t>OK</t>
  </si>
  <si>
    <t/>
  </si>
  <si>
    <t>VU VAN THANG</t>
  </si>
  <si>
    <t>ヴ　ヴァン　タン</t>
  </si>
  <si>
    <t>2021/2/21⇒1300</t>
  </si>
  <si>
    <t>愛知県豊田市美里2‐6‐9</t>
  </si>
  <si>
    <t>ﾚｼﾞｪﾝﾄﾞK203</t>
  </si>
  <si>
    <t>永住者</t>
  </si>
  <si>
    <t>三幸技研</t>
  </si>
  <si>
    <t>PHAM BA BACH</t>
  </si>
  <si>
    <t>ファン　バ　バック</t>
  </si>
  <si>
    <t>2021/2/21　1250⇒1300　2022/6/21　1300円⇒1350円</t>
  </si>
  <si>
    <t>474-0052</t>
  </si>
  <si>
    <t>愛知県大府市 長草町新池8</t>
  </si>
  <si>
    <t>2022/7/2~個人のアパートに移動</t>
  </si>
  <si>
    <t>高雄工業 海南第一</t>
  </si>
  <si>
    <t>NGUYEN DINH TOAN</t>
  </si>
  <si>
    <t>グエン　ディン　トアン</t>
  </si>
  <si>
    <t>6/16~　\1210⇒\1260</t>
  </si>
  <si>
    <t>9/16~ 1610円→1760円</t>
  </si>
  <si>
    <t>498-0031</t>
  </si>
  <si>
    <t>愛知県弥富市平島町中新田194-1</t>
  </si>
  <si>
    <t>ゆうちょ銀行</t>
  </si>
  <si>
    <t>四〇八</t>
  </si>
  <si>
    <t>高雄工業 静岡</t>
  </si>
  <si>
    <t>LE XUAN HUNG</t>
  </si>
  <si>
    <t>レ　スアン　フン</t>
  </si>
  <si>
    <t>6/16~ \1200⇒\1250</t>
  </si>
  <si>
    <t>9/16~ 1600円→1750円</t>
  </si>
  <si>
    <t>437-0061</t>
  </si>
  <si>
    <t>静岡県袋井市久能1289-1</t>
  </si>
  <si>
    <t>ｱｳﾛｰﾗⅡ101号</t>
  </si>
  <si>
    <t>七四八</t>
  </si>
  <si>
    <t>DO VAN NGHIEP</t>
  </si>
  <si>
    <t>ドー　ヴァン　ギエップ</t>
  </si>
  <si>
    <t>437-0017</t>
  </si>
  <si>
    <t>静岡県袋井市鷲巣950-1</t>
  </si>
  <si>
    <t>ﾚｵﾊﾟﾚｽわしず103</t>
  </si>
  <si>
    <t>ドー　バン　ギエツプ</t>
  </si>
  <si>
    <t>群馬銀行</t>
  </si>
  <si>
    <t>伊勢崎西</t>
  </si>
  <si>
    <t>高雄工業 本社</t>
  </si>
  <si>
    <t>高雄工業株式会社 本社工場製作課</t>
  </si>
  <si>
    <t>NGUYEN DUC HUNG</t>
  </si>
  <si>
    <t>グエン　ドック　フン</t>
  </si>
  <si>
    <t>愛知県弥富市平島町中新田196-1</t>
  </si>
  <si>
    <t>ｺﾝﾂｪﾙﾊｳｽＣ203</t>
  </si>
  <si>
    <t>14620　24131251</t>
  </si>
  <si>
    <t>PHAM NGOC LAM</t>
  </si>
  <si>
    <t>ファム　ゴック　ラム</t>
  </si>
  <si>
    <t>498-0021</t>
  </si>
  <si>
    <t>愛知県弥富市鯏浦町浦六1-1</t>
  </si>
  <si>
    <t>ｸﾞﾘｰﾝﾊｲﾂA棟201</t>
  </si>
  <si>
    <t>中国銀行</t>
  </si>
  <si>
    <t>高雄工業 岡山</t>
  </si>
  <si>
    <t>NGUYEN TUAN ANH</t>
  </si>
  <si>
    <t>グエン　トゥアン　アイン</t>
  </si>
  <si>
    <t>709-2133</t>
  </si>
  <si>
    <t>岡山県岡山市北区御津金川373番地1</t>
  </si>
  <si>
    <t>ﾆｭｰｴﾙﾃﾞｨﾑ小西A101</t>
  </si>
  <si>
    <t>グェン　トゥアン　アン</t>
  </si>
  <si>
    <t>五四八</t>
  </si>
  <si>
    <t>15490　32649271</t>
  </si>
  <si>
    <t>PHAM CONG THANH</t>
  </si>
  <si>
    <t>ファム　コン　タイン</t>
  </si>
  <si>
    <t>LE VAN QUAN</t>
  </si>
  <si>
    <t>レー　ヴァン　クアン</t>
  </si>
  <si>
    <t>ﾆｭｰｴﾙﾃﾞｨﾑ小西C201</t>
  </si>
  <si>
    <t>レー　ヴァンクアン</t>
  </si>
  <si>
    <t>七七八</t>
  </si>
  <si>
    <t>NGUYEN VAN THIEN</t>
  </si>
  <si>
    <t>グエン　ヴァン　ティエン</t>
  </si>
  <si>
    <t>498-0017</t>
  </si>
  <si>
    <t>愛知県弥富市前ヶ須町南本田522-１</t>
  </si>
  <si>
    <t>ﾐﾉﾔ弥冨ﾊｲﾂ502</t>
  </si>
  <si>
    <t>四七八</t>
  </si>
  <si>
    <t>LE VAN THUONG</t>
  </si>
  <si>
    <t>レー　ヴァン　トゥオン</t>
  </si>
  <si>
    <t>4/16~ 1200⇒1260へ</t>
  </si>
  <si>
    <t>498-0006</t>
  </si>
  <si>
    <t>レー　ヴァン　トウオン</t>
  </si>
  <si>
    <t>三菱ＵＦＪ銀行</t>
  </si>
  <si>
    <t>鳴海</t>
  </si>
  <si>
    <t>PHAM NGOC TUNG</t>
  </si>
  <si>
    <t>ファム　ゴック　トゥン</t>
  </si>
  <si>
    <t>愛知県弥富市前ケ須町西勘助207番地</t>
  </si>
  <si>
    <t>CASA弥富A202</t>
  </si>
  <si>
    <t>二〇八</t>
  </si>
  <si>
    <t>LUONG QUANG QUAN</t>
  </si>
  <si>
    <t>ルォン　クァン　クァン</t>
  </si>
  <si>
    <t>ルオン　クアン　クアン</t>
  </si>
  <si>
    <t>〇四八</t>
  </si>
  <si>
    <t>HOANG VAN VU</t>
  </si>
  <si>
    <t>ホアン　ヴァン　ヴー</t>
  </si>
  <si>
    <t>四六八</t>
  </si>
  <si>
    <t>高雄工業 海南第二</t>
  </si>
  <si>
    <t>006310 高雄工業株式会社 海南第二工場製作課</t>
  </si>
  <si>
    <t>TRAN VAN TUE</t>
  </si>
  <si>
    <t>チャン　ヴァン　トゥエ</t>
  </si>
  <si>
    <t>愛知県弥富市前ヶ須町東勘助138</t>
  </si>
  <si>
    <t>安井ﾋﾞﾙ5D</t>
  </si>
  <si>
    <t>四五八</t>
  </si>
  <si>
    <t>MAI VAN DO</t>
  </si>
  <si>
    <t>マイ　ヴァン　ドー</t>
  </si>
  <si>
    <t>愛知県弥富市平島町中新田128</t>
  </si>
  <si>
    <t>ﾊｲﾂ大富B棟1</t>
  </si>
  <si>
    <t>マイ　バン　ド</t>
  </si>
  <si>
    <t>一一八</t>
  </si>
  <si>
    <t>HA MANH QUAN</t>
  </si>
  <si>
    <t>ハー　マイン　クアン</t>
  </si>
  <si>
    <t>474-0057</t>
  </si>
  <si>
    <t>愛知県大府市共和町2-18-8</t>
  </si>
  <si>
    <t>共和ﾌﾟﾗｻﾞﾋﾞﾙ1号館203</t>
  </si>
  <si>
    <t>BUI VAN DUY</t>
  </si>
  <si>
    <t>ブイ　ヴァン　ズイ</t>
  </si>
  <si>
    <t>退社</t>
  </si>
  <si>
    <t>ﾌｪﾆﾃｯｸｾﾐｺﾝﾀﾞｸﾀｰ 岡山</t>
  </si>
  <si>
    <t>NGUYEN VAN HUNG</t>
  </si>
  <si>
    <t>2021/6/21~　1400⇒1500</t>
  </si>
  <si>
    <t>入社3か月後200円UP</t>
  </si>
  <si>
    <t>715-0006</t>
  </si>
  <si>
    <t>岡山県井原市西江原町936-1</t>
  </si>
  <si>
    <t>岡山工場製造部TF課６インチ担当</t>
  </si>
  <si>
    <t>PHAM VAN TRONG</t>
  </si>
  <si>
    <t>ファム　バン　チョン</t>
  </si>
  <si>
    <t>岡山県井原市木之子町94番地１</t>
  </si>
  <si>
    <t>ﾋﾞﾚｯｼﾞﾊｳｽ木之子1-403</t>
  </si>
  <si>
    <t>岡山工場製造部TF課５インチ担当</t>
  </si>
  <si>
    <t>NGUYEN HOA HOAN</t>
  </si>
  <si>
    <t>グエン　ホア　ホアン</t>
  </si>
  <si>
    <t>入社3か月後100円UP</t>
  </si>
  <si>
    <t>岡山県井原市西江原町936-3</t>
  </si>
  <si>
    <t>ｸﾞﾗﾝｴﾄﾜｰﾙA203</t>
  </si>
  <si>
    <t>PHUNG VAN NAM</t>
  </si>
  <si>
    <t>フン　ヴァン　ナム</t>
  </si>
  <si>
    <t>709-2107</t>
  </si>
  <si>
    <t>岡山県岡山市北区御津矢原311</t>
  </si>
  <si>
    <t>中須賀ｺｰﾎﾟⅢ203</t>
  </si>
  <si>
    <t>PHAM KHAC SON</t>
  </si>
  <si>
    <t>ファム　カック　ソン</t>
  </si>
  <si>
    <t>岡山県岡山市北区御津矢原370</t>
  </si>
  <si>
    <t>成広ｺｰﾎﾟⅡ102</t>
  </si>
  <si>
    <t>三二八</t>
  </si>
  <si>
    <t>岡山工場製造部PR課５インチ担当</t>
  </si>
  <si>
    <t>VU DINH HIEP</t>
  </si>
  <si>
    <t>ヴー　ディン　ヒエップ</t>
  </si>
  <si>
    <t>715-0014</t>
  </si>
  <si>
    <t>岡山県井原市七日市町696-2</t>
  </si>
  <si>
    <t>Florence1997 203</t>
  </si>
  <si>
    <t>LUONG XUAN NGOC</t>
  </si>
  <si>
    <t>ルオン　スアン　ゴック</t>
  </si>
  <si>
    <t>715-0004</t>
  </si>
  <si>
    <t>岡山県井原市木之子町5837-1</t>
  </si>
  <si>
    <t>ｳｯﾄﾞﾌｨｰﾙﾄﾞB203</t>
  </si>
  <si>
    <t>NGUYEN VAN MANH</t>
  </si>
  <si>
    <t>グエン　ヴァン　マイン</t>
  </si>
  <si>
    <t>2021/7/21　1250⇒1300</t>
  </si>
  <si>
    <t>471-0873</t>
  </si>
  <si>
    <t>市営B-107号</t>
  </si>
  <si>
    <t>四三八</t>
  </si>
  <si>
    <t>二四八</t>
  </si>
  <si>
    <t>LE DINH TUAN</t>
  </si>
  <si>
    <t>レ　ディン　トゥアン</t>
  </si>
  <si>
    <t>レー　ディン　トゥアン</t>
  </si>
  <si>
    <t>一二八</t>
  </si>
  <si>
    <t>NGUYEN THI KIM NHUNG</t>
  </si>
  <si>
    <t>グエン　ティ　キム　ニュン</t>
  </si>
  <si>
    <t>9/16~ 1500円→1610円</t>
  </si>
  <si>
    <t>家族滞在</t>
  </si>
  <si>
    <t>岡山県岡山市北区御津矢原312-2</t>
  </si>
  <si>
    <t>ＮＧＵＹＥＮ　ＴＨＩ　KIM　NHUNG</t>
  </si>
  <si>
    <t>岡山工場製造部DF課６インチ担当</t>
  </si>
  <si>
    <t>LE XUAN CU</t>
  </si>
  <si>
    <t>レー　スアン　クー</t>
  </si>
  <si>
    <t>2021/7/21～　1400⇒1500</t>
  </si>
  <si>
    <t>岡山県井原市木之子町94番地1</t>
  </si>
  <si>
    <t>ﾋﾞﾚｯｼﾞﾊｳｽ木之子1-104</t>
  </si>
  <si>
    <t>715-0021</t>
  </si>
  <si>
    <t>NGUYEN VAN DOANH</t>
  </si>
  <si>
    <t>グエン　ヴァン　ゾアン</t>
  </si>
  <si>
    <t>ﾚｼﾞｪﾝﾄﾞK301</t>
  </si>
  <si>
    <t>TRAN NGOC HA</t>
  </si>
  <si>
    <t>チャン　ゴック　ハ</t>
  </si>
  <si>
    <t>五一八</t>
  </si>
  <si>
    <t>NGUYEN NGOC UYEN</t>
  </si>
  <si>
    <t>グエン　ゴック　ウエン</t>
  </si>
  <si>
    <t>9/16~ 1520円→1620円</t>
  </si>
  <si>
    <t>岡山県岡山市北区御津矢原298-1</t>
  </si>
  <si>
    <t>成広矢原ｺｰﾎﾟⅥ102</t>
  </si>
  <si>
    <t>おかやま信用金庫</t>
  </si>
  <si>
    <t>007210 高雄工業株式会社 岡山事業所CVJ工場製作課</t>
  </si>
  <si>
    <t>BUI DUC KHANG</t>
  </si>
  <si>
    <t>ブイ　ヅック　カン</t>
  </si>
  <si>
    <t>岡山県岡山市北区御津矢原294-1</t>
  </si>
  <si>
    <t>ブイ　ヅック　カーン</t>
  </si>
  <si>
    <t>MAC VAN HUNG</t>
  </si>
  <si>
    <t>マック　ヴァン　フン</t>
  </si>
  <si>
    <t>2021/9/21~　1400⇒1500</t>
  </si>
  <si>
    <t>715-0022</t>
  </si>
  <si>
    <t>岡山県井原市下出部町2丁目8-7</t>
  </si>
  <si>
    <t>ｴｽﾃｰﾄｲﾃﾞﾊﾗB102</t>
  </si>
  <si>
    <t>CAO QUOC DUNG</t>
  </si>
  <si>
    <t>カオ　コック　ズン</t>
  </si>
  <si>
    <t>安井ﾋﾞﾙ2C</t>
  </si>
  <si>
    <t>NGUYEN VAN QUAN</t>
  </si>
  <si>
    <t>グエン　バン　クアン</t>
  </si>
  <si>
    <t>岡山県岡山市北区御津矢原297-1</t>
  </si>
  <si>
    <t>成広矢原ｺｰﾎﾟⅤ201</t>
  </si>
  <si>
    <t>PHAM VAN LONG</t>
  </si>
  <si>
    <t>ファム　ヴァン　ロン</t>
  </si>
  <si>
    <t>中須賀ｺｰﾎﾟⅡ101</t>
  </si>
  <si>
    <t>河野　依里香</t>
  </si>
  <si>
    <t>コウノ　エリコ</t>
  </si>
  <si>
    <t>日本</t>
  </si>
  <si>
    <t>9/16~　1150円→1200円</t>
  </si>
  <si>
    <t>9/16~ 1700円→1750円</t>
  </si>
  <si>
    <t>497-0032</t>
  </si>
  <si>
    <t>愛知県海部郡蟹江町今市之坪16-5</t>
  </si>
  <si>
    <t>二一八</t>
  </si>
  <si>
    <t xml:space="preserve">TRAN CONG PHUONG </t>
  </si>
  <si>
    <t>チャン　コン　フォン</t>
  </si>
  <si>
    <t>2022/2/15~1350 ⇒ 1400</t>
  </si>
  <si>
    <t>ｺﾝﾂｪﾙﾊｳｽⅡD201</t>
  </si>
  <si>
    <t>チヤン　コン　フオーン</t>
  </si>
  <si>
    <t>西日本シティ銀行</t>
  </si>
  <si>
    <t>大橋駅前</t>
  </si>
  <si>
    <t>NGUYEN DINH THU</t>
  </si>
  <si>
    <t>グエン　ディン　トゥ</t>
  </si>
  <si>
    <t>成広矢原ｺｰﾎﾟⅥ101</t>
  </si>
  <si>
    <t>ゲェン　ディン　トゥ</t>
  </si>
  <si>
    <t>〇一八</t>
  </si>
  <si>
    <t>2021/8/1～2021/10/31　高雄工業請負　2021/11/1～高雄工業岡山派遣へ転籍</t>
  </si>
  <si>
    <t>岡山工場製造部DF課５インチ担当</t>
  </si>
  <si>
    <t>TRAN XUAN HUNG</t>
  </si>
  <si>
    <t>チャン　スアン　フン</t>
  </si>
  <si>
    <t>2021/11/21～1400⇒1500</t>
  </si>
  <si>
    <t>DANG VAN KHANG</t>
  </si>
  <si>
    <t>ダン　ヴァン　カン</t>
  </si>
  <si>
    <t>TRAN VAN TUAN</t>
  </si>
  <si>
    <t>チャン　ヴァン　トゥアン</t>
  </si>
  <si>
    <t>Florence1997 201</t>
  </si>
  <si>
    <t>LE VAN NHANH</t>
  </si>
  <si>
    <t>レー　ヴァン　ニャン</t>
  </si>
  <si>
    <t>ﾋﾞﾚｯｼﾞﾊｳｽ木之子1-304</t>
  </si>
  <si>
    <t>PHAN MINH CHI</t>
  </si>
  <si>
    <t>ファン　ミン　チ</t>
  </si>
  <si>
    <t>ｸﾞﾗﾝｴﾄﾜｰﾙB103</t>
  </si>
  <si>
    <t>岡山工場製造部PR課６インチ担当</t>
  </si>
  <si>
    <t>NGO NHAT QUYEN</t>
  </si>
  <si>
    <t>ゴー　ナット　クエン</t>
  </si>
  <si>
    <t>BUI THI YEN</t>
  </si>
  <si>
    <t>9/16~ 1510円→1610円</t>
  </si>
  <si>
    <t>中須賀ｺｰﾎﾟⅢ206</t>
  </si>
  <si>
    <t>BUI　THI　YEN</t>
  </si>
  <si>
    <t>伊予銀行</t>
  </si>
  <si>
    <t>久米</t>
  </si>
  <si>
    <t>岡山工場製造部BM課</t>
  </si>
  <si>
    <t>NGUYEN DINH DAN</t>
  </si>
  <si>
    <t>グエン　ディン　ダン</t>
  </si>
  <si>
    <t>岡山県井原市木之子町82-1</t>
  </si>
  <si>
    <t>ﾋﾞｱﾝｺ・ﾈﾛB102</t>
  </si>
  <si>
    <t>PHAM HUY HOANG</t>
  </si>
  <si>
    <t>ファム　フイ　ホアン</t>
  </si>
  <si>
    <t>9/2~\1200⇒12/21⇒1250⇒3/21⇒MAX1300</t>
  </si>
  <si>
    <t>474-0056</t>
  </si>
  <si>
    <t>愛知県大府市明成町2丁目176番地</t>
  </si>
  <si>
    <t>ｻﾝﾋﾟｱ清野205</t>
  </si>
  <si>
    <t>LE VIET TRUNG</t>
  </si>
  <si>
    <t>レ　ヴィエット　チュン</t>
  </si>
  <si>
    <t>ﾋﾞﾚｯｼﾞﾊｳｽ1-106</t>
  </si>
  <si>
    <t>NGUYEN QUANG HUY</t>
  </si>
  <si>
    <t>グエン　クアン　フィ</t>
  </si>
  <si>
    <t>9/16~ 1620円→1770円</t>
  </si>
  <si>
    <t>グェン　クァン　フィ</t>
  </si>
  <si>
    <t>DUONG VAN THIEP</t>
  </si>
  <si>
    <t>ズオン　ヴァン　ティェプ</t>
  </si>
  <si>
    <t>ズォン　ヴァン　ティェプ</t>
  </si>
  <si>
    <t>MAI XUAN PHONG</t>
  </si>
  <si>
    <t>マイ　ジャン　フォン</t>
  </si>
  <si>
    <t>岡山県井原氏七日市町735-1</t>
  </si>
  <si>
    <t>ｻﾝﾋﾟｱｯﾂｧA101</t>
  </si>
  <si>
    <t>LE VIET HUNG</t>
  </si>
  <si>
    <t>レー　ヴィエット　フン</t>
  </si>
  <si>
    <t>愛知県弥富市前ヶ須町西勘助207</t>
  </si>
  <si>
    <t>CASA弥冨A203</t>
  </si>
  <si>
    <t>レー　ヴェット　フン</t>
  </si>
  <si>
    <t>TRAN VAN PHONG</t>
  </si>
  <si>
    <t>チャン　ヴァン　フォン</t>
  </si>
  <si>
    <t>愛知県弥富市前ヶ須堪助走34-1</t>
  </si>
  <si>
    <t>ｱﾄﾚB棟101</t>
  </si>
  <si>
    <t>チヤン　ヴァン　フオン</t>
  </si>
  <si>
    <t>神田　恭宏</t>
  </si>
  <si>
    <t>カンダ　ヤスヒロ</t>
  </si>
  <si>
    <t>700-0945</t>
  </si>
  <si>
    <t>岡山県岡山市南区新保683-12</t>
  </si>
  <si>
    <t>津山</t>
  </si>
  <si>
    <t>中村　勝次</t>
  </si>
  <si>
    <t>ナカムラ　カツジ</t>
  </si>
  <si>
    <t>成広矢原ｺｰﾎﾟⅢ203</t>
  </si>
  <si>
    <t>津山東</t>
  </si>
  <si>
    <t>小野　忠昭</t>
  </si>
  <si>
    <t>オノ　タダアキ</t>
  </si>
  <si>
    <t>709-0827</t>
  </si>
  <si>
    <t>岡山県赤磐市山陽4-2-30</t>
  </si>
  <si>
    <t>福浜支店</t>
  </si>
  <si>
    <t>TAN ALEXANDER IGANO</t>
  </si>
  <si>
    <t>タン　アレックサンダー　イガノ</t>
  </si>
  <si>
    <t>ﾌｨﾘﾋﾟﾝ</t>
  </si>
  <si>
    <t>702-8058</t>
  </si>
  <si>
    <t>岡山県岡山市南区並木町2-8-17</t>
  </si>
  <si>
    <t>TAN　ALEXANDER　IGANO</t>
  </si>
  <si>
    <t>岡南</t>
  </si>
  <si>
    <t>確認</t>
  </si>
  <si>
    <t>ｺﾝﾂｪﾙﾊｳｽB106</t>
  </si>
  <si>
    <t>ヒラタ　アイサワ　アレキサンドレ　ヒロシ</t>
  </si>
  <si>
    <t>三菱東京ＵＦＪ</t>
  </si>
  <si>
    <t>蟹江</t>
  </si>
  <si>
    <t>LUU THANH SON</t>
  </si>
  <si>
    <t>リュー　タイン　ソン</t>
  </si>
  <si>
    <t>愛知県弥富市前ヶ須町勘助走34-1</t>
  </si>
  <si>
    <t>五二八</t>
  </si>
  <si>
    <t>六甲電子</t>
  </si>
  <si>
    <t>製造部　製造１課　バッチ</t>
  </si>
  <si>
    <t>HOANG NGOC BINH</t>
  </si>
  <si>
    <t>ホアン　ゴック　ビン</t>
  </si>
  <si>
    <t>663-8021</t>
  </si>
  <si>
    <t>兵庫県西宮市上之町25-54</t>
  </si>
  <si>
    <t>西宮ｵﾘｴﾝﾀﾙﾏﾝｼｮﾝ102</t>
  </si>
  <si>
    <t>TRAN HONG PHONG</t>
  </si>
  <si>
    <t>チャン　ホン　フォン</t>
  </si>
  <si>
    <t>NGUYEN QUANG TUYEN</t>
  </si>
  <si>
    <t>グエン　クアン　トウエン</t>
  </si>
  <si>
    <t>660-0064</t>
  </si>
  <si>
    <t>兵庫県尼崎市稲葉荘1-26-12</t>
  </si>
  <si>
    <t>ﾚｵﾊﾟﾚｽｻﾝﾗｲｽﾞ103</t>
  </si>
  <si>
    <t>2022/4/13甲子園四番町ハイツ１Ｆ号～転入</t>
  </si>
  <si>
    <t>LE SY THINH</t>
  </si>
  <si>
    <t>レー　シー　ティン</t>
  </si>
  <si>
    <t>愛知県鯏浦町南前新田83-1</t>
  </si>
  <si>
    <t>ﾋﾞｰﾌﾘｰ8 203号</t>
  </si>
  <si>
    <t>〇七八</t>
  </si>
  <si>
    <t>TRAN HUU HUNG</t>
  </si>
  <si>
    <t>チャン　フュ　フン</t>
  </si>
  <si>
    <t>ｺﾝﾂｪﾙﾊｳｽD202</t>
  </si>
  <si>
    <t>NONG VAN SON</t>
  </si>
  <si>
    <t>ノン　ヴァン　ソン</t>
  </si>
  <si>
    <t>663-8105</t>
  </si>
  <si>
    <t>兵庫県西宮市中島町7-5</t>
  </si>
  <si>
    <t>ｼｬﾙﾑ三田303</t>
  </si>
  <si>
    <t>PHAM THANH BINH</t>
  </si>
  <si>
    <t>ファム　タイン　ビン</t>
  </si>
  <si>
    <t>NONG THANH TUNG</t>
  </si>
  <si>
    <t>ノン　タイン　トゥン</t>
  </si>
  <si>
    <t>岡山工場製造部PE課６インチ担当</t>
  </si>
  <si>
    <t>NGUYEN HONG SON</t>
  </si>
  <si>
    <t>グエン　ホン　ソン</t>
  </si>
  <si>
    <t>22/1/21~1500</t>
  </si>
  <si>
    <t>〇六八</t>
  </si>
  <si>
    <t>PHUNG QUANG TU</t>
  </si>
  <si>
    <t>フン　クアン　トゥ</t>
  </si>
  <si>
    <t>498-0027</t>
  </si>
  <si>
    <t>VUONG PHUC HA</t>
  </si>
  <si>
    <t>ヴォン　フック　ハ</t>
  </si>
  <si>
    <t>498-0032</t>
  </si>
  <si>
    <t>愛知県弥富市平島中4丁目128</t>
  </si>
  <si>
    <t>村上貸家</t>
  </si>
  <si>
    <t>ヴオン　フツク　ハ</t>
  </si>
  <si>
    <t>尾張新川</t>
  </si>
  <si>
    <t>DUONG MINH NGHIA</t>
  </si>
  <si>
    <t>ズオン　ミン　ギャー</t>
  </si>
  <si>
    <t>岡山県岡山市北区美津下田77番地3</t>
  </si>
  <si>
    <t>DUONG　MINH　NGHIA</t>
  </si>
  <si>
    <t>三井住友銀行</t>
  </si>
  <si>
    <t>岡山</t>
  </si>
  <si>
    <t>2021/11/1~請負から高雄　岡山派遣へ転籍</t>
  </si>
  <si>
    <t>LAM VAN THANH</t>
  </si>
  <si>
    <t>ラム　ヴァン　タン</t>
  </si>
  <si>
    <t>453-0844</t>
  </si>
  <si>
    <t>ﾏﾝｼｮﾝ早河302号室</t>
  </si>
  <si>
    <t>二二八</t>
  </si>
  <si>
    <t>HOANG VAN QUAN</t>
  </si>
  <si>
    <t>ホアン　ヴァン　クアン</t>
  </si>
  <si>
    <t>NGUYEN VAN HAO</t>
  </si>
  <si>
    <t>グエン　バン　ハオ</t>
  </si>
  <si>
    <t>成広ｺｰﾎﾟⅠ205</t>
  </si>
  <si>
    <t>グェン　ヴァン　ハオ</t>
  </si>
  <si>
    <t>NGUYEN VAN TIEP</t>
  </si>
  <si>
    <t>グエン　ヴァン　ティエップ</t>
  </si>
  <si>
    <t>CASA弥冨B203</t>
  </si>
  <si>
    <t>グェン　ヴァン　ティエップ</t>
  </si>
  <si>
    <t>NGUYEN QUOC KHANH</t>
  </si>
  <si>
    <t>グエン　クオック　カイン</t>
  </si>
  <si>
    <t>グエン　クォック　カイン</t>
  </si>
  <si>
    <t>NGUYEN PHU CUONG</t>
  </si>
  <si>
    <t>グエン　フ　クオン</t>
  </si>
  <si>
    <t>グエン　フー　クオン</t>
  </si>
  <si>
    <t>七二八</t>
  </si>
  <si>
    <t>製造部　製造１課　枚葉</t>
  </si>
  <si>
    <t>NGUYEN KHANH DUY</t>
  </si>
  <si>
    <t>グエン　カン　ユイ</t>
  </si>
  <si>
    <t>NGUYEN VAN CUONG</t>
  </si>
  <si>
    <t>グエン　ヴァン　クオン</t>
  </si>
  <si>
    <t>岡山県岡山市北区御津矢原307</t>
  </si>
  <si>
    <t>成広矢原ｺｰﾎﾟⅠ205</t>
  </si>
  <si>
    <t>PHAM THANH TAM</t>
  </si>
  <si>
    <t>ファム　タン　タム</t>
  </si>
  <si>
    <t>SURYA INDRA WARDANA</t>
  </si>
  <si>
    <t>スリャ　インドラ　ワルダナ</t>
  </si>
  <si>
    <t>ｲﾝﾄﾞﾈｼｱ</t>
  </si>
  <si>
    <t>NGUYEN ANH HOANG</t>
  </si>
  <si>
    <t>グエン　アン　ホアン</t>
  </si>
  <si>
    <t>NGUYEN QUANG THANG</t>
  </si>
  <si>
    <t>グエン　クアン　タン</t>
  </si>
  <si>
    <t>1/21~1500</t>
  </si>
  <si>
    <t>22.04.01~200円UP</t>
  </si>
  <si>
    <t>2020/8/21～2021/3/31PMI所属　再入社</t>
  </si>
  <si>
    <t>NGUYEN VAN CANH</t>
  </si>
  <si>
    <t>グエン　バン　カイン</t>
  </si>
  <si>
    <t>498-0028</t>
  </si>
  <si>
    <t>愛知県弥富市鯏浦町中六109-1</t>
  </si>
  <si>
    <t>ｾﾗﾀｳﾝ弥冨C棟201</t>
  </si>
  <si>
    <t>2022/1/17～2022/1/20ｺｰﾘﾂ州の崎所属　2022/1/31～高雄工業海南第一へ異動</t>
  </si>
  <si>
    <t>NGUYEN CHI LINH</t>
  </si>
  <si>
    <t>グエン　チ　リン</t>
  </si>
  <si>
    <t>NGO VAN HIEP</t>
  </si>
  <si>
    <t>ゴー　ヴァン　ヒエップ</t>
  </si>
  <si>
    <t>愛知県弥富市平島町北広畑10-1</t>
  </si>
  <si>
    <t>ﾚﾌﾞﾗﾝｶﾐｰﾘｱA棟201</t>
  </si>
  <si>
    <t>TRAN TRONG TU</t>
  </si>
  <si>
    <t>チャン　チョン　トゥ</t>
  </si>
  <si>
    <t>663-8122</t>
  </si>
  <si>
    <t>兵庫県西宮市小曽根町1丁目4-28</t>
  </si>
  <si>
    <t>ｸﾞﾘｰﾝﾊｲﾂ小曽根403</t>
  </si>
  <si>
    <t>PHAM CONG HA</t>
  </si>
  <si>
    <t>ファム　コン　ハー</t>
  </si>
  <si>
    <t>2021/1/6～2021/4/23川原鉄工所所属　再入社</t>
  </si>
  <si>
    <t>岡山工場製造部PE課５インチ担当</t>
  </si>
  <si>
    <t>HO THANH BAO TRUNG</t>
  </si>
  <si>
    <t>ホー　タン　バオ　チュン</t>
  </si>
  <si>
    <t>4/21~1500</t>
  </si>
  <si>
    <t>714-1227</t>
  </si>
  <si>
    <t>岡山県小田郡矢掛町小田5518-1</t>
  </si>
  <si>
    <t>ｺｰﾎﾟ小田206</t>
  </si>
  <si>
    <t>NGUYEN DUC DUY</t>
  </si>
  <si>
    <t>グエン　ドック　ユイ</t>
  </si>
  <si>
    <t>岡山県岡山市北区御津矢原307-1</t>
  </si>
  <si>
    <t>成広矢原ｺｰﾎﾟⅡ102</t>
  </si>
  <si>
    <t>FARID RIZAL</t>
  </si>
  <si>
    <t>ファリド　リザル</t>
  </si>
  <si>
    <t>709-2134</t>
  </si>
  <si>
    <t>岡山県岡山市北区御津下田77</t>
  </si>
  <si>
    <t>ﾋﾞﾚｯｼﾞﾊｳｽ2号棟304</t>
  </si>
  <si>
    <t>DAO XUAN TRINH</t>
  </si>
  <si>
    <t>ダオ　スアン　チン</t>
  </si>
  <si>
    <t>新矢原1F</t>
  </si>
  <si>
    <t>なし</t>
  </si>
  <si>
    <t>DANG DUY VINH</t>
  </si>
  <si>
    <t>ダン　ズイ　ビン</t>
  </si>
  <si>
    <t>岡山県岡山市北区御津矢原312番地１</t>
  </si>
  <si>
    <t>中須賀ｺｰﾎﾟⅡ202</t>
  </si>
  <si>
    <t>VU VAN QUYNH</t>
  </si>
  <si>
    <t>ヴー　ヴァン　クイン</t>
  </si>
  <si>
    <t>498-0025</t>
  </si>
  <si>
    <t>愛知県弥富市平島町喜右味名78-1</t>
  </si>
  <si>
    <t>ﾌﾚｸﾞﾗﾝｽ桂E棟102号</t>
  </si>
  <si>
    <t>TRINH HOANG ANH</t>
  </si>
  <si>
    <t>チン　ホアン　アイン</t>
  </si>
  <si>
    <t>CASA弥冨A105</t>
  </si>
  <si>
    <t>NGO QUOC THINH</t>
  </si>
  <si>
    <t>ゴ　クオック　テイン</t>
  </si>
  <si>
    <t>NGUYEN VAN LAP</t>
  </si>
  <si>
    <t>グエン　ヴァン　ラップ</t>
  </si>
  <si>
    <t>NGUYEN NGOC TUNG</t>
  </si>
  <si>
    <t>グエン　ゴック　トゥン</t>
  </si>
  <si>
    <t>愛知県弥富市平島町甲新田72-4</t>
  </si>
  <si>
    <t>EAST COURT Y･M202</t>
  </si>
  <si>
    <t>製造部　製造２課</t>
  </si>
  <si>
    <t>LUYEN HUY TUAN</t>
  </si>
  <si>
    <t>ルイエン　フィ　トゥアン</t>
  </si>
  <si>
    <t>THAI DOAN PHONG</t>
  </si>
  <si>
    <t>タイ　ゾアン　フォン</t>
  </si>
  <si>
    <t>HOANG XUAN QUOC</t>
  </si>
  <si>
    <t>ホアン　スアン　クオック</t>
  </si>
  <si>
    <t>663-8222</t>
  </si>
  <si>
    <t>久寿川岡田ﾏﾝｼｮﾝ202</t>
  </si>
  <si>
    <t>HUYNH DUC MINH</t>
  </si>
  <si>
    <t>フィン　ドック　ミン</t>
  </si>
  <si>
    <t>岡山県岡山市北区御津矢原311番地</t>
  </si>
  <si>
    <t>中須賀ｺｰﾎﾟⅢ208</t>
  </si>
  <si>
    <t>HOANG TRUNG HIEU</t>
  </si>
  <si>
    <t>ホアン　ツーン　ヒエウ</t>
  </si>
  <si>
    <t>NGUYEN DINH THANH</t>
  </si>
  <si>
    <t>グエン　ディン　タン</t>
  </si>
  <si>
    <t>PHAN TAT HOAN</t>
  </si>
  <si>
    <t>ファン　タット　ホアン</t>
  </si>
  <si>
    <t>LE VAN MINH</t>
  </si>
  <si>
    <t>レー　バン　ミン</t>
  </si>
  <si>
    <t>兵庫県西宮市今津久寿川町6-7</t>
  </si>
  <si>
    <t>久寿川岡田ﾏﾝｼｮﾝ402</t>
  </si>
  <si>
    <t>NGUYEN TUAN CUONG</t>
  </si>
  <si>
    <t>グエン　トゥアン　クオン</t>
  </si>
  <si>
    <t>2022/04/18</t>
  </si>
  <si>
    <t>DO VAN MINH</t>
  </si>
  <si>
    <t>ドー　バン　ミン</t>
  </si>
  <si>
    <t>LE THANH LUAN</t>
  </si>
  <si>
    <t>レ　タイン　ルアン</t>
  </si>
  <si>
    <t>22.04.01</t>
  </si>
  <si>
    <t>3/28再連絡</t>
  </si>
  <si>
    <t>22.06.01</t>
  </si>
  <si>
    <t>2022/04/20</t>
  </si>
  <si>
    <t>LE MINH QUANG</t>
  </si>
  <si>
    <t>レー　ミン　クアン</t>
  </si>
  <si>
    <t>NGUYEN THI MAI PHUONG</t>
  </si>
  <si>
    <t>グエン　ティ　マイ　フォン</t>
  </si>
  <si>
    <t>成広矢原ｺｰﾎﾟⅥ206</t>
  </si>
  <si>
    <t>IPAL FEBRI NARTA</t>
  </si>
  <si>
    <t>イパール　フェブリ　ナルタ</t>
  </si>
  <si>
    <t>成広矢原ｺｰﾎﾟⅤ202</t>
  </si>
  <si>
    <t>2022/04/28</t>
  </si>
  <si>
    <t>DANG TRONG HIEU</t>
  </si>
  <si>
    <t>ダン　チョン　ヒエウ</t>
  </si>
  <si>
    <t>474-0027</t>
  </si>
  <si>
    <t>愛知県大府市追分町2丁目334番地</t>
  </si>
  <si>
    <t>黄金ﾏﾝｼｮﾝ302</t>
  </si>
  <si>
    <t>3/2~3/30高雄岡山、3/31～4/4岡山請負4/13～三幸技研</t>
  </si>
  <si>
    <t>22.07.01</t>
  </si>
  <si>
    <t>5/17原</t>
  </si>
  <si>
    <t>THACH VAN DAI</t>
  </si>
  <si>
    <t>タック　ヴァン　ダイ</t>
  </si>
  <si>
    <t>中須賀ｺｰﾎﾟⅠ102</t>
  </si>
  <si>
    <t>成広矢原ｺｰﾎﾟⅢ207</t>
  </si>
  <si>
    <t>VU DINH SON</t>
  </si>
  <si>
    <t>ヴー　ディン　ソン</t>
  </si>
  <si>
    <t>DANG THIN VIET</t>
  </si>
  <si>
    <t>ダン　ティン　ヴィエット</t>
  </si>
  <si>
    <t>HA VIET THUY</t>
  </si>
  <si>
    <t>ハー　ヴィエット　トウイ</t>
  </si>
  <si>
    <t>5/19林</t>
  </si>
  <si>
    <t>HO HUYNH DINH NGHIEM</t>
  </si>
  <si>
    <t>ホー　フィン　ディン　ギエム</t>
  </si>
  <si>
    <t>DUONG VAN TOAN</t>
  </si>
  <si>
    <t>ズオン　ヴァン　トアン</t>
  </si>
  <si>
    <t>PHAN VAN THIEN</t>
  </si>
  <si>
    <t>ファン　ヴァン　ティエン</t>
  </si>
  <si>
    <t>709-2132</t>
  </si>
  <si>
    <t>岡山県岡山市北区御津草生2169番地2</t>
  </si>
  <si>
    <t>草生一軒家</t>
  </si>
  <si>
    <t>DINH VAN HAI</t>
  </si>
  <si>
    <t>ディン　ヴァン　ハイ</t>
  </si>
  <si>
    <t>NGUYEN VAN HIEN</t>
  </si>
  <si>
    <t>グエン　ヴァン　ヒエン</t>
  </si>
  <si>
    <t>NGUYEN HOANG VIET LAM</t>
  </si>
  <si>
    <t>グエン　ホアン　ヴィエット　ラム</t>
  </si>
  <si>
    <t>NGUYEN HOANG TIEN</t>
  </si>
  <si>
    <t>グエン　ホアン　ティエン</t>
  </si>
  <si>
    <t>6/6林</t>
  </si>
  <si>
    <t>TA QUAN VUONG</t>
  </si>
  <si>
    <t>ター　クアン　ヴオン</t>
  </si>
  <si>
    <t>LE HUU THUAN</t>
  </si>
  <si>
    <t>レー　フー　トゥアン</t>
  </si>
  <si>
    <t>PHAM THANH LONG</t>
  </si>
  <si>
    <t>ファム　タイン　ロン</t>
  </si>
  <si>
    <t>VU ANH VUONG</t>
  </si>
  <si>
    <t>ヴー　アイン　ヴォン</t>
  </si>
  <si>
    <t>FERRYANTO PASCA MARIS UPPUN</t>
  </si>
  <si>
    <t>フェリヤント　パスチャ　マリス　ウップン</t>
  </si>
  <si>
    <t>岡山県岡山市北区御津矢原299-2</t>
  </si>
  <si>
    <t>成広矢原ｺｰﾎﾟ7 106</t>
  </si>
  <si>
    <t>7/6原</t>
  </si>
  <si>
    <t>請負より異動</t>
  </si>
  <si>
    <t>WIDIARTO IFTIAR</t>
  </si>
  <si>
    <t>ウィディアルト　イフティアル</t>
  </si>
  <si>
    <t>成広ｺｰﾎﾟⅠ202</t>
  </si>
  <si>
    <t>NAUFAL ANDZAR ASH-SHIDDIQ</t>
  </si>
  <si>
    <t>22.08.01</t>
  </si>
  <si>
    <t>6/22林</t>
  </si>
  <si>
    <t>チャン　フウ　フン</t>
  </si>
  <si>
    <t>ﾚﾌﾞﾗﾝｶﾐｰﾘｱB205</t>
  </si>
  <si>
    <t>NGUYEN NGOC CHIEN</t>
  </si>
  <si>
    <t>グエン　ゴック　チエン</t>
  </si>
  <si>
    <t>EKO SUHARYADI</t>
  </si>
  <si>
    <t>エコ　スハリアディ</t>
  </si>
  <si>
    <t>ILHAM</t>
  </si>
  <si>
    <t>イルハム</t>
  </si>
  <si>
    <t>YASSER RIDHA MUSLIM</t>
  </si>
  <si>
    <t>ヤッセル　リダ　ムスリム</t>
  </si>
  <si>
    <t>SUALDIN</t>
  </si>
  <si>
    <t>スアルディン</t>
  </si>
  <si>
    <t>LA LANI</t>
  </si>
  <si>
    <t>ラ　ラニ</t>
  </si>
  <si>
    <t>ABDUL ANSAR</t>
  </si>
  <si>
    <t>アブドゥル　アンザル</t>
  </si>
  <si>
    <t>MOCHAMAD NIZAR AWALUDIN</t>
  </si>
  <si>
    <t>モチャマド　ニザル　アワルディン</t>
  </si>
  <si>
    <t>MUHAMMAD SHAHAR MUSHFI</t>
  </si>
  <si>
    <t>ムハンマド　シャハル　ムシュフィ</t>
  </si>
  <si>
    <t>NGUYEN THANH BINH</t>
  </si>
  <si>
    <t>グエン　タン　ビン</t>
  </si>
  <si>
    <t>DANG CONG CHIEN</t>
  </si>
  <si>
    <t>ダン　コン　チエン</t>
  </si>
  <si>
    <t>成広矢原ｺｰﾎﾟⅤ102</t>
  </si>
  <si>
    <t>№</t>
  </si>
  <si>
    <t>Count</t>
  </si>
  <si>
    <t>高雄工業株式会社 海南第一工場製作1課</t>
  </si>
  <si>
    <t>高雄工業株式会社 静岡事業所第一工場製作課</t>
  </si>
  <si>
    <t>高雄工業株式会社 岡山事業所業務</t>
  </si>
  <si>
    <t>高雄工業株式会社 岡山事業所HUB工場製作1課</t>
  </si>
  <si>
    <t>高雄工業株式会社 海南第二工場製作課</t>
  </si>
  <si>
    <t>高雄工業株式会社 TKE第一営</t>
  </si>
  <si>
    <t>高雄工業株式会社 TKE高周波開発</t>
  </si>
  <si>
    <t>高雄工業株式会社 岡山事業所CVJ工場製作課</t>
  </si>
  <si>
    <t>高雄工業株式会社 静岡事業所第二工場製作課</t>
  </si>
  <si>
    <t>高雄工業株式会社 岡山品質保証部岡山HUB品証課</t>
  </si>
  <si>
    <t>22.09.01</t>
  </si>
  <si>
    <t>8/1林</t>
  </si>
  <si>
    <t>愛知県名古屋市北区西味鋺1‐511　水野ビル201</t>
  </si>
  <si>
    <t>ユニバーサル企画株式会社</t>
  </si>
  <si>
    <t>代表取締役　中山　雅和</t>
  </si>
  <si>
    <t>許可番号　派　23-303669</t>
  </si>
  <si>
    <t>人材派遣個別契約書</t>
  </si>
  <si>
    <t>派遣先工場</t>
  </si>
  <si>
    <t>派遣先責任者</t>
  </si>
  <si>
    <t>製作課</t>
  </si>
  <si>
    <t>指示命令者</t>
  </si>
  <si>
    <t>配属係</t>
  </si>
  <si>
    <t>職務分類</t>
  </si>
  <si>
    <t>具体的な仕事内容</t>
  </si>
  <si>
    <t>高雄工業株式会社</t>
  </si>
  <si>
    <t>本社工場</t>
  </si>
  <si>
    <t>営業課</t>
  </si>
  <si>
    <t>ハブ加工品の2次施削、手動機械オペレーターNCプログラム修正</t>
  </si>
  <si>
    <t>機械のメンテナンス・切紛回収</t>
  </si>
  <si>
    <t>機械のクーラント液を補給する。NC施盤から排出される金属くずの回収</t>
  </si>
  <si>
    <t>材料投入</t>
  </si>
  <si>
    <t>機械加工する材料投入</t>
  </si>
  <si>
    <t>砂山　博昭</t>
  </si>
  <si>
    <t>山本　航也</t>
  </si>
  <si>
    <t>尾崎　舜</t>
  </si>
  <si>
    <t>転造盤</t>
  </si>
  <si>
    <t>CVJ部品短軸品の施削加工、NCプログラム修正</t>
  </si>
  <si>
    <t>広島　拓也</t>
  </si>
  <si>
    <t>鈴木　涼太</t>
  </si>
  <si>
    <t>亀岡　崇司</t>
  </si>
  <si>
    <t>大槻　光史</t>
  </si>
  <si>
    <t>寺田　拓人</t>
  </si>
  <si>
    <t>バリ取り</t>
  </si>
  <si>
    <t>管理課</t>
  </si>
  <si>
    <t>HUB品証課</t>
  </si>
  <si>
    <t>派遣元</t>
  </si>
  <si>
    <t>派遣内容</t>
  </si>
  <si>
    <t>派遣先事業所</t>
  </si>
  <si>
    <t>就業場所</t>
  </si>
  <si>
    <t>組織単位</t>
  </si>
  <si>
    <t>指揮命令者</t>
  </si>
  <si>
    <t>製造業務専門派遣先責任者</t>
  </si>
  <si>
    <t>苦情処理担当者</t>
  </si>
  <si>
    <t>製造業務専門派遣元責任者</t>
  </si>
  <si>
    <t>派遣労働者を協定対象労働者に限定するか否かの別</t>
  </si>
  <si>
    <t>派遣労働者の責任の程度</t>
  </si>
  <si>
    <t>業務内容</t>
  </si>
  <si>
    <t>派遣期間</t>
  </si>
  <si>
    <t>就業日</t>
  </si>
  <si>
    <t>就業時間</t>
  </si>
  <si>
    <t>休憩時間</t>
  </si>
  <si>
    <t>就業日外労働</t>
  </si>
  <si>
    <t>時間外労働</t>
  </si>
  <si>
    <t>派遣料金</t>
  </si>
  <si>
    <t>支払い条件</t>
  </si>
  <si>
    <t>安全・衛生</t>
  </si>
  <si>
    <t>便宜供与</t>
  </si>
  <si>
    <t>苦情処理方法</t>
  </si>
  <si>
    <t>労働者派遣契約の契約の解除に当たって講ずる派遣労働者の雇用の安定を図るための措置</t>
  </si>
  <si>
    <t>派遣先が派遣労働者を雇用する場合の紛争防止措置</t>
  </si>
  <si>
    <t>派遣労働者を無期雇用派遣労働者又は６０歳以上の者の者に限定するか否かの別</t>
  </si>
  <si>
    <t>上記契約の証として本書２通を作成し、甲乙記名押印のうえ、各１通を保有する。</t>
  </si>
  <si>
    <t>　（甲）</t>
  </si>
  <si>
    <t>所在地</t>
  </si>
  <si>
    <t>名称</t>
  </si>
  <si>
    <t>TEL</t>
  </si>
  <si>
    <t>労働時間の計算は</t>
  </si>
  <si>
    <t>分単位で計算する。</t>
  </si>
  <si>
    <t>１ヶ月に２日の範囲内で命ずることができる。</t>
  </si>
  <si>
    <t>派遣先及び派遣元事業主は、労働者派遣法第４４条から第４７条の２までの規定により課された各法令を順守し、自己に課された法令上の責任を負う。なお、派遣就業中の安全及び衛生については、派遣先の安全衛生に関する規定を適用することとし、その他については、派遣元の安全衛生に関する規定を適用する。</t>
  </si>
  <si>
    <t>派遣先は、派遣労働者に対して利用の機会を与える給食施設、休憩室、及び更衣室については、本契約に基づく労働者派遣に係る派遣労働者に対しても、利用の機会を与えるように配慮しなければならないこととする。</t>
  </si>
  <si>
    <t>(1)派遣元事業主における苦情処理担当者が苦情の申し出を受けたときは、ただちに製造業務専門派遣元責任者へ連絡することとし、当該派遣元責任者が中心となって、誠意をもって、遅滞なく、当該苦情の適切迅速な処理を図ることとし、その結果について必ず派遣労働者に通知することとする。　 (2)派遣先における苦情処理担当者が苦情の申し出を受けたときは、ただちに製造業務専門派遣先責任者へ連絡することとし、当該派遣先責任者が中心となって、誠意をもって、遅滞なく、当該苦情の適切かつ迅速な処理を図ることとし、その結果については必ず派遣労働者に通知することとする。　 (3)派遣先及び派遣元事業主は、自らでその解決が容易であり、即時に処理した苦情の他は、相互に遅滞なく通知するとともに、密接に連絡調整を行いつつ、その解決を図ることとする。</t>
  </si>
  <si>
    <t>派遣先が派遣終了後に、当該派遣労働者を雇用する場合、その雇用意思を事前に派遣元へ示すこととする。</t>
  </si>
  <si>
    <t>無期雇用又は６０歳以上に限定しない。</t>
  </si>
  <si>
    <t>派遣先事業所住所</t>
  </si>
  <si>
    <t>派遣先事業所TEL</t>
  </si>
  <si>
    <t>就業場所名称</t>
  </si>
  <si>
    <t>就業場所住所</t>
  </si>
  <si>
    <t>就業場所TEL</t>
  </si>
  <si>
    <t>愛知県弥富市楠三丁目13番地2</t>
  </si>
  <si>
    <t>0567-68-8110</t>
  </si>
  <si>
    <t>派遣先責任者役職</t>
  </si>
  <si>
    <t>安藤　忍　</t>
  </si>
  <si>
    <t>部長</t>
  </si>
  <si>
    <t>森　秀樹　</t>
  </si>
  <si>
    <t>工場長</t>
  </si>
  <si>
    <t>指示命令者役職</t>
  </si>
  <si>
    <t>課長</t>
  </si>
  <si>
    <t>8/11林</t>
  </si>
  <si>
    <t>22.10.01</t>
  </si>
  <si>
    <t>7/11請負入社。7/20～派遣異動</t>
  </si>
  <si>
    <t>8/3林</t>
  </si>
  <si>
    <t>8/22林</t>
  </si>
  <si>
    <t>グエン　テー　ダン</t>
  </si>
  <si>
    <t>成広ｺｰﾎﾟⅠ105号室</t>
  </si>
  <si>
    <t>8/23原</t>
  </si>
  <si>
    <t>PHAM DINH SANG</t>
  </si>
  <si>
    <t>ファム　ディン　サン</t>
  </si>
  <si>
    <t xml:space="preserve">Hola amigos </t>
  </si>
  <si>
    <t>Columna1</t>
  </si>
  <si>
    <t>unicos</t>
  </si>
  <si>
    <t>Columna2</t>
  </si>
  <si>
    <t>Extraje 1 a 8 letras</t>
  </si>
  <si>
    <t>9 y 6 letras</t>
  </si>
  <si>
    <t>Columna3</t>
  </si>
  <si>
    <t>岡山事業所</t>
  </si>
  <si>
    <t>岡山県岡山市北区御津伊田1028-19</t>
  </si>
  <si>
    <t>万波　一成</t>
  </si>
  <si>
    <t>寺田　康次</t>
  </si>
  <si>
    <t>副工場長</t>
  </si>
  <si>
    <t>製作1課</t>
  </si>
  <si>
    <t>CVJ製作課</t>
  </si>
  <si>
    <t>業務係</t>
  </si>
  <si>
    <t>苦情　派遣先（部署)</t>
  </si>
  <si>
    <t>苦情　派遣先（役職)</t>
  </si>
  <si>
    <t>苦情　派遣先（氏名)</t>
  </si>
  <si>
    <t>苦情　派遣先（電話番号)</t>
  </si>
  <si>
    <t>副所長</t>
  </si>
  <si>
    <t>松尾　隆徳</t>
  </si>
  <si>
    <t>竹原　陽祐</t>
  </si>
  <si>
    <t>副部長</t>
  </si>
  <si>
    <t>中田　匡昭</t>
  </si>
  <si>
    <t>HUB　検査</t>
  </si>
  <si>
    <t>HUB旋削加工品の抜き取り検査</t>
  </si>
  <si>
    <t>リーダー</t>
  </si>
  <si>
    <t>三村　延芳</t>
  </si>
  <si>
    <t>CVJ長軸旋盤係</t>
  </si>
  <si>
    <t>CVJ</t>
  </si>
  <si>
    <t>高橋　幸宏</t>
  </si>
  <si>
    <t>CVJ研磨係</t>
  </si>
  <si>
    <t>有吉　秀人</t>
  </si>
  <si>
    <t>CVJﾊﾞﾘ取りﾁｬﾝﾌｧ係</t>
  </si>
  <si>
    <t>CVJバリ取りチャンファ等速ジョイント旋削加工</t>
  </si>
  <si>
    <t>CVJ切欠きｺｯﾀ係</t>
  </si>
  <si>
    <t>ＣＶＪ切欠きコッタ等速ジョイント旋削加工</t>
  </si>
  <si>
    <t>井上　雅支</t>
  </si>
  <si>
    <t>自動機の旋削機械及び周辺機器等の清掃メンテナンス</t>
  </si>
  <si>
    <t>CVJ短軸旋盤係</t>
  </si>
  <si>
    <t>勤怠・日報・伝票入力作業</t>
  </si>
  <si>
    <t>086-724-5330</t>
  </si>
  <si>
    <t>配属ライン</t>
  </si>
  <si>
    <t>ﾋﾞﾚｯｼﾞﾊｳｽ長草5号棟104</t>
  </si>
  <si>
    <t>ﾋﾞﾚｯｼﾞﾊｳｽ2号棟106</t>
  </si>
  <si>
    <t>ﾋﾞﾚｯｼﾞﾊｳｽ宇甘川1-402</t>
  </si>
  <si>
    <t>2021/11/１（アルバイト）＝2021/11/16から　派遣社員</t>
  </si>
  <si>
    <t>成広ｺｰﾎﾟⅡ101</t>
  </si>
  <si>
    <t>成広ｺｰﾎﾟⅠ103</t>
  </si>
  <si>
    <t>成広矢原ｺｰﾎﾟⅤ205</t>
  </si>
  <si>
    <t>NGUYEN DINH DUC</t>
  </si>
  <si>
    <t>グエン　ディン　ドゥック</t>
  </si>
  <si>
    <t>グェン　ディン　ドゥック</t>
  </si>
  <si>
    <t>8/31林</t>
  </si>
  <si>
    <t>DO DOAN HIEU</t>
  </si>
  <si>
    <t>ドー　ドアン　ヒエウ</t>
  </si>
  <si>
    <t>NGUYEN THE DANG</t>
  </si>
  <si>
    <t>21.08.01</t>
  </si>
  <si>
    <t>岡山県岡山市北区御津矢原312-1</t>
  </si>
  <si>
    <t>21.09.01</t>
  </si>
  <si>
    <t>グエン　ヴァン　フン</t>
  </si>
  <si>
    <t>MAI QUANG HAU</t>
  </si>
  <si>
    <t>マイ　クアン　ハウ</t>
  </si>
  <si>
    <t>NGUYEN XUAN PHUC</t>
  </si>
  <si>
    <t>グエン　スアン　フック</t>
  </si>
  <si>
    <t>ライン</t>
  </si>
  <si>
    <t>愛知事業所</t>
  </si>
  <si>
    <t>静岡事業所</t>
  </si>
  <si>
    <t>第二工場</t>
  </si>
  <si>
    <t>第一工場</t>
  </si>
  <si>
    <t>清掃</t>
  </si>
  <si>
    <t>HUB工場</t>
  </si>
  <si>
    <t>CVJ工場</t>
  </si>
  <si>
    <t>派遣開始日</t>
  </si>
  <si>
    <t>抵触日</t>
  </si>
  <si>
    <t>苦情　派遣元（部署)</t>
  </si>
  <si>
    <t>苦情　派遣元（役職)</t>
  </si>
  <si>
    <t>苦情　派遣元（氏名)</t>
  </si>
  <si>
    <t>営業部</t>
  </si>
  <si>
    <t>052-938-8840</t>
  </si>
  <si>
    <t>単価</t>
  </si>
  <si>
    <t>部署</t>
  </si>
  <si>
    <t>役職</t>
  </si>
  <si>
    <t>人数</t>
  </si>
  <si>
    <t>大治　国利</t>
  </si>
  <si>
    <t>(課長）</t>
  </si>
  <si>
    <t>　御中</t>
  </si>
  <si>
    <t>本社営業課</t>
  </si>
  <si>
    <t>安藤　忍</t>
  </si>
  <si>
    <t>フォークリフト</t>
  </si>
  <si>
    <t>鋳造材料の工場内加工ラインへの供給</t>
  </si>
  <si>
    <t>寺田　正志</t>
  </si>
  <si>
    <t>施削加工</t>
  </si>
  <si>
    <t>CVJメス型番の施削加工</t>
  </si>
  <si>
    <t>転造</t>
  </si>
  <si>
    <t>施削加工品のバリ取り加工</t>
  </si>
  <si>
    <t>切紛回収</t>
  </si>
  <si>
    <t>NC施盤から排出される金属くずの回収</t>
  </si>
  <si>
    <t>CVJ部品の穴あけ加工</t>
  </si>
  <si>
    <t>海南第一工場</t>
  </si>
  <si>
    <t>山田　浩二</t>
  </si>
  <si>
    <t>製作１課</t>
  </si>
  <si>
    <t>照屋　寛国</t>
  </si>
  <si>
    <t>中間軸ブラケットの穴あけ加工、NCプログラム修正</t>
  </si>
  <si>
    <t>研磨加工</t>
  </si>
  <si>
    <t>スタブシャフト</t>
  </si>
  <si>
    <t>スタブシャフト部品の施削加工、NCプログラム修正</t>
  </si>
  <si>
    <t>山本　大介</t>
  </si>
  <si>
    <t>ハブ加工　自動ラインの機械オペレーター、NCプログラム修正</t>
  </si>
  <si>
    <t>2次旋</t>
  </si>
  <si>
    <t>請負</t>
  </si>
  <si>
    <t>工場内の清掃作業</t>
  </si>
  <si>
    <t>切紛・材料</t>
  </si>
  <si>
    <t>金属くずの回収、自動ラインへの材料投入</t>
  </si>
  <si>
    <t>製作2課</t>
  </si>
  <si>
    <t>堂口　達也</t>
  </si>
  <si>
    <t>熱処理</t>
  </si>
  <si>
    <t>ハブ加工品への熱処理加工作業、NCプログラム修正</t>
  </si>
  <si>
    <t>海南第一品証課</t>
  </si>
  <si>
    <t>松崎　信尚</t>
  </si>
  <si>
    <t>検査</t>
  </si>
  <si>
    <t>施削加工品の抜き取り検査</t>
  </si>
  <si>
    <t>海南第二工場</t>
  </si>
  <si>
    <t>村上　寛明</t>
  </si>
  <si>
    <t>井手　直人</t>
  </si>
  <si>
    <t>P</t>
  </si>
  <si>
    <t>NC施盤</t>
  </si>
  <si>
    <t>産業機械部品の施削加工、NCプログラム修正</t>
  </si>
  <si>
    <t>恒川　卓也</t>
  </si>
  <si>
    <t>産業機械部品の施削加工機オペレーター</t>
  </si>
  <si>
    <t>舘　雅人</t>
  </si>
  <si>
    <t>伊藤　孝</t>
  </si>
  <si>
    <t>組立</t>
  </si>
  <si>
    <t>組立梱包</t>
  </si>
  <si>
    <t>産業機械部品の組立、梱包</t>
  </si>
  <si>
    <t>海南第二品証課</t>
  </si>
  <si>
    <t>服部　晃昌</t>
  </si>
  <si>
    <t>研削盤</t>
  </si>
  <si>
    <t>待遇決定方式</t>
    <rPh sb="0" eb="6">
      <t>タイグウケッテイホウシキ</t>
    </rPh>
    <phoneticPr fontId="1"/>
  </si>
  <si>
    <t>歳</t>
  </si>
  <si>
    <t>部長 中山　欣英</t>
  </si>
  <si>
    <t>苦情　派遣元（電話番号)</t>
  </si>
  <si>
    <t>昼勤：7時00分～15時30分　夜勤：19時00分～3時30分</t>
  </si>
  <si>
    <t>昼勤：11時00分～11時45分 まで    夜勤：23時00分～23時45分　まで　（45分）</t>
  </si>
  <si>
    <t>基本</t>
  </si>
  <si>
    <t>時給単価</t>
    <rPh sb="0" eb="2">
      <t>ｼﾞｷｭｳ</t>
    </rPh>
    <rPh sb="2" eb="4">
      <t>ﾀﾝｶ</t>
    </rPh>
    <phoneticPr fontId="9" type="noConversion"/>
  </si>
  <si>
    <t>（３）損害賠償等に係る適切な措置　　　　　　　　　　　　　　　　　　　　　　　　　　　　　　　　　　　　　　　　　　　　　　　　　　　　　　　　　　　　　派遣先は、派遣先の責に帰すべき事由により労働者派遣契約の契約期間が満了する前に労働者派遣契約の解除を行おうとする場合には、派遣労働者の新たな就業機会の確保を図ることとし、これができないときには、少なくとも当該労働者派遣契約の解除に伴い派遣元事業主が当該労働者派遣に係る派遣労働者を休業させること等を余儀なくされたことにより生じた損害の賠償を行わなければならないこととする。例えば、派遣元事業主が当該派遣労働者を休業させる場合は、休業手当に相当する額以上の額について、派遣元事業主がやむを得ない事由により当該派遣労働者を解雇する場合は、派遣先による解除の申し入れが相当の猶予期間をもって行われなかったことにより派遣元事業主が解雇の予告をしないときは、３０日分以上、当該予告をした日から解雇の日までの期間が３０日に満たないときは当該解雇の日の３０日前の日から当該予告の日までの日数分以上の賃金に相当する額以上の額について、損害の賠償を行わなければならないこととする。その他派遣先は派遣元事業主と十分に協議した上で適切な善後処理方策を講ずることとする。また、派遣元事業主及び派遣先の双方の責に帰すべき事由がある場合には、派遣元事業主及び派遣先のそれぞれの責に帰すべき部分の割合についても十分に考慮することとする。　　　　　　　　　　　</t>
    <phoneticPr fontId="9" type="noConversion"/>
  </si>
  <si>
    <t>（２）就業機会の確保　　　　　　　　　　　　　　　　　　　　　　　　　　　　　　　　　　　　　　　　　　　　　　　　　　　　　　　　　　　　　　　　　　　派遣元事業主及び派遣先は、労働者派遣契約の契約期間が満了する前に派遣労働者の責に帰すべき事由によらない労働者派遣契約の解除を行った場合には、派遣先の関連会社での就業をあっせんする等により、当該労働者派遣契約に係る派遣労働者の新たな就業機会の確保を図ることとする。</t>
    <phoneticPr fontId="9" type="noConversion"/>
  </si>
  <si>
    <t xml:space="preserve">（１）労働者派遣契約の解除の事前申し入れ                             　　　　　　　　　　　      　　　　　　　　　　　　　　　　　　　　　　　   　派遣先は、専ら派遣先に起因する事由により、労働者派遣契約の契約期間が満了する前の解除を行おうとする場合には、派遣元の合意を得ることはもとより、あらかじめ相当の猶予期間をもって派遣元に解除の申し入れを行うこととする。  </t>
    <phoneticPr fontId="9" type="noConversion"/>
  </si>
  <si>
    <t>（４）労働者派遣契約の解除の理由の明示　　　　　　　　　　　　　　　　　　　　　　　　　　　　　　　  　　　　　　                                 派遣先は、労働者派遣契約の契約期間が満了する前に労働者派遣契約の解除を行おうとする場合であって、派遣元事業主から請求があったときは、労働者派遣契約の解除を行った理由を派遣元事業主に対してあきらかにすることとする。</t>
    <phoneticPr fontId="9" type="noConversion"/>
  </si>
  <si>
    <t>州の埼工場　製造２課２工区３班</t>
  </si>
  <si>
    <t>NGUYEN QUANG HUNG</t>
  </si>
  <si>
    <t>グエン　クアン　フン</t>
  </si>
  <si>
    <t>2020/11/21 1200⇒1250　2021/2/22PMI⇒ｺｰﾘﾂ移動</t>
  </si>
  <si>
    <t>475-0075</t>
  </si>
  <si>
    <t>愛知県半田市長根町３丁目１番　</t>
  </si>
  <si>
    <t>県営長根住宅5棟303号</t>
  </si>
  <si>
    <t>2/27ｼｬﾙﾏﾝ苗代102号から自分のアパートに移動</t>
  </si>
  <si>
    <t>通帳なし</t>
  </si>
  <si>
    <t>2288507</t>
  </si>
  <si>
    <t>オーツカ</t>
  </si>
  <si>
    <t>製造部関ヶ原第三製造課</t>
  </si>
  <si>
    <t>安慶名　エジソン</t>
  </si>
  <si>
    <t>アゲナ　エジソン</t>
  </si>
  <si>
    <t>ﾌﾞﾗｼﾞﾙ</t>
  </si>
  <si>
    <t>2021/7/21　1300⇒1350</t>
  </si>
  <si>
    <t>503-0034</t>
  </si>
  <si>
    <t>岐阜県大垣市荒尾町1510</t>
  </si>
  <si>
    <t>ｼﾃｨｺｰﾌﾟUSA1 402</t>
  </si>
  <si>
    <t>アグエナ　エデイソン</t>
  </si>
  <si>
    <t>大垣共立銀行</t>
  </si>
  <si>
    <t>荒尾出張所</t>
  </si>
  <si>
    <t>120991</t>
  </si>
  <si>
    <t>1461　23214331</t>
  </si>
  <si>
    <t>6976316</t>
  </si>
  <si>
    <t>乙川第２工場　製造３課６工区９班</t>
  </si>
  <si>
    <t>BUI VIET THANH</t>
  </si>
  <si>
    <t>ブイ　ヴィエット　タイン</t>
  </si>
  <si>
    <t>7/14トゥアン</t>
  </si>
  <si>
    <t>9/21　1600円→1650円</t>
  </si>
  <si>
    <t>475-0862</t>
  </si>
  <si>
    <t>愛知県半田市瑞穂町9丁目6-9</t>
  </si>
  <si>
    <t>ｽｶｲﾚｼﾞﾃﾞﾝｽ302</t>
  </si>
  <si>
    <t>ヴィ　ヴィエット　タイン</t>
  </si>
  <si>
    <t>八二八</t>
  </si>
  <si>
    <t>3859058</t>
  </si>
  <si>
    <t>2022/02/05レジデンス住吉102～スカイレジデンス302に移動</t>
  </si>
  <si>
    <t>川原鉄工所</t>
  </si>
  <si>
    <t>VU NGOC TAN</t>
  </si>
  <si>
    <t>ヴー　ゴック　タン</t>
  </si>
  <si>
    <t>455-0832</t>
  </si>
  <si>
    <t>愛知県名古屋市港区宝神2-1107</t>
  </si>
  <si>
    <t>第18和興ﾏﾝｼｮﾝ北館202</t>
  </si>
  <si>
    <t>ヴ　ゴック　タン</t>
  </si>
  <si>
    <t>2550125</t>
  </si>
  <si>
    <t>9591393</t>
  </si>
  <si>
    <t>929407</t>
  </si>
  <si>
    <t>NGUYEN DINH TRONG</t>
  </si>
  <si>
    <t>グェン　ヂィン　チョン</t>
  </si>
  <si>
    <t>2022/4/1～　1400円⇒1430円</t>
  </si>
  <si>
    <t>475-0828</t>
  </si>
  <si>
    <t>グェン　ディン　チョン</t>
  </si>
  <si>
    <t>9660858</t>
  </si>
  <si>
    <t>乙川第２工場　製造３課６工区８班</t>
  </si>
  <si>
    <t>NGUYEN HUY DUC</t>
  </si>
  <si>
    <t>グエン　フィー　ドウク</t>
  </si>
  <si>
    <t>2022/4/1～　1400円⇒1460円</t>
  </si>
  <si>
    <t>ｽｲｶｲﾚｼﾞﾃﾞﾝｽ302</t>
  </si>
  <si>
    <t>PHAM VAN DUNG</t>
  </si>
  <si>
    <t>ファム　ヴァン　ズン</t>
  </si>
  <si>
    <t>愛知県半田市瑞穂町4丁目1-19</t>
  </si>
  <si>
    <t>大松ﾊﾟｻｰｼﾞｭⅡ102号</t>
  </si>
  <si>
    <t>フアム　バン　ユン</t>
  </si>
  <si>
    <t>4343420</t>
  </si>
  <si>
    <t xml:space="preserve">NGUYEN DUC THANH </t>
  </si>
  <si>
    <t>グエン　ドウック　タイン</t>
  </si>
  <si>
    <t>県営長根住宅7棟406号</t>
  </si>
  <si>
    <t>グエン　ドゥック　タイン</t>
  </si>
  <si>
    <t>6019091</t>
  </si>
  <si>
    <t>7116159</t>
  </si>
  <si>
    <t>PHAN MINH KHANH</t>
  </si>
  <si>
    <t>ファン　ミン　カン</t>
  </si>
  <si>
    <t>静岡県袋井市久能1744番地1</t>
  </si>
  <si>
    <t>ｱﾙｺ･ﾊﾞﾚｰﾉ205</t>
  </si>
  <si>
    <t>ファン　ミン　カイン</t>
  </si>
  <si>
    <t>8343249</t>
  </si>
  <si>
    <t>TRAN VAN TUNG</t>
  </si>
  <si>
    <t>チャン　ヴァン　トゥン</t>
  </si>
  <si>
    <t>8979185</t>
  </si>
  <si>
    <t>NGUYEN QUANG QUYEN</t>
  </si>
  <si>
    <t>グエン　カン　クエン</t>
  </si>
  <si>
    <t>437-0065</t>
  </si>
  <si>
    <t>静岡県袋井市堀越3丁目19-2</t>
  </si>
  <si>
    <t>ｴｸｾｰﾗ201号室</t>
  </si>
  <si>
    <t>グェン　カン　クェン</t>
  </si>
  <si>
    <t>4486594</t>
  </si>
  <si>
    <t>平野　チョウシロウ</t>
  </si>
  <si>
    <t>ヒラノ　チョウシロウ</t>
  </si>
  <si>
    <t>455-0078</t>
  </si>
  <si>
    <t>愛知県名古屋市港区丸池町1-1-1</t>
  </si>
  <si>
    <t>丸池荘2棟1111号</t>
  </si>
  <si>
    <t>不要</t>
  </si>
  <si>
    <t>HIRANO　CHOHOSHIRO</t>
  </si>
  <si>
    <t>3671586</t>
  </si>
  <si>
    <t>PATEC</t>
  </si>
  <si>
    <t>製造部機械加工課</t>
  </si>
  <si>
    <t>KIEU TRUNG HIEU</t>
  </si>
  <si>
    <t>キエウ　チュン　ヒエウ</t>
  </si>
  <si>
    <t>3/21～　\1400⇒\1500</t>
  </si>
  <si>
    <t>747-0834</t>
  </si>
  <si>
    <t>山口県防府市大字田島531-1</t>
  </si>
  <si>
    <t>ﾛｼﾞｭﾏﾝ千希A202号</t>
  </si>
  <si>
    <t>2021/1/25~2021/10/22高雄工業岡山所属　2021/10/25～PATECへ異動</t>
  </si>
  <si>
    <t>3988726</t>
  </si>
  <si>
    <t>1790180</t>
  </si>
  <si>
    <t>1982818</t>
  </si>
  <si>
    <t>207632</t>
  </si>
  <si>
    <t>1650581</t>
  </si>
  <si>
    <t>3563256</t>
  </si>
  <si>
    <t>2554425</t>
  </si>
  <si>
    <t>2456842</t>
  </si>
  <si>
    <t>MA VAN THUY</t>
  </si>
  <si>
    <t>マー　ヴァン　トゥイ</t>
  </si>
  <si>
    <t>ｴｸｾｰﾗ301号室</t>
  </si>
  <si>
    <t>マ　ヴァン　トウイ</t>
  </si>
  <si>
    <t>八六八</t>
  </si>
  <si>
    <t>2202481</t>
  </si>
  <si>
    <t>4247632</t>
  </si>
  <si>
    <t>2297646</t>
  </si>
  <si>
    <t>6/16~ \1200⇒\1250 　　9/21~1350円へ</t>
  </si>
  <si>
    <t>2424132</t>
  </si>
  <si>
    <t>グエン　バン　フン</t>
  </si>
  <si>
    <t>ｸﾞﾗﾝｴﾄﾜｰﾙB201</t>
  </si>
  <si>
    <t>中村公園前</t>
  </si>
  <si>
    <t>181018</t>
  </si>
  <si>
    <t>フアン　バン　チヨン</t>
  </si>
  <si>
    <t>名古屋港</t>
  </si>
  <si>
    <t>137290</t>
  </si>
  <si>
    <t>7629984</t>
  </si>
  <si>
    <t>1849767</t>
  </si>
  <si>
    <t>ヴー　ディン　ヒェップ</t>
  </si>
  <si>
    <t>3451596</t>
  </si>
  <si>
    <t>ルオン　スァン　ゴック</t>
  </si>
  <si>
    <t>3234908</t>
  </si>
  <si>
    <t>グェン　ヴァン　マイン</t>
  </si>
  <si>
    <t>2028320</t>
  </si>
  <si>
    <t>NGUYEN ANH TUAN</t>
  </si>
  <si>
    <t>グエン　アイン　トゥアン</t>
  </si>
  <si>
    <t>静岡県袋井市堀越1丁目15-1</t>
  </si>
  <si>
    <t>ﾃﾞｲﾌﾞﾚｲｸ406</t>
  </si>
  <si>
    <t>9581137</t>
  </si>
  <si>
    <t>瑞陵精機</t>
  </si>
  <si>
    <t>HA HAI PHI</t>
  </si>
  <si>
    <t>ハー　ハイ　フィ</t>
  </si>
  <si>
    <t>2021/7/16　1300円→1320円　2022/4/21～　1320円⇒1350円</t>
  </si>
  <si>
    <t>509-7201</t>
  </si>
  <si>
    <t>岐阜県恵那市大井町1120-303</t>
  </si>
  <si>
    <t>各務ﾊｲﾂ6A</t>
  </si>
  <si>
    <t>3693814</t>
  </si>
  <si>
    <t>高雄宇工業本社⇒瑞陵精機へ異動</t>
  </si>
  <si>
    <t>LE VAN TUAT</t>
  </si>
  <si>
    <t>レ　ヴァン　トァト</t>
  </si>
  <si>
    <t>475-0961</t>
  </si>
  <si>
    <t>愛知県半田市岩滑中町1丁目65番地の１</t>
  </si>
  <si>
    <t>FLAT HANDA32号</t>
  </si>
  <si>
    <t>レー　ヴァン　トァト</t>
  </si>
  <si>
    <t>2167120</t>
  </si>
  <si>
    <t>HOANG VAN TUYEN</t>
  </si>
  <si>
    <t>ホアン　ヴァン　トウイエン</t>
  </si>
  <si>
    <t>475-0086</t>
  </si>
  <si>
    <t>愛知県半田市庚申町2-6-7</t>
  </si>
  <si>
    <t>ﾊｲﾂこうしんB棟101</t>
  </si>
  <si>
    <t>3436853</t>
  </si>
  <si>
    <t>州の埼工場　製造３課５工区６班</t>
  </si>
  <si>
    <t>DO XUAN HIEN</t>
  </si>
  <si>
    <t>ドー　スアン　ヒエン</t>
  </si>
  <si>
    <t>2021/5/21~　1400円⇒1500円</t>
  </si>
  <si>
    <t>447-0884</t>
  </si>
  <si>
    <t>愛知県碧南市平七町5丁目23番地</t>
  </si>
  <si>
    <t>ﾋﾞﾚｯｼﾞﾊｳｽ家下1棟405号</t>
  </si>
  <si>
    <t>2552550</t>
  </si>
  <si>
    <t>州の埼工場　製造３課５工区７班</t>
  </si>
  <si>
    <t>NGUYEN KHAC TRUNG</t>
  </si>
  <si>
    <t>グエン　カック　チュン</t>
  </si>
  <si>
    <t>2022/3/21～　1400円⇒1500円</t>
  </si>
  <si>
    <t>475-0004</t>
  </si>
  <si>
    <t>愛知県半田市上池町5丁目37-1</t>
  </si>
  <si>
    <t>ﾙﾐｴｰﾙ上池203</t>
  </si>
  <si>
    <t>12090　20345331</t>
  </si>
  <si>
    <t>DONG NGOC SON</t>
  </si>
  <si>
    <t>ドン　ゴック　ソン</t>
  </si>
  <si>
    <t>715-0023</t>
  </si>
  <si>
    <t>岡山県井原市大江町3715番地</t>
  </si>
  <si>
    <t>折口住宅3-7</t>
  </si>
  <si>
    <t>二三八</t>
  </si>
  <si>
    <t>6228256</t>
  </si>
  <si>
    <t>MAI HUNG ANH</t>
  </si>
  <si>
    <t>マイ　フン　アイン</t>
  </si>
  <si>
    <t>5987726</t>
  </si>
  <si>
    <t>PHAM VAN PHUOC</t>
  </si>
  <si>
    <t>ファム　ヴァン　フォック</t>
  </si>
  <si>
    <t>静岡県袋井市堀越1丁目21-9</t>
  </si>
  <si>
    <t>ﾌﾟﾁｾｿﾞﾝ103号</t>
  </si>
  <si>
    <t>ファム　ヴアン　フォック</t>
  </si>
  <si>
    <t>6241108</t>
  </si>
  <si>
    <t>4329071</t>
  </si>
  <si>
    <t>2510706</t>
  </si>
  <si>
    <t>CAO VAN TUYEN</t>
  </si>
  <si>
    <t>カオ　バン　トウエン</t>
  </si>
  <si>
    <t>475-0078</t>
  </si>
  <si>
    <t>愛知県半田市一の草201-11</t>
  </si>
  <si>
    <t>ﾒｿﾞﾝﾊﾟｰｸｱﾍﾞﾆｭｰ203号</t>
  </si>
  <si>
    <t>ﾋﾙｽﾞｻﾝﾊﾟﾃｨｰｸ203 から個人のアパートに移動</t>
  </si>
  <si>
    <t>ﾌｪﾆﾃｯｸｾﾐｺﾝﾀﾞｸﾀｰ 鹿児島</t>
  </si>
  <si>
    <t>鹿児島工場　製造部　製造課</t>
  </si>
  <si>
    <t>TRAN QUOC THOM</t>
  </si>
  <si>
    <t>チャン　クオック　トム</t>
  </si>
  <si>
    <t>2022/7/1~ 1900円⇒2000円</t>
  </si>
  <si>
    <t>899-6202</t>
  </si>
  <si>
    <t>鹿児島県姶良郡湧水町北方850番地</t>
  </si>
  <si>
    <t>京田住宅2号棟223号室</t>
  </si>
  <si>
    <t>1281061</t>
  </si>
  <si>
    <t>NGUYEN XUAN DUY</t>
  </si>
  <si>
    <t>グエン　スアン　ズイ</t>
  </si>
  <si>
    <t>437-0066</t>
  </si>
  <si>
    <t>5919447</t>
  </si>
  <si>
    <t>1524577</t>
  </si>
  <si>
    <t>セイビテック</t>
  </si>
  <si>
    <t>製造部DCG課検査CHIP</t>
  </si>
  <si>
    <t>LE VAN HUNG</t>
  </si>
  <si>
    <t>レ　ヴァン　ホウン</t>
  </si>
  <si>
    <t>岡山県井原市上出部町171番地1</t>
  </si>
  <si>
    <t>ﾌｧﾐｰﾙいずえ102</t>
  </si>
  <si>
    <t>レー　ヴァン　ホウン</t>
  </si>
  <si>
    <t>10440　454861</t>
  </si>
  <si>
    <t>三芳</t>
  </si>
  <si>
    <t>TRAN DINH CHAU</t>
  </si>
  <si>
    <t>チャン　ディン　チャウ</t>
  </si>
  <si>
    <t>1/21~ 1300円→1400円へUP</t>
  </si>
  <si>
    <t>470-0162</t>
  </si>
  <si>
    <t>愛知県愛知郡東郷町大字春木字涼松228-6</t>
  </si>
  <si>
    <t>ﾌﾟﾁｼｬﾄｰ101号室</t>
  </si>
  <si>
    <t>チャン　デイン　チャウ</t>
  </si>
  <si>
    <t>1233102</t>
  </si>
  <si>
    <t>TRAN VAN HUY</t>
  </si>
  <si>
    <t>チャン　バン　フィ</t>
  </si>
  <si>
    <t>715-0024</t>
  </si>
  <si>
    <t>岡山県井原市高屋町5丁目11-6</t>
  </si>
  <si>
    <t>ﾀｶﾞﾐﾊｲﾑ102</t>
  </si>
  <si>
    <t>チャン　ヴァン　フィ</t>
  </si>
  <si>
    <t>15420　32516551</t>
  </si>
  <si>
    <t>VU NGOC HAI</t>
  </si>
  <si>
    <t>ヴ　ゴク　ハイ</t>
  </si>
  <si>
    <t>2022/4/21～　1320円→1350円</t>
  </si>
  <si>
    <t>岐阜県恵那市大井町2087-170</t>
  </si>
  <si>
    <t>ﾋﾞﾚｯｼﾞﾊｳｽ3-205</t>
  </si>
  <si>
    <t>4583759</t>
  </si>
  <si>
    <t>NGO THI MAI</t>
  </si>
  <si>
    <t>ゴ　ティ　マイ</t>
  </si>
  <si>
    <t>6229753</t>
  </si>
  <si>
    <t>育休22/12/1まで</t>
  </si>
  <si>
    <t>NGUYEN VAN HOA</t>
  </si>
  <si>
    <t>グエン　バン　ホア</t>
  </si>
  <si>
    <t>京田住宅2号棟244号室</t>
  </si>
  <si>
    <t>9649179</t>
  </si>
  <si>
    <t>163507</t>
  </si>
  <si>
    <t>VI VAN NHI</t>
  </si>
  <si>
    <t>ヴィ　バン　ニィ</t>
  </si>
  <si>
    <t>2022/3/21～　1250円→1300円</t>
  </si>
  <si>
    <t>各務ﾊｲﾂ2D</t>
  </si>
  <si>
    <t>ビー　バン　ニイ</t>
  </si>
  <si>
    <t>3687040</t>
  </si>
  <si>
    <t>9440153</t>
  </si>
  <si>
    <t>3249398</t>
  </si>
  <si>
    <t>製造部WT課プローブ</t>
  </si>
  <si>
    <t>TRUONG THI THANH THAO</t>
  </si>
  <si>
    <t>チュオン　ティ　タン　タオ</t>
  </si>
  <si>
    <t>2022/6/21～　1300円⇒1350円</t>
  </si>
  <si>
    <t>岡山県井原市高屋町1丁目20-11</t>
  </si>
  <si>
    <t>ｲﾌﾟｼﾛﾝB101</t>
  </si>
  <si>
    <t>3741640</t>
  </si>
  <si>
    <t>TRAN QUOC TUAN</t>
  </si>
  <si>
    <t>チャン　クオック　トゥアン</t>
  </si>
  <si>
    <t>437-0015</t>
  </si>
  <si>
    <t>静岡県袋井市旭町2-7-5</t>
  </si>
  <si>
    <t>ﾌｨﾌﾃｨⅠ-101</t>
  </si>
  <si>
    <t>六一八</t>
  </si>
  <si>
    <t>2833780</t>
  </si>
  <si>
    <t>NGUYEN VAN HONG</t>
  </si>
  <si>
    <t>グエン　バン　ホン</t>
  </si>
  <si>
    <t>2042813</t>
  </si>
  <si>
    <t>NGUYEN VAN TIEN</t>
  </si>
  <si>
    <t>5912680</t>
  </si>
  <si>
    <t>7713645</t>
  </si>
  <si>
    <t>VAN THE LUONG</t>
  </si>
  <si>
    <t>ヴァン　テエ　ルオン</t>
  </si>
  <si>
    <t>1805087</t>
  </si>
  <si>
    <t>DANG VAN DAI</t>
  </si>
  <si>
    <t>ダン　ヴァン　ダイ</t>
  </si>
  <si>
    <t>899-6201</t>
  </si>
  <si>
    <t>鹿児島県姶良郡湧水町木場280-3</t>
  </si>
  <si>
    <t>宮前ﾂｲﾝﾊｲﾂA101</t>
  </si>
  <si>
    <t>六三八</t>
  </si>
  <si>
    <t>1856702</t>
  </si>
  <si>
    <t>製造部DCG課ダイザー</t>
  </si>
  <si>
    <t>VU VAN PHONG</t>
  </si>
  <si>
    <t>ヴー　ヴァン　フォン</t>
  </si>
  <si>
    <t>岡山県井原市大池町3715番地折口</t>
  </si>
  <si>
    <t>住宅7-6</t>
  </si>
  <si>
    <t>3717729</t>
  </si>
  <si>
    <t>DOAN THANH QUYNH</t>
  </si>
  <si>
    <t>ドアン　タン　クイン</t>
  </si>
  <si>
    <t>899-6200</t>
  </si>
  <si>
    <t>鹿児島県姶良郡湧水町木場1218番地</t>
  </si>
  <si>
    <t>尾鉢第2住宅1号棟112号</t>
  </si>
  <si>
    <t>9571125</t>
  </si>
  <si>
    <t>5976314</t>
  </si>
  <si>
    <t>VI HONG KIEN</t>
  </si>
  <si>
    <t>ビ　ホン　キエン</t>
  </si>
  <si>
    <t>各務ﾊｲﾂ4J</t>
  </si>
  <si>
    <t>ビー　ホン　キエン</t>
  </si>
  <si>
    <t>2308513</t>
  </si>
  <si>
    <t>4071078</t>
  </si>
  <si>
    <t>PHAM BAO NGHIA</t>
  </si>
  <si>
    <t>ファン　バオ　ギア</t>
  </si>
  <si>
    <t>9654327</t>
  </si>
  <si>
    <t>577270</t>
  </si>
  <si>
    <t>3118260</t>
  </si>
  <si>
    <t>TRAN NHAT SON</t>
  </si>
  <si>
    <t>チャン　ニャット　ソン</t>
  </si>
  <si>
    <t>437-0016</t>
  </si>
  <si>
    <t>静岡県袋井市葵町2丁目5番地1</t>
  </si>
  <si>
    <t>ｼｬﾝﾄﾞﾌﾙｰﾙ103</t>
  </si>
  <si>
    <t>トラン　ニャット　ソン</t>
  </si>
  <si>
    <t>2297387</t>
  </si>
  <si>
    <t>9776997</t>
  </si>
  <si>
    <t>3858792</t>
  </si>
  <si>
    <t>7421177</t>
  </si>
  <si>
    <t>レ　ヴァン　ニャン</t>
  </si>
  <si>
    <t>7719301</t>
  </si>
  <si>
    <t>5635218</t>
  </si>
  <si>
    <t>チャン　ヴァン　トァン</t>
  </si>
  <si>
    <t>1176050</t>
  </si>
  <si>
    <t>四一八</t>
  </si>
  <si>
    <t>680955</t>
  </si>
  <si>
    <t>LE DOAN ANH</t>
  </si>
  <si>
    <t>レー　ドアン　アン</t>
  </si>
  <si>
    <t>各務ﾊｲﾂ3D</t>
  </si>
  <si>
    <t>レ　ドァン　アン</t>
  </si>
  <si>
    <t>2420427</t>
  </si>
  <si>
    <t>KHUONG SI GIANG</t>
  </si>
  <si>
    <t>クオン　シー　ザン</t>
  </si>
  <si>
    <t>クオン　シー　ジャン</t>
  </si>
  <si>
    <t>6277805</t>
  </si>
  <si>
    <t>NGUYEN VAN TRUONG</t>
  </si>
  <si>
    <t>グエン　バン　チュオン</t>
  </si>
  <si>
    <t>愛知県半田市住吉町2丁目124番地1</t>
  </si>
  <si>
    <t>ﾚｼﾞﾃﾞﾝｽ住吉102</t>
  </si>
  <si>
    <t>DO THI THUY</t>
  </si>
  <si>
    <t>ド　ティ　トゥイ</t>
  </si>
  <si>
    <t>2021/11/23(11/21)～　1250⇒1300UP</t>
  </si>
  <si>
    <t>ＤＯ　ＴＨＩ　ＴＨＵＹ</t>
  </si>
  <si>
    <t>倉敷支店</t>
  </si>
  <si>
    <t>2582728</t>
  </si>
  <si>
    <t>NGUYEN THE SON</t>
  </si>
  <si>
    <t>グエン　テ―　ソン</t>
  </si>
  <si>
    <t>各務ﾊｲﾂ7I</t>
  </si>
  <si>
    <t>グエン　テー　ソン</t>
  </si>
  <si>
    <t>12450　31135391</t>
  </si>
  <si>
    <t>1579257</t>
  </si>
  <si>
    <t>6253814</t>
  </si>
  <si>
    <t>NGO VAN DUC</t>
  </si>
  <si>
    <t>ゴー　ヴァン　ドウック</t>
  </si>
  <si>
    <t>各務ﾊｲﾂ4H</t>
  </si>
  <si>
    <t>ゴ　ヴァン　ドゥック</t>
  </si>
  <si>
    <t>5984662</t>
  </si>
  <si>
    <t>～6/11　静岡　6/23～　瑞陵   7/2 2D-&gt;4H</t>
  </si>
  <si>
    <t>9566469</t>
  </si>
  <si>
    <t>LE　VIET　TRUNG</t>
  </si>
  <si>
    <t>井原</t>
  </si>
  <si>
    <t>2514768</t>
  </si>
  <si>
    <t>NGUYEN NGOC TIEN</t>
  </si>
  <si>
    <t>グエン　ゴック　ティエン</t>
  </si>
  <si>
    <t>折口住宅11-315号</t>
  </si>
  <si>
    <t>14630　19769401</t>
  </si>
  <si>
    <t>2021/9/6～　ｾｲﾋﾞﾃｯｸ　2022/9/12～ﾌｪﾆﾃｯｸｾﾐｺﾝﾀﾞｸﾀｰへ異動</t>
  </si>
  <si>
    <t>3694655</t>
  </si>
  <si>
    <t>州の埼工場　製造１課１工区２班</t>
  </si>
  <si>
    <t>VU DUC CUONG</t>
  </si>
  <si>
    <t>ヴ　ドゥック　クオン</t>
  </si>
  <si>
    <t>475-0071</t>
  </si>
  <si>
    <t>愛知県半田市大伝根町2丁目2-16</t>
  </si>
  <si>
    <t>ｻﾝﾋﾞﾚｯｼﾞ横川203</t>
  </si>
  <si>
    <t>ヴー　ドゥック　クオン</t>
  </si>
  <si>
    <t>2541338</t>
  </si>
  <si>
    <t>DAO NGOC ANH</t>
  </si>
  <si>
    <t>ダオ　ゴック　アン</t>
  </si>
  <si>
    <t>455-0068</t>
  </si>
  <si>
    <t>愛知県名古屋市港区土古町4丁目72番地</t>
  </si>
  <si>
    <t>鬼頭第2土古ﾋﾞﾙ202</t>
  </si>
  <si>
    <t>ダォ　ゴック　アイン</t>
  </si>
  <si>
    <t>3483652</t>
  </si>
  <si>
    <t>製造部素材課</t>
  </si>
  <si>
    <t>NGUYEN MINH TIEN</t>
  </si>
  <si>
    <t>グエン　ミン　ティエン</t>
  </si>
  <si>
    <t>3/21～　\1500⇒￥1600</t>
  </si>
  <si>
    <t>747-0833</t>
  </si>
  <si>
    <t>山口県防府市大字浜方716-15</t>
  </si>
  <si>
    <t>ｱﾙｿｰﾚD202</t>
  </si>
  <si>
    <t>ｸﾞｴﾝ　ミン　ティエン</t>
  </si>
  <si>
    <t>四四八</t>
  </si>
  <si>
    <t>5206081</t>
  </si>
  <si>
    <t>マイ　ジヤン　フオン</t>
  </si>
  <si>
    <t>神田駅前</t>
  </si>
  <si>
    <t>1951082</t>
  </si>
  <si>
    <t>7493142</t>
  </si>
  <si>
    <t>2571028</t>
  </si>
  <si>
    <t>TRUONG VAN THINH</t>
  </si>
  <si>
    <t>チュオン　ヴァン　テイン</t>
  </si>
  <si>
    <t>静岡県袋井市久能2810番地1</t>
  </si>
  <si>
    <t>ﾌｪﾘｽA103</t>
  </si>
  <si>
    <t>チュオン　ヴァン　ティン</t>
  </si>
  <si>
    <t>5157630</t>
  </si>
  <si>
    <t>2706708</t>
  </si>
  <si>
    <t>1456197</t>
  </si>
  <si>
    <t>1681735</t>
  </si>
  <si>
    <t>島田　富佐男</t>
  </si>
  <si>
    <t>シマダ　フサオ</t>
  </si>
  <si>
    <t>704-8173</t>
  </si>
  <si>
    <t>岡山県岡山市東区可知2丁目6-2-202</t>
  </si>
  <si>
    <t>松新町</t>
  </si>
  <si>
    <t>363025</t>
  </si>
  <si>
    <t>1122221</t>
  </si>
  <si>
    <t>弓削　幸将</t>
  </si>
  <si>
    <t>ユゲ　ユキマサ</t>
  </si>
  <si>
    <t>709-0712</t>
  </si>
  <si>
    <t>岡山県赤磐市吉原593-1</t>
  </si>
  <si>
    <t>東岡山</t>
  </si>
  <si>
    <t>1546714</t>
  </si>
  <si>
    <t>藤宇　葉子</t>
  </si>
  <si>
    <t>フジウ　ヨウコ</t>
  </si>
  <si>
    <t>岡山県岡山市北区御津矢原339-2</t>
  </si>
  <si>
    <t>ｸﾞﾗﾝﾃﾞｰｻﾞⅡ101</t>
  </si>
  <si>
    <t>岡山市農業協同組合</t>
  </si>
  <si>
    <t>御津</t>
  </si>
  <si>
    <t>31045</t>
  </si>
  <si>
    <t>NGUYEN DUC MINH</t>
  </si>
  <si>
    <t>グエン　ドゥック　ミン</t>
  </si>
  <si>
    <t>4/21~ \1500⇒￥1600</t>
  </si>
  <si>
    <t>ｱﾙｿｰﾚC201</t>
  </si>
  <si>
    <t>ｸﾞｴﾝ　ドック　ミン</t>
  </si>
  <si>
    <t>322258</t>
  </si>
  <si>
    <t>11397</t>
  </si>
  <si>
    <t>1186863</t>
  </si>
  <si>
    <t>HOANG VAN BAC</t>
  </si>
  <si>
    <t>ホアン　バン　バック</t>
  </si>
  <si>
    <t>4/21～　\1500⇒\1600</t>
  </si>
  <si>
    <t>ｱﾙｿｰﾚD201</t>
  </si>
  <si>
    <t>ﾎｱﾝ　ﾊﾞﾝ　バック</t>
  </si>
  <si>
    <t>5471498</t>
  </si>
  <si>
    <t>HOANG VAN HUY</t>
  </si>
  <si>
    <t>ホアン　ヴァン　フィ</t>
  </si>
  <si>
    <t>ｲﾌﾟｼﾛﾝB102</t>
  </si>
  <si>
    <t>ホアン　ヴァン　フイ</t>
  </si>
  <si>
    <t>6014057</t>
  </si>
  <si>
    <t>本社工場　製造１課２工区２班</t>
  </si>
  <si>
    <t>レ　クイ　ハイ</t>
  </si>
  <si>
    <t>444-1313</t>
  </si>
  <si>
    <t>愛知県高浜市向山町1丁目210番地3</t>
  </si>
  <si>
    <t>ｻﾞ･ｼｯｸ101</t>
  </si>
  <si>
    <t>2289657</t>
  </si>
  <si>
    <t>5581684</t>
  </si>
  <si>
    <t>8946137</t>
  </si>
  <si>
    <t>グエン　クアン　トゥエン</t>
  </si>
  <si>
    <t>611039</t>
  </si>
  <si>
    <t>NGUYEN CAO HUYEN</t>
  </si>
  <si>
    <t>グエン　カオ　フエン</t>
  </si>
  <si>
    <t>453-0064</t>
  </si>
  <si>
    <t>名古屋市中村区草薙町1-26</t>
  </si>
  <si>
    <t>天野ﾏﾝｼｮﾝ402</t>
  </si>
  <si>
    <t>3680167</t>
  </si>
  <si>
    <t>8942306</t>
  </si>
  <si>
    <t>ノン　タイン　トウン</t>
  </si>
  <si>
    <t>新大阪</t>
  </si>
  <si>
    <t>307792</t>
  </si>
  <si>
    <t>七八八</t>
  </si>
  <si>
    <t>3442546</t>
  </si>
  <si>
    <t>NONG　VAN　SON</t>
  </si>
  <si>
    <t>307776</t>
  </si>
  <si>
    <t>NGUYEN THE CANH</t>
  </si>
  <si>
    <t>グエン　テ　カイン</t>
  </si>
  <si>
    <t>岡山県岡山市北区御津下田77-3</t>
  </si>
  <si>
    <t>ﾋﾞﾚｯｼﾞﾊｳｽ宇甘川2号棟A302</t>
  </si>
  <si>
    <t>9591262</t>
  </si>
  <si>
    <t>NGUYEN SY DUC</t>
  </si>
  <si>
    <t>グエン　シー　ドウク</t>
  </si>
  <si>
    <t>5/21～\1400⇒1500</t>
  </si>
  <si>
    <t>ｱﾙｿｰﾚD103</t>
  </si>
  <si>
    <t>ｸﾞｴﾝ　ｼｰ　ドゥク</t>
  </si>
  <si>
    <t>八一八</t>
  </si>
  <si>
    <t>3426677</t>
  </si>
  <si>
    <t>TA MANH TRONG</t>
  </si>
  <si>
    <t>ター　マイン　チョン</t>
  </si>
  <si>
    <t>ＴＡ　ＭＡＮＨ　ＴＲＯＮＧ</t>
  </si>
  <si>
    <t>1571298</t>
  </si>
  <si>
    <t>りそな銀行</t>
  </si>
  <si>
    <t>姫路</t>
  </si>
  <si>
    <t>174738</t>
  </si>
  <si>
    <t>DANG XUAN LUAN</t>
  </si>
  <si>
    <t>ダン　スアン　ルアン</t>
  </si>
  <si>
    <t>5/21～\1500⇒1600</t>
  </si>
  <si>
    <t>ダン　スアン　ﾙｱﾝ</t>
  </si>
  <si>
    <t>5595059</t>
  </si>
  <si>
    <t>3692633</t>
  </si>
  <si>
    <t>213134</t>
  </si>
  <si>
    <t>7374943</t>
  </si>
  <si>
    <t>グエン　ヴァン　マン</t>
  </si>
  <si>
    <t>DO THI DUYEN</t>
  </si>
  <si>
    <t>ド　ティ　デュエン</t>
  </si>
  <si>
    <t>2022/2/1（2/21）～1250円⇒1300UP</t>
  </si>
  <si>
    <t>12/1～1900円</t>
  </si>
  <si>
    <t>岡山県井原市高屋町1丁目26-6</t>
  </si>
  <si>
    <t>ｺｰﾎﾟとりおか201号</t>
  </si>
  <si>
    <t>8307715</t>
  </si>
  <si>
    <t>3330715</t>
  </si>
  <si>
    <t>西岡工作所</t>
  </si>
  <si>
    <t>堤　浩二</t>
  </si>
  <si>
    <t>ツツミ　コウジ</t>
  </si>
  <si>
    <t>701-4265</t>
  </si>
  <si>
    <t>岡山県瀬戸内市長船町福岡1193-13</t>
  </si>
  <si>
    <t>2022/4/27で終了⇒請負へ異動　2022/5/9～</t>
  </si>
  <si>
    <t>2426117</t>
  </si>
  <si>
    <t>ワーク 岡山</t>
  </si>
  <si>
    <t>岡山第２工場</t>
  </si>
  <si>
    <t>LE NGOC THANH</t>
  </si>
  <si>
    <t>レ　ゴック　タイン</t>
  </si>
  <si>
    <t>709-4222</t>
  </si>
  <si>
    <t>岡山県美作市岩辺493-10</t>
  </si>
  <si>
    <t>岩辺借家</t>
  </si>
  <si>
    <t>レー　ゴック　タイン</t>
  </si>
  <si>
    <t>1356244</t>
  </si>
  <si>
    <t>HOANG THE VINH</t>
  </si>
  <si>
    <t>ホアン　テー　ヴィン</t>
  </si>
  <si>
    <t>6/21～\1500⇒1600</t>
  </si>
  <si>
    <t>ｱﾙｿｰﾚD101</t>
  </si>
  <si>
    <t>6216352</t>
  </si>
  <si>
    <t>州の埼第２工場　製造３課５工区７班</t>
  </si>
  <si>
    <t>DO DUC THUAN</t>
  </si>
  <si>
    <t>ドー　ドゥック　トゥアン</t>
  </si>
  <si>
    <t>2288471</t>
  </si>
  <si>
    <t>PHAM DUC BAO</t>
  </si>
  <si>
    <t>ファム　ドゥック　バオ</t>
  </si>
  <si>
    <t>静岡県袋井市久能1889-2</t>
  </si>
  <si>
    <t>ﾗﾌｨｰﾈ久能402号</t>
  </si>
  <si>
    <t>NGUYEN HUU THIEN</t>
  </si>
  <si>
    <t>グエン　フウ　ティエン</t>
  </si>
  <si>
    <t>3067935</t>
  </si>
  <si>
    <t>HOANG MINH LONG</t>
  </si>
  <si>
    <t>ホアン　ミン　ロン</t>
  </si>
  <si>
    <t>700-0861</t>
  </si>
  <si>
    <t>岡山県岡山市北区清輝橋2-7-18</t>
  </si>
  <si>
    <t>103号室</t>
  </si>
  <si>
    <t>HOANG　MINH　LONG</t>
  </si>
  <si>
    <t>津島</t>
  </si>
  <si>
    <t>2505554</t>
  </si>
  <si>
    <t>1236360</t>
  </si>
  <si>
    <t>NGUYEN VAN CHUNG</t>
  </si>
  <si>
    <t>グエン　ヴァン　チュン</t>
  </si>
  <si>
    <t>6/21～\1400⇒1500</t>
  </si>
  <si>
    <t>2560475</t>
  </si>
  <si>
    <t>5142283</t>
  </si>
  <si>
    <t>NGUYRN HUU CANH</t>
  </si>
  <si>
    <t>グエン　フー　カン</t>
  </si>
  <si>
    <t>NGUYEN HOANG LAM</t>
  </si>
  <si>
    <t>グエン　ホアン　ラム</t>
  </si>
  <si>
    <t>ﾋﾞﾚｯｼﾞﾊｳｽ1-310</t>
  </si>
  <si>
    <t>10190　78982551</t>
  </si>
  <si>
    <t>ワーク 志紀</t>
  </si>
  <si>
    <t>PHAM CHI BAC</t>
  </si>
  <si>
    <t>ファム　チー　バック</t>
  </si>
  <si>
    <t>581-0884</t>
  </si>
  <si>
    <t>大阪府八尾市恩智南町1ー130</t>
  </si>
  <si>
    <t>ﾌﾟﾚｱｰﾙ恩智Ⅱ202号</t>
  </si>
  <si>
    <t>州の埼工場　製造１課１工区１班</t>
  </si>
  <si>
    <t>CAO HUU SON</t>
  </si>
  <si>
    <t>カオ　フ　ソン</t>
  </si>
  <si>
    <t>475-0074</t>
  </si>
  <si>
    <t>愛知県半田市長根町3-1</t>
  </si>
  <si>
    <t>県営長根住宅1-306</t>
  </si>
  <si>
    <t>カオ　フー　ソン</t>
  </si>
  <si>
    <t>572121</t>
  </si>
  <si>
    <t>LAI DUY HIEN</t>
  </si>
  <si>
    <t>ライ　ズイ　ヒエン</t>
  </si>
  <si>
    <t>475-0024</t>
  </si>
  <si>
    <t>愛知県半田市 亀崎高根町2丁目20-7</t>
  </si>
  <si>
    <t>ﾋﾞﾚｯｼﾞﾊｳｽ亀崎2号棟301</t>
  </si>
  <si>
    <t>乙川工場　製造３課５工区７班</t>
  </si>
  <si>
    <t>NGUYEN TIEN DUC</t>
  </si>
  <si>
    <t>グエン　テイエン　ドウク</t>
  </si>
  <si>
    <t>470-2300</t>
  </si>
  <si>
    <t>愛知県知多郡武豊町堀割1-1</t>
  </si>
  <si>
    <t>県営武豊住宅2-405</t>
  </si>
  <si>
    <t>MR.NGUYEN　TIEN　DUC</t>
  </si>
  <si>
    <t>豊武</t>
  </si>
  <si>
    <t>171491</t>
  </si>
  <si>
    <t>TRAN VAN THAN</t>
  </si>
  <si>
    <t>チャン　ヴァン　タン</t>
  </si>
  <si>
    <t>チヤン　ヴアン　タン</t>
  </si>
  <si>
    <t>五三八</t>
  </si>
  <si>
    <t>1580202</t>
  </si>
  <si>
    <t>志紀工場　製造部</t>
  </si>
  <si>
    <t>NGUYEN VAN DUC</t>
  </si>
  <si>
    <t>582-0005</t>
  </si>
  <si>
    <t>大阪府柏原市法善寺3丁目474</t>
  </si>
  <si>
    <t>ﾋﾞﾚｯｼﾞﾊｳｽ法善寺3-310号</t>
  </si>
  <si>
    <t>グエン　バン　ドック</t>
  </si>
  <si>
    <t>7705810</t>
  </si>
  <si>
    <t>TRAN HUU DANG</t>
  </si>
  <si>
    <t>チャン　フュ　ダン</t>
  </si>
  <si>
    <t>NGUYEN HUU MANH</t>
  </si>
  <si>
    <t>グエン　フウ　マン</t>
  </si>
  <si>
    <t>552-0001</t>
  </si>
  <si>
    <t>大阪府大阪市港区波除5丁目3番9</t>
  </si>
  <si>
    <t>304号</t>
  </si>
  <si>
    <t>2680591</t>
  </si>
  <si>
    <t>DAO ANH TUAN</t>
  </si>
  <si>
    <t>ダオ　アン　トゥアン</t>
  </si>
  <si>
    <t>7/21～\1500⇒1600</t>
  </si>
  <si>
    <t>山口県防府市大字田島395番地</t>
  </si>
  <si>
    <t>ﾗｸﾞﾘｼｰﾅⅠ104</t>
  </si>
  <si>
    <t>ダアオ アン トゥアン</t>
  </si>
  <si>
    <t>3758521</t>
  </si>
  <si>
    <t>5011810</t>
  </si>
  <si>
    <t>州の埼２工場　製造3課５工区７班</t>
  </si>
  <si>
    <t>NGUYEN VAN KHOA</t>
  </si>
  <si>
    <t>グエン　ヴァン　コア</t>
  </si>
  <si>
    <t>3121130</t>
  </si>
  <si>
    <t>4521384</t>
  </si>
  <si>
    <t>フアム　タン　タム</t>
  </si>
  <si>
    <t>7783142</t>
  </si>
  <si>
    <t>NGUYEN TIEN HAI</t>
  </si>
  <si>
    <t>グエン　ティエン　ハイ</t>
  </si>
  <si>
    <t>2347060</t>
  </si>
  <si>
    <t>2022/02/05ﾋﾙｽﾞｻﾝﾊﾟﾃｨｰｸ203～スカイレジデンス302に移動</t>
  </si>
  <si>
    <t>クアンタン　グエン</t>
  </si>
  <si>
    <t>セブン銀行</t>
  </si>
  <si>
    <t>マーガレット</t>
  </si>
  <si>
    <t>2612170</t>
  </si>
  <si>
    <t>NGUYEN MINH TAN</t>
  </si>
  <si>
    <t>グエン　ミン　タン</t>
  </si>
  <si>
    <t>BITENCOURT CELIK SELIA</t>
  </si>
  <si>
    <t>ビテンコウルト　シエリク　セリア</t>
  </si>
  <si>
    <t>入社3か月後50円UP</t>
  </si>
  <si>
    <t>定住者</t>
  </si>
  <si>
    <t>愛知県名古屋市港区丸池町1丁目1-1</t>
  </si>
  <si>
    <t>丸池荘4棟1108号</t>
  </si>
  <si>
    <t>LE XUAN QUYNH</t>
  </si>
  <si>
    <t>レー　スァン　クイン</t>
  </si>
  <si>
    <t>475-0006</t>
  </si>
  <si>
    <t>愛知県半田市南大矢知町4丁目205番地2</t>
  </si>
  <si>
    <t>ﾒｿﾞﾝﾄﾞﾗﾊﾟﾝⅡ203</t>
  </si>
  <si>
    <t>レー　スアン　クイン</t>
  </si>
  <si>
    <t>3573452</t>
  </si>
  <si>
    <t>8116642</t>
  </si>
  <si>
    <t>SILVA BITENCOURT SELMA</t>
  </si>
  <si>
    <t>シルバ　ビテンコウルト　セルマ</t>
  </si>
  <si>
    <t>永住者の配偶者</t>
  </si>
  <si>
    <t>457-0824</t>
  </si>
  <si>
    <t>丸池荘3棟902号</t>
  </si>
  <si>
    <t>シルヴァ　ビテンコウルト　セルマ</t>
  </si>
  <si>
    <t>5164242</t>
  </si>
  <si>
    <t>HOANG MANH TIEN</t>
  </si>
  <si>
    <t>ホアン　マン　ティエン</t>
  </si>
  <si>
    <t>BUI DUC ANH</t>
  </si>
  <si>
    <t>ブイ　ドゥック　アイン</t>
  </si>
  <si>
    <t>7/21～\1400⇒1500</t>
  </si>
  <si>
    <t>ブイ　ドウツク　アイン</t>
  </si>
  <si>
    <t>五五八</t>
  </si>
  <si>
    <t>2617158</t>
  </si>
  <si>
    <t>BUI DUC THANG</t>
  </si>
  <si>
    <t>ブイ　ドック　タン</t>
  </si>
  <si>
    <t>プイ　ドック　タン</t>
  </si>
  <si>
    <t>3498134</t>
  </si>
  <si>
    <t>HO　THANH　BAO　TRUNG</t>
  </si>
  <si>
    <t>倉敷</t>
  </si>
  <si>
    <t>2174070</t>
  </si>
  <si>
    <t>VU VAN LONG</t>
  </si>
  <si>
    <t>ブー　バン　ロン</t>
  </si>
  <si>
    <t>ワーク 堺</t>
  </si>
  <si>
    <t>堺工場　製造部</t>
  </si>
  <si>
    <t>ヴー　ドゥック　タック</t>
  </si>
  <si>
    <t>559-0005</t>
  </si>
  <si>
    <t>大阪府大阪市住之江区西住之江3-13-20</t>
  </si>
  <si>
    <t>西住之江ﾊｲﾂ205</t>
  </si>
  <si>
    <t>ヴー　ドウツク　タツク</t>
  </si>
  <si>
    <t>上野</t>
  </si>
  <si>
    <t>8431916</t>
  </si>
  <si>
    <t>グエン　ヴアン　クオン</t>
  </si>
  <si>
    <t>日暮里</t>
  </si>
  <si>
    <t>687937</t>
  </si>
  <si>
    <t>455-0046</t>
  </si>
  <si>
    <t>愛知県名古屋市港区大手町2丁目31</t>
  </si>
  <si>
    <t>ﾀﾞｲｺｰﾏﾝｼｮﾝ302</t>
  </si>
  <si>
    <t>NGO VAN CHUONG</t>
  </si>
  <si>
    <t>ゴー　バン　チュオン</t>
  </si>
  <si>
    <t>HOANG ANH TUAN</t>
  </si>
  <si>
    <t>ホアン　アイン　トゥアン</t>
  </si>
  <si>
    <t>558-0033</t>
  </si>
  <si>
    <t>大阪府大阪市住吉区清水丘1-29-13</t>
  </si>
  <si>
    <t>ｸｲｰﾝﾊｲﾂ清水ヶ丘403号</t>
  </si>
  <si>
    <t>NGUYEN DUY HONG</t>
  </si>
  <si>
    <t>グエン　ドゥイ　ホン</t>
  </si>
  <si>
    <t>グェン　ドゥイ　ホン</t>
  </si>
  <si>
    <t>七一八</t>
  </si>
  <si>
    <t>3709483</t>
  </si>
  <si>
    <t>NGUYEN SON TUNG</t>
  </si>
  <si>
    <t>グエン　ソン　トゥン</t>
  </si>
  <si>
    <t>ｾﾗﾀｳﾝ弥富C棟201号</t>
  </si>
  <si>
    <t>ルイエン　フイ　トゥアン</t>
  </si>
  <si>
    <t>8954088</t>
  </si>
  <si>
    <t>RODRIGUES YAKABE ACHERAIBER ELIZA</t>
  </si>
  <si>
    <t>ロドリゲス　矢壁　シライベル　エリザ</t>
  </si>
  <si>
    <t>日本人の配偶者</t>
  </si>
  <si>
    <t>愛知県名古屋市港区丸池町1丁目1番</t>
  </si>
  <si>
    <t>丸池荘4棟802号</t>
  </si>
  <si>
    <t>TRAN VAN LUC</t>
  </si>
  <si>
    <t>トラン　バン　ルック</t>
  </si>
  <si>
    <t>5/21～1500</t>
  </si>
  <si>
    <t>22.05.01～200円UP</t>
  </si>
  <si>
    <t>5382495</t>
  </si>
  <si>
    <t>ホアン　スアン　クォック</t>
  </si>
  <si>
    <t>8821395</t>
  </si>
  <si>
    <t>TRAN VAN NHAT</t>
  </si>
  <si>
    <t>チャン　バン　ニャット</t>
  </si>
  <si>
    <t>470-2385</t>
  </si>
  <si>
    <t>愛知県知多郡武豊町北中根4-1</t>
  </si>
  <si>
    <t>ﾋﾞﾚｯｼﾞﾊｳｽ1-204</t>
  </si>
  <si>
    <t>チャン　ヴァン　ニャット</t>
  </si>
  <si>
    <t>6883860</t>
  </si>
  <si>
    <t>BUI VAN DOAN</t>
  </si>
  <si>
    <t>ブイ　ヴァン　ドアン</t>
  </si>
  <si>
    <t>愛知県半田市苗代町2丁目19番地</t>
  </si>
  <si>
    <t>ｼｬﾙﾏﾝ苗代102号</t>
  </si>
  <si>
    <t>ヴィ　ヴァン　ドアン</t>
  </si>
  <si>
    <t>5892958</t>
  </si>
  <si>
    <t>VU VAN TOAN</t>
  </si>
  <si>
    <t>ヴー　ヴァン　トアン</t>
  </si>
  <si>
    <t>444-1302</t>
  </si>
  <si>
    <t>愛知県高浜市八幡町6-1-9</t>
  </si>
  <si>
    <t>ﾙﾐｴｰﾙ KATO201</t>
  </si>
  <si>
    <t>3612697</t>
  </si>
  <si>
    <t>2022/2//28ﾋﾙｽﾞｻﾝﾊﾟﾃｨｰｸ203~ザ・シック101に移動 ,
 2022/03/13ザ・シック101~KATO201に移動</t>
  </si>
  <si>
    <t>TRAN VAN HIEN</t>
  </si>
  <si>
    <t>チャン　ヴァン　ヒエン</t>
  </si>
  <si>
    <t>ﾌﾟﾁｾｿﾞﾝ203号</t>
  </si>
  <si>
    <t>新日本ﾎｲｰﾙ工業</t>
  </si>
  <si>
    <t>NGUYEN KHAC THIEN</t>
  </si>
  <si>
    <t>グエン　カック　ティエン</t>
  </si>
  <si>
    <t>入社3か月後50円UP(6/21~1400</t>
  </si>
  <si>
    <t>2557755</t>
  </si>
  <si>
    <t>DAO TRINH HOANG</t>
  </si>
  <si>
    <t>ダオ　チン　ホアン</t>
  </si>
  <si>
    <t xml:space="preserve">岡山県岡山市北区御津矢原288番地1 </t>
  </si>
  <si>
    <t>ｸﾞﾗﾝﾃﾞｰｻﾞ202</t>
  </si>
  <si>
    <t>DANG DUC CHIEN</t>
  </si>
  <si>
    <t>ダン　ドゥック　チェン</t>
  </si>
  <si>
    <t>ﾍﾞﾙﾄﾋﾟｱ住吉307号室</t>
  </si>
  <si>
    <t>四貫島</t>
  </si>
  <si>
    <t>111067</t>
  </si>
  <si>
    <t>LE MINH CHINH</t>
  </si>
  <si>
    <t>レ　ミン　チン</t>
  </si>
  <si>
    <t>静岡県袋井市山科3388-1</t>
  </si>
  <si>
    <t>鶴松203</t>
  </si>
  <si>
    <t>グエン　ヴァン　クアン</t>
  </si>
  <si>
    <t>008110 高雄工業株式会社 静岡事業所第一工場製作課</t>
  </si>
  <si>
    <t>TRAN HOANG DIEU</t>
  </si>
  <si>
    <t>チャン　ホアン　ジェウ</t>
  </si>
  <si>
    <t>栗原　ガブリエル</t>
  </si>
  <si>
    <t>クリハラ　ガブリエル</t>
  </si>
  <si>
    <t>VU VAN NGHIA</t>
  </si>
  <si>
    <t>ヴー　ヴァン　ギエ</t>
  </si>
  <si>
    <t>ヴ　ヴァン　ギャ　</t>
  </si>
  <si>
    <t>1789706</t>
  </si>
  <si>
    <t>第５工場　製造２課３工区６班</t>
  </si>
  <si>
    <t>NGUYEN VAN CUA</t>
  </si>
  <si>
    <t>グエン　ヴァン　クア</t>
  </si>
  <si>
    <t>VU HUY KHOI</t>
  </si>
  <si>
    <t>ヴー　フイ　クオイ</t>
  </si>
  <si>
    <t>OK3/28</t>
  </si>
  <si>
    <t>2022/3/17～2022/8/10までｾｲﾋﾞﾃｯｸ所属　2022/8/15～六甲電子所属</t>
  </si>
  <si>
    <t>2009933</t>
  </si>
  <si>
    <t>444-1332</t>
  </si>
  <si>
    <t>愛知県高浜市湯山町4丁目9番地6</t>
  </si>
  <si>
    <t>ﾋﾞﾚｯｼﾞﾊｳｽ高取4号棟110号室</t>
  </si>
  <si>
    <t>1800157</t>
  </si>
  <si>
    <t>亀崎工場　製造５課６工区８班</t>
  </si>
  <si>
    <t>VU DUC THINH</t>
  </si>
  <si>
    <t>ヴー　ドゥック　ティン</t>
  </si>
  <si>
    <t>愛知県半田市亀崎高根町2丁目20－7</t>
  </si>
  <si>
    <t>ヴ　ドゥック　テイン</t>
  </si>
  <si>
    <t>6290591</t>
  </si>
  <si>
    <t>2022/6/27友達のアパートへ引っ越ししました</t>
  </si>
  <si>
    <t>2175566</t>
  </si>
  <si>
    <t>ドォ　バン　ミン</t>
  </si>
  <si>
    <t>5152944</t>
  </si>
  <si>
    <t>CHU TRONG AN</t>
  </si>
  <si>
    <t>チュ　チョン　アン</t>
  </si>
  <si>
    <t>新日本ホイール 2022/4/29退社　5/10より高雄静岡へ配属</t>
  </si>
  <si>
    <t>NGUYEN MINH VUONG</t>
  </si>
  <si>
    <t>グエン　ミン　ヴオン</t>
  </si>
  <si>
    <t>鹿児島県姶良郡湧水町木場1214番地1</t>
  </si>
  <si>
    <t>尾鉢第3住宅2号棟</t>
  </si>
  <si>
    <t>22.03.30</t>
  </si>
  <si>
    <t>グエン　ミン　ヴォン</t>
  </si>
  <si>
    <t>3444491</t>
  </si>
  <si>
    <t>LE VAN TUAN PHONG</t>
  </si>
  <si>
    <t>レ　ヴァン　トゥアン　フォン</t>
  </si>
  <si>
    <t>433-8111</t>
  </si>
  <si>
    <t>静岡県浜松市中区葵西6丁目22-12</t>
  </si>
  <si>
    <t>県営葵団地2-207</t>
  </si>
  <si>
    <t>22.05.01</t>
  </si>
  <si>
    <t>LE　VAN 　TUAN　PHONG</t>
  </si>
  <si>
    <t>静岡銀行</t>
  </si>
  <si>
    <t>653896</t>
  </si>
  <si>
    <t>TRAN NGOC SON</t>
  </si>
  <si>
    <t>チャン　ゴック　ソン</t>
  </si>
  <si>
    <t>VU THANH HOANG</t>
  </si>
  <si>
    <t>ヴー　タン　ホアン</t>
  </si>
  <si>
    <t>2022/04/27</t>
  </si>
  <si>
    <t>006210 高雄工業株式会社 海南第一工場製作1課</t>
  </si>
  <si>
    <t>MATSUDA SERGIO YUKIO</t>
  </si>
  <si>
    <t>マツダ　セルジオ　ユキオ</t>
  </si>
  <si>
    <t>522-0222</t>
  </si>
  <si>
    <t>滋賀県彦根市南川瀬町1542-1</t>
  </si>
  <si>
    <t>レオパレスTSおおつか115号</t>
  </si>
  <si>
    <t>以前の住所498-0802三重県桑名郡木曾岬町見入辰高786-3ﾀﾂﾀﾞｶﾊｲﾂA102</t>
  </si>
  <si>
    <t>MAI VAN TRI</t>
  </si>
  <si>
    <t>マイ　ヴァン　チー</t>
  </si>
  <si>
    <t>10/21～\1500⇒1600</t>
  </si>
  <si>
    <t>マイ　ヴァン　チ</t>
  </si>
  <si>
    <t>4509887</t>
  </si>
  <si>
    <t>2022/04/21</t>
  </si>
  <si>
    <t>NGUYEN DINH NGOC</t>
  </si>
  <si>
    <t>グエン　デイン　ゴック</t>
  </si>
  <si>
    <t>651-2112</t>
  </si>
  <si>
    <t>神戸市西区大津和2-9-3</t>
  </si>
  <si>
    <t>ｻﾆｰﾊﾟﾚｽ102</t>
  </si>
  <si>
    <t>ダン　チョン　ヒェウ</t>
  </si>
  <si>
    <t>1912416</t>
  </si>
  <si>
    <t>NGUYEN TRUNG TAN</t>
  </si>
  <si>
    <t>グエン　チュン　タン</t>
  </si>
  <si>
    <t>559-0013</t>
  </si>
  <si>
    <t>大阪市住之江区御崎3-3-20</t>
  </si>
  <si>
    <t>岩本ﾏﾝｼｮﾝ402</t>
  </si>
  <si>
    <t>3282942</t>
  </si>
  <si>
    <t>VU VAN HUNG</t>
  </si>
  <si>
    <t>ヴー　ヴァン　フン</t>
  </si>
  <si>
    <t>437-0062</t>
  </si>
  <si>
    <t>静岡県袋井市泉町1丁目7-3</t>
  </si>
  <si>
    <t>BeehiveresidenceⅦ102</t>
  </si>
  <si>
    <t>NGUYEN THANH PHUONG</t>
  </si>
  <si>
    <t>グエン　タン　フォン</t>
  </si>
  <si>
    <t>静岡県袋井市堀越四丁目１番地1</t>
  </si>
  <si>
    <t>県営堀越団地1棟206号室</t>
  </si>
  <si>
    <t>NGUYEN VAN NINH</t>
  </si>
  <si>
    <t>グエン　ヴァン　ニン</t>
  </si>
  <si>
    <t>ゲェン　ヴァン　ニン</t>
  </si>
  <si>
    <t>7717088</t>
  </si>
  <si>
    <t>LE QUANG TRONG</t>
  </si>
  <si>
    <t>レ　クアン　チョン</t>
  </si>
  <si>
    <t>3111827</t>
  </si>
  <si>
    <t>TRINH THANH VIET ANH</t>
  </si>
  <si>
    <t>チン　タン　ヴィエト　アン</t>
  </si>
  <si>
    <t>ﾌｨﾌﾃｨｰⅡ102</t>
  </si>
  <si>
    <t>2022/05/16</t>
  </si>
  <si>
    <t>PHAM VAN HIEU</t>
  </si>
  <si>
    <t>ファム　ヴァン　ヒエウ</t>
  </si>
  <si>
    <t>3267821</t>
  </si>
  <si>
    <t>ファム　デイン　トウン</t>
  </si>
  <si>
    <t>〇九八</t>
  </si>
  <si>
    <t>1285143</t>
  </si>
  <si>
    <t>VI THI HUE</t>
  </si>
  <si>
    <t>ヴィ　ティ　フェ</t>
  </si>
  <si>
    <t>2020/11/21 1200⇒1250　2021/2/21　1250⇒1300</t>
  </si>
  <si>
    <t>ﾚｼﾞｪﾝﾄﾞK204</t>
  </si>
  <si>
    <t>2021/2/21~　1750⇒1800</t>
  </si>
  <si>
    <t>NGUYEN HUY HOANG</t>
  </si>
  <si>
    <t>グエン　フイ　ホアン</t>
  </si>
  <si>
    <t>550</t>
  </si>
  <si>
    <t>DANG ANH DUNG</t>
  </si>
  <si>
    <t>ダン　アン　ズン</t>
  </si>
  <si>
    <t>TRINH VAN HIEP</t>
  </si>
  <si>
    <t>チン　ヴァン　ヒエップ</t>
  </si>
  <si>
    <t>2020/12/21 1200⇒1250　2021/3/21　1250→1300</t>
  </si>
  <si>
    <t>ヌクイ　アキラ</t>
  </si>
  <si>
    <t>503-0936</t>
  </si>
  <si>
    <t>岐阜県大垣市内原1-468</t>
  </si>
  <si>
    <t>4F-2</t>
  </si>
  <si>
    <t>加藤　佑樹</t>
  </si>
  <si>
    <t>カトウ　ユウキ</t>
  </si>
  <si>
    <t>500</t>
  </si>
  <si>
    <t>　</t>
  </si>
  <si>
    <t>三重県桑名郡木曽岬町見入流作5</t>
  </si>
  <si>
    <t>1/1予定</t>
  </si>
  <si>
    <t>エガミ　アンドレ</t>
  </si>
  <si>
    <t>愛知県弥富市平島町中新田194-１</t>
  </si>
  <si>
    <t>ｺﾝﾂｪﾙﾊｳｽⅡC棟203</t>
  </si>
  <si>
    <t>LUONG KHAC SINH</t>
  </si>
  <si>
    <t>ルウン　カック　シン</t>
  </si>
  <si>
    <t>400</t>
  </si>
  <si>
    <t>愛知県海部郡蟹江町城1-198</t>
  </si>
  <si>
    <t>ﾒｿﾞﾝｶｰｽﾙ101</t>
  </si>
  <si>
    <t>NGUYEN VAN SON</t>
  </si>
  <si>
    <t>グエン　ヴァン　ソン</t>
  </si>
  <si>
    <t>注意</t>
  </si>
  <si>
    <t>BUI VAN LUAN</t>
  </si>
  <si>
    <t>ブイ　ヴァン　ルアン</t>
  </si>
  <si>
    <t>名古屋</t>
  </si>
  <si>
    <t>冨岡　一也</t>
  </si>
  <si>
    <t>トミオカ　カズヤ</t>
  </si>
  <si>
    <t>448-0844</t>
  </si>
  <si>
    <t>愛知県刈谷市広小路2丁目10番地ﾓｱｸﾞﾚｰｽ刈谷市駅前301号</t>
  </si>
  <si>
    <t>44166</t>
  </si>
  <si>
    <t>近藤　満博</t>
  </si>
  <si>
    <t>コンドウ　ミツヒロ</t>
  </si>
  <si>
    <t>入社3か月後50円UP(予定)</t>
  </si>
  <si>
    <t>愛知県名古屋市港区油屋3-28-3</t>
  </si>
  <si>
    <t>ｴｽﾎﾟｱｸｲﾝｽﾞｺｰﾄ20Ｃ</t>
  </si>
  <si>
    <t>アレックス　フェルナンド</t>
  </si>
  <si>
    <t>572</t>
  </si>
  <si>
    <t>503-0993</t>
  </si>
  <si>
    <t>岐阜県大垣市荒川町303番地1</t>
  </si>
  <si>
    <t>ﾒｿﾞﾝT&amp;T202</t>
  </si>
  <si>
    <t>NGUYEN PHI THAO</t>
  </si>
  <si>
    <t>グエン　フィ　タオ</t>
  </si>
  <si>
    <t>HOANG VAN TUC</t>
  </si>
  <si>
    <t>ホアン ヴァン トック</t>
  </si>
  <si>
    <t>鈴木 マルシオ</t>
  </si>
  <si>
    <t>スズキ　マルシオ</t>
  </si>
  <si>
    <t>450</t>
  </si>
  <si>
    <t>愛知県名古屋市港区九番町1-1-1</t>
  </si>
  <si>
    <t>九番団地1棟611</t>
  </si>
  <si>
    <t>12/14予定</t>
  </si>
  <si>
    <t>DINH TAN LEN</t>
  </si>
  <si>
    <t>ディン　タン　レン</t>
  </si>
  <si>
    <t>DAO HOANG ANH</t>
  </si>
  <si>
    <t>ダオ　ホアン　アン</t>
  </si>
  <si>
    <t>TRAN XUAN THE</t>
  </si>
  <si>
    <t>ツアン　ヅアン　テェ</t>
  </si>
  <si>
    <t>中須賀ｺｰﾎﾟⅠ-102</t>
  </si>
  <si>
    <t>米須　ジョン</t>
  </si>
  <si>
    <t>コメス　ジョン</t>
  </si>
  <si>
    <t>3か月後継続なら時給見直</t>
  </si>
  <si>
    <t>ｺﾝﾂｪﾙﾊｳｽⅡD棟202号</t>
  </si>
  <si>
    <t>LUU THANH DAT</t>
  </si>
  <si>
    <t>リュ　タン　ダット</t>
  </si>
  <si>
    <t>武藤　ジュニオル　カズミ</t>
  </si>
  <si>
    <t>ムトウ　ジュニオル　カズミ</t>
  </si>
  <si>
    <t>近藤　ヨシオ</t>
  </si>
  <si>
    <t>コンドウ　ヨシオ</t>
  </si>
  <si>
    <t>503-0973</t>
  </si>
  <si>
    <t>岐阜県大垣市木戸町292番地</t>
  </si>
  <si>
    <t>K HOUSE206</t>
  </si>
  <si>
    <t>幸埼　ノルベルト</t>
  </si>
  <si>
    <t>コサキ　ノルベルト</t>
  </si>
  <si>
    <t>350</t>
  </si>
  <si>
    <t>VU DINH TUAN</t>
  </si>
  <si>
    <t>ヴー　ディン　トゥアン</t>
  </si>
  <si>
    <t>TRAN THI HONG MAY</t>
  </si>
  <si>
    <t>チャン　ティ　ホング　マイ</t>
  </si>
  <si>
    <t>NGUYEN MINH SON</t>
  </si>
  <si>
    <t>グエン　ミン　ソン</t>
  </si>
  <si>
    <t>成広ｺｰﾎﾟⅡ102号</t>
  </si>
  <si>
    <t>LUU TUAN NGHIA</t>
  </si>
  <si>
    <t>リュウ　トゥアン　ギア</t>
  </si>
  <si>
    <t>NGUYEN MANH HAO</t>
  </si>
  <si>
    <t>グエン　マイン　ハオ</t>
  </si>
  <si>
    <t>VAN TIEN THANH</t>
  </si>
  <si>
    <t>バン　ティエン　タン</t>
  </si>
  <si>
    <t>DAO VAN HOAN</t>
  </si>
  <si>
    <t>ダオ　ヴァン　ホアン</t>
  </si>
  <si>
    <t>800</t>
  </si>
  <si>
    <t>YOSHIKAWA DANIEL</t>
  </si>
  <si>
    <t>ヨシカワ　ダニエル</t>
  </si>
  <si>
    <t>498-0024</t>
  </si>
  <si>
    <t>愛知県弥富市鯏浦町西前新田97-1</t>
  </si>
  <si>
    <t>ﾗﾌｨﾈRS　A-102</t>
  </si>
  <si>
    <t>TRAN VAN SANG</t>
  </si>
  <si>
    <t>チャン　ヴァン　サン</t>
  </si>
  <si>
    <t>590</t>
  </si>
  <si>
    <t>NAMBU ALEXANDRE</t>
  </si>
  <si>
    <t>ナンブ　アレシャンドレ</t>
  </si>
  <si>
    <t>NGUYEN HUU PHUC</t>
  </si>
  <si>
    <t>グエン　フュ　フック</t>
  </si>
  <si>
    <t>PHAN DINH THANH</t>
  </si>
  <si>
    <t>ファン　ディン　タァン</t>
  </si>
  <si>
    <t>TRAN DINH VINH</t>
  </si>
  <si>
    <t>チャン　ディン　ヴィン</t>
  </si>
  <si>
    <t>NGUYEN DUC THO</t>
  </si>
  <si>
    <t>グエン　ドゥック　トー</t>
  </si>
  <si>
    <t>LE THU HA</t>
  </si>
  <si>
    <t>レー　トゥー　ハー</t>
  </si>
  <si>
    <t>愛知県弥富市前ケ須町南本田401-6</t>
  </si>
  <si>
    <t>ﾗﾌｨｰﾈﾔﾄﾐ2E</t>
  </si>
  <si>
    <t>PEREIRA ANDERSON</t>
  </si>
  <si>
    <t>ペレイラ　アンデルソン</t>
  </si>
  <si>
    <t>1650</t>
  </si>
  <si>
    <t>496-0812</t>
  </si>
  <si>
    <t>愛知県津島市兼平町1丁目58番地</t>
  </si>
  <si>
    <t>MA VAN NGOC</t>
  </si>
  <si>
    <t>マ　ヴァン　ゴック</t>
  </si>
  <si>
    <t>PHAM VAN KHANH</t>
  </si>
  <si>
    <t>ファン　ヴァン　カン</t>
  </si>
  <si>
    <t>HOANG XUAN THUY</t>
  </si>
  <si>
    <t>ファン　スアン　テイ</t>
  </si>
  <si>
    <t>TRUONG TRONG LUU</t>
  </si>
  <si>
    <t>チュオン　チョン　リュ</t>
  </si>
  <si>
    <t>VU VAN CHUC</t>
  </si>
  <si>
    <t>ヴ　ヴァン　チュック</t>
  </si>
  <si>
    <t>TRAN VAN QUYNH</t>
  </si>
  <si>
    <t>チャン　ヴァン　クイン</t>
  </si>
  <si>
    <t>HASHIMOTO ALEX SANDRO</t>
  </si>
  <si>
    <t>ハシモト　アレックス　サンドロ</t>
  </si>
  <si>
    <t>895-2701</t>
  </si>
  <si>
    <t>鹿児島県伊佐市菱刈前目1942</t>
  </si>
  <si>
    <t>菱刈ﾊｲﾂA103</t>
  </si>
  <si>
    <t>DAO VAN LOI</t>
  </si>
  <si>
    <t>ダオ　バン　ロイ</t>
  </si>
  <si>
    <t>成広矢原ｺｰﾎﾟⅢ103号</t>
  </si>
  <si>
    <t>DANG THI HONG</t>
  </si>
  <si>
    <t>ダオ　ティ　ホン</t>
  </si>
  <si>
    <t>グエン　シー　ドック</t>
  </si>
  <si>
    <t>NGUYEN QUOC KHAI</t>
  </si>
  <si>
    <t>グエン　クオック　カイ</t>
  </si>
  <si>
    <t>PHAN THANH SI</t>
  </si>
  <si>
    <t>ファン　タイン　シー</t>
  </si>
  <si>
    <t>700-0065</t>
  </si>
  <si>
    <t>岡山県岡山市北区野殿東町10番17号</t>
  </si>
  <si>
    <t>TRUONG DINH HUNG</t>
  </si>
  <si>
    <t>トゥン　ディン　フン</t>
  </si>
  <si>
    <t>NGUYEN THI NGOC LINH</t>
  </si>
  <si>
    <t>グエン　ティ　ゴック　リン</t>
  </si>
  <si>
    <t>2021/9/21～　1250⇒1300UP</t>
  </si>
  <si>
    <t>入社一か月後　2000円へUP</t>
  </si>
  <si>
    <t>3/11最終出勤日、産休終了5/18で退社</t>
  </si>
  <si>
    <t>NGUYEN VIET HOANG</t>
  </si>
  <si>
    <t>グエン　ヴィエン　ホアン</t>
  </si>
  <si>
    <t>LE HUY HOANG</t>
  </si>
  <si>
    <t>レ　フィ　ホアン</t>
  </si>
  <si>
    <t>成広矢原ｺｰﾎﾟⅡ102号</t>
  </si>
  <si>
    <t>HOANG VAN NHI</t>
  </si>
  <si>
    <t>ホアン　ヴァン　ニー</t>
  </si>
  <si>
    <t>LE TIEN THANH</t>
  </si>
  <si>
    <t>レ　ティエン　タイン</t>
  </si>
  <si>
    <t>ﾚﾌﾞﾗﾝｶﾐｰﾘｱA201</t>
  </si>
  <si>
    <t>グエン　ヴァン　ハオ</t>
  </si>
  <si>
    <t>尾鉢第3住宅1号棟</t>
  </si>
  <si>
    <t>NGUYEN XUAN THANG</t>
  </si>
  <si>
    <t>グエン　スワン　タン</t>
  </si>
  <si>
    <t>475-0041</t>
  </si>
  <si>
    <t>愛知県半田市乙川太田町2丁目125番地</t>
  </si>
  <si>
    <t>ｺｰﾎﾟｵｰｸｽ202号</t>
  </si>
  <si>
    <t>NGUYEN TRONG DU</t>
  </si>
  <si>
    <t>グエン　チョン　ズ</t>
  </si>
  <si>
    <t>HOANG QUOC HUAN</t>
  </si>
  <si>
    <t>ホアン　コック　ホウアン</t>
  </si>
  <si>
    <t>NGUYEN QUANG TRUNG</t>
  </si>
  <si>
    <t>グエン　クアン　チュン</t>
  </si>
  <si>
    <t>LE CAO HOAI</t>
  </si>
  <si>
    <t>レ　カオ　ホアイ</t>
  </si>
  <si>
    <t>2021/12/21~</t>
  </si>
  <si>
    <t>DAM HUY HUNG</t>
  </si>
  <si>
    <t>ダム　フィ　フン</t>
  </si>
  <si>
    <t>DA SILVA WAGNER</t>
  </si>
  <si>
    <t>ダ　シルバ　ワグナー</t>
  </si>
  <si>
    <t>250</t>
  </si>
  <si>
    <t>KITABATAKE　MICHEL</t>
  </si>
  <si>
    <t>キタバタケ　ミッシェル</t>
  </si>
  <si>
    <t>9/27～10/20　1350円　10/21～　1400円</t>
  </si>
  <si>
    <t>503-2124</t>
  </si>
  <si>
    <t>岐阜県不破郡垂井町宮代555番地1</t>
  </si>
  <si>
    <t>ｺｽﾓﾊｲﾂB205号</t>
  </si>
  <si>
    <t>NGUYEN VAN TRUNG</t>
  </si>
  <si>
    <t>VU THI UYEN</t>
  </si>
  <si>
    <t>ヴ　ティー　ウェン</t>
  </si>
  <si>
    <t>471-0033</t>
  </si>
  <si>
    <t>愛知県豊田市月見町3-2-5</t>
  </si>
  <si>
    <t>ﾚｵﾊﾟﾚｽ上り屋敷ﾂｷﾐ306号</t>
  </si>
  <si>
    <t>グエン　バン　チュン</t>
  </si>
  <si>
    <t>PHAM THI PHUONG</t>
  </si>
  <si>
    <t>ファム　ティ　フォン</t>
  </si>
  <si>
    <t>712-8032</t>
  </si>
  <si>
    <t>岡山県倉敷市北畝2-4-11</t>
  </si>
  <si>
    <t>NGUYEN DANG KHANG</t>
  </si>
  <si>
    <t>グエン　ダン　クアン</t>
  </si>
  <si>
    <t>NGUYEN VAN DUY</t>
  </si>
  <si>
    <t>グエン　ヴァン　ズイ</t>
  </si>
  <si>
    <t>663-8174</t>
  </si>
  <si>
    <t>兵庫県西宮市甲子園四番町1-16</t>
  </si>
  <si>
    <t>甲子園四番町ﾊｲﾂ1F号</t>
  </si>
  <si>
    <t>LE HUU THANG</t>
  </si>
  <si>
    <t>レー　ヒュー　タン</t>
  </si>
  <si>
    <t>HOANG HUY HOI</t>
  </si>
  <si>
    <t>ホアン　フイ　ホイ</t>
  </si>
  <si>
    <t>PHAN VAN BINH</t>
  </si>
  <si>
    <t>ファン　バン　ビン</t>
  </si>
  <si>
    <t>MA PHUC MINH</t>
  </si>
  <si>
    <t>マ　フック　ミン</t>
  </si>
  <si>
    <t>PHAM LE PUONG DUY</t>
  </si>
  <si>
    <t>ファム　レー　フウノ　ユイ</t>
  </si>
  <si>
    <t>ｺﾝﾂｪﾙﾊｳｽⅡDｰ202</t>
  </si>
  <si>
    <t>TRESYAN REZA PERMANA</t>
  </si>
  <si>
    <t>トレシャン　レザ　ペルマナ</t>
  </si>
  <si>
    <t>岡山県岡山市北区御津矢原294番地１</t>
  </si>
  <si>
    <t>ALI RASYIID MUHAMMAD</t>
  </si>
  <si>
    <t>アリ　ラシド　ムハマド</t>
  </si>
  <si>
    <t>SANDY NACAYA JOELMA</t>
  </si>
  <si>
    <t>サンディー　ナカヤ　ジョエルマ</t>
  </si>
  <si>
    <t>丸池荘4棟1109号</t>
  </si>
  <si>
    <t>ODORIZZI SANDRA</t>
  </si>
  <si>
    <t>オードリージ　サンドラ</t>
  </si>
  <si>
    <t>455-0072</t>
  </si>
  <si>
    <t>愛知県名古屋市港区須成町2丁目14番地</t>
  </si>
  <si>
    <t>須成荘3棟302号</t>
  </si>
  <si>
    <t>DO VAN TRONG</t>
  </si>
  <si>
    <t>ド　ヴァン　チョン</t>
  </si>
  <si>
    <t>658-0021</t>
  </si>
  <si>
    <t>兵庫県神戸市東灘区深江本町2-7-3</t>
  </si>
  <si>
    <t>305号</t>
  </si>
  <si>
    <t>THAN TRUNG TIEN</t>
  </si>
  <si>
    <t>タン　チュン　ティエン</t>
  </si>
  <si>
    <t>仲間　ルイス　幸一</t>
  </si>
  <si>
    <t>ナカマ　ルイス　コウイチ</t>
  </si>
  <si>
    <t>455-0044</t>
  </si>
  <si>
    <t>愛知県名古屋市港区築三町1丁目26-1</t>
  </si>
  <si>
    <t>VO VAN LUONG</t>
  </si>
  <si>
    <t>ボ　バン　ルン</t>
  </si>
  <si>
    <t>PHAN VAN CUONG</t>
  </si>
  <si>
    <t>ハン　バン　クオン</t>
  </si>
  <si>
    <t>3493668</t>
  </si>
  <si>
    <t>LE VAN LONG</t>
  </si>
  <si>
    <t>レー　ヴァン　ロン</t>
  </si>
  <si>
    <t>静岡県袋井市堀越1丁目14-6</t>
  </si>
  <si>
    <t>ﾊｰﾓﾆｰ201</t>
  </si>
  <si>
    <t>グエン　ヴィエット　クオン</t>
  </si>
  <si>
    <t>3582622</t>
  </si>
  <si>
    <t>NGO DUC HIEP</t>
  </si>
  <si>
    <t>ゴー　ドゥック　ヒエップ</t>
  </si>
  <si>
    <t>TRAN VAN HIEU</t>
  </si>
  <si>
    <t>チャン　ヴァン　ヒエウ</t>
  </si>
  <si>
    <t>VU TUAN ANH</t>
  </si>
  <si>
    <t>ブー　テュアン　アン</t>
  </si>
  <si>
    <t>MA THE THIEN</t>
  </si>
  <si>
    <t>マー　テー　ティエン</t>
  </si>
  <si>
    <t>BUI THE LAM</t>
  </si>
  <si>
    <t>ブイ　テエ　ラム</t>
  </si>
  <si>
    <t>581-0875</t>
  </si>
  <si>
    <t>大阪府八尾市高安町南1-69-6</t>
  </si>
  <si>
    <t>高安一番館403</t>
  </si>
  <si>
    <t>ブイ　テェ　ラム</t>
  </si>
  <si>
    <t>1985301</t>
  </si>
  <si>
    <t>BUI DAI PHUOC</t>
  </si>
  <si>
    <t>ブイ　ダイ　フク</t>
  </si>
  <si>
    <t>フン　マイン　トゥアン</t>
  </si>
  <si>
    <t>3117913</t>
  </si>
  <si>
    <t>5/24原</t>
  </si>
  <si>
    <t>2022/4/28～2022/5/19　請負従事　2022/5/23～　三幸技研へ派遣開始</t>
  </si>
  <si>
    <t>ター　クァン　ヴォン</t>
  </si>
  <si>
    <t>1517237</t>
  </si>
  <si>
    <t>NGUYEN VIET CUONG</t>
  </si>
  <si>
    <t>グエン　ディン　タイン</t>
  </si>
  <si>
    <t>グエン　チー　トゥアン</t>
  </si>
  <si>
    <t>3709440</t>
  </si>
  <si>
    <t>TRAN HONG QUAN</t>
  </si>
  <si>
    <t>チャン　ホン　クアン</t>
  </si>
  <si>
    <t>ヴォ　クイ　ホアン</t>
  </si>
  <si>
    <t>3709651</t>
  </si>
  <si>
    <t>PHUNG MANH TUAN</t>
  </si>
  <si>
    <t>NGUYEN CHI TUAN</t>
  </si>
  <si>
    <t>DANG THANH SON</t>
  </si>
  <si>
    <t>ダン　タン　ソン</t>
  </si>
  <si>
    <t>7/8原</t>
  </si>
  <si>
    <t>ﾌｪﾆﾃｯｸ岡山工場　退社　⇒　2022/5/31ﾌｪﾆﾃｯｸ鹿児島へ再入社</t>
  </si>
  <si>
    <t>2022/4/1コーリツ退社　2022/6/1　コーリツに再入社</t>
  </si>
  <si>
    <t>2022/6/7～　1400円⇒1500円</t>
  </si>
  <si>
    <t>2022/4/27コーリツ退社　2022/6/1　コーリツに再入社</t>
  </si>
  <si>
    <t>NGUYEN XUAN HIEU</t>
  </si>
  <si>
    <t>グエン　スアン　ヒエウ</t>
  </si>
  <si>
    <t>437-0063</t>
  </si>
  <si>
    <t>静岡県袋井市田町2丁目6-10</t>
  </si>
  <si>
    <t>SuperiorⅠ201</t>
  </si>
  <si>
    <t>7/14林</t>
  </si>
  <si>
    <t>VU DINH DUONG</t>
  </si>
  <si>
    <t>ヴー　ディン　ズオン</t>
  </si>
  <si>
    <t>ヴー　デイン　ズオン</t>
  </si>
  <si>
    <t>4067565</t>
  </si>
  <si>
    <t>630627</t>
  </si>
  <si>
    <t>VO QUY HOAN</t>
  </si>
  <si>
    <t>NGUYEN MINH DUC</t>
  </si>
  <si>
    <t>グエン　ミン　ドゥック</t>
  </si>
  <si>
    <t>NGUYEN NGOC DAI</t>
  </si>
  <si>
    <t>グエン　ゴック　ダイ</t>
  </si>
  <si>
    <t>PHAM DINH TUAN</t>
  </si>
  <si>
    <t>ファム　ディン　トウン</t>
  </si>
  <si>
    <t>559-0004</t>
  </si>
  <si>
    <t>大阪府大阪市住之江区住之江3-3-21</t>
  </si>
  <si>
    <t>ｻﾝﾗｲﾌ住之江101</t>
  </si>
  <si>
    <t>DUONG VAN NGHIA</t>
  </si>
  <si>
    <t>ズオン　ヴァン　ギア</t>
  </si>
  <si>
    <t>半年後UPなし</t>
  </si>
  <si>
    <t>8/10原</t>
  </si>
  <si>
    <t>NGUYEN VAN VUNG</t>
  </si>
  <si>
    <t>グエン　ヴァン　ブン</t>
  </si>
  <si>
    <t>1553818</t>
  </si>
  <si>
    <t>BUI THI HONG LOAN</t>
  </si>
  <si>
    <t>ブイ　ティ　ホン　ロアン</t>
  </si>
  <si>
    <t>4072812</t>
  </si>
  <si>
    <t>DAO THI MIEN</t>
  </si>
  <si>
    <t>ダオ　ティ　ミエン</t>
  </si>
  <si>
    <t>3866706</t>
  </si>
  <si>
    <t>TRAN QUANG HUY</t>
  </si>
  <si>
    <t>チャン　クアン　フィ</t>
  </si>
  <si>
    <t>5/20請負入社　切子回収より異動</t>
  </si>
  <si>
    <t>グエン　ファン　バン</t>
  </si>
  <si>
    <t>15400　3996663</t>
  </si>
  <si>
    <t>6/15~請負入社異動</t>
  </si>
  <si>
    <t>佐藤　マルセロ　ヒトシ</t>
  </si>
  <si>
    <t>愛知県弥富市鯏浦町東気開51番地1</t>
  </si>
  <si>
    <t>ﾌｨﾚﾝﾂｪ弥冨2-406</t>
  </si>
  <si>
    <t>チヤン　デイン ヴイン</t>
  </si>
  <si>
    <t>三一八</t>
  </si>
  <si>
    <t>1789662</t>
  </si>
  <si>
    <t>8/3原</t>
  </si>
  <si>
    <t>NGUYEN VAN SANG</t>
  </si>
  <si>
    <t>グエン　ヴァン　サン</t>
  </si>
  <si>
    <t>8/8原</t>
  </si>
  <si>
    <t>VU DUC QUOC DAT</t>
  </si>
  <si>
    <t>ヴー　ドウック　クオック　ダット</t>
  </si>
  <si>
    <t>ヴー　ドゥック　クオック　ダット</t>
  </si>
  <si>
    <t>3884081</t>
  </si>
  <si>
    <t>8/1原</t>
  </si>
  <si>
    <t>請負(22/7/20まで)より異動。7/22～各務ハイツ４Hから６Aへ転入</t>
  </si>
  <si>
    <t>VO VAN THA</t>
  </si>
  <si>
    <t>ヴォー　ヴァン　ター</t>
  </si>
  <si>
    <t>8/4中山</t>
  </si>
  <si>
    <t>グエン　ヴァン　ホア</t>
  </si>
  <si>
    <t>ﾛｼﾞｭﾏﾝ千希A201号</t>
  </si>
  <si>
    <t>グエン　ヴアン　ホア</t>
  </si>
  <si>
    <t>3175164</t>
  </si>
  <si>
    <t>9/7林</t>
  </si>
  <si>
    <t>ユアサ工機 本社</t>
  </si>
  <si>
    <t>NGUYEN DUY THANG</t>
  </si>
  <si>
    <t>グエン　ズイ　タン</t>
  </si>
  <si>
    <t>701-0143</t>
  </si>
  <si>
    <t>岡山県岡山市北区白石194-1</t>
  </si>
  <si>
    <t>ｻﾝﾊｲﾂいたのC201</t>
  </si>
  <si>
    <t>8/24林</t>
  </si>
  <si>
    <t>37477771</t>
  </si>
  <si>
    <t>37477761</t>
  </si>
  <si>
    <t>NGUYEN THI HANH</t>
  </si>
  <si>
    <t>グエン　ティ　ハイン</t>
  </si>
  <si>
    <t>470-0331</t>
  </si>
  <si>
    <t>2558703</t>
  </si>
  <si>
    <t>9/12林</t>
  </si>
  <si>
    <t>HOANG VAN HUNG</t>
  </si>
  <si>
    <t>ホアン　ヴァン　フン</t>
  </si>
  <si>
    <t>564537</t>
  </si>
  <si>
    <t>VU THUONG QUYEN</t>
  </si>
  <si>
    <t>ヴ　トウオン　クイエン</t>
  </si>
  <si>
    <t>グエン　ヴアン　タイ</t>
  </si>
  <si>
    <t>浜松高丘</t>
  </si>
  <si>
    <t>グエン　フー　ホイ</t>
  </si>
  <si>
    <t>486-0912</t>
  </si>
  <si>
    <t>愛知県春日井市高山町2丁目32番地4</t>
  </si>
  <si>
    <t>ﾊﾟｰｸｻｲﾄﾞｽｽﾞｷ101</t>
  </si>
  <si>
    <t>グエン　フウ　ホイ</t>
  </si>
  <si>
    <t>4243148</t>
  </si>
  <si>
    <t>LE VAN MANH</t>
  </si>
  <si>
    <t>レー　ヴァン　マイン</t>
  </si>
  <si>
    <t>愛知県春日井市高山町2丁目32番地5</t>
  </si>
  <si>
    <t>3556530</t>
  </si>
  <si>
    <t>グェン　ヴァン　ソン</t>
  </si>
  <si>
    <t>2174250</t>
  </si>
  <si>
    <t>2022/8/25　請負から派遣に切替　請負で1年以上経験有る為、1400円ｽﾀｰﾄ</t>
  </si>
  <si>
    <t>チャン　バ　ハイ</t>
  </si>
  <si>
    <t>12010　14923711</t>
  </si>
  <si>
    <t>グェン　ヴィエット　ハー</t>
  </si>
  <si>
    <t>12060　12264271</t>
  </si>
  <si>
    <t>THIEU QUANG TINH</t>
  </si>
  <si>
    <t>ティエウ　クアン　ティン</t>
  </si>
  <si>
    <t>静岡県袋井市堀越3丁目19番地2</t>
  </si>
  <si>
    <t>チュ　バン　フオン</t>
  </si>
  <si>
    <t>1493989</t>
  </si>
  <si>
    <t>TRAN BA HAI</t>
  </si>
  <si>
    <t>愛知県春日井市高山町4丁目13-13</t>
  </si>
  <si>
    <t>ﾒｿﾞﾝ辻山105</t>
  </si>
  <si>
    <t>NGUYEN VIET HA</t>
  </si>
  <si>
    <t>グエン　ヴィエット　ハー</t>
  </si>
  <si>
    <t>CHU VAN PHUONG</t>
  </si>
  <si>
    <t>ﾒｿﾞﾝ辻山201</t>
  </si>
  <si>
    <t>DANG VAN DOANH</t>
  </si>
  <si>
    <t>ダン　ヴァン　ゾアン</t>
  </si>
  <si>
    <t>静岡県袋井市堀越3-19-2</t>
  </si>
  <si>
    <t>ｴｸｾｰﾗ305号室</t>
  </si>
  <si>
    <t>9/15林</t>
  </si>
  <si>
    <t>NGUYEN VAN TAI</t>
  </si>
  <si>
    <t>グエン　ヴァン　タイ</t>
  </si>
  <si>
    <t>22.9.5</t>
  </si>
  <si>
    <t>0598361</t>
  </si>
  <si>
    <t>9/5林</t>
  </si>
  <si>
    <t>NGUYEN HUU THANG</t>
  </si>
  <si>
    <t>グエン　フゥ　タン</t>
  </si>
  <si>
    <t>3584749</t>
  </si>
  <si>
    <t>成広矢原ｺｰﾎⅥ102</t>
  </si>
  <si>
    <t>2022/9/8　請負から派遣に切替　請負で1年以上経験有る為、1400円ｽﾀｰﾄ</t>
  </si>
  <si>
    <t>保科　クラウジオ</t>
  </si>
  <si>
    <t>ホシナ　クラウジオ</t>
  </si>
  <si>
    <t>496-0026</t>
  </si>
  <si>
    <t>愛知県津島市唐臼町西島69-2</t>
  </si>
  <si>
    <t>THAI HUY DUC</t>
  </si>
  <si>
    <t>タイ　フィ　ドゥック</t>
  </si>
  <si>
    <t>ｱﾙｿｰﾚD102</t>
  </si>
  <si>
    <t>2641707</t>
  </si>
  <si>
    <t>9/21林</t>
  </si>
  <si>
    <t>NGUYEN VAN THAI</t>
  </si>
  <si>
    <t>グエン　バン　タイ</t>
  </si>
  <si>
    <t>2641706</t>
  </si>
  <si>
    <t>CHU DUC THANG</t>
  </si>
  <si>
    <t>チュ　ドゥック　タン</t>
  </si>
  <si>
    <t>2355025</t>
  </si>
  <si>
    <t>田村　誠吾</t>
  </si>
  <si>
    <t>タムラ　セイゴ</t>
  </si>
  <si>
    <t>462-0012</t>
  </si>
  <si>
    <t>愛知県名古屋市北区楠2-119</t>
  </si>
  <si>
    <t>中あじま荘5棟206号</t>
  </si>
  <si>
    <t>DINH CONG CUONG</t>
  </si>
  <si>
    <t>ディン　コン　クォン</t>
  </si>
  <si>
    <t>486-0928</t>
  </si>
  <si>
    <t>愛知県春日井市妙慶町2丁目8</t>
  </si>
  <si>
    <t>妙慶ﾊｲﾂ202号</t>
  </si>
  <si>
    <t>12350　5871922</t>
  </si>
  <si>
    <t>1586714</t>
  </si>
  <si>
    <t>NGUYEN CUONG</t>
  </si>
  <si>
    <t>グエン　クオン</t>
  </si>
  <si>
    <t>9/22林</t>
  </si>
  <si>
    <t>DINH NHO SANG</t>
  </si>
  <si>
    <t>ディン　ノー　サン</t>
  </si>
  <si>
    <t>LE HOANG QUOC</t>
  </si>
  <si>
    <t>レー　ホアン　クオック</t>
  </si>
  <si>
    <t>LE HOANG HUY</t>
  </si>
  <si>
    <t>レー　ホアン　フイ</t>
  </si>
  <si>
    <t>PHAN MINH THANH</t>
  </si>
  <si>
    <t>ファン　ミン　タイン</t>
  </si>
  <si>
    <t>待機中</t>
  </si>
  <si>
    <t>HO DINH DUONG</t>
  </si>
  <si>
    <t>ホー　ディン　ズオン</t>
  </si>
  <si>
    <t>HOANG ANH TU</t>
  </si>
  <si>
    <t>ホアン　アイン　トウ</t>
  </si>
  <si>
    <t>DANG VAN QUANG</t>
  </si>
  <si>
    <t>ダン　ヴァン　クアン</t>
  </si>
  <si>
    <t>LE VAN LUONG</t>
  </si>
  <si>
    <t>レー　ヴァン　ルオン</t>
  </si>
  <si>
    <t>プレテック</t>
  </si>
  <si>
    <t>ユアサ工機 新城</t>
  </si>
  <si>
    <t>NGUYEN HOANG PHIEN</t>
  </si>
  <si>
    <t>グエン　ホアン　フィエン</t>
  </si>
  <si>
    <t>振込先　愛知銀行　当知支店　普通2077819　名義人　ユニバーサル企画（株）</t>
    <phoneticPr fontId="9" type="noConversion"/>
  </si>
  <si>
    <t>15　日</t>
    <rPh sb="3" eb="4">
      <t>ニチ</t>
    </rPh>
    <phoneticPr fontId="1"/>
  </si>
  <si>
    <t>シャフト部品の研磨加工</t>
    <phoneticPr fontId="9" type="noConversion"/>
  </si>
  <si>
    <t>当月末　日</t>
    <rPh sb="0" eb="3">
      <t>トウゲツマツ</t>
    </rPh>
    <rPh sb="4" eb="5">
      <t>ニチ</t>
    </rPh>
    <phoneticPr fontId="1"/>
  </si>
  <si>
    <t>3時間/日、42時間/月、320時間/年迄とする。但し、特別条項の申請により、80時間/月、720時間/年迄延長できる。申請は6回/年迄とする。</t>
    <phoneticPr fontId="9" type="noConversion"/>
  </si>
  <si>
    <t>抵触日</t>
    <rPh sb="0" eb="3">
      <t>ﾃｲｼｮｸﾋﾞ</t>
    </rPh>
    <phoneticPr fontId="9" type="noConversion"/>
  </si>
  <si>
    <t>月～金　（祝日、年末年始、夏季休業を除く。）　4勤2休シフト　　別紙ｶﾚﾝﾀﾞｰの通り</t>
    <phoneticPr fontId="9" type="noConversion"/>
  </si>
  <si>
    <t xml:space="preserve">派  遣  先  管  理  台  帳 </t>
    <phoneticPr fontId="1"/>
  </si>
  <si>
    <t>派遣労働者の氏名</t>
    <phoneticPr fontId="1"/>
  </si>
  <si>
    <t xml:space="preserve"> 社会保険・雇用保険の被</t>
    <phoneticPr fontId="1"/>
  </si>
  <si>
    <t xml:space="preserve"> 雇用保険：</t>
    <phoneticPr fontId="1"/>
  </si>
  <si>
    <t>無の理由：</t>
    <phoneticPr fontId="1"/>
  </si>
  <si>
    <t>提出予定：</t>
    <phoneticPr fontId="1"/>
  </si>
  <si>
    <t xml:space="preserve"> 保険者資格取得届の提出</t>
    <phoneticPr fontId="1"/>
  </si>
  <si>
    <t xml:space="preserve"> 健康保険：</t>
    <phoneticPr fontId="1"/>
  </si>
  <si>
    <t>☑ 有</t>
    <phoneticPr fontId="1"/>
  </si>
  <si>
    <t xml:space="preserve"> の有無</t>
    <phoneticPr fontId="1"/>
  </si>
  <si>
    <t xml:space="preserve"> 厚生年金保険：</t>
    <phoneticPr fontId="1"/>
  </si>
  <si>
    <t>派遣先の事業所名称</t>
    <phoneticPr fontId="1"/>
  </si>
  <si>
    <t>事業所の所在地</t>
    <phoneticPr fontId="1"/>
  </si>
  <si>
    <t xml:space="preserve"> 組織単位</t>
    <rPh sb="1" eb="5">
      <t>ソシキタンイ</t>
    </rPh>
    <phoneticPr fontId="1"/>
  </si>
  <si>
    <t>所　属　部　署</t>
    <phoneticPr fontId="1"/>
  </si>
  <si>
    <t>TEL</t>
    <phoneticPr fontId="1"/>
  </si>
  <si>
    <t>業　務　内　容</t>
    <phoneticPr fontId="1"/>
  </si>
  <si>
    <t>雇用期間の有無</t>
    <phoneticPr fontId="1"/>
  </si>
  <si>
    <t>業務に伴う責任の程度</t>
    <phoneticPr fontId="1"/>
  </si>
  <si>
    <t>派　遣　期　間</t>
    <phoneticPr fontId="1"/>
  </si>
  <si>
    <t>□無期雇用派遣労働者に限定／☑無期雇用派遣労働者に限定なし</t>
    <phoneticPr fontId="1"/>
  </si>
  <si>
    <t>□60歳以上に限定／☑60歳以上に限定なし</t>
    <phoneticPr fontId="1"/>
  </si>
  <si>
    <t>☑協定対象労働者に限定／□協定対象労働者に限定なし</t>
    <phoneticPr fontId="1"/>
  </si>
  <si>
    <t>製造業務専門
派遣先責任者</t>
    <phoneticPr fontId="1"/>
  </si>
  <si>
    <t>派遣元の事業所名称</t>
    <phoneticPr fontId="1"/>
  </si>
  <si>
    <t>派遣元の所在地</t>
    <phoneticPr fontId="1"/>
  </si>
  <si>
    <t>製造業務専門
派遣元責任者</t>
    <phoneticPr fontId="1"/>
  </si>
  <si>
    <t>就   業   日</t>
    <phoneticPr fontId="1"/>
  </si>
  <si>
    <t>派遣先の年間カレンダーによる</t>
    <phoneticPr fontId="1"/>
  </si>
  <si>
    <t>就業状況</t>
    <phoneticPr fontId="1"/>
  </si>
  <si>
    <t xml:space="preserve"> 別紙タイムシートによる</t>
    <phoneticPr fontId="1"/>
  </si>
  <si>
    <t xml:space="preserve"> 教育訓練を行った日時と内容</t>
    <phoneticPr fontId="1"/>
  </si>
  <si>
    <t>苦情対応の状況</t>
    <phoneticPr fontId="1"/>
  </si>
  <si>
    <t>　　申出を受けた日</t>
    <phoneticPr fontId="1"/>
  </si>
  <si>
    <t>苦情内容、処理状況、備考</t>
    <phoneticPr fontId="1"/>
  </si>
  <si>
    <t>申出①　 　申出②　 　申出③</t>
    <phoneticPr fontId="1"/>
  </si>
  <si>
    <t xml:space="preserve"> 応対者１</t>
    <phoneticPr fontId="1"/>
  </si>
  <si>
    <t xml:space="preserve"> 応対者２</t>
  </si>
  <si>
    <t xml:space="preserve"> 応対者３</t>
  </si>
  <si>
    <t>【労働者派遣終了後３年間保存】</t>
    <phoneticPr fontId="1"/>
  </si>
  <si>
    <t>44652本社工場製造3課6工区</t>
  </si>
  <si>
    <t>性  別
60才以上か否かの別</t>
    <phoneticPr fontId="1"/>
  </si>
  <si>
    <t>☑ 有期雇用 　  　 □ 無期雇用</t>
    <phoneticPr fontId="1"/>
  </si>
  <si>
    <t>～</t>
    <phoneticPr fontId="1"/>
  </si>
  <si>
    <t xml:space="preserve"> 〒462-0016　愛知県名古屋市北区西味鋺1-511水野ビル201</t>
    <phoneticPr fontId="1"/>
  </si>
  <si>
    <t>に締結した労働者派遣契約に基づき、下記のものを派遣致します。就業条件は個別契約書の条件と相違ありません。</t>
    <phoneticPr fontId="1"/>
  </si>
  <si>
    <t xml:space="preserve">  ユニバーサル企画株式会社　　　　　　　　　　　許可番号　派23-303669</t>
    <phoneticPr fontId="1"/>
  </si>
  <si>
    <t>1次旋</t>
    <phoneticPr fontId="9" type="noConversion"/>
  </si>
  <si>
    <t>NC施盤</t>
    <phoneticPr fontId="9" type="noConversion"/>
  </si>
  <si>
    <t>MC施盤</t>
    <phoneticPr fontId="9" type="noConversion"/>
  </si>
  <si>
    <t>産業機械部品の研磨加工、MCプログラム修正</t>
    <phoneticPr fontId="9" type="noConversion"/>
  </si>
  <si>
    <t>検査</t>
    <phoneticPr fontId="9" type="noConversion"/>
  </si>
  <si>
    <t>安藤　忍　</t>
    <phoneticPr fontId="9" type="noConversion"/>
  </si>
  <si>
    <t>部長</t>
    <phoneticPr fontId="9" type="noConversion"/>
  </si>
  <si>
    <t>関山　太朗　</t>
    <phoneticPr fontId="9" type="noConversion"/>
  </si>
  <si>
    <t>工場長</t>
    <phoneticPr fontId="9" type="noConversion"/>
  </si>
  <si>
    <t>万代　真史　</t>
    <phoneticPr fontId="9" type="noConversion"/>
  </si>
  <si>
    <t>副工場長</t>
    <phoneticPr fontId="9" type="noConversion"/>
  </si>
  <si>
    <t>課長</t>
    <phoneticPr fontId="9" type="noConversion"/>
  </si>
  <si>
    <t>吉田　健太郎</t>
    <phoneticPr fontId="9" type="noConversion"/>
  </si>
  <si>
    <t>金沢　信親</t>
    <phoneticPr fontId="9" type="noConversion"/>
  </si>
  <si>
    <t>足立　清太郎</t>
    <phoneticPr fontId="9" type="noConversion"/>
  </si>
  <si>
    <t>服部　晃昌</t>
    <phoneticPr fontId="9" type="noConversion"/>
  </si>
  <si>
    <t>副部長</t>
    <phoneticPr fontId="9" type="noConversion"/>
  </si>
  <si>
    <t>鎌倉　仁</t>
    <phoneticPr fontId="9" type="noConversion"/>
  </si>
  <si>
    <t>愛知県弥富市六條町大崎11番地1</t>
    <phoneticPr fontId="9" type="noConversion"/>
  </si>
  <si>
    <t>愛知県弥富市五斗山三丁目22番地</t>
    <phoneticPr fontId="9" type="noConversion"/>
  </si>
  <si>
    <t>0567-56-6681</t>
    <phoneticPr fontId="9" type="noConversion"/>
  </si>
  <si>
    <t>0567-56-6711</t>
    <phoneticPr fontId="9" type="noConversion"/>
  </si>
  <si>
    <t>0538-48-5080</t>
    <phoneticPr fontId="9" type="noConversion"/>
  </si>
  <si>
    <t>静岡県袋井市山科2315番地1</t>
    <phoneticPr fontId="9" type="noConversion"/>
  </si>
  <si>
    <t>第一工場</t>
    <phoneticPr fontId="9" type="noConversion"/>
  </si>
  <si>
    <t>第二工場</t>
    <phoneticPr fontId="9" type="noConversion"/>
  </si>
  <si>
    <t>E</t>
  </si>
  <si>
    <t>スタブ</t>
  </si>
  <si>
    <t>清掃</t>
    <rPh sb="0" eb="2">
      <t>セイソウ</t>
    </rPh>
    <phoneticPr fontId="0"/>
  </si>
  <si>
    <t>切紛・材料</t>
    <rPh sb="0" eb="1">
      <t>セツ</t>
    </rPh>
    <rPh sb="1" eb="2">
      <t>フン</t>
    </rPh>
    <rPh sb="3" eb="5">
      <t>ザイリョウ</t>
    </rPh>
    <phoneticPr fontId="0"/>
  </si>
  <si>
    <t>熱処理</t>
    <rPh sb="0" eb="3">
      <t>ネツショリ</t>
    </rPh>
    <phoneticPr fontId="0"/>
  </si>
  <si>
    <t>検査</t>
    <rPh sb="0" eb="2">
      <t>ケンサ</t>
    </rPh>
    <phoneticPr fontId="0"/>
  </si>
  <si>
    <t>ライン名</t>
    <rPh sb="3" eb="4">
      <t>ﾒｲ</t>
    </rPh>
    <phoneticPr fontId="9" type="noConversion"/>
  </si>
  <si>
    <t>市営Ｂ102号</t>
  </si>
  <si>
    <t>長軸バリ取り</t>
  </si>
  <si>
    <t>Fライン</t>
  </si>
  <si>
    <t>県営長根住宅6棟301号</t>
  </si>
  <si>
    <t>ナット</t>
  </si>
  <si>
    <t>Aライン</t>
  </si>
  <si>
    <t>Gライン</t>
  </si>
  <si>
    <t>自動旋削</t>
  </si>
  <si>
    <t>製造1課</t>
  </si>
  <si>
    <t>六面加工</t>
  </si>
  <si>
    <t>手動旋削</t>
  </si>
  <si>
    <t>　51458841</t>
  </si>
  <si>
    <t>ﾋﾞﾚｯｼﾞﾊｳｽ長草2号棟203</t>
  </si>
  <si>
    <t>CVJ清掃</t>
  </si>
  <si>
    <t>段取</t>
  </si>
  <si>
    <t>内輪</t>
  </si>
  <si>
    <t>444-1334</t>
  </si>
  <si>
    <t>愛知県高浜市春日町1丁目２番地１</t>
  </si>
  <si>
    <t>県営赤松住宅4棟202号</t>
  </si>
  <si>
    <t>スリヤ　インドラ　ワルダナ</t>
  </si>
  <si>
    <t>3489808</t>
  </si>
  <si>
    <t>グェン　アン　ホアン</t>
  </si>
  <si>
    <t>6223763</t>
  </si>
  <si>
    <t>愛知県弥富市平島町甲新田82番地１</t>
  </si>
  <si>
    <t>ｲｰｽﾄｺｰﾄ202</t>
  </si>
  <si>
    <t>2034795</t>
  </si>
  <si>
    <t>清掃作業・切子回収</t>
  </si>
  <si>
    <t>5776683</t>
  </si>
  <si>
    <t>6015871</t>
  </si>
  <si>
    <t>5916674</t>
  </si>
  <si>
    <t>業務係CVJ</t>
  </si>
  <si>
    <t>グエン　ティ　マイ　フオン</t>
  </si>
  <si>
    <t>3941042</t>
  </si>
  <si>
    <t>トラニオン</t>
  </si>
  <si>
    <t>3561192</t>
  </si>
  <si>
    <t>5097300</t>
  </si>
  <si>
    <t>PTJ</t>
  </si>
  <si>
    <t>Tライン</t>
  </si>
  <si>
    <t>4087823</t>
  </si>
  <si>
    <t>3883442</t>
  </si>
  <si>
    <t>4087822</t>
  </si>
  <si>
    <t>州の崎第2工場製造3課5工区6班</t>
  </si>
  <si>
    <t>州の崎第2工場製造3課5工区7班</t>
  </si>
  <si>
    <t>フェリヤント　パスチャマリス　ウップン</t>
  </si>
  <si>
    <t>2685541</t>
  </si>
  <si>
    <t>成広矢原ｺｰﾎﾟⅦ206</t>
  </si>
  <si>
    <t>ナウファル　アンザル　アス　シッディク</t>
  </si>
  <si>
    <t>3183551</t>
  </si>
  <si>
    <t>NGUYEN PHAN BANG</t>
  </si>
  <si>
    <t>高雄工業株式会社 海南第一工場営業課</t>
  </si>
  <si>
    <t>リフト作業</t>
  </si>
  <si>
    <t>成広矢原ｺｰﾎﾟⅢ208号</t>
  </si>
  <si>
    <t>2487379</t>
  </si>
  <si>
    <t>成広矢原ｺｰﾎﾟⅦ205号</t>
  </si>
  <si>
    <t>2569190</t>
  </si>
  <si>
    <t>成広矢原ｺｰﾎﾟⅠ203</t>
  </si>
  <si>
    <t>2569194</t>
  </si>
  <si>
    <t>2679660</t>
  </si>
  <si>
    <t>3184011</t>
  </si>
  <si>
    <t>成広矢原ｺｰﾎﾟⅠ103</t>
  </si>
  <si>
    <t>アブデュル　アンサル</t>
  </si>
  <si>
    <t>2622411</t>
  </si>
  <si>
    <t>モハマド　ニザル　アワルディン</t>
  </si>
  <si>
    <t>3183988</t>
  </si>
  <si>
    <t>2420277</t>
  </si>
  <si>
    <t>3724995</t>
  </si>
  <si>
    <t>ダン　コン　チェン</t>
  </si>
  <si>
    <t>38840801</t>
  </si>
  <si>
    <t>8148447</t>
  </si>
  <si>
    <t>3570030</t>
  </si>
  <si>
    <t>県営葵団地2棟206号</t>
  </si>
  <si>
    <t>3998098</t>
  </si>
  <si>
    <t>3885516</t>
  </si>
  <si>
    <t>2331707</t>
  </si>
  <si>
    <t>9/26林</t>
  </si>
  <si>
    <t>岡山県岡山市北区御津矢原294－1</t>
  </si>
  <si>
    <t>成広矢原ｺｰﾎﾟⅢ107号</t>
  </si>
  <si>
    <t>4090201</t>
  </si>
  <si>
    <t>3274291</t>
  </si>
  <si>
    <t>3885819</t>
  </si>
  <si>
    <t>9/29林</t>
  </si>
  <si>
    <t>486-0806</t>
  </si>
  <si>
    <t>愛知県春日井市大手田酉町1-5-15</t>
  </si>
  <si>
    <t>ｻﾝｳﾞｨﾚｯｼﾞ91-205</t>
  </si>
  <si>
    <t>3998526</t>
  </si>
  <si>
    <t>441-1231</t>
  </si>
  <si>
    <t>愛知県豊川市一宮町旭251番地</t>
  </si>
  <si>
    <t>ｸﾞﾚｲｽ旭A202号</t>
  </si>
  <si>
    <t>22.11.01</t>
  </si>
  <si>
    <t>10/17林</t>
  </si>
  <si>
    <t>VO MINH PHUONG</t>
  </si>
  <si>
    <t>ヴォ　ミン　フォン</t>
  </si>
  <si>
    <t>DO VAN TRINH</t>
  </si>
  <si>
    <t>ド　バン　チン</t>
  </si>
  <si>
    <t>22.10.3</t>
  </si>
  <si>
    <t>11/4原</t>
  </si>
  <si>
    <t>NGUYEN TAT DIEP</t>
  </si>
  <si>
    <t>グエン　タット　デイエップ</t>
  </si>
  <si>
    <t>LE TRONG LINH</t>
  </si>
  <si>
    <t>レ　チョン　リン</t>
  </si>
  <si>
    <t>10/31林</t>
  </si>
  <si>
    <t>VU DUC THIET</t>
  </si>
  <si>
    <t>ヴー　ドゥク　ティエット</t>
  </si>
  <si>
    <t>658-0014</t>
  </si>
  <si>
    <t>青木ﾏﾝｼｮﾝ303</t>
  </si>
  <si>
    <t>DUONG VIET HOANG</t>
  </si>
  <si>
    <t>ズオン　ビエット　ホアン</t>
  </si>
  <si>
    <t>660-0084</t>
  </si>
  <si>
    <t>兵庫県尼崎市武庫川町3丁目</t>
  </si>
  <si>
    <t>ｼﾞｮｲﾌﾙﾊｲﾂ204</t>
  </si>
  <si>
    <t>TRAN DINH MINH</t>
  </si>
  <si>
    <t>チャン　ディン　ミン</t>
  </si>
  <si>
    <t>HUYNH TRUNG TUYEN</t>
  </si>
  <si>
    <t>フイン　チュン　トウエン</t>
  </si>
  <si>
    <t>10/26林</t>
  </si>
  <si>
    <t>PHAM VAN DUY</t>
  </si>
  <si>
    <t>ファム　バン　ズイ</t>
  </si>
  <si>
    <t>片山　アンドレ　リカルド</t>
  </si>
  <si>
    <t>カタヤマ　アンドレ　リカルド</t>
  </si>
  <si>
    <t>503-0981</t>
  </si>
  <si>
    <t>岐阜県大垣市桧町847番地</t>
  </si>
  <si>
    <t xml:space="preserve">ｻﾝｼﾃｨ静里B102 </t>
  </si>
  <si>
    <t>Fライン</t>
    <phoneticPr fontId="9" type="noConversion"/>
  </si>
  <si>
    <t>Aライン</t>
    <phoneticPr fontId="9" type="noConversion"/>
  </si>
  <si>
    <t>Tライン</t>
    <phoneticPr fontId="9" type="noConversion"/>
  </si>
  <si>
    <t>Gライン</t>
    <phoneticPr fontId="9" type="noConversion"/>
  </si>
  <si>
    <t>六面加工</t>
    <phoneticPr fontId="9" type="noConversion"/>
  </si>
  <si>
    <t>人事広報管理部</t>
    <rPh sb="0" eb="2">
      <t>ｼﾞﾝｼﾞ</t>
    </rPh>
    <rPh sb="2" eb="3">
      <t>ﾋﾛ</t>
    </rPh>
    <rPh sb="4" eb="6">
      <t>ｶﾝﾘ</t>
    </rPh>
    <rPh sb="6" eb="7">
      <t>ﾌﾞ</t>
    </rPh>
    <phoneticPr fontId="9" type="noConversion"/>
  </si>
  <si>
    <t>部長</t>
    <rPh sb="0" eb="2">
      <t>ﾌﾞﾁｮｳ</t>
    </rPh>
    <phoneticPr fontId="9" type="noConversion"/>
  </si>
  <si>
    <t>山田　茂</t>
    <rPh sb="0" eb="2">
      <t>ﾔﾏﾀﾞ</t>
    </rPh>
    <phoneticPr fontId="9" type="noConversion"/>
  </si>
  <si>
    <t>0567-68-8110</t>
    <phoneticPr fontId="9" type="noConversion"/>
  </si>
  <si>
    <t>052-938-8840</t>
    <phoneticPr fontId="9" type="noConversion"/>
  </si>
  <si>
    <t>Tiempo</t>
    <phoneticPr fontId="9" type="noConversion"/>
  </si>
  <si>
    <t>Desde</t>
    <phoneticPr fontId="9" type="noConversion"/>
  </si>
  <si>
    <t>営業部</t>
    <rPh sb="0" eb="3">
      <t>ｴｲｷﾞｮｳﾌﾞ</t>
    </rPh>
    <phoneticPr fontId="9" type="noConversion"/>
  </si>
  <si>
    <t>取締役</t>
    <rPh sb="0" eb="3">
      <t>ﾄﾘｼﾏﾘﾔｸ</t>
    </rPh>
    <phoneticPr fontId="9" type="noConversion"/>
  </si>
  <si>
    <t>ブウ　ティ　サウ</t>
    <phoneticPr fontId="9" type="noConversion"/>
  </si>
  <si>
    <t>短軸加工品、長軸加工品のスプライン加工、NCプログラム修正</t>
    <phoneticPr fontId="9" type="noConversion"/>
  </si>
  <si>
    <t>CVJ部品長軸品の施削加工、NCプログラム修正</t>
    <phoneticPr fontId="9" type="noConversion"/>
  </si>
  <si>
    <t>COMENTO IMPORTANTE  SIEMPRE VER EL FILTRO DE TRASFORMACION</t>
    <phoneticPr fontId="9" type="noConversion"/>
  </si>
  <si>
    <t>入社日変更</t>
  </si>
  <si>
    <t>PrecioHora</t>
  </si>
  <si>
    <t>コーピ数</t>
    <rPh sb="3" eb="4">
      <t>ｽｳ</t>
    </rPh>
    <phoneticPr fontId="9" type="noConversion"/>
  </si>
  <si>
    <t>ﾊﾟｰｸﾀｳﾝ平島D201</t>
  </si>
  <si>
    <t>ﾌｨﾌﾃｨⅡ102号室</t>
  </si>
  <si>
    <t>高安一番館303号室</t>
  </si>
  <si>
    <t>愛知県春日井市高山町4-13-13</t>
  </si>
  <si>
    <t>11/14林</t>
  </si>
  <si>
    <t>22.12.1</t>
  </si>
  <si>
    <t>NGUYEN QUOC DAT</t>
  </si>
  <si>
    <t>グエン　クオック　ダット</t>
  </si>
  <si>
    <t>MAI THI QUYEN</t>
  </si>
  <si>
    <t>マイ　ティ　クェン</t>
  </si>
  <si>
    <t>海南第一工場</t>
    <phoneticPr fontId="9" type="noConversion"/>
  </si>
  <si>
    <t>清掃作業・切子回収</t>
    <phoneticPr fontId="9" type="noConversion"/>
  </si>
  <si>
    <t>派遣先事業所</t>
    <phoneticPr fontId="9" type="noConversion"/>
  </si>
  <si>
    <t>高雄工業株式会社</t>
    <phoneticPr fontId="9" type="noConversion"/>
  </si>
  <si>
    <t>愛知事業所</t>
    <phoneticPr fontId="9" type="noConversion"/>
  </si>
  <si>
    <t>静岡事業所</t>
    <phoneticPr fontId="9" type="noConversion"/>
  </si>
  <si>
    <t>岡山事業所</t>
    <phoneticPr fontId="9" type="noConversion"/>
  </si>
  <si>
    <t>本社工場</t>
    <phoneticPr fontId="9" type="noConversion"/>
  </si>
  <si>
    <t>海南第二工場</t>
    <phoneticPr fontId="9" type="noConversion"/>
  </si>
  <si>
    <t>HUB工場</t>
    <phoneticPr fontId="9" type="noConversion"/>
  </si>
  <si>
    <t>CVJ工場</t>
    <phoneticPr fontId="9" type="noConversion"/>
  </si>
  <si>
    <t>ブローチ</t>
    <phoneticPr fontId="9" type="noConversion"/>
  </si>
  <si>
    <t>梱包</t>
    <rPh sb="0" eb="2">
      <t>ｺﾝﾎﾟｳ</t>
    </rPh>
    <phoneticPr fontId="9" type="noConversion"/>
  </si>
  <si>
    <t>熱処理</t>
    <rPh sb="0" eb="3">
      <t>ﾈﾂｼｮﾘ</t>
    </rPh>
    <phoneticPr fontId="9" type="noConversion"/>
  </si>
  <si>
    <t>？</t>
    <phoneticPr fontId="9" type="noConversion"/>
  </si>
  <si>
    <t>リフト作業</t>
    <phoneticPr fontId="9" type="noConversion"/>
  </si>
  <si>
    <t>本社工場営業課</t>
    <phoneticPr fontId="9" type="noConversion"/>
  </si>
  <si>
    <t>本社工場製作課</t>
    <phoneticPr fontId="9" type="noConversion"/>
  </si>
  <si>
    <t>海南第一工場製作1課</t>
    <rPh sb="0" eb="10">
      <t>ｾｲｻｸｶ</t>
    </rPh>
    <phoneticPr fontId="9" type="noConversion"/>
  </si>
  <si>
    <t>海南第一工場製作2課</t>
    <rPh sb="6" eb="8">
      <t>ｾｲｻｸ</t>
    </rPh>
    <rPh sb="9" eb="10">
      <t>ｶ</t>
    </rPh>
    <phoneticPr fontId="9" type="noConversion"/>
  </si>
  <si>
    <t>海南第一工場営業課</t>
    <phoneticPr fontId="9" type="noConversion"/>
  </si>
  <si>
    <t>海南第一工場製作1課</t>
    <rPh sb="6" eb="8">
      <t>ｾｲｻｸ</t>
    </rPh>
    <rPh sb="9" eb="10">
      <t>ｶ</t>
    </rPh>
    <phoneticPr fontId="9" type="noConversion"/>
  </si>
  <si>
    <t>第一工場製作課</t>
    <rPh sb="4" eb="7">
      <t>ｾｲｻｸｶ</t>
    </rPh>
    <phoneticPr fontId="9" type="noConversion"/>
  </si>
  <si>
    <t>第二工場製作課</t>
    <rPh sb="4" eb="7">
      <t>ｾｲｻｸｶ</t>
    </rPh>
    <phoneticPr fontId="9" type="noConversion"/>
  </si>
  <si>
    <t>第二工場製作課</t>
    <rPh sb="0" eb="2">
      <t>ﾀﾞｲﾆ</t>
    </rPh>
    <rPh sb="2" eb="4">
      <t>ｺｳｼﾞｮｳ</t>
    </rPh>
    <rPh sb="4" eb="6">
      <t>ｾｲｻｸ</t>
    </rPh>
    <rPh sb="6" eb="7">
      <t>ｶ</t>
    </rPh>
    <phoneticPr fontId="9" type="noConversion"/>
  </si>
  <si>
    <t>HUB工場製作課</t>
    <rPh sb="0" eb="8">
      <t>ｾｲｻｸｶ</t>
    </rPh>
    <phoneticPr fontId="9" type="noConversion"/>
  </si>
  <si>
    <t>CVJ工場製作１課</t>
    <rPh sb="0" eb="9">
      <t>ｾｲｻｸｶ</t>
    </rPh>
    <phoneticPr fontId="9" type="noConversion"/>
  </si>
  <si>
    <t>HUB工場製作課</t>
    <rPh sb="3" eb="5">
      <t>ｺｳｼﾞｮｳ</t>
    </rPh>
    <rPh sb="5" eb="7">
      <t>ｾｲｻｸ</t>
    </rPh>
    <rPh sb="7" eb="8">
      <t>ｶ</t>
    </rPh>
    <phoneticPr fontId="9" type="noConversion"/>
  </si>
  <si>
    <t>CVJ工場製作１課</t>
    <rPh sb="3" eb="5">
      <t>ｺｳｼﾞｮｳ</t>
    </rPh>
    <rPh sb="5" eb="7">
      <t>ｾｲｻｸ</t>
    </rPh>
    <rPh sb="8" eb="9">
      <t>ｶ</t>
    </rPh>
    <phoneticPr fontId="9" type="noConversion"/>
  </si>
  <si>
    <t>第一工場製作課</t>
    <rPh sb="0" eb="7">
      <t>ﾀﾞｲｲﾁｺｳｼﾞｮｳｾｲｻｸｶ</t>
    </rPh>
    <phoneticPr fontId="9" type="noConversion"/>
  </si>
  <si>
    <t>フォクリフト</t>
    <phoneticPr fontId="9" type="noConversion"/>
  </si>
  <si>
    <t>HUB_第1</t>
    <rPh sb="4" eb="5">
      <t>ﾀﾞｲ</t>
    </rPh>
    <phoneticPr fontId="9" type="noConversion"/>
  </si>
  <si>
    <t>HUB_第2</t>
    <rPh sb="4" eb="5">
      <t>ﾀﾞｲ</t>
    </rPh>
    <phoneticPr fontId="9" type="noConversion"/>
  </si>
  <si>
    <t>H_2次旋</t>
    <rPh sb="3" eb="5">
      <t>ｼﾞｾﾝ</t>
    </rPh>
    <phoneticPr fontId="9" type="noConversion"/>
  </si>
  <si>
    <t>長軸バリ取り</t>
    <phoneticPr fontId="9" type="noConversion"/>
  </si>
  <si>
    <t>HUB_第1</t>
    <phoneticPr fontId="9" type="noConversion"/>
  </si>
  <si>
    <t>H_2次旋</t>
    <phoneticPr fontId="9" type="noConversion"/>
  </si>
  <si>
    <t>ナット</t>
    <phoneticPr fontId="9" type="noConversion"/>
  </si>
  <si>
    <t>内輪</t>
    <phoneticPr fontId="9" type="noConversion"/>
  </si>
  <si>
    <t>トラニオン</t>
    <phoneticPr fontId="9" type="noConversion"/>
  </si>
  <si>
    <t>PTJ</t>
    <phoneticPr fontId="9" type="noConversion"/>
  </si>
  <si>
    <t>転造</t>
    <phoneticPr fontId="9" type="noConversion"/>
  </si>
  <si>
    <t>チャンファー</t>
    <phoneticPr fontId="9" type="noConversion"/>
  </si>
  <si>
    <t>手動旋削</t>
    <phoneticPr fontId="9" type="noConversion"/>
  </si>
  <si>
    <t>自動旋削</t>
    <phoneticPr fontId="9" type="noConversion"/>
  </si>
  <si>
    <r>
      <rPr>
        <sz val="9"/>
        <color theme="1"/>
        <rFont val="Segoe UI Symbol"/>
        <family val="2"/>
      </rPr>
      <t>☑</t>
    </r>
    <r>
      <rPr>
        <sz val="9"/>
        <color theme="1"/>
        <rFont val="BIZ UD明朝 Medium"/>
        <family val="1"/>
        <charset val="128"/>
      </rPr>
      <t xml:space="preserve"> 付与される権限なし／</t>
    </r>
    <r>
      <rPr>
        <sz val="9"/>
        <color theme="1"/>
        <rFont val="Segoe UI Symbol"/>
        <family val="1"/>
      </rPr>
      <t>□</t>
    </r>
    <r>
      <rPr>
        <sz val="9"/>
        <color theme="1"/>
        <rFont val="BIZ UD明朝 Medium"/>
        <family val="1"/>
        <charset val="128"/>
      </rPr>
      <t xml:space="preserve"> 付与される権限あり（詳細：　　　　　　　　　　　　　　　　）</t>
    </r>
    <phoneticPr fontId="1"/>
  </si>
  <si>
    <t>製作課</t>
    <phoneticPr fontId="9" type="noConversion"/>
  </si>
  <si>
    <t>H_2次旋</t>
  </si>
  <si>
    <t>HUB_第1</t>
  </si>
  <si>
    <t>HOANG DUY THANG</t>
  </si>
  <si>
    <t>ホアン　ズイ　タン</t>
  </si>
  <si>
    <t>NGO VAN ANH</t>
  </si>
  <si>
    <t>ゴー　ヴァン　アイン</t>
  </si>
  <si>
    <t>NGO VAN SANG</t>
  </si>
  <si>
    <t>ゴー　ヴァン　サン</t>
  </si>
  <si>
    <t>PHAM TAN LOC</t>
  </si>
  <si>
    <t>ファム　タン　ロク</t>
  </si>
  <si>
    <t>VO DUC SON</t>
  </si>
  <si>
    <t>ヴォ　ドゥック　ソン</t>
  </si>
  <si>
    <t>ト精密</t>
  </si>
  <si>
    <t>CAD</t>
  </si>
  <si>
    <t>W研磨</t>
  </si>
  <si>
    <t>CAD</t>
    <phoneticPr fontId="9" type="noConversion"/>
  </si>
  <si>
    <t>ト精密</t>
    <phoneticPr fontId="9" type="noConversion"/>
  </si>
  <si>
    <t>W研磨</t>
    <phoneticPr fontId="9" type="noConversion"/>
  </si>
  <si>
    <t>TKE第一営</t>
    <rPh sb="3" eb="5">
      <t>ﾀﾞｲｲﾁ</t>
    </rPh>
    <rPh sb="5" eb="6">
      <t>ｴｲ</t>
    </rPh>
    <phoneticPr fontId="9" type="noConversion"/>
  </si>
  <si>
    <t>営業</t>
    <rPh sb="0" eb="2">
      <t>ｴｲｷﾞｮｳ</t>
    </rPh>
    <phoneticPr fontId="9" type="noConversion"/>
  </si>
  <si>
    <t>CAD</t>
    <phoneticPr fontId="9" type="noConversion"/>
  </si>
  <si>
    <t>書類作成やデータ入力、電話・来客応対など</t>
    <phoneticPr fontId="9" type="noConversion"/>
  </si>
  <si>
    <t>コンピュータで、建築物、機械、工業製品などの設計・製図を行う。</t>
    <phoneticPr fontId="9" type="noConversion"/>
  </si>
  <si>
    <t>TKE事業部</t>
    <rPh sb="3" eb="6">
      <t>ｼﾞｷﾞｮｳﾌﾞ</t>
    </rPh>
    <phoneticPr fontId="9" type="noConversion"/>
  </si>
  <si>
    <t>TKE事業部</t>
    <rPh sb="3" eb="5">
      <t>ｼﾞｷﾞｮｳ</t>
    </rPh>
    <rPh sb="5" eb="6">
      <t>ﾌﾞ</t>
    </rPh>
    <phoneticPr fontId="9" type="noConversion"/>
  </si>
  <si>
    <t>TKE第一営</t>
    <phoneticPr fontId="9" type="noConversion"/>
  </si>
  <si>
    <t>MCU部品の施削加工</t>
    <phoneticPr fontId="9" type="noConversion"/>
  </si>
  <si>
    <t>海南第二工場</t>
    <phoneticPr fontId="9" type="noConversion"/>
  </si>
  <si>
    <t>海南第二工場製作課</t>
    <phoneticPr fontId="9" type="noConversion"/>
  </si>
  <si>
    <t>ブウ　ティ　サウ</t>
  </si>
  <si>
    <t>TKE第一営</t>
  </si>
  <si>
    <t>チャンファー</t>
    <phoneticPr fontId="9" type="noConversion"/>
  </si>
  <si>
    <t>宮崎 卓夫</t>
    <phoneticPr fontId="9" type="noConversion"/>
  </si>
  <si>
    <t>杉浦 勉</t>
    <rPh sb="0" eb="2">
      <t>ｽｷﾞｳﾗ</t>
    </rPh>
    <rPh sb="3" eb="4">
      <t>ﾂﾄﾑ</t>
    </rPh>
    <phoneticPr fontId="9" type="noConversion"/>
  </si>
  <si>
    <t>伊藤英昭</t>
    <rPh sb="0" eb="4">
      <t>ｲﾄｳﾋﾃﾞｱｷ</t>
    </rPh>
    <phoneticPr fontId="9" type="noConversion"/>
  </si>
  <si>
    <t>糸 悟志</t>
    <rPh sb="0" eb="1">
      <t>ｲﾄ</t>
    </rPh>
    <rPh sb="2" eb="4">
      <t>ｻﾄｼ</t>
    </rPh>
    <phoneticPr fontId="9" type="noConversion"/>
  </si>
  <si>
    <t>一次旋係</t>
  </si>
  <si>
    <t>一次旋係</t>
    <phoneticPr fontId="9" type="noConversion"/>
  </si>
  <si>
    <t>486-0918</t>
  </si>
  <si>
    <t>愛知県春日井市如意申町6-11-17</t>
  </si>
  <si>
    <t>11/21林</t>
  </si>
  <si>
    <t>岡山事業部</t>
    <rPh sb="0" eb="2">
      <t>ｵｶﾔﾏ</t>
    </rPh>
    <phoneticPr fontId="9" type="noConversion"/>
  </si>
  <si>
    <t>～</t>
    <phoneticPr fontId="9" type="noConversion"/>
  </si>
  <si>
    <t>Fecha</t>
    <phoneticPr fontId="9" type="noConversion"/>
  </si>
  <si>
    <t>業務係CVJ</t>
    <phoneticPr fontId="9" type="noConversion"/>
  </si>
  <si>
    <t>HUB管理課</t>
    <phoneticPr fontId="9" type="noConversion"/>
  </si>
  <si>
    <t>HUB検査課係</t>
    <phoneticPr fontId="9" type="noConversion"/>
  </si>
  <si>
    <t>HUB管理課</t>
    <phoneticPr fontId="9" type="noConversion"/>
  </si>
  <si>
    <t>業務係CVJ</t>
    <phoneticPr fontId="9" type="noConversion"/>
  </si>
  <si>
    <t>CVJ清掃</t>
    <phoneticPr fontId="9" type="noConversion"/>
  </si>
  <si>
    <t>CVJﾊﾞﾘ取りﾁｬﾝﾌｧ係</t>
    <phoneticPr fontId="9" type="noConversion"/>
  </si>
  <si>
    <t>CVJ研磨係</t>
    <phoneticPr fontId="9" type="noConversion"/>
  </si>
  <si>
    <t>副班長</t>
    <rPh sb="0" eb="3">
      <t>ﾌｸﾊﾝﾁｮｳ</t>
    </rPh>
    <phoneticPr fontId="9" type="noConversion"/>
  </si>
  <si>
    <t>班長</t>
    <rPh sb="0" eb="2">
      <t>ﾊﾝﾁｮｳ</t>
    </rPh>
    <phoneticPr fontId="9" type="noConversion"/>
  </si>
  <si>
    <t>サブリーダー</t>
    <phoneticPr fontId="9" type="noConversion"/>
  </si>
  <si>
    <t>副班長</t>
    <phoneticPr fontId="9" type="noConversion"/>
  </si>
  <si>
    <t>主任</t>
    <rPh sb="0" eb="2">
      <t>ｼｭﾆﾝ</t>
    </rPh>
    <phoneticPr fontId="9" type="noConversion"/>
  </si>
  <si>
    <t>係長</t>
    <rPh sb="0" eb="2">
      <t>ｶｶﾘﾁｮｳ</t>
    </rPh>
    <phoneticPr fontId="9" type="noConversion"/>
  </si>
  <si>
    <t>リーダー</t>
    <phoneticPr fontId="9" type="noConversion"/>
  </si>
  <si>
    <t>Back to main</t>
    <phoneticPr fontId="1"/>
  </si>
  <si>
    <t>Go to Back</t>
    <phoneticPr fontId="1"/>
  </si>
  <si>
    <t>DAICHO</t>
    <phoneticPr fontId="9" type="noConversion"/>
  </si>
  <si>
    <t>DAICHO</t>
    <phoneticPr fontId="1"/>
  </si>
  <si>
    <t>リフト 作業</t>
    <phoneticPr fontId="9" type="noConversion"/>
  </si>
  <si>
    <t>産業機械部品の施削加工、NCプログラム修正</t>
    <phoneticPr fontId="9" type="noConversion"/>
  </si>
  <si>
    <t>産業機械部品の研磨加工、NCプログラム修正</t>
    <phoneticPr fontId="9" type="noConversion"/>
  </si>
  <si>
    <t>標準報酬</t>
  </si>
  <si>
    <t>健康保険</t>
  </si>
  <si>
    <t>介護保険</t>
  </si>
  <si>
    <t>厚生年金</t>
  </si>
  <si>
    <t>ピーエムアイ</t>
  </si>
  <si>
    <t>0</t>
  </si>
  <si>
    <t>コーリツ 州の崎</t>
  </si>
  <si>
    <t>愛知県豊田市美里2-6-9</t>
  </si>
  <si>
    <t>498-0026</t>
  </si>
  <si>
    <t>愛知県弥富市鯏浦町西前新田119－1</t>
  </si>
  <si>
    <t>コーリツ 乙川</t>
  </si>
  <si>
    <t>乙川工場製造3課6工区9班</t>
  </si>
  <si>
    <t>愛知県名古屋市港区土古町2丁目23番地</t>
  </si>
  <si>
    <t>新土古荘1棟202号</t>
  </si>
  <si>
    <t>本社工場製造1課2工区3班</t>
  </si>
  <si>
    <t>キュウ　チュン　ヒエウ</t>
  </si>
  <si>
    <t>37263421</t>
  </si>
  <si>
    <t>入社4ヵ月後50円UP</t>
  </si>
  <si>
    <t>2023/1/23～ﾌｪﾆﾃｯｸ岡山からプレテックへ異動</t>
  </si>
  <si>
    <t>コーリツ 本社</t>
  </si>
  <si>
    <t>2023/1/9～ﾌｪﾆﾃｯｸ岡山から六甲電子へ異動　2023/3/14で六甲電子退社　2023/4/3からコーリツ入社</t>
  </si>
  <si>
    <t>コーリツ 亀崎</t>
  </si>
  <si>
    <t>亀崎工場製造5課7工区9班</t>
  </si>
  <si>
    <t>州の崎工場製造3課5工区6班</t>
  </si>
  <si>
    <t>2021/4/5～2022/8/？？　2022/9/1~ﾌｪﾆﾃｯｸ岡山へ異動　2023/1/23～ﾌｪﾆﾃｯｸ岡山からプレテックへ異動</t>
  </si>
  <si>
    <t>HUB　検査課係</t>
  </si>
  <si>
    <t>中須賀ｺｰﾎﾟⅡ102</t>
  </si>
  <si>
    <t>鹿児島県姶良郡湧水町木場255番地1</t>
  </si>
  <si>
    <t>宮前住宅2号室241号</t>
  </si>
  <si>
    <t>2021/8/10~ﾌｪﾆﾃｯｸｾﾐｺﾝﾀﾞｸﾀｰ岡山　2023/2/27~ﾌﾟﾚﾃｯｸに異動</t>
  </si>
  <si>
    <t>2023/3/25までﾌｪﾆﾃｯｸ⇒2023/3/27よりプレテックへ異動</t>
  </si>
  <si>
    <t>州の崎工場製造1課1工区2班</t>
  </si>
  <si>
    <t>HIRATA AISAWA ALEXANDRE HIROSHI</t>
  </si>
  <si>
    <t>ヒラタ　アイザワ　アレキサンドレ　ヒロシ</t>
  </si>
  <si>
    <t>本社工場製造1課2工区2班</t>
  </si>
  <si>
    <t>LE QUI HAI</t>
  </si>
  <si>
    <t>2023/2/6～ﾌｪﾆﾃｯｸ岡山からプレテックへ異動</t>
  </si>
  <si>
    <t>愛知県名古屋市中村区小鴨町72番地</t>
  </si>
  <si>
    <t>州の崎工場製造1課1工区1班</t>
  </si>
  <si>
    <t>乙川工場製造3課5工区7班</t>
  </si>
  <si>
    <t>岡山県岡山市北区美津下田77－3</t>
  </si>
  <si>
    <t>ﾋﾞﾚｯｼﾞﾊｳｽ宇甘川1－402号</t>
  </si>
  <si>
    <t>乙川工場製造3課6工区8班</t>
  </si>
  <si>
    <t>VU DUC THACH</t>
  </si>
  <si>
    <t>退社日修正1/30→1/24　他社1/25より就労の為</t>
  </si>
  <si>
    <t>チャンファ</t>
  </si>
  <si>
    <t>大阪府大阪市住吉区清水丘2-9-16</t>
  </si>
  <si>
    <t>清掃作業</t>
  </si>
  <si>
    <t>437-0126</t>
  </si>
  <si>
    <t>静岡県袋井市月見町1-11</t>
  </si>
  <si>
    <t>ﾑｰﾝｼｬﾄｰ3M4号</t>
  </si>
  <si>
    <t>亀崎工場製造5課6工区8班</t>
  </si>
  <si>
    <t>ﾆｭｰｴﾙﾃﾞｨﾑ小西A202</t>
  </si>
  <si>
    <t>大阪府大阪市住之江区御崎3-3-20</t>
  </si>
  <si>
    <t>ﾋﾞﾚｯｼﾞﾊｳｽ恵那1号棟104</t>
  </si>
  <si>
    <t>州の崎製造3課5工区6班</t>
  </si>
  <si>
    <t>山口県別府市大字田島545-2</t>
  </si>
  <si>
    <t>ﾋﾞﾚｯｼﾞﾊｳｽ2棟401</t>
  </si>
  <si>
    <t>サトウ　マルセロ　ヒトシ</t>
  </si>
  <si>
    <t>成広矢原ｺｰﾎⅥ103</t>
  </si>
  <si>
    <t>454-0996</t>
  </si>
  <si>
    <t>愛知県名古屋市中川区伏屋4丁目1501番地</t>
  </si>
  <si>
    <t>中伏屋荘T-4棟204号</t>
  </si>
  <si>
    <t>山口県防府市大字田島1510－5</t>
  </si>
  <si>
    <t>ｱﾒﾆﾃｨﾊｲﾂ田島203</t>
  </si>
  <si>
    <t>本社製造部製造1課</t>
  </si>
  <si>
    <t>加藤木材工業 本社</t>
  </si>
  <si>
    <t>2022/8/25　請負から派遣に切替　請負で1年以上経験有る為、1400円ｽﾀｰﾄ　10/16～N3合格により10円アップ</t>
  </si>
  <si>
    <t>ｴｸｾｰﾗ103号室</t>
  </si>
  <si>
    <t>成広矢原ｺｰﾎⅢ103</t>
  </si>
  <si>
    <t>2022/11/30～アルソーレＤ101へ移動</t>
  </si>
  <si>
    <t>2023/1/21~1300UP</t>
  </si>
  <si>
    <t>尾鉢第2住宅2号棟211号室</t>
  </si>
  <si>
    <t>本社製造部製造3課</t>
  </si>
  <si>
    <t>兵庫県神戸市東灘区北青木3－20－23</t>
  </si>
  <si>
    <t>485-0023</t>
  </si>
  <si>
    <t>愛知県小牧市大字北外山2643番地1</t>
  </si>
  <si>
    <t>ｻﾝﾊﾟﾃｨｰｸⅡ3C</t>
  </si>
  <si>
    <t>加入なし</t>
  </si>
  <si>
    <t>ﾌﾚｸﾞﾗﾝｽｳｼ201</t>
  </si>
  <si>
    <t>鹿児島県姶良郡湧水町木場189番地</t>
  </si>
  <si>
    <t>ｽｲｰﾄﾀｯﾁD号室</t>
  </si>
  <si>
    <t>11/28林</t>
  </si>
  <si>
    <t>NGUYEN HUY TAI</t>
  </si>
  <si>
    <t>グエン　フィ　タイ</t>
  </si>
  <si>
    <t>486-0807</t>
  </si>
  <si>
    <t>愛知県春日井市大手町2-53-1</t>
  </si>
  <si>
    <t>ﾊﾟｰｸｻｲﾄﾞ泉</t>
  </si>
  <si>
    <t>NGUYEN THANH DAT</t>
  </si>
  <si>
    <t>グエン　タイン　ダット</t>
  </si>
  <si>
    <t>23.1.1</t>
  </si>
  <si>
    <t>12/19林</t>
  </si>
  <si>
    <t>LE VIET DUNG</t>
  </si>
  <si>
    <t>レー　ヴィエット　ズン</t>
  </si>
  <si>
    <t>DANG THE DONG</t>
  </si>
  <si>
    <t>ダン　テー　ドン</t>
  </si>
  <si>
    <t>474-0022</t>
  </si>
  <si>
    <t>愛知県大府市若草町2丁目160番地</t>
  </si>
  <si>
    <t>ｺｰﾎﾟ下村203号</t>
  </si>
  <si>
    <t>12/14林</t>
  </si>
  <si>
    <t>LE NHU ANH</t>
  </si>
  <si>
    <t>レー　ヌー　アイン</t>
  </si>
  <si>
    <t>岐阜県岐阜市大井町1120-303</t>
  </si>
  <si>
    <t>HOANG TUAN ANH</t>
  </si>
  <si>
    <t>ホアン　トゥアン　アイン</t>
  </si>
  <si>
    <t>DUONG HOANG ANH</t>
  </si>
  <si>
    <t>ズオン　ホアン　アイン</t>
  </si>
  <si>
    <t>PHAM TRUNG DUNG</t>
  </si>
  <si>
    <t>ファム　チュン　ズン</t>
  </si>
  <si>
    <t>TRAN DUC KIEN</t>
  </si>
  <si>
    <t>チャン　ドゥック　キエン</t>
  </si>
  <si>
    <t>加藤木材工業 春日井</t>
  </si>
  <si>
    <t>NGUYEN VINH HIEU</t>
  </si>
  <si>
    <t>グエン　ヴィン　ヒエウ</t>
  </si>
  <si>
    <t>468-0807</t>
  </si>
  <si>
    <t>ﾊﾟｰｸｻｲﾄﾞ泉Ⅱ 201</t>
  </si>
  <si>
    <t>TA DUC TUAN</t>
  </si>
  <si>
    <t>ター　ドゥック　トゥアン</t>
  </si>
  <si>
    <t>12/15林</t>
  </si>
  <si>
    <t>TRAN DUC TRUONG</t>
  </si>
  <si>
    <t>チャン　ドゥック　チュオン</t>
  </si>
  <si>
    <t>VU VAN DINH</t>
  </si>
  <si>
    <t>ヴー　ヴァン　ディン</t>
  </si>
  <si>
    <t>NGUYEN MANH KHAI</t>
  </si>
  <si>
    <t>グエン　マン　カイ</t>
  </si>
  <si>
    <t>社宅　一軒家</t>
  </si>
  <si>
    <t>TRAN KHUONG DUY</t>
  </si>
  <si>
    <t>チャン　クオン　ズイ</t>
  </si>
  <si>
    <t>NGUYEN QUY TOAN</t>
  </si>
  <si>
    <t>グエン　クイ　トアン</t>
  </si>
  <si>
    <t>DINH PHU HUNG</t>
  </si>
  <si>
    <t>ディン　フー　フン</t>
  </si>
  <si>
    <t>KIEU DUC TUAN</t>
  </si>
  <si>
    <t>キエウ　ドゥック　トゥアン</t>
  </si>
  <si>
    <t>NGUYEN THI LOC</t>
  </si>
  <si>
    <t>グエン　ティ　ロック</t>
  </si>
  <si>
    <t>ｻﾝﾊﾟﾃｨｰｸⅡ1E</t>
  </si>
  <si>
    <t>22.12.19</t>
  </si>
  <si>
    <t>1/9原</t>
  </si>
  <si>
    <t>NGUYEN THI QUYEN</t>
  </si>
  <si>
    <t>グエン　ティ　クエン</t>
  </si>
  <si>
    <t>485-0041</t>
  </si>
  <si>
    <t>愛知県小牧市小牧大字3522番地</t>
  </si>
  <si>
    <t>ﾋﾞﾚｯｼﾞﾊｳｽ山北4号棟</t>
  </si>
  <si>
    <t>23.1.6</t>
  </si>
  <si>
    <t>1/18林</t>
  </si>
  <si>
    <t>ZARATE SAKUDA SERGIO EDUARDO</t>
  </si>
  <si>
    <t>サラテ　サクダ　セルヒオ　エドゥアルド</t>
  </si>
  <si>
    <t>ﾍﾟﾙｰ</t>
  </si>
  <si>
    <t>486-0904</t>
  </si>
  <si>
    <t>愛知県春日井市宮町2-3-16</t>
  </si>
  <si>
    <t>ﾘﾝﾋﾟｱ長斉203</t>
  </si>
  <si>
    <t>23.2.1</t>
  </si>
  <si>
    <t>1/16林</t>
  </si>
  <si>
    <t>PHAN QUANG HOP</t>
  </si>
  <si>
    <t>ファン　クアン　ホップ</t>
  </si>
  <si>
    <t>23.1.9</t>
  </si>
  <si>
    <t>LE THI HIEN</t>
  </si>
  <si>
    <t>レー　ティ　ヒエン</t>
  </si>
  <si>
    <t>PHAM VAN THANH</t>
  </si>
  <si>
    <t>ファム　バン　タイン</t>
  </si>
  <si>
    <t>ｱﾒﾆﾃｨﾊｲﾂ田島103</t>
  </si>
  <si>
    <t>2/15林</t>
  </si>
  <si>
    <t>NGUYEN HOANG ANH</t>
  </si>
  <si>
    <t>グエン　ホアン　アイン</t>
  </si>
  <si>
    <t>岡山県岡山市北区御津矢原370-1</t>
  </si>
  <si>
    <t>1/25林</t>
  </si>
  <si>
    <t>VU HOANG AN</t>
  </si>
  <si>
    <t>ヴー　ホアン　アン</t>
  </si>
  <si>
    <t>DAO TIEN KHANH</t>
  </si>
  <si>
    <t>ダオ　ティエン　カイン</t>
  </si>
  <si>
    <t>NGUYEN THI HIEN</t>
  </si>
  <si>
    <t>グエン　ティ　ヒエン</t>
  </si>
  <si>
    <t>23.1.23</t>
  </si>
  <si>
    <t>2/27林</t>
  </si>
  <si>
    <t>ｱﾒﾆﾃｨﾊｲﾂ田島101</t>
  </si>
  <si>
    <t>LE TRUNG DUC</t>
  </si>
  <si>
    <t>レ　チュン　ジク</t>
  </si>
  <si>
    <t>グエン　ヴァン　チュオン</t>
  </si>
  <si>
    <t>ﾋﾞﾚｯｼﾞﾊｳｽ高取3号棟102号</t>
  </si>
  <si>
    <t>23.3.1</t>
  </si>
  <si>
    <t>CHU THANH AN</t>
  </si>
  <si>
    <t>チュー　タイン　アン</t>
  </si>
  <si>
    <t>23.2.2</t>
  </si>
  <si>
    <t>2/16林</t>
  </si>
  <si>
    <t>NGUYEN VAN KIEN</t>
  </si>
  <si>
    <t>グエン　ヴァン　キエン</t>
  </si>
  <si>
    <t>2/8林</t>
  </si>
  <si>
    <t>NGUYEN QUANG TRUONG</t>
  </si>
  <si>
    <t>グエン　クアン　チュオン</t>
  </si>
  <si>
    <t>NGUYEN XUAN DUONG</t>
  </si>
  <si>
    <t>グエン　スアン　ズオン</t>
  </si>
  <si>
    <t>NGUYEN TRUONG GIANG</t>
  </si>
  <si>
    <t>グエン　トゥオン　ジャン</t>
  </si>
  <si>
    <t>23.2.13</t>
  </si>
  <si>
    <t>PHAM HONG CUONG</t>
  </si>
  <si>
    <t>ファン　ホン　クオン</t>
  </si>
  <si>
    <t>3/24原</t>
  </si>
  <si>
    <t>TRAN NHU CANH</t>
  </si>
  <si>
    <t>チャン　ニュ　カン</t>
  </si>
  <si>
    <t>3/30林</t>
  </si>
  <si>
    <t>DANG NGOC SON</t>
  </si>
  <si>
    <t>ダン　ゴック　ソン</t>
  </si>
  <si>
    <t>ｱﾙｿｰﾚD203</t>
  </si>
  <si>
    <t>LE  VAN THAO</t>
  </si>
  <si>
    <t>レ　ヴァン　タオ</t>
  </si>
  <si>
    <t>23.2.22</t>
  </si>
  <si>
    <t>TRAN NGOC DINH</t>
  </si>
  <si>
    <t>チャン　ノック　ディン</t>
  </si>
  <si>
    <t>3/16林</t>
  </si>
  <si>
    <t>LE NGOC HOI</t>
  </si>
  <si>
    <t>レ　ゴック　ホイ</t>
  </si>
  <si>
    <t>LUU VAN TUNG</t>
  </si>
  <si>
    <t>リュ　ヴァン　トゥン</t>
  </si>
  <si>
    <t>709-2017</t>
  </si>
  <si>
    <t>成広矢原ｺｰﾎﾟⅤ103</t>
  </si>
  <si>
    <t>NGUYEN DINH QUYEN</t>
  </si>
  <si>
    <t>グエン　ディン　クエン</t>
  </si>
  <si>
    <t>VU DINH QUANG</t>
  </si>
  <si>
    <t>ヴー　ディン　クアン</t>
  </si>
  <si>
    <t>BUI THE DU</t>
  </si>
  <si>
    <t>ブイ　テー　ズ</t>
  </si>
  <si>
    <t>成広矢原ｺｰﾎﾟⅢ105</t>
  </si>
  <si>
    <t>NGUYEN XUAN CUONG</t>
  </si>
  <si>
    <t>グエン　スアン　クオン</t>
  </si>
  <si>
    <t>州の崎工場製造2課３工区5班</t>
  </si>
  <si>
    <t>23.2.27</t>
  </si>
  <si>
    <t>州の崎工場製造2課2工区３班</t>
  </si>
  <si>
    <t>NGUYEN DANH TIEP</t>
  </si>
  <si>
    <t>グエン　ダン　テイエプ</t>
  </si>
  <si>
    <t>県営長根住宅5棟306号</t>
  </si>
  <si>
    <t>DO VAN SON</t>
  </si>
  <si>
    <t>ド　ヴァン　ソン</t>
  </si>
  <si>
    <t>TRAN BA HUNG</t>
  </si>
  <si>
    <t>チャン　バ　フン</t>
  </si>
  <si>
    <t>SIDO SERGIO HIROJI</t>
  </si>
  <si>
    <t>シドウ　セルジオ　ヒロジ</t>
  </si>
  <si>
    <t>478-0054</t>
  </si>
  <si>
    <t>愛知県知多市つづじヶ丘1丁目14番地</t>
  </si>
  <si>
    <t>2号棟306号</t>
  </si>
  <si>
    <t>3/1林</t>
  </si>
  <si>
    <t>NGUYEN THI TRANG</t>
  </si>
  <si>
    <t>グエン　ティ　チャン</t>
  </si>
  <si>
    <t>23.4.1</t>
  </si>
  <si>
    <t>亀崎工場製造5課7工区8班</t>
  </si>
  <si>
    <t>DOAN MINH HAI</t>
  </si>
  <si>
    <t>ドアン　ミン　ハイ</t>
  </si>
  <si>
    <t>3/20林</t>
  </si>
  <si>
    <t>PHAM TUAN ANH</t>
  </si>
  <si>
    <t>ファム　トゥアン　アン</t>
  </si>
  <si>
    <t>BUI HUU KHOA</t>
  </si>
  <si>
    <t>ブイ　フウ　コア</t>
  </si>
  <si>
    <t>NGUYEN NGOC SON</t>
  </si>
  <si>
    <t>グエン　ゴック　ソン</t>
  </si>
  <si>
    <t>DANG MINH QUANG</t>
  </si>
  <si>
    <t>ダン　ミイン　クアン</t>
  </si>
  <si>
    <t>VU HONG KHANH</t>
  </si>
  <si>
    <t>ヴー　ホン　カイン</t>
  </si>
  <si>
    <t>475-0061</t>
  </si>
  <si>
    <t>愛知県半田市一ノ草町201-11</t>
  </si>
  <si>
    <t>ﾒｿﾞﾝﾊﾟｰｸｱﾍﾞﾆｭｰ101</t>
  </si>
  <si>
    <t>NGUYEN VAN DOAN</t>
  </si>
  <si>
    <t>グエン　ヴァン　ドアン</t>
  </si>
  <si>
    <t>BUI XUAN QUYET</t>
  </si>
  <si>
    <t>ブイ　スアン　クエット</t>
  </si>
  <si>
    <t>4/3林</t>
  </si>
  <si>
    <t>VU HUU HOANG</t>
  </si>
  <si>
    <t>ヴ　フュ　ホアン</t>
  </si>
  <si>
    <t>ﾒｿﾞﾝﾊﾟｰｸｱﾍﾞﾆｭｰ201</t>
  </si>
  <si>
    <t>NGUYEN VAN TRUYEN</t>
  </si>
  <si>
    <t>グエン　ヴァン　チュエン</t>
  </si>
  <si>
    <t>VO VAN XUAN</t>
  </si>
  <si>
    <t>ヴォ　ヴァン　スアン</t>
  </si>
  <si>
    <t>DAM XUAN SOAT</t>
  </si>
  <si>
    <t>ダム　スアン　ソアット</t>
  </si>
  <si>
    <t>愛知県半田市庚申町2丁目6番地の7</t>
  </si>
  <si>
    <t>ﾊｲﾂこうしんA棟103号</t>
  </si>
  <si>
    <t>HA THO HOAN</t>
  </si>
  <si>
    <t>ハ　ト　ホアン</t>
  </si>
  <si>
    <t>州の埼２工場製造3課５工区７班</t>
  </si>
  <si>
    <t>PHAM HUY TIEN</t>
  </si>
  <si>
    <t>ファム　フィ　テイエン</t>
  </si>
  <si>
    <t>LE DINH BINH</t>
  </si>
  <si>
    <t>レー　ディン　ビン</t>
  </si>
  <si>
    <t>NGUYEN VAN QUANG</t>
  </si>
  <si>
    <t>ﾒｿﾞﾝﾊﾟｰｸｱﾍﾞﾆｭｰ103</t>
  </si>
  <si>
    <t>NGUYEN CANH HOANG</t>
  </si>
  <si>
    <t>グエン　カン　ホアン</t>
  </si>
  <si>
    <t>静岡県袋井市葵町3丁目3番地3</t>
  </si>
  <si>
    <t>BeehiveresidenceⅣ101</t>
  </si>
  <si>
    <t>VU NGOC HOAN</t>
  </si>
  <si>
    <t>ヴー　ゴック　ホアン</t>
  </si>
  <si>
    <t>TA NGUYEN DUC</t>
  </si>
  <si>
    <t>ター　グエン　ドゥック</t>
  </si>
  <si>
    <t>TRAN THANH HUNG</t>
  </si>
  <si>
    <t>チャン　タイン　フン</t>
  </si>
  <si>
    <t>VO THANH PHONG</t>
  </si>
  <si>
    <t>ヴォー　タイン　フォン</t>
  </si>
  <si>
    <t>LE MINH HIEU</t>
  </si>
  <si>
    <t>レー　ミン　ヒエウ</t>
  </si>
  <si>
    <t>NGUYEN NGOC PHONG</t>
  </si>
  <si>
    <t>グエン　ゴック　フォン</t>
  </si>
  <si>
    <t>NGUYEN NGOC QUANG</t>
  </si>
  <si>
    <t>グエン　ゴック　クアン</t>
  </si>
  <si>
    <t>NGUYEN VAN DUNG</t>
  </si>
  <si>
    <t>グエン　ヴァン　ズン</t>
  </si>
  <si>
    <t>各務ﾊｲﾂ4E</t>
  </si>
  <si>
    <t>田中　ヤスヒロ</t>
  </si>
  <si>
    <t>タナカ　ヤスヒロ</t>
  </si>
  <si>
    <t>日本人の配偶者等</t>
  </si>
  <si>
    <t>CVJ研磨係</t>
    <phoneticPr fontId="9" type="noConversion"/>
  </si>
  <si>
    <t>CVJ転造係</t>
    <rPh sb="3" eb="5">
      <t>ﾃﾝｿﾞｳ</t>
    </rPh>
    <rPh sb="5" eb="6">
      <t>ｶｶﾘ</t>
    </rPh>
    <phoneticPr fontId="9" type="noConversion"/>
  </si>
  <si>
    <t>CVJ転造係</t>
    <phoneticPr fontId="9" type="noConversion"/>
  </si>
  <si>
    <t>CVJ品証課</t>
    <phoneticPr fontId="9" type="noConversion"/>
  </si>
  <si>
    <t>CVJ</t>
    <phoneticPr fontId="9" type="noConversion"/>
  </si>
  <si>
    <t>景森　敦士</t>
  </si>
  <si>
    <t>サブリーダー</t>
  </si>
  <si>
    <t>山下 裕督</t>
  </si>
  <si>
    <t>DATEIF</t>
    <phoneticPr fontId="9" type="noConversion"/>
  </si>
  <si>
    <t>HUB検査課係</t>
  </si>
  <si>
    <t>CVJ品証課</t>
  </si>
  <si>
    <t>SACARFECHQA</t>
    <phoneticPr fontId="9" type="noConversion"/>
  </si>
  <si>
    <t>IF(AND(XLOOKUP(NombreID,TablaTransfor[カナ],TablaTransfor[SACARFECHQA])&lt;=10,XLOOKUP(NombreID,TablaTransfor[カナ],TablaTransfor[SACARFECHQA])&gt;=0.001),TEXT(XLOOKUP(NombreID,TablaTransfor[カナ],TablaTransfor[入社日],"",0,1),"yyyy")&amp;"年10月01日")</t>
    <phoneticPr fontId="1"/>
  </si>
  <si>
    <t>更新日</t>
    <rPh sb="0" eb="2">
      <t>コウシン</t>
    </rPh>
    <rPh sb="2" eb="3">
      <t>ビ</t>
    </rPh>
    <phoneticPr fontId="1"/>
  </si>
  <si>
    <t>2021/1/25～2021/9/30</t>
    <phoneticPr fontId="1"/>
  </si>
  <si>
    <t>2021/10/1～2022/9/30</t>
    <phoneticPr fontId="1"/>
  </si>
  <si>
    <t>2022/10/1～2023/9/30</t>
    <phoneticPr fontId="1"/>
  </si>
  <si>
    <t>所長</t>
    <phoneticPr fontId="1"/>
  </si>
  <si>
    <t>堀角　憲治</t>
    <phoneticPr fontId="1"/>
  </si>
  <si>
    <t>万波　一成　？</t>
    <phoneticPr fontId="1"/>
  </si>
  <si>
    <t>工場長</t>
    <phoneticPr fontId="1"/>
  </si>
  <si>
    <t>主任</t>
    <rPh sb="0" eb="2">
      <t>シュニン</t>
    </rPh>
    <phoneticPr fontId="1"/>
  </si>
  <si>
    <t>山下　裕督</t>
  </si>
  <si>
    <t>内容</t>
    <rPh sb="0" eb="2">
      <t>ﾅｲﾖｳ</t>
    </rPh>
    <phoneticPr fontId="9" type="noConversion"/>
  </si>
  <si>
    <t>ハブ加工　自動機の操作、ＮＣプログラム修正</t>
    <rPh sb="2" eb="4">
      <t>カコウ</t>
    </rPh>
    <rPh sb="5" eb="8">
      <t>ジドウキ</t>
    </rPh>
    <rPh sb="9" eb="11">
      <t>ソウサ</t>
    </rPh>
    <rPh sb="19" eb="21">
      <t>シュウセイ</t>
    </rPh>
    <phoneticPr fontId="3"/>
  </si>
  <si>
    <t>ＣＶＪ長軸等速ジョイント旋削加工、ＮＣプログラム修正</t>
    <rPh sb="3" eb="5">
      <t>チョウジク</t>
    </rPh>
    <rPh sb="5" eb="7">
      <t>トウソク</t>
    </rPh>
    <rPh sb="12" eb="14">
      <t>センサク</t>
    </rPh>
    <rPh sb="14" eb="16">
      <t>カコウ</t>
    </rPh>
    <rPh sb="24" eb="26">
      <t>シュウセイ</t>
    </rPh>
    <phoneticPr fontId="3"/>
  </si>
  <si>
    <t>HUB旋削加工品の抜き取り検査</t>
    <rPh sb="3" eb="5">
      <t>センサク</t>
    </rPh>
    <rPh sb="5" eb="7">
      <t>カコウ</t>
    </rPh>
    <rPh sb="7" eb="8">
      <t>ヒン</t>
    </rPh>
    <rPh sb="9" eb="10">
      <t>ヌ</t>
    </rPh>
    <rPh sb="11" eb="12">
      <t>ト</t>
    </rPh>
    <rPh sb="13" eb="15">
      <t>ケンサ</t>
    </rPh>
    <phoneticPr fontId="3"/>
  </si>
  <si>
    <t>CVJバリ取りチャンファ等速ジョイント旋削加工</t>
    <rPh sb="5" eb="6">
      <t>ト</t>
    </rPh>
    <rPh sb="12" eb="14">
      <t>トウソク</t>
    </rPh>
    <rPh sb="19" eb="21">
      <t>センサク</t>
    </rPh>
    <rPh sb="21" eb="23">
      <t>カコウ</t>
    </rPh>
    <phoneticPr fontId="3"/>
  </si>
  <si>
    <t>ＣＶＪ切欠きコッタ等速ジョイント旋削加工</t>
    <rPh sb="3" eb="4">
      <t>キ</t>
    </rPh>
    <rPh sb="4" eb="5">
      <t>カ</t>
    </rPh>
    <rPh sb="9" eb="11">
      <t>トウソク</t>
    </rPh>
    <rPh sb="16" eb="18">
      <t>センサク</t>
    </rPh>
    <rPh sb="18" eb="20">
      <t>カコウ</t>
    </rPh>
    <phoneticPr fontId="3"/>
  </si>
  <si>
    <t>自動機の旋削機械及び周辺機器等の清掃メンテナンス</t>
    <rPh sb="0" eb="3">
      <t>ジドウキ</t>
    </rPh>
    <rPh sb="4" eb="5">
      <t>メグル</t>
    </rPh>
    <rPh sb="5" eb="6">
      <t>ケズ</t>
    </rPh>
    <rPh sb="6" eb="8">
      <t>キカイ</t>
    </rPh>
    <rPh sb="8" eb="9">
      <t>オヨ</t>
    </rPh>
    <rPh sb="10" eb="12">
      <t>シュウヘン</t>
    </rPh>
    <rPh sb="12" eb="14">
      <t>キキ</t>
    </rPh>
    <rPh sb="14" eb="15">
      <t>トウ</t>
    </rPh>
    <rPh sb="16" eb="18">
      <t>セイソウ</t>
    </rPh>
    <phoneticPr fontId="3"/>
  </si>
  <si>
    <t>ＣＶＪ短軸等速ジョイント旋削加工、ＮＣプログラム修正</t>
    <rPh sb="3" eb="5">
      <t>タンジク</t>
    </rPh>
    <rPh sb="5" eb="7">
      <t>トウソク</t>
    </rPh>
    <rPh sb="12" eb="14">
      <t>センサク</t>
    </rPh>
    <rPh sb="14" eb="16">
      <t>カコウ</t>
    </rPh>
    <rPh sb="24" eb="26">
      <t>シュウセイ</t>
    </rPh>
    <phoneticPr fontId="3"/>
  </si>
  <si>
    <t>ＣＶＪ転造等速ジョイント旋削加工、ＮＣプログラム修正</t>
    <rPh sb="3" eb="5">
      <t>テンゾウ</t>
    </rPh>
    <rPh sb="5" eb="7">
      <t>トウソク</t>
    </rPh>
    <rPh sb="12" eb="14">
      <t>センサク</t>
    </rPh>
    <rPh sb="14" eb="16">
      <t>カコウ</t>
    </rPh>
    <rPh sb="24" eb="26">
      <t>シュウセイ</t>
    </rPh>
    <phoneticPr fontId="3"/>
  </si>
  <si>
    <t>退社</t>
    <phoneticPr fontId="9" type="noConversion"/>
  </si>
  <si>
    <t>所長</t>
  </si>
  <si>
    <t>堀角　憲治</t>
  </si>
  <si>
    <t>課長　</t>
  </si>
  <si>
    <t>主任</t>
  </si>
  <si>
    <t>CVJ転造係</t>
  </si>
  <si>
    <t>岸</t>
  </si>
  <si>
    <t>ＣＶＪ研磨等速ジョイント旋削加工</t>
    <phoneticPr fontId="9" type="noConversion"/>
  </si>
  <si>
    <t>CVJバリ取りチャンファ等速ジョイント旋削加工</t>
    <phoneticPr fontId="9" type="noConversion"/>
  </si>
  <si>
    <t>ＣＶＪ切欠きコッタ等速ジョイント旋削加工</t>
    <phoneticPr fontId="9" type="noConversion"/>
  </si>
  <si>
    <t>ＣＶＪ長軸等速ジョイント旋削加工・ＮＣプログラム修正</t>
    <phoneticPr fontId="9" type="noConversion"/>
  </si>
  <si>
    <t>ＣＶＪ研磨等速ジョイント旋削加工・ＮＣプログラム修正</t>
    <phoneticPr fontId="9" type="noConversion"/>
  </si>
  <si>
    <t>自動機の旋削機械及び周辺機器等の清掃メンテナンス</t>
    <phoneticPr fontId="9" type="noConversion"/>
  </si>
  <si>
    <t>ＣＶＪ転造等速ジョイント旋削加工・ＮＣプログラム修正</t>
    <phoneticPr fontId="9" type="noConversion"/>
  </si>
  <si>
    <t>ＣＶＪ短軸等速ジョイント旋削加工・ＮＣプログラム修正</t>
    <phoneticPr fontId="9" type="noConversion"/>
  </si>
  <si>
    <t>ハブ加工・自動機の操作</t>
    <phoneticPr fontId="9" type="noConversion"/>
  </si>
  <si>
    <t>・</t>
    <phoneticPr fontId="9" type="noConversion"/>
  </si>
  <si>
    <t>ハブ加工・自動機の操作・ＮＣプログラム修正</t>
    <phoneticPr fontId="9" type="noConversion"/>
  </si>
  <si>
    <t>ハブ加工自動機の操作・ＮＣプログラム修正</t>
    <phoneticPr fontId="9" type="noConversion"/>
  </si>
  <si>
    <t>ハブ加工・自動機の操作・ＮＣプログラム修正</t>
    <phoneticPr fontId="1"/>
  </si>
  <si>
    <t>ＣＶＪ長軸等速ジョイント旋削加工・ＮＣプログラム修正</t>
    <phoneticPr fontId="1"/>
  </si>
  <si>
    <t>ＣＶＪ研磨等速ジョイント旋削加工・ＮＣプログラム修正</t>
    <phoneticPr fontId="1"/>
  </si>
  <si>
    <t>ＣＶＪ短軸等速ジョイント旋削加工・ＮＣプログラム修正</t>
    <phoneticPr fontId="1"/>
  </si>
  <si>
    <t>ＣＶＪ転造等速ジョイント旋削加工・ＮＣプログラム修正</t>
    <phoneticPr fontId="1"/>
  </si>
  <si>
    <t>ハブ加工・自動機の操作・ＮＣプログラム修正</t>
    <phoneticPr fontId="9" type="noConversion"/>
  </si>
  <si>
    <t>ＣＶＪ長軸等速ジョイント旋削加工・ＮＣプログラム修正</t>
    <phoneticPr fontId="9" type="noConversion"/>
  </si>
  <si>
    <t>ＣＶＪ研磨等速ジョイント旋削加工・ＮＣプログラム修正</t>
    <phoneticPr fontId="9" type="noConversion"/>
  </si>
  <si>
    <t>ＣＶＪ短軸等速ジョイント旋削加工・ＮＣプログラム修正</t>
    <phoneticPr fontId="9" type="noConversion"/>
  </si>
  <si>
    <t>ＣＶＪ転造等速ジョイント旋削加工・ＮＣプログラム修正</t>
    <phoneticPr fontId="9" type="noConversion"/>
  </si>
  <si>
    <t>就業場所TEL</t>
    <phoneticPr fontId="9" type="noConversion"/>
  </si>
  <si>
    <t>IF($I54="","",IF(R54="mada","有期雇用（3ヵ月）","無期雇用"))</t>
    <phoneticPr fontId="1"/>
  </si>
  <si>
    <t>Robot</t>
    <phoneticPr fontId="9" type="noConversion"/>
  </si>
  <si>
    <t>XLOOKUP(NombreID,TablaTransfor[カナ],TablaTransfor[入社日])</t>
    <phoneticPr fontId="1"/>
  </si>
  <si>
    <t>高雄工業株式会社 CVJ工場 CVJ製作課</t>
  </si>
  <si>
    <t>HUB旋削加工品の抜き取り検査</t>
    <phoneticPr fontId="9" type="noConversion"/>
  </si>
  <si>
    <t>HUB旋削加工品の抜き取り</t>
    <phoneticPr fontId="9" type="noConversion"/>
  </si>
  <si>
    <t>ＣＶＪ研磨等速ジョイント旋削加工</t>
    <phoneticPr fontId="3"/>
  </si>
  <si>
    <t>ＣＶＪ研磨等速ジョイント旋削加工・ＮＣプログラム修正</t>
    <rPh sb="3" eb="5">
      <t>ケンマ</t>
    </rPh>
    <rPh sb="5" eb="7">
      <t>トウソク</t>
    </rPh>
    <rPh sb="12" eb="14">
      <t>センサク</t>
    </rPh>
    <rPh sb="14" eb="16">
      <t>カコウ</t>
    </rPh>
    <phoneticPr fontId="3"/>
  </si>
  <si>
    <t>ハブ加工・自動機の操作</t>
    <rPh sb="2" eb="4">
      <t>カコウ</t>
    </rPh>
    <rPh sb="5" eb="8">
      <t>ジドウキ</t>
    </rPh>
    <rPh sb="9" eb="11">
      <t>ソウサ</t>
    </rPh>
    <phoneticPr fontId="3"/>
  </si>
  <si>
    <t>ハブ加工・自動機の操作・ＮＣプログラム修正</t>
    <rPh sb="2" eb="4">
      <t>カコウ</t>
    </rPh>
    <rPh sb="5" eb="8">
      <t>ジドウキ</t>
    </rPh>
    <rPh sb="9" eb="11">
      <t>ソウサ</t>
    </rPh>
    <rPh sb="19" eb="21">
      <t>シュウセイ</t>
    </rPh>
    <phoneticPr fontId="3"/>
  </si>
  <si>
    <t>通知書</t>
  </si>
  <si>
    <t>ＣＶＪ長軸等速ジョイント旋削加工・ＮＣプログラム修正</t>
  </si>
  <si>
    <t>ＣＶＪ長軸等速ジョイント旋削加工・ＮＣプログラム修正</t>
    <rPh sb="3" eb="5">
      <t>チョウジク</t>
    </rPh>
    <rPh sb="5" eb="7">
      <t>トウソク</t>
    </rPh>
    <rPh sb="12" eb="14">
      <t>センサク</t>
    </rPh>
    <rPh sb="14" eb="16">
      <t>カコウ</t>
    </rPh>
    <rPh sb="24" eb="26">
      <t>シュウセイ</t>
    </rPh>
    <phoneticPr fontId="3"/>
  </si>
  <si>
    <t>ハブ加工・自動機の操作・ＮＣプログラム修正</t>
  </si>
  <si>
    <t>ハブ加工・自動機の操作</t>
  </si>
  <si>
    <t>ＣＶＪ研磨等速ジョイント旋削加工・ＮＣプログラム修正</t>
  </si>
  <si>
    <t>ＣＶＪ研磨等速ジョイント旋削加工</t>
  </si>
  <si>
    <t>ＣＶＪ転造等速ジョイント旋削加工・ＮＣプログラム修正</t>
  </si>
  <si>
    <t>松尾　隆徳</t>
    <phoneticPr fontId="9" type="noConversion"/>
  </si>
  <si>
    <t>品証課</t>
    <phoneticPr fontId="9" type="noConversion"/>
  </si>
  <si>
    <t>Sueldo</t>
    <phoneticPr fontId="9" type="noConversion"/>
  </si>
  <si>
    <t>IF(O37&lt;=C56,"",XLOOKUP(NombreID,TablaTransfor[カナ],TablaTransfor[入社日])+1)</t>
    <phoneticPr fontId="1"/>
  </si>
  <si>
    <t>列1</t>
    <phoneticPr fontId="9" type="noConversion"/>
  </si>
  <si>
    <t>IF(IF(O37&gt;=XLOOKUP(NombreID,TablaTransfor[カナ],TablaTransfor[Robot]),IF(XLOOKUP(NombreID,TablaTransfor[カナ],TablaTransfor[Robot])="","",XLOOKUP(NombreID,TablaTransfor[カナ],TablaTransfor[Robot])))=FALSE,"",IF(O37&gt;=XLOOKUP(NombreID,TablaTransfor[カナ],TablaTransfor[Robot]),IF(XLOOKUP(NombreID,TablaTransfor[カナ],TablaTransfor[Robot])="","",XLOOKUP(NombreID,TablaTransfor[カナ],TablaTransfor[Robot]))))</t>
    <phoneticPr fontId="1"/>
  </si>
  <si>
    <t>中山　欣英</t>
    <phoneticPr fontId="9" type="noConversion"/>
  </si>
  <si>
    <t>営業部</t>
    <rPh sb="0" eb="2">
      <t>ｴｲｷﾞｮｳ</t>
    </rPh>
    <rPh sb="2" eb="3">
      <t>ﾌﾞ</t>
    </rPh>
    <phoneticPr fontId="9" type="noConversion"/>
  </si>
  <si>
    <t>Cuidado ya que es fecha daicho</t>
    <phoneticPr fontId="9" type="noConversion"/>
  </si>
  <si>
    <t>CVJ短軸旋盤係</t>
    <phoneticPr fontId="9" type="noConversion"/>
  </si>
  <si>
    <t>CVJ短軸旋盤係</t>
    <phoneticPr fontId="9" type="noConversion"/>
  </si>
  <si>
    <t>ＣＶＪ短軸等速ジョイント旋削加工・ＮＣプログラム修正</t>
    <phoneticPr fontId="9" type="noConversion"/>
  </si>
  <si>
    <t>ＣＶＪ転造等速ジョイント旋削加工・ＮＣプログラム修正</t>
    <phoneticPr fontId="9" type="noConversion"/>
  </si>
  <si>
    <t>仕事内容</t>
  </si>
  <si>
    <t>製造1</t>
  </si>
  <si>
    <t>成型ライン</t>
  </si>
  <si>
    <t>プラスチック製品の製造におけるすべての行為</t>
  </si>
  <si>
    <t>第５工場</t>
  </si>
  <si>
    <t>ラインオペレーター</t>
  </si>
  <si>
    <t>製造部</t>
  </si>
  <si>
    <t>旋盤ライン</t>
  </si>
  <si>
    <t>ATミッション部品をはじめとする、各種自動車部品の製造</t>
  </si>
  <si>
    <t>ﾗｲﾌｺｱ119　306号</t>
  </si>
  <si>
    <t>ＣＶＪ短軸等速ジョイント旋削加工・ＮＣプログラム修正</t>
  </si>
  <si>
    <t>愛知県弥富市佐古木3丁目289-2</t>
  </si>
  <si>
    <t>ﾄﾞﾐｰﾙ佐古木 105</t>
  </si>
  <si>
    <t>20221/3/1～2023/7/28まで三幸技研　2023/8/1～コーリツ州の崎へ異動</t>
  </si>
  <si>
    <t>本社工場製造1課1工区1班</t>
  </si>
  <si>
    <t>444-1303</t>
  </si>
  <si>
    <t>愛知県高浜市小池町4丁目6番地6</t>
  </si>
  <si>
    <t>ｺｰﾎﾟﾗｽSK102</t>
  </si>
  <si>
    <t>709-2105</t>
  </si>
  <si>
    <t>岡山県岡山市北区御津伊田44-2</t>
  </si>
  <si>
    <t>産後23年5月3日~6月27日 育休：6/28～2024年5月5日</t>
  </si>
  <si>
    <t>製造課</t>
  </si>
  <si>
    <t>等速ジョイント</t>
  </si>
  <si>
    <t>ＮＣ旋盤、マシニングセンター等の工作機械を使いオペレーターとして製造ラインで製品を加工</t>
  </si>
  <si>
    <t>成広ｺｰﾎﾟⅡ207</t>
  </si>
  <si>
    <t>コンピュータで、建築物、機械、工業製品などの設計・製図を行う。</t>
  </si>
  <si>
    <t>ブイ　ティ　イエン</t>
  </si>
  <si>
    <t>ｱﾄﾚA101</t>
  </si>
  <si>
    <t>愛知県弥富市前ヶ須田堪助走34-1</t>
  </si>
  <si>
    <t>加工機や冶具・装置の設定を変更する作業</t>
  </si>
  <si>
    <t>444-1314</t>
  </si>
  <si>
    <t>愛知県高浜市論地町3-2-27</t>
  </si>
  <si>
    <t>ｺｰﾎﾟｲｰｽﾄC205</t>
  </si>
  <si>
    <t>663-8114</t>
  </si>
  <si>
    <t>産業機械部品の研磨加工、MCプログラム修正</t>
  </si>
  <si>
    <t>愛知県半田市長根町1丁目104</t>
  </si>
  <si>
    <t>ｺｯﾄﾝﾊｲﾂ105</t>
  </si>
  <si>
    <t>532-0024</t>
  </si>
  <si>
    <t>大阪府大阪市淀川区十三本町3丁目5番19-405</t>
  </si>
  <si>
    <t>CVJ部品長軸品の施削加工、NCプログラム修正</t>
  </si>
  <si>
    <t>高雄工業株式会社 岡山事業所HUB工場製作2課</t>
  </si>
  <si>
    <t>産業機械部品の研磨加工、NCプログラム修正</t>
  </si>
  <si>
    <t>生産2部</t>
  </si>
  <si>
    <t>J加工1課</t>
  </si>
  <si>
    <t>木材加工・検査・梱包</t>
  </si>
  <si>
    <t>448-0832</t>
  </si>
  <si>
    <t>愛知県刈谷市八幡町7丁目16-1</t>
  </si>
  <si>
    <t>花水木C</t>
  </si>
  <si>
    <t>新日本ホイール 2023/4/21退社　加藤木材工業本社に移動　2023/7/31～コーリツ本社へ異動</t>
  </si>
  <si>
    <t>663-8112</t>
  </si>
  <si>
    <t>兵庫県西宮市六甲園口北町4－15</t>
  </si>
  <si>
    <t>ﾊﾟﾗﾂｨｰﾅ六甲園口Ⅱ201</t>
  </si>
  <si>
    <t>岡山県岡山市北区御津下田77番地3</t>
  </si>
  <si>
    <t>ﾋﾞﾚｯｼﾞﾊｳｽ1-307</t>
  </si>
  <si>
    <t>生産1部</t>
  </si>
  <si>
    <t>生産2課</t>
  </si>
  <si>
    <t>ﾘﾝﾋﾟｱ長斉302</t>
  </si>
  <si>
    <t>2022/5/9～2022/4/8まで高雄本社所属　2023/4/10~加藤木材に移動</t>
  </si>
  <si>
    <t>生産課</t>
  </si>
  <si>
    <t>2022/5/9～2022/3/30まで高雄本社所属　2023/4/10~加藤木材に移動</t>
  </si>
  <si>
    <t>ﾚﾌﾞﾗﾝｶﾐｰﾘｱＢ205</t>
  </si>
  <si>
    <t>ﾚｼﾞｪﾝﾄﾞK304</t>
  </si>
  <si>
    <t>2022/7/1~ﾌｪﾆﾃｯｸ鹿児島　2023/4/6～PMIへ移動、2023/7/8～304へ移動</t>
  </si>
  <si>
    <t>2022/7/1~2023/7/28ﾌｪﾆﾃｯｸ鹿児島　2023/8/4~高雄工業岡山へ異動</t>
  </si>
  <si>
    <t>中須賀ｺｰﾎﾟⅡ201</t>
  </si>
  <si>
    <t>成広矢原ｺｰﾎﾟⅥ106</t>
  </si>
  <si>
    <t>クランクシャフトの旋盤、マシニング、研磨、仕上げ加工など</t>
  </si>
  <si>
    <t>愛知県豊田市東山町2丁目1555－1</t>
  </si>
  <si>
    <t>市営東山住宅E棟602号</t>
  </si>
  <si>
    <t>京田住宅2号棟344</t>
  </si>
  <si>
    <t>NGUYEN HUU HOI</t>
  </si>
  <si>
    <t>J加工2課</t>
  </si>
  <si>
    <t>486-0902</t>
  </si>
  <si>
    <t>愛知県春日井市新開町字新開61－19</t>
  </si>
  <si>
    <t>ｺｰﾎﾟ光201</t>
  </si>
  <si>
    <t>資材課</t>
  </si>
  <si>
    <t>486-0958</t>
  </si>
  <si>
    <t>愛知県春日井市西本町1丁目1－1</t>
  </si>
  <si>
    <t>ﾊｲﾂｱｲｶ味美403</t>
  </si>
  <si>
    <t>ﾚｼﾞｪﾝﾄﾞK305</t>
  </si>
  <si>
    <t>2022/3/8~2022/9/30まで高雄工業海南第一　2022/10/3～ﾋﾟｰｴﾑｱｲへ異動、2023/7/8～305へ移動</t>
  </si>
  <si>
    <t>静岡県袋井市堀越四丁目１番地の1</t>
  </si>
  <si>
    <t>県営堀越団地5棟 205号室</t>
  </si>
  <si>
    <t>生産部</t>
  </si>
  <si>
    <t>加工課</t>
  </si>
  <si>
    <t>岐阜県恵那市大井町1454-1</t>
  </si>
  <si>
    <t>ﾋﾞﾚｯｼﾞﾊｳｽ恵那1号棟403</t>
  </si>
  <si>
    <t>成広矢原ｺｰﾎﾟⅠ205号</t>
  </si>
  <si>
    <t>HUB　検査課係（保留中）</t>
  </si>
  <si>
    <t>県営長根住宅10棟402号</t>
  </si>
  <si>
    <t>山口県防府市大字田島545-2</t>
  </si>
  <si>
    <t>ﾋﾞﾚｯｼﾞﾊｳｽ田島2棟404号</t>
  </si>
  <si>
    <t>メラミン課</t>
  </si>
  <si>
    <t>高雄工業株式会社 第一営業部本社営業課</t>
  </si>
  <si>
    <t>愛知県半田市苗代町2-19</t>
  </si>
  <si>
    <t>岡山県北区御津金川929-2</t>
  </si>
  <si>
    <t>成広ｺｰﾎﾟⅡ203</t>
  </si>
  <si>
    <t>愛知県高浜市湯山町4丁目９番地6</t>
  </si>
  <si>
    <t>ﾋﾞﾚｯｼﾞﾊｳｽ高取2号棟103号室</t>
  </si>
  <si>
    <t>447-0011</t>
  </si>
  <si>
    <t>愛知県碧南市平山町3丁目16番地</t>
  </si>
  <si>
    <t>ﾋﾞﾚｯｼﾞﾊｳｽ西端1号棟302</t>
  </si>
  <si>
    <t>4/12林</t>
  </si>
  <si>
    <t>岡山県岡山市北区御津矢原288-1</t>
  </si>
  <si>
    <t>ｸﾞﾗﾝﾃｰｻﾞ208</t>
  </si>
  <si>
    <t>ｸﾞﾗﾝﾃｰｻﾞ109</t>
  </si>
  <si>
    <t>本社工場製造2課3工区6班</t>
  </si>
  <si>
    <t>本社工場製造1課2工区6班</t>
  </si>
  <si>
    <t>23.5.1</t>
  </si>
  <si>
    <t>4/13林</t>
  </si>
  <si>
    <t>PHAM DUY QUANG</t>
  </si>
  <si>
    <t>ファム　ズイ　クアン</t>
  </si>
  <si>
    <t>愛知県春日井市如意申町3丁目3－4</t>
  </si>
  <si>
    <t>Residence Enfinity M1 201</t>
  </si>
  <si>
    <t>THAI BA THACH</t>
  </si>
  <si>
    <t>タイ　バー　タック</t>
  </si>
  <si>
    <t>レー　ヴィエット　チュン</t>
  </si>
  <si>
    <t>NGUYEN NGOC HUNG</t>
  </si>
  <si>
    <t>グエン　ゴック　フン</t>
  </si>
  <si>
    <t>4/24林</t>
  </si>
  <si>
    <t>NGUYEN DINH HUAN</t>
  </si>
  <si>
    <t>グエン　ディン　ファン</t>
  </si>
  <si>
    <t>5/15林</t>
  </si>
  <si>
    <t>TRAN XUAN DAT</t>
  </si>
  <si>
    <t>チャン　スアン　ダット</t>
  </si>
  <si>
    <t>455-0831</t>
  </si>
  <si>
    <t>愛知県名古屋市港区十一屋3丁目24-1</t>
  </si>
  <si>
    <t>ｸﾞﾛｰﾘｨ十一屋304号</t>
  </si>
  <si>
    <t>TRAN NGOC HOAI</t>
  </si>
  <si>
    <t>チャン　ゴック　ホアイ</t>
  </si>
  <si>
    <t>LE DINH PHUC</t>
  </si>
  <si>
    <t>レ　ディン　フック</t>
  </si>
  <si>
    <t>愛知県豊川市一宮町宮前125</t>
  </si>
  <si>
    <t>ﾌｫﾝﾃｲﾝ宮前203</t>
  </si>
  <si>
    <t>23.6.1</t>
  </si>
  <si>
    <t>5/29林</t>
  </si>
  <si>
    <t>PHUNG QUANG DUONG</t>
  </si>
  <si>
    <t>フン　クアン　ズオン</t>
  </si>
  <si>
    <t>5/17林</t>
  </si>
  <si>
    <t>CHU DUC NGHI</t>
  </si>
  <si>
    <t>チュ　ドゥック　ギー</t>
  </si>
  <si>
    <t>DO TUAN ANH</t>
  </si>
  <si>
    <t>ドー　トゥアン　アイン</t>
  </si>
  <si>
    <t>静岡県袋井市旭町1-1-17</t>
  </si>
  <si>
    <t>ｱｻﾋﾒｲﾄ202</t>
  </si>
  <si>
    <t>LE DUC THINH</t>
  </si>
  <si>
    <t>レー　ドゥック　ティン</t>
  </si>
  <si>
    <t>NGUYEN VAN TY</t>
  </si>
  <si>
    <t>グエン　ヴァン　ティ</t>
  </si>
  <si>
    <t>CASA弥富A105</t>
  </si>
  <si>
    <t>DAU DUC NGUYEN</t>
  </si>
  <si>
    <t>ダウ　ドゥック　グエン</t>
  </si>
  <si>
    <t>各務ﾊｲﾂ4I</t>
  </si>
  <si>
    <t>23.5.22</t>
  </si>
  <si>
    <t>6/12林</t>
  </si>
  <si>
    <t>NGUYEN XUAN QUYET</t>
  </si>
  <si>
    <t>グエン　スアン　クエット</t>
  </si>
  <si>
    <t>LE VAN NAM</t>
  </si>
  <si>
    <t>レー　ヴァン　ナム</t>
  </si>
  <si>
    <t>各務ﾊｲﾂ3F</t>
  </si>
  <si>
    <t>PHAN VAN CANH</t>
  </si>
  <si>
    <t>ファム　ヴァン　カン</t>
  </si>
  <si>
    <t>BUI XUAN DUONG</t>
  </si>
  <si>
    <t>ブイ　スアン　ズオン</t>
  </si>
  <si>
    <t>6/2原</t>
  </si>
  <si>
    <t>NGUYEN VAN DU</t>
  </si>
  <si>
    <t>グエン　ヴァン　ズ</t>
  </si>
  <si>
    <t>485-0832</t>
  </si>
  <si>
    <t>愛知県小牧市応時1丁目66番地</t>
  </si>
  <si>
    <t>ﾌﾚｽｶｲﾄｳ301</t>
  </si>
  <si>
    <t>23.6.5</t>
  </si>
  <si>
    <t>6/14林</t>
  </si>
  <si>
    <t>NGUYEN VAN TUYEN</t>
  </si>
  <si>
    <t>グエン　バン　トゥエン</t>
  </si>
  <si>
    <t>448-0855</t>
  </si>
  <si>
    <t>愛知県刈谷市大正町7丁目401-1</t>
  </si>
  <si>
    <t>ﾆｭｰﾊﾋﾟﾈｽ201</t>
  </si>
  <si>
    <t>23.6.12</t>
  </si>
  <si>
    <t>6/21原</t>
  </si>
  <si>
    <t>23.6.16</t>
  </si>
  <si>
    <t>7/3林</t>
  </si>
  <si>
    <t>2023/7/8～205へ移動</t>
  </si>
  <si>
    <t>DAO VAN LONG</t>
  </si>
  <si>
    <t>ダオ　ヴァン　ロン</t>
  </si>
  <si>
    <t>岡山県岡山市北区御津矢原307番地</t>
  </si>
  <si>
    <t>LE CHI VI</t>
  </si>
  <si>
    <t>レー　チー　ヴィ</t>
  </si>
  <si>
    <t>LE DUY KHAI</t>
  </si>
  <si>
    <t>レー　ズイ　カイ</t>
  </si>
  <si>
    <t>HOANG TRUNG DUC</t>
  </si>
  <si>
    <t>ホアン　チュン　ドゥック</t>
  </si>
  <si>
    <t>NGUYEN GIA THO</t>
  </si>
  <si>
    <t>グエン　ジャ　トー</t>
  </si>
  <si>
    <t>NGUYEN QUOC HUNG</t>
  </si>
  <si>
    <t>グエン　コック　フン</t>
  </si>
  <si>
    <t>NGUYEN QUOC THAI</t>
  </si>
  <si>
    <t>グエン　コック　タイ</t>
  </si>
  <si>
    <t>23.6.26</t>
  </si>
  <si>
    <t>7/5林</t>
  </si>
  <si>
    <t>TRAN QUOC TRUONG</t>
  </si>
  <si>
    <t>チャン　コック　チュオン</t>
  </si>
  <si>
    <t>ﾗﾌｨｰﾈ久能402号303</t>
  </si>
  <si>
    <t>23.02.01</t>
  </si>
  <si>
    <t>7/18原</t>
  </si>
  <si>
    <t>請負より異動(入社23/1/19）</t>
  </si>
  <si>
    <t>TRAN DINH THANH</t>
  </si>
  <si>
    <t>チャン　ディン　タイン</t>
  </si>
  <si>
    <t>請負より異動(入社22/9/8）</t>
  </si>
  <si>
    <t>愛知県半田市長根町３丁目１番</t>
  </si>
  <si>
    <t>県営長根住宅1棟302号</t>
  </si>
  <si>
    <t>23.7.3</t>
  </si>
  <si>
    <t>7/13林</t>
  </si>
  <si>
    <t>NGUYEN VAN ANH</t>
  </si>
  <si>
    <t>グエン　バン　アン</t>
  </si>
  <si>
    <t>NGUYEN DINH TANG</t>
  </si>
  <si>
    <t>グエン　デイン　タン</t>
  </si>
  <si>
    <t>HOANG ANH DUNG</t>
  </si>
  <si>
    <t>ホアン　アイン　ズン</t>
  </si>
  <si>
    <t>JONDA RAMOS VICTOR ADOLFO0</t>
  </si>
  <si>
    <t>ホンダ　ビクトル</t>
  </si>
  <si>
    <t>526-0803</t>
  </si>
  <si>
    <t>滋賀県長浜市東上坂町524-1</t>
  </si>
  <si>
    <t xml:space="preserve"> </t>
  </si>
  <si>
    <t>23.7.5</t>
  </si>
  <si>
    <t>DO VAN HIEP</t>
  </si>
  <si>
    <t>ド　ヴァン　ヒエップ</t>
  </si>
  <si>
    <t>愛知県豊田市美里1-14-18</t>
  </si>
  <si>
    <t>高雄工業株式会社第一営業部岡山営業課</t>
  </si>
  <si>
    <t>HO THI NHUNG</t>
  </si>
  <si>
    <t>ホー　ティ　ニュン</t>
  </si>
  <si>
    <t>成広矢原ｺｰﾎﾟⅢ205</t>
  </si>
  <si>
    <t>社保なし</t>
  </si>
  <si>
    <t>BUI THI PHUONG</t>
  </si>
  <si>
    <t>ブイ　ティ　フォン</t>
  </si>
  <si>
    <t>成広ｺｰﾎﾟⅡ206</t>
  </si>
  <si>
    <t>23.7.18</t>
  </si>
  <si>
    <t>7/27林</t>
  </si>
  <si>
    <t>NGUYEN VAN PHUC</t>
  </si>
  <si>
    <t>グエン　ヴァン　フック</t>
  </si>
  <si>
    <t>23.7.21</t>
  </si>
  <si>
    <t>DANG VAN BINH</t>
  </si>
  <si>
    <t>ダン　ヴァン　ビン</t>
  </si>
  <si>
    <t>441-1342</t>
  </si>
  <si>
    <t>愛知県新城市石田字南畑51-1</t>
  </si>
  <si>
    <t>ﾌﾞﾗﾝｼｪHiroB</t>
  </si>
  <si>
    <t>23.7.25</t>
  </si>
  <si>
    <t>LE XUAN HOANG</t>
  </si>
  <si>
    <t>レ　スアン　ホアン</t>
  </si>
  <si>
    <t>HO SY CUONG</t>
  </si>
  <si>
    <t>ホー　シー　クオン</t>
  </si>
  <si>
    <t>PHAN VAN PHI</t>
  </si>
  <si>
    <t>ファン　ヴァン　フィ</t>
  </si>
  <si>
    <t>23.7.26</t>
  </si>
  <si>
    <t>8/9林</t>
  </si>
  <si>
    <t>NGUYEN VAN NAM</t>
  </si>
  <si>
    <t>グエン　ヴァン　ナム</t>
  </si>
  <si>
    <t>各務ﾊｲﾂ3E</t>
  </si>
  <si>
    <t>23.8.1</t>
  </si>
  <si>
    <t>THAI VAN HUNG</t>
  </si>
  <si>
    <t>タイ　ヴァン　フン</t>
  </si>
  <si>
    <t>NGUYEN THANH LONG</t>
  </si>
  <si>
    <t>グエン　タイン　ロン</t>
  </si>
  <si>
    <t>NGUYEN TIEN DAT</t>
  </si>
  <si>
    <t>グエン　ティエン　ダット</t>
  </si>
  <si>
    <t>444-1305</t>
  </si>
  <si>
    <t>愛知県高浜市神明町1丁目2-1</t>
  </si>
  <si>
    <t>古橋ﾏﾝｼｮﾝ101</t>
  </si>
  <si>
    <t>8/10林</t>
  </si>
  <si>
    <t>LE NHI</t>
  </si>
  <si>
    <t>レー　ニー</t>
  </si>
  <si>
    <t>NGUYEN QUOC LONG</t>
  </si>
  <si>
    <t>グエン　クォック　ロン</t>
  </si>
  <si>
    <t>岡山県岡山市北区御津金川640</t>
  </si>
  <si>
    <t>TRAN VAN HUAN</t>
  </si>
  <si>
    <t>チャン　ヴァン　ファン</t>
  </si>
  <si>
    <t>8/23林</t>
  </si>
  <si>
    <t>NGUYEN VAN HOI</t>
  </si>
  <si>
    <t>グエン　ヴァン　ホイ</t>
  </si>
  <si>
    <t>DU DUC CANH</t>
  </si>
  <si>
    <t>ズ　ドゥック　カイン</t>
  </si>
  <si>
    <t>VAN DUC NHIEN</t>
  </si>
  <si>
    <t>ヴァン　ドゥック　ニエン</t>
  </si>
  <si>
    <t>BeehiveresidenceⅢ201</t>
  </si>
  <si>
    <t>NGUYEN CONG THANH</t>
  </si>
  <si>
    <t>グエン　コン　タイン</t>
  </si>
  <si>
    <t>長軸バリ取り、検査作業。</t>
  </si>
  <si>
    <t>NGUYEN HUU NHAT</t>
  </si>
  <si>
    <t>グエン　ヒュ　ニャット</t>
  </si>
  <si>
    <t>DANG TRONG BA</t>
  </si>
  <si>
    <t>ダン　チョン　バ</t>
  </si>
  <si>
    <t>NGUYEN VAN QUY</t>
  </si>
  <si>
    <t>グエン　ヴァン　クイ</t>
  </si>
  <si>
    <t>愛知県弥富市鯏浦町西前新田119-1</t>
  </si>
  <si>
    <t>ﾗｲﾌｺｱ119　301号</t>
  </si>
  <si>
    <t>NGUYEN NGOC THANH</t>
  </si>
  <si>
    <t>グエン　ゴック　タイン</t>
  </si>
  <si>
    <t>ﾗｲﾌｺｱ119　307号</t>
  </si>
  <si>
    <t>NGUYEN DUY LAN</t>
  </si>
  <si>
    <t>グエン　ズイ　ラン</t>
  </si>
  <si>
    <t>NGUYEN VAN NGOC</t>
  </si>
  <si>
    <t>グエン　ヴァン　ゴック</t>
  </si>
  <si>
    <t>23.8.2</t>
  </si>
  <si>
    <t>VO HOANG CHUONG</t>
  </si>
  <si>
    <t>ヴォ　ホアン　チュオン</t>
  </si>
  <si>
    <t>LE SY HUNG</t>
  </si>
  <si>
    <t>レー　シー　フン</t>
  </si>
  <si>
    <t>NGUYEN VAN MINH</t>
  </si>
  <si>
    <t>グエン　ヴァン　ミン</t>
  </si>
  <si>
    <t>23.8.7</t>
  </si>
  <si>
    <t>TRAN VAN THAI</t>
  </si>
  <si>
    <t>チャン　ヴァン　タイ</t>
  </si>
  <si>
    <t>23.8.21</t>
  </si>
  <si>
    <t>グエン　ヴァン　フオン</t>
  </si>
  <si>
    <t>474-0071</t>
  </si>
  <si>
    <t>愛知県大府市梶田町3-143-2</t>
  </si>
  <si>
    <t>県営梶田町住宅6棟304</t>
  </si>
  <si>
    <t>LY VAN DUC</t>
  </si>
  <si>
    <t>リー　バン　ドク</t>
  </si>
  <si>
    <t>474-0073</t>
  </si>
  <si>
    <t>愛知県大府市東新町2-170</t>
  </si>
  <si>
    <t>ｴﾝﾄﾋﾟｱMW401</t>
  </si>
  <si>
    <t>GOTO TAMIO MARIO</t>
  </si>
  <si>
    <t>ゴトウ　タミオ　マリオ</t>
  </si>
  <si>
    <t>497-0040</t>
  </si>
  <si>
    <t>愛知県海部郡蟹江町城2丁目131</t>
  </si>
  <si>
    <t>丸庄ﾋﾞﾙ401</t>
  </si>
  <si>
    <t>静岡県袋井市久能2286-1</t>
  </si>
  <si>
    <t>ｳﾞｪﾙﾃﾞ202</t>
  </si>
  <si>
    <t>23.9.1</t>
  </si>
  <si>
    <t>9/8林</t>
  </si>
  <si>
    <t>PHAN VAN THUC</t>
  </si>
  <si>
    <t>ファン　ヴァン　トゥック</t>
  </si>
  <si>
    <t>VU VAN DUNG</t>
  </si>
  <si>
    <t>ブ　バン　ズン</t>
  </si>
  <si>
    <t>476-0011</t>
  </si>
  <si>
    <t>愛知県東海市冨木島町山中80-1</t>
  </si>
  <si>
    <t>ﾋﾞﾚｯｼﾞﾊｳｽ山中2-304</t>
  </si>
  <si>
    <t>TRAN QUOC QUAN</t>
  </si>
  <si>
    <t>チャン　クオック　クアン</t>
  </si>
  <si>
    <t>23.9.6</t>
  </si>
  <si>
    <t>PHAM DUC KHAC</t>
  </si>
  <si>
    <t>ファム　ドゥック　カック</t>
  </si>
  <si>
    <t>448-0813</t>
  </si>
  <si>
    <t>愛知県刈谷市小垣江町石ノ戸86-3</t>
  </si>
  <si>
    <t>ｳﾞｨﾗｺｰﾄ田園403</t>
  </si>
  <si>
    <t>23.9.11</t>
  </si>
  <si>
    <t>9/20林</t>
  </si>
  <si>
    <t>NGUYEN DUC CHUNG</t>
  </si>
  <si>
    <t>グエン　ドゥック　チュン</t>
  </si>
  <si>
    <t>NGUYEN TIEN THUONG</t>
  </si>
  <si>
    <t>グエン　ティエン　トゥオン</t>
  </si>
  <si>
    <t>CVJ部品長軸品と短軸品の転造加工。</t>
  </si>
  <si>
    <t>LE VAN HAI</t>
  </si>
  <si>
    <t>レー　バン　ハイ</t>
  </si>
  <si>
    <t>23.9.18</t>
  </si>
  <si>
    <t>DANG VAN TAN</t>
  </si>
  <si>
    <t>ダン　バン　タン</t>
  </si>
  <si>
    <t>静岡県袋井市堀越1548</t>
  </si>
  <si>
    <t>ﾍﾞﾙｺｰﾎﾟ202</t>
  </si>
  <si>
    <t>23.9.19</t>
  </si>
  <si>
    <t>TRAN THANH VAN</t>
  </si>
  <si>
    <t>チャン　タン　バン</t>
  </si>
  <si>
    <t>NGUYEN DUC MANH</t>
  </si>
  <si>
    <t>グエン　ドゥック　マン</t>
  </si>
  <si>
    <t>437-0123</t>
  </si>
  <si>
    <t>静岡県袋井市下山梨1603-2</t>
  </si>
  <si>
    <t>ﾎｰﾌﾟｼﾃｨHIRO202</t>
  </si>
  <si>
    <t>NGUYEN SY PHUC</t>
  </si>
  <si>
    <t>グエン　シ　フック</t>
  </si>
  <si>
    <t>TRAN DUC CUONG</t>
  </si>
  <si>
    <t>チャン　ドゥック　クオン</t>
  </si>
  <si>
    <t>TRAN VAN THINH</t>
  </si>
  <si>
    <t>チャン　バン　ティン</t>
  </si>
  <si>
    <t>静岡県袋井市山科2844-1</t>
  </si>
  <si>
    <t>ｳﾞｨﾚﾁﾞﾌｫｰB101</t>
  </si>
  <si>
    <t>23.9.21</t>
  </si>
  <si>
    <t>10/13林</t>
  </si>
  <si>
    <t>NGUYEN TRUONG AN</t>
  </si>
  <si>
    <t>グエン　チュオン　アン</t>
  </si>
  <si>
    <t>HOANG TRONG NGHIA</t>
  </si>
  <si>
    <t>ホアン　チョン　ギア</t>
  </si>
  <si>
    <t>23.9.25</t>
  </si>
  <si>
    <t>BUI MINH DUC</t>
  </si>
  <si>
    <t>ブイ　ミン　ドゥック</t>
  </si>
  <si>
    <t>成広矢原ｺｰﾎﾟⅠ201</t>
  </si>
  <si>
    <t>23.9.28</t>
  </si>
  <si>
    <t>NGO MANH TUAN</t>
  </si>
  <si>
    <t>ゴー　マイン　トゥアン</t>
  </si>
  <si>
    <t>NGUYEN XUAN LAM</t>
  </si>
  <si>
    <t>グエン　スアン　ラム</t>
  </si>
  <si>
    <t>HA NGOC QUAN</t>
  </si>
  <si>
    <t>ハー　ゴック　クアン</t>
  </si>
  <si>
    <t>23.10.1</t>
  </si>
  <si>
    <t>VO MINH KHANG</t>
  </si>
  <si>
    <t>ヴォ　ミン　カン</t>
  </si>
  <si>
    <t>ﾊｲﾂ長嶋201</t>
  </si>
  <si>
    <t>DINH TRONG DUONG</t>
  </si>
  <si>
    <t>デイン　チオン　ヅオン</t>
  </si>
  <si>
    <t>NGUYEN QUOC CUONG</t>
  </si>
  <si>
    <t>グエン　クオック　クオン</t>
  </si>
  <si>
    <t>LE NGOC THONG</t>
  </si>
  <si>
    <t>レ　ゴック　トン</t>
  </si>
  <si>
    <t>HOANG XUAN TUAN</t>
  </si>
  <si>
    <t>ホアン　スアン　トゥアン</t>
  </si>
  <si>
    <t>TRAN VAN QUANG</t>
  </si>
  <si>
    <t>チャン　ヴァン　クアン</t>
  </si>
  <si>
    <t>444-0311</t>
  </si>
  <si>
    <t>愛知県西尾市新在家町下屋下20-5</t>
  </si>
  <si>
    <t>ﾋﾞﾚｯｼﾞﾊｳｽ新在家4-104</t>
  </si>
  <si>
    <t>第7工場</t>
  </si>
  <si>
    <t>州の埼工場製造2課2工区3班</t>
  </si>
  <si>
    <t>州の崎工場製造2課2工区3班</t>
  </si>
  <si>
    <t>2021/8/31高雄工業本社退社⇒2021/9/2～2023/11/10三幸技研⇒2023/11/13～コーリツに異動</t>
  </si>
  <si>
    <t>県営長根住宅12棟304号</t>
  </si>
  <si>
    <t>兵庫県西宮市上甲子園2丁目13-18</t>
  </si>
  <si>
    <t>ﾙ･ｼｴｰﾙ上甲子園203</t>
  </si>
  <si>
    <t>州の埼工場製造１課１工区２班</t>
  </si>
  <si>
    <t>ｺﾝﾂｪﾙﾊｳｽⅡD202</t>
  </si>
  <si>
    <t>2課</t>
  </si>
  <si>
    <t>機械オペレーター及び機械メンテナンス他付随する業務</t>
  </si>
  <si>
    <t>2022/5/10～2023/11/3高雄工業静岡退社　2023/11/6瑞陵精機に異動</t>
  </si>
  <si>
    <t>3課</t>
  </si>
  <si>
    <t>生産企画部</t>
  </si>
  <si>
    <t>資材供給部</t>
  </si>
  <si>
    <t>ﾋﾞﾚｯｼﾞﾊｳｽ恵那2号棟309</t>
  </si>
  <si>
    <t>304-0812</t>
  </si>
  <si>
    <t>茨城県下妻市田下598-3</t>
  </si>
  <si>
    <t>CHODORI　102</t>
  </si>
  <si>
    <t>金物事業部</t>
  </si>
  <si>
    <t>岡山県岡山市北区御津矢原297－1</t>
  </si>
  <si>
    <t>岡山県岡山市北区御津矢原307－1</t>
  </si>
  <si>
    <t>23.10.2</t>
  </si>
  <si>
    <t>10/30林</t>
  </si>
  <si>
    <t>NGUYEN DUC QUANG 　</t>
  </si>
  <si>
    <t>グエン　ドック　クアン</t>
  </si>
  <si>
    <t>10/18林</t>
  </si>
  <si>
    <t>23.10.16</t>
  </si>
  <si>
    <t>NGUYEN THANH SANG</t>
  </si>
  <si>
    <t>グエン　タイン　サン</t>
  </si>
  <si>
    <t>23.10.17</t>
  </si>
  <si>
    <t>DUONG THI THANH NGUYET</t>
  </si>
  <si>
    <t>ズオン　ティ　タイン　グエット</t>
  </si>
  <si>
    <t>23.10.18</t>
  </si>
  <si>
    <t>23.10.24</t>
  </si>
  <si>
    <t>11/7林</t>
  </si>
  <si>
    <t>NGO VAN LINH</t>
  </si>
  <si>
    <t>ゴー　バン　リン</t>
  </si>
  <si>
    <t>475-0048</t>
  </si>
  <si>
    <t>愛知県半田市乙川稗田町116</t>
  </si>
  <si>
    <t>NOVA PLUS 301</t>
  </si>
  <si>
    <t>23.10.26</t>
  </si>
  <si>
    <t>11/9林</t>
  </si>
  <si>
    <t>PHAM VAN DONG</t>
  </si>
  <si>
    <t>ファム　バン　ドン</t>
  </si>
  <si>
    <t>23.10.30</t>
  </si>
  <si>
    <t>トラン　バン　トゥアン</t>
  </si>
  <si>
    <t>706-0014</t>
  </si>
  <si>
    <t>岡山県玉野市玉原2-11-3</t>
  </si>
  <si>
    <t>ﾋﾞﾚｯｼﾞﾊｳｽ玉原208</t>
  </si>
  <si>
    <t>23.10.31</t>
  </si>
  <si>
    <t>PHAM DINH TUNG</t>
  </si>
  <si>
    <t>ファム　ディン　トゥン</t>
  </si>
  <si>
    <t>23.11.1</t>
  </si>
  <si>
    <t>11/20林</t>
  </si>
  <si>
    <t>DUONG THANH TUNG</t>
  </si>
  <si>
    <t>ズオン　タイン　トゥン</t>
  </si>
  <si>
    <t>498-0034</t>
  </si>
  <si>
    <t>愛知県弥富市平島東2-18</t>
  </si>
  <si>
    <t>ｸﾞﾗﾝﾂｺｰﾄ402</t>
  </si>
  <si>
    <t>LOC TRUNG THIEN</t>
  </si>
  <si>
    <t>ロック　チュン　ティエン</t>
  </si>
  <si>
    <t>BUI XUAN DAT</t>
  </si>
  <si>
    <t>ブイ　スアン　ダット</t>
  </si>
  <si>
    <t>成広矢原ｺｰﾎﾟⅦ102</t>
  </si>
  <si>
    <t>LE TRAN NHAT LINH</t>
  </si>
  <si>
    <t>レ　チャン　ニャット　リン</t>
  </si>
  <si>
    <t>LUU THANH HAI</t>
  </si>
  <si>
    <t>リュ　タイン　ハイ</t>
  </si>
  <si>
    <t>23.11.2</t>
  </si>
  <si>
    <t>NGUYEN VAN LONG</t>
  </si>
  <si>
    <t>グエン　ヴァン　ロン</t>
  </si>
  <si>
    <t>HIRATA AIZAWA RODRIGO HIROSHI</t>
  </si>
  <si>
    <t>ヒラタ　ロドリゴ　ヒロシ</t>
  </si>
  <si>
    <t>NGUYEN CONG DAT</t>
  </si>
  <si>
    <t>グエン　コン　ダット</t>
  </si>
  <si>
    <t>ﾌｨﾌﾃｨⅠ101</t>
  </si>
  <si>
    <t>NGUYEN VAN HOAI NAM</t>
  </si>
  <si>
    <t>グエン　ヴァン　ホアイ　ナム</t>
  </si>
  <si>
    <t>静岡県袋井市泉町1-7-3</t>
  </si>
  <si>
    <t>NGUYEN THI NGOC ANH</t>
  </si>
  <si>
    <t>グエン　ティ　ゴック　アイン</t>
  </si>
  <si>
    <t>471-0804</t>
  </si>
  <si>
    <t>愛知県豊田市神池町２丁目1236-98</t>
  </si>
  <si>
    <t>ﾌｫｰﾌﾞﾙ神池102</t>
  </si>
  <si>
    <t>23.11.6</t>
  </si>
  <si>
    <t>NGUYEN VAN TRINH</t>
  </si>
  <si>
    <t>グエン　ヴァン　チン</t>
  </si>
  <si>
    <t>23.11.13</t>
  </si>
  <si>
    <t>11/30林</t>
  </si>
  <si>
    <t>12/5林</t>
  </si>
  <si>
    <t>BUI NGOC SY</t>
  </si>
  <si>
    <t>ブイ　ゴック　シー</t>
  </si>
  <si>
    <t>23.11.20</t>
  </si>
  <si>
    <t>VU VIET HUNG</t>
  </si>
  <si>
    <t>ブー　ベト　フン</t>
  </si>
  <si>
    <t>NGUYEN CONG LUONG</t>
  </si>
  <si>
    <t>グエン　コン　ルオン</t>
  </si>
  <si>
    <t>NGUYEN VAN THANH</t>
  </si>
  <si>
    <t>グエン　バン　タイン</t>
  </si>
  <si>
    <t>NGUYEN QUANG DIEU</t>
  </si>
  <si>
    <t>グエン　クアン　ジエウ</t>
  </si>
  <si>
    <t>TRAN HUY CONG</t>
  </si>
  <si>
    <t>チャン　フイ　コン</t>
  </si>
  <si>
    <t>BUI ANH TUAN</t>
  </si>
  <si>
    <t>ブイ　アイン　トゥアン</t>
  </si>
  <si>
    <t>ユアサ工機 御津</t>
  </si>
  <si>
    <t>PHAM VAN QUY</t>
  </si>
  <si>
    <t>ファム　ヴァン　クイ</t>
  </si>
  <si>
    <t>HUYNH TRUONG HUONG</t>
  </si>
  <si>
    <t>フィン　チュオン　フオン</t>
  </si>
  <si>
    <t>NGUYEN VAN CONG</t>
  </si>
  <si>
    <t>グエン　ヴァン　コン</t>
  </si>
  <si>
    <t>グエン　ヴァン　アイン</t>
  </si>
  <si>
    <t>HUYNH THANH LIEM</t>
  </si>
  <si>
    <t>フィン　タン　リエム</t>
  </si>
  <si>
    <t>TRAN VAN TRUONG DUY</t>
  </si>
  <si>
    <t>チャン　ヴァン　チュオン　ズイ</t>
  </si>
  <si>
    <t>PHAM VAN PHUONG</t>
  </si>
  <si>
    <t>ファム　ヴァン　フォン</t>
  </si>
  <si>
    <t>HO VAN PHUONG</t>
  </si>
  <si>
    <t>ホ　ヴァン　フォン</t>
  </si>
  <si>
    <t>DANG MAU THIEN</t>
  </si>
  <si>
    <t>ダン　マウ　ティエン</t>
  </si>
  <si>
    <t>NGUYEN DUY TAN</t>
  </si>
  <si>
    <t>NGUYEN VIET TIEP</t>
  </si>
  <si>
    <t>グエン　ベト　テイエップ</t>
  </si>
  <si>
    <t>HOANG TRUNG VIET</t>
  </si>
  <si>
    <t>ホアン　チュン　ベト</t>
  </si>
  <si>
    <t>PHAM KHANH LINH</t>
  </si>
  <si>
    <t>ファム　カイン　リン</t>
  </si>
  <si>
    <t>LE VAN TAI</t>
  </si>
  <si>
    <t>レ　バン　タイ</t>
  </si>
  <si>
    <t>PHAM MINH LUC</t>
  </si>
  <si>
    <t>ファム　ミン　ルック</t>
  </si>
  <si>
    <t>VU NGOC LONG</t>
  </si>
  <si>
    <t>ブ　ゴック　ロン</t>
  </si>
  <si>
    <t>NGUYEN DUY HIEU</t>
  </si>
  <si>
    <t>グエン　ズイ　ヒエウ</t>
  </si>
  <si>
    <t>DUONG THI PHUONG</t>
  </si>
  <si>
    <t>ズオン　ティ　フォン</t>
  </si>
  <si>
    <t>LE DINH TUU</t>
  </si>
  <si>
    <t>レ　ディン トゥー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</si>
</sst>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76" formatCode="[$-F800]dddd\,\ mmmm\ dd\,\ yyyy"/>
    <numFmt numFmtId="177" formatCode="&quot;¥&quot;#,##0"/>
    <numFmt numFmtId="178" formatCode="yyyy&quot;年&quot;m&quot;月&quot;d&quot;日&quot;;@"/>
    <numFmt numFmtId="179" formatCode="&quot;休&quot;&quot;日&quot;\(0.00%\)"/>
    <numFmt numFmtId="180" formatCode="&quot;残&quot;&quot;業&quot;\(0.00%\)"/>
    <numFmt numFmtId="181" formatCode="&quot;深&quot;&quot;夜&quot;\(0.00%\)"/>
    <numFmt numFmtId="182" formatCode="yyyy/mm/dd"/>
    <numFmt numFmtId="183" formatCode="yyyy&quot;年&quot;mm&quot;月&quot;dd&quot;日&quot;;@"/>
    <numFmt numFmtId="184" formatCode="General\ \ &quot;円&quot;"/>
    <numFmt numFmtId="185" formatCode="0.000"/>
    <numFmt numFmtId="186" formatCode="#,##0_);[Red]\(#,##0\)"/>
    <numFmt numFmtId="187" formatCode="&quot;¥&quot;#,##0_);\(&quot;¥&quot;#,##0\)"/>
  </numFmts>
  <fonts count="58">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color rgb="FF000000"/>
      <name val="Meiryo UI"/>
      <family val="3"/>
      <charset val="128"/>
    </font>
    <font>
      <sz val="11"/>
      <color theme="1"/>
      <name val="游明朝"/>
      <family val="1"/>
      <charset val="128"/>
    </font>
    <font>
      <sz val="11"/>
      <name val="游明朝"/>
      <family val="1"/>
      <charset val="128"/>
    </font>
    <font>
      <sz val="9"/>
      <name val="游明朝"/>
      <family val="1"/>
      <charset val="128"/>
    </font>
    <font>
      <sz val="11"/>
      <color theme="1"/>
      <name val="HGSMinchoE"/>
      <family val="1"/>
      <charset val="128"/>
    </font>
    <font>
      <sz val="8"/>
      <name val="ＭＳ Ｐゴシック"/>
      <family val="2"/>
      <charset val="128"/>
      <scheme val="minor"/>
    </font>
    <font>
      <sz val="6"/>
      <color theme="1"/>
      <name val="BIZ UD明朝 Medium"/>
      <family val="1"/>
      <charset val="128"/>
    </font>
    <font>
      <sz val="9"/>
      <color theme="1"/>
      <name val="BIZ UD明朝 Medium"/>
      <family val="1"/>
      <charset val="128"/>
    </font>
    <font>
      <sz val="7"/>
      <color theme="1"/>
      <name val="BIZ UD明朝 Medium"/>
      <family val="1"/>
      <charset val="128"/>
    </font>
    <font>
      <sz val="8"/>
      <color theme="1"/>
      <name val="BIZ UD明朝 Medium"/>
      <family val="1"/>
      <charset val="128"/>
    </font>
    <font>
      <sz val="11"/>
      <color theme="1"/>
      <name val="BIZ UD明朝 Medium"/>
      <family val="1"/>
      <charset val="128"/>
    </font>
    <font>
      <sz val="10"/>
      <color theme="1"/>
      <name val="BIZ UD明朝 Medium"/>
      <family val="1"/>
      <charset val="128"/>
    </font>
    <font>
      <sz val="14"/>
      <color theme="1"/>
      <name val="BIZ UD明朝 Medium"/>
      <family val="1"/>
      <charset val="128"/>
    </font>
    <font>
      <sz val="9"/>
      <color theme="1"/>
      <name val="游ゴシック Medium"/>
      <family val="3"/>
      <charset val="128"/>
    </font>
    <font>
      <sz val="11"/>
      <color theme="1"/>
      <name val="游ゴシック Medium"/>
      <family val="3"/>
      <charset val="128"/>
    </font>
    <font>
      <sz val="7.8"/>
      <color theme="1"/>
      <name val="BIZ UD明朝 Medium"/>
      <family val="1"/>
      <charset val="128"/>
    </font>
    <font>
      <sz val="11"/>
      <color theme="0"/>
      <name val="游明朝"/>
      <family val="1"/>
      <charset val="128"/>
    </font>
    <font>
      <sz val="12"/>
      <color theme="1"/>
      <name val="BIZ UD明朝 Medium"/>
      <family val="1"/>
      <charset val="128"/>
    </font>
    <font>
      <sz val="8"/>
      <name val="游明朝"/>
      <family val="1"/>
      <charset val="128"/>
    </font>
    <font>
      <b/>
      <sz val="15"/>
      <color theme="1"/>
      <name val="BIZ UD明朝 Medium"/>
      <family val="1"/>
      <charset val="128"/>
    </font>
    <font>
      <sz val="11"/>
      <color theme="0"/>
      <name val="BIZ UD明朝 Medium"/>
      <family val="1"/>
      <charset val="128"/>
    </font>
    <font>
      <sz val="8.5"/>
      <color theme="1"/>
      <name val="BIZ UD明朝 Medium"/>
      <family val="1"/>
      <charset val="128"/>
    </font>
    <font>
      <sz val="12"/>
      <color theme="1"/>
      <name val="游明朝"/>
      <family val="1"/>
      <charset val="128"/>
    </font>
    <font>
      <sz val="12"/>
      <name val="游明朝"/>
      <family val="1"/>
      <charset val="128"/>
    </font>
    <font>
      <sz val="11"/>
      <color theme="1"/>
      <name val="BIZ UDP明朝 Medium"/>
      <family val="1"/>
      <charset val="128"/>
    </font>
    <font>
      <sz val="12"/>
      <color theme="1"/>
      <name val="HGSMinchoE"/>
      <family val="1"/>
      <charset val="128"/>
    </font>
    <font>
      <u/>
      <sz val="11"/>
      <color theme="10"/>
      <name val="ＭＳ Ｐゴシック"/>
      <family val="2"/>
      <charset val="128"/>
      <scheme val="minor"/>
    </font>
    <font>
      <sz val="11"/>
      <color theme="1"/>
      <name val="HGP明朝E"/>
      <family val="1"/>
      <charset val="128"/>
    </font>
    <font>
      <sz val="9"/>
      <color theme="1"/>
      <name val="Segoe UI Symbol"/>
      <family val="2"/>
    </font>
    <font>
      <sz val="9"/>
      <color theme="1"/>
      <name val="BIZ UD明朝 Medium"/>
      <family val="2"/>
      <charset val="128"/>
    </font>
    <font>
      <sz val="9"/>
      <color theme="1"/>
      <name val="Segoe UI Symbol"/>
      <family val="1"/>
    </font>
    <font>
      <sz val="11"/>
      <color theme="1"/>
      <name val="HGS明朝B"/>
      <family val="1"/>
      <charset val="128"/>
    </font>
    <font>
      <sz val="11"/>
      <color rgb="FFFF0000"/>
      <name val="游ゴシック Medium"/>
      <family val="3"/>
      <charset val="128"/>
    </font>
    <font>
      <sz val="11"/>
      <color rgb="FFFF0000"/>
      <name val="BIZ UD明朝 Medium"/>
      <family val="1"/>
      <charset val="128"/>
    </font>
    <font>
      <sz val="9"/>
      <color rgb="FFFF0000"/>
      <name val="BIZ UD明朝 Medium"/>
      <family val="1"/>
      <charset val="128"/>
    </font>
    <font>
      <sz val="7.5"/>
      <color theme="1"/>
      <name val="BIZ UD明朝 Medium"/>
      <family val="1"/>
      <charset val="128"/>
    </font>
    <font>
      <sz val="9"/>
      <color theme="3" tint="-0.499984740745262"/>
      <name val="游ゴシック Medium"/>
      <family val="3"/>
      <charset val="128"/>
    </font>
    <font>
      <sz val="11"/>
      <color theme="3" tint="-0.499984740745262"/>
      <name val="游ゴシック Medium"/>
      <family val="3"/>
      <charset val="128"/>
    </font>
    <font>
      <sz val="11"/>
      <color theme="4" tint="-0.249977111117893"/>
      <name val="游ゴシック Medium"/>
      <family val="3"/>
      <charset val="128"/>
    </font>
    <font>
      <sz val="12"/>
      <color theme="1"/>
      <name val="ＭＳ Ｐゴシック"/>
      <family val="2"/>
      <charset val="128"/>
      <scheme val="minor"/>
    </font>
    <font>
      <sz val="12"/>
      <color theme="1"/>
      <name val="ＭＳ Ｐゴシック"/>
      <family val="3"/>
      <charset val="128"/>
      <scheme val="minor"/>
    </font>
    <font>
      <sz val="9"/>
      <color theme="0"/>
      <name val="ＭＳ Ｐゴシック"/>
      <family val="3"/>
      <charset val="128"/>
    </font>
    <font>
      <sz val="9"/>
      <name val="ＭＳ Ｐゴシック"/>
      <family val="3"/>
      <charset val="128"/>
    </font>
    <font>
      <sz val="11"/>
      <color rgb="FFFF0000"/>
      <name val="HGS明朝B"/>
      <family val="1"/>
      <charset val="128"/>
    </font>
    <font>
      <sz val="11"/>
      <color theme="5" tint="-0.249977111117893"/>
      <name val="HGS明朝B"/>
      <family val="1"/>
      <charset val="128"/>
    </font>
    <font>
      <sz val="11"/>
      <name val="HGS明朝B"/>
      <family val="1"/>
      <charset val="128"/>
    </font>
    <font>
      <sz val="11"/>
      <color theme="0"/>
      <name val="HGS明朝B"/>
      <family val="1"/>
      <charset val="128"/>
    </font>
    <font>
      <sz val="11"/>
      <color theme="0"/>
      <name val="游ゴシック Medium"/>
      <family val="3"/>
      <charset val="128"/>
    </font>
    <font>
      <sz val="11"/>
      <color theme="0"/>
      <name val="HGSMinchoE"/>
      <family val="1"/>
      <charset val="128"/>
    </font>
    <font>
      <sz val="9"/>
      <name val="BIZ UD明朝 Medium"/>
      <family val="1"/>
      <charset val="128"/>
    </font>
    <font>
      <sz val="9"/>
      <color theme="0"/>
      <name val="游ゴシック Medium"/>
      <family val="3"/>
      <charset val="128"/>
    </font>
    <font>
      <sz val="11"/>
      <name val="游ゴシック Medium"/>
      <family val="3"/>
      <charset val="128"/>
    </font>
    <font>
      <sz val="11"/>
      <name val="BIZ UD明朝 Medium"/>
      <family val="1"/>
      <charset val="128"/>
    </font>
    <font>
      <sz val="12"/>
      <name val="BIZ UD明朝 Medium"/>
      <family val="1"/>
      <charset val="128"/>
    </font>
  </fonts>
  <fills count="31">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rgb="FF7030A0"/>
        <bgColor indexed="64"/>
      </patternFill>
    </fill>
    <fill>
      <patternFill patternType="solid">
        <fgColor theme="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499984740745262"/>
        <bgColor indexed="64"/>
      </patternFill>
    </fill>
    <fill>
      <patternFill patternType="solid">
        <fgColor rgb="FF00B0F0"/>
        <bgColor indexed="64"/>
      </patternFill>
    </fill>
    <fill>
      <patternFill patternType="solid">
        <fgColor theme="2" tint="-0.749992370372631"/>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3"/>
        <bgColor indexed="64"/>
      </patternFill>
    </fill>
    <fill>
      <patternFill patternType="solid">
        <fgColor rgb="FFFFC000"/>
        <bgColor indexed="64"/>
      </patternFill>
    </fill>
    <fill>
      <patternFill patternType="solid">
        <fgColor theme="3" tint="0.59999389629810485"/>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style="thin">
        <color theme="2" tint="-0.249977111117893"/>
      </left>
      <right/>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right style="thin">
        <color theme="2" tint="-0.249977111117893"/>
      </right>
      <top style="thin">
        <color theme="2" tint="-0.249977111117893"/>
      </top>
      <bottom style="thin">
        <color theme="2" tint="-0.249977111117893"/>
      </bottom>
      <diagonal/>
    </border>
    <border>
      <left style="thin">
        <color indexed="64"/>
      </left>
      <right/>
      <top style="thin">
        <color indexed="64"/>
      </top>
      <bottom style="thin">
        <color theme="2" tint="-0.249977111117893"/>
      </bottom>
      <diagonal/>
    </border>
    <border>
      <left style="thin">
        <color theme="2" tint="-0.249977111117893"/>
      </left>
      <right style="thin">
        <color indexed="64"/>
      </right>
      <top style="thin">
        <color indexed="64"/>
      </top>
      <bottom style="thin">
        <color indexed="64"/>
      </bottom>
      <diagonal/>
    </border>
    <border>
      <left style="thin">
        <color theme="2" tint="-0.249977111117893"/>
      </left>
      <right style="thin">
        <color theme="2" tint="-0.249977111117893"/>
      </right>
      <top style="thin">
        <color indexed="64"/>
      </top>
      <bottom style="thin">
        <color theme="2" tint="-0.249977111117893"/>
      </bottom>
      <diagonal/>
    </border>
    <border>
      <left style="thin">
        <color theme="2" tint="-0.249977111117893"/>
      </left>
      <right style="thin">
        <color indexed="64"/>
      </right>
      <top style="thin">
        <color indexed="64"/>
      </top>
      <bottom style="thin">
        <color theme="2" tint="-0.249977111117893"/>
      </bottom>
      <diagonal/>
    </border>
    <border>
      <left style="thin">
        <color theme="2" tint="-0.249977111117893"/>
      </left>
      <right style="thin">
        <color indexed="64"/>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style="thin">
        <color indexed="64"/>
      </bottom>
      <diagonal/>
    </border>
    <border>
      <left style="thin">
        <color theme="2" tint="-0.249977111117893"/>
      </left>
      <right style="thin">
        <color indexed="64"/>
      </right>
      <top style="thin">
        <color theme="2" tint="-0.249977111117893"/>
      </top>
      <bottom style="thin">
        <color indexed="64"/>
      </bottom>
      <diagonal/>
    </border>
    <border>
      <left/>
      <right style="thin">
        <color theme="2" tint="-0.249977111117893"/>
      </right>
      <top style="thin">
        <color theme="2" tint="-0.249977111117893"/>
      </top>
      <bottom style="thin">
        <color indexed="64"/>
      </bottom>
      <diagonal/>
    </border>
    <border>
      <left style="thin">
        <color indexed="64"/>
      </left>
      <right style="thin">
        <color theme="2" tint="-0.249977111117893"/>
      </right>
      <top style="thin">
        <color indexed="64"/>
      </top>
      <bottom style="thin">
        <color theme="2" tint="-0.249977111117893"/>
      </bottom>
      <diagonal/>
    </border>
    <border>
      <left style="thin">
        <color theme="2" tint="-0.249977111117893"/>
      </left>
      <right/>
      <top style="thin">
        <color indexed="64"/>
      </top>
      <bottom/>
      <diagonal/>
    </border>
    <border>
      <left/>
      <right/>
      <top style="thin">
        <color indexed="64"/>
      </top>
      <bottom style="thin">
        <color theme="2" tint="-0.249977111117893"/>
      </bottom>
      <diagonal/>
    </border>
    <border>
      <left style="thin">
        <color theme="2" tint="-0.249977111117893"/>
      </left>
      <right/>
      <top style="thin">
        <color indexed="64"/>
      </top>
      <bottom style="thin">
        <color theme="2" tint="-0.249977111117893"/>
      </bottom>
      <diagonal/>
    </border>
    <border>
      <left/>
      <right style="thin">
        <color indexed="64"/>
      </right>
      <top style="thin">
        <color indexed="64"/>
      </top>
      <bottom style="thin">
        <color theme="2" tint="-0.249977111117893"/>
      </bottom>
      <diagonal/>
    </border>
    <border>
      <left style="thin">
        <color indexed="64"/>
      </left>
      <right style="thin">
        <color theme="2" tint="-0.249977111117893"/>
      </right>
      <top style="thin">
        <color theme="2" tint="-0.249977111117893"/>
      </top>
      <bottom style="thin">
        <color theme="2" tint="-0.249977111117893"/>
      </bottom>
      <diagonal/>
    </border>
    <border>
      <left/>
      <right style="thin">
        <color indexed="64"/>
      </right>
      <top/>
      <bottom style="thin">
        <color theme="2" tint="-0.249977111117893"/>
      </bottom>
      <diagonal/>
    </border>
    <border>
      <left style="thin">
        <color theme="2" tint="-0.249977111117893"/>
      </left>
      <right style="thin">
        <color indexed="64"/>
      </right>
      <top/>
      <bottom style="thin">
        <color theme="2" tint="-0.249977111117893"/>
      </bottom>
      <diagonal/>
    </border>
    <border>
      <left style="thin">
        <color indexed="64"/>
      </left>
      <right style="thin">
        <color theme="2" tint="-0.249977111117893"/>
      </right>
      <top style="thin">
        <color theme="2" tint="-0.249977111117893"/>
      </top>
      <bottom style="thin">
        <color indexed="64"/>
      </bottom>
      <diagonal/>
    </border>
    <border>
      <left style="thin">
        <color theme="2" tint="-0.249977111117893"/>
      </left>
      <right/>
      <top/>
      <bottom style="thin">
        <color indexed="64"/>
      </bottom>
      <diagonal/>
    </border>
    <border>
      <left style="thin">
        <color theme="2" tint="-0.249977111117893"/>
      </left>
      <right/>
      <top style="thin">
        <color theme="2" tint="-0.249977111117893"/>
      </top>
      <bottom style="thin">
        <color indexed="64"/>
      </bottom>
      <diagonal/>
    </border>
    <border>
      <left style="thin">
        <color indexed="64"/>
      </left>
      <right style="thin">
        <color theme="2" tint="-0.249977111117893"/>
      </right>
      <top/>
      <bottom style="thin">
        <color theme="2" tint="-0.249977111117893"/>
      </bottom>
      <diagonal/>
    </border>
    <border>
      <left style="thin">
        <color indexed="64"/>
      </left>
      <right style="thin">
        <color theme="2" tint="-0.249977111117893"/>
      </right>
      <top style="thin">
        <color indexed="64"/>
      </top>
      <bottom style="thin">
        <color indexed="64"/>
      </bottom>
      <diagonal/>
    </border>
    <border>
      <left style="thin">
        <color theme="2" tint="-0.249977111117893"/>
      </left>
      <right style="thin">
        <color theme="2" tint="-0.249977111117893"/>
      </right>
      <top style="thin">
        <color indexed="64"/>
      </top>
      <bottom style="thin">
        <color indexed="64"/>
      </bottom>
      <diagonal/>
    </border>
    <border>
      <left/>
      <right style="thin">
        <color indexed="64"/>
      </right>
      <top style="thin">
        <color theme="2" tint="-0.249977111117893"/>
      </top>
      <bottom/>
      <diagonal/>
    </border>
    <border>
      <left style="thin">
        <color theme="2" tint="-0.249977111117893"/>
      </left>
      <right style="thin">
        <color indexed="64"/>
      </right>
      <top style="thin">
        <color theme="2" tint="-0.249977111117893"/>
      </top>
      <bottom/>
      <diagonal/>
    </border>
    <border>
      <left style="thin">
        <color indexed="64"/>
      </left>
      <right style="thin">
        <color theme="2" tint="-0.249977111117893"/>
      </right>
      <top style="thin">
        <color theme="2" tint="-0.249977111117893"/>
      </top>
      <bottom/>
      <diagonal/>
    </border>
    <border>
      <left/>
      <right/>
      <top style="thin">
        <color theme="2" tint="-0.249977111117893"/>
      </top>
      <bottom style="thin">
        <color indexed="64"/>
      </bottom>
      <diagonal/>
    </border>
    <border>
      <left/>
      <right style="thin">
        <color indexed="64"/>
      </right>
      <top style="thin">
        <color theme="2" tint="-0.249977111117893"/>
      </top>
      <bottom style="thin">
        <color indexed="64"/>
      </bottom>
      <diagonal/>
    </border>
    <border>
      <left style="thin">
        <color theme="2" tint="-0.249977111117893"/>
      </left>
      <right style="thin">
        <color theme="2" tint="-0.249977111117893"/>
      </right>
      <top/>
      <bottom/>
      <diagonal/>
    </border>
    <border>
      <left style="thin">
        <color theme="2" tint="-0.249977111117893"/>
      </left>
      <right style="thin">
        <color indexed="64"/>
      </right>
      <top/>
      <bottom/>
      <diagonal/>
    </border>
    <border>
      <left style="medium">
        <color indexed="64"/>
      </left>
      <right style="medium">
        <color indexed="64"/>
      </right>
      <top style="medium">
        <color indexed="64"/>
      </top>
      <bottom style="medium">
        <color indexed="64"/>
      </bottom>
      <diagonal/>
    </border>
    <border>
      <left style="hair">
        <color indexed="64"/>
      </left>
      <right style="thin">
        <color indexed="64"/>
      </right>
      <top style="hair">
        <color indexed="64"/>
      </top>
      <bottom style="hair">
        <color indexed="64"/>
      </bottom>
      <diagonal/>
    </border>
  </borders>
  <cellStyleXfs count="4">
    <xf numFmtId="0" fontId="0" fillId="0" borderId="0">
      <alignment vertical="center"/>
    </xf>
    <xf numFmtId="0" fontId="2" fillId="0" borderId="0">
      <alignment vertical="center"/>
    </xf>
    <xf numFmtId="0" fontId="30" fillId="0" borderId="0" applyNumberFormat="0" applyFill="0" applyBorder="0" applyAlignment="0" applyProtection="0">
      <alignment vertical="center"/>
    </xf>
    <xf numFmtId="0" fontId="2" fillId="0" borderId="0"/>
  </cellStyleXfs>
  <cellXfs count="541">
    <xf numFmtId="0" fontId="0" fillId="0" borderId="0" xfId="0">
      <alignment vertical="center"/>
    </xf>
    <xf numFmtId="0" fontId="5" fillId="0" borderId="0" xfId="0" applyFont="1">
      <alignment vertical="center"/>
    </xf>
    <xf numFmtId="0" fontId="6" fillId="0" borderId="0" xfId="1" applyFont="1">
      <alignment vertical="center"/>
    </xf>
    <xf numFmtId="0" fontId="6" fillId="0" borderId="1" xfId="1" applyFont="1" applyBorder="1" applyAlignment="1">
      <alignment horizontal="center" vertical="center"/>
    </xf>
    <xf numFmtId="0" fontId="8" fillId="0" borderId="0" xfId="0" applyFont="1">
      <alignment vertical="center"/>
    </xf>
    <xf numFmtId="0" fontId="13" fillId="0" borderId="4" xfId="0" applyFont="1" applyBorder="1">
      <alignment vertical="center"/>
    </xf>
    <xf numFmtId="0" fontId="13" fillId="0" borderId="5" xfId="0" applyFont="1" applyBorder="1" applyAlignment="1">
      <alignment horizontal="center" vertical="center"/>
    </xf>
    <xf numFmtId="0" fontId="14" fillId="0" borderId="0" xfId="0" applyFont="1">
      <alignment vertical="center"/>
    </xf>
    <xf numFmtId="0" fontId="14" fillId="0" borderId="0" xfId="0" applyFont="1" applyAlignment="1">
      <alignment horizontal="left" vertical="center"/>
    </xf>
    <xf numFmtId="0" fontId="13" fillId="0" borderId="5" xfId="0" applyFont="1" applyBorder="1">
      <alignment vertical="center"/>
    </xf>
    <xf numFmtId="0" fontId="13" fillId="0" borderId="6" xfId="0" applyFont="1" applyBorder="1">
      <alignment vertical="center"/>
    </xf>
    <xf numFmtId="0" fontId="13" fillId="0" borderId="7" xfId="0" applyFont="1" applyBorder="1">
      <alignment vertical="center"/>
    </xf>
    <xf numFmtId="0" fontId="13" fillId="0" borderId="9" xfId="0" applyFont="1" applyBorder="1">
      <alignment vertical="center"/>
    </xf>
    <xf numFmtId="0" fontId="13" fillId="0" borderId="8" xfId="0" applyFont="1" applyBorder="1">
      <alignment vertical="center"/>
    </xf>
    <xf numFmtId="0" fontId="13" fillId="0" borderId="12" xfId="0" applyFont="1" applyBorder="1">
      <alignment vertical="center"/>
    </xf>
    <xf numFmtId="0" fontId="13" fillId="0" borderId="13" xfId="0" applyFont="1" applyBorder="1">
      <alignment vertical="center"/>
    </xf>
    <xf numFmtId="0" fontId="13" fillId="0" borderId="14" xfId="0" applyFont="1" applyBorder="1">
      <alignment vertical="center"/>
    </xf>
    <xf numFmtId="0" fontId="8" fillId="0" borderId="0" xfId="0" applyFont="1" applyAlignment="1"/>
    <xf numFmtId="0" fontId="18" fillId="0" borderId="0" xfId="0" applyFont="1">
      <alignment vertical="center"/>
    </xf>
    <xf numFmtId="0" fontId="17" fillId="0" borderId="1" xfId="0" applyFont="1" applyBorder="1" applyAlignment="1">
      <alignment vertical="center" wrapText="1"/>
    </xf>
    <xf numFmtId="0" fontId="18" fillId="0" borderId="1" xfId="0" applyFont="1" applyBorder="1">
      <alignment vertical="center"/>
    </xf>
    <xf numFmtId="0" fontId="18" fillId="0" borderId="1" xfId="0" applyFont="1" applyBorder="1" applyAlignment="1">
      <alignment horizontal="center" vertical="center"/>
    </xf>
    <xf numFmtId="0" fontId="17" fillId="0" borderId="0" xfId="0" applyFont="1">
      <alignment vertical="center"/>
    </xf>
    <xf numFmtId="0" fontId="18" fillId="0" borderId="0" xfId="0" applyFont="1" applyAlignment="1">
      <alignment horizontal="center" vertical="center"/>
    </xf>
    <xf numFmtId="0" fontId="17" fillId="4" borderId="1" xfId="0" applyFont="1" applyFill="1" applyBorder="1" applyAlignment="1">
      <alignment vertical="center" wrapText="1"/>
    </xf>
    <xf numFmtId="0" fontId="18" fillId="0" borderId="4" xfId="0" applyFont="1" applyBorder="1">
      <alignment vertical="center"/>
    </xf>
    <xf numFmtId="0" fontId="8" fillId="0" borderId="0" xfId="0" applyFont="1" applyAlignment="1">
      <alignment horizontal="center" vertical="center"/>
    </xf>
    <xf numFmtId="0" fontId="8" fillId="0" borderId="0" xfId="0" applyFont="1" applyAlignment="1">
      <alignment horizontal="center"/>
    </xf>
    <xf numFmtId="176" fontId="17" fillId="0" borderId="0" xfId="0" applyNumberFormat="1" applyFont="1">
      <alignment vertical="center"/>
    </xf>
    <xf numFmtId="0" fontId="17" fillId="4" borderId="6" xfId="0" applyFont="1" applyFill="1" applyBorder="1" applyAlignment="1">
      <alignment vertical="center" wrapText="1"/>
    </xf>
    <xf numFmtId="0" fontId="17" fillId="4" borderId="14" xfId="0" applyFont="1" applyFill="1" applyBorder="1" applyAlignment="1">
      <alignment vertical="center" wrapText="1"/>
    </xf>
    <xf numFmtId="0" fontId="17" fillId="4" borderId="3" xfId="0" applyFont="1" applyFill="1" applyBorder="1" applyAlignment="1">
      <alignment vertical="center" wrapText="1"/>
    </xf>
    <xf numFmtId="0" fontId="17" fillId="3" borderId="3" xfId="0" applyFont="1" applyFill="1" applyBorder="1" applyAlignment="1">
      <alignment vertical="center" wrapText="1"/>
    </xf>
    <xf numFmtId="0" fontId="18" fillId="3" borderId="3" xfId="0" applyFont="1" applyFill="1" applyBorder="1">
      <alignment vertical="center"/>
    </xf>
    <xf numFmtId="0" fontId="18" fillId="3" borderId="3" xfId="0" applyFont="1" applyFill="1" applyBorder="1" applyAlignment="1">
      <alignment horizontal="center" vertical="center"/>
    </xf>
    <xf numFmtId="0" fontId="18" fillId="3" borderId="12" xfId="0" applyFont="1" applyFill="1" applyBorder="1">
      <alignment vertical="center"/>
    </xf>
    <xf numFmtId="176" fontId="17" fillId="5" borderId="3" xfId="0" applyNumberFormat="1" applyFont="1" applyFill="1" applyBorder="1" applyAlignment="1">
      <alignment vertical="center" wrapText="1"/>
    </xf>
    <xf numFmtId="177" fontId="18" fillId="0" borderId="4" xfId="0" applyNumberFormat="1" applyFont="1" applyBorder="1">
      <alignment vertical="center"/>
    </xf>
    <xf numFmtId="177" fontId="18" fillId="3" borderId="12" xfId="0" applyNumberFormat="1" applyFont="1" applyFill="1" applyBorder="1">
      <alignment vertical="center"/>
    </xf>
    <xf numFmtId="0" fontId="6" fillId="0" borderId="0" xfId="1" applyFont="1" applyAlignment="1">
      <alignment horizontal="left" vertical="center"/>
    </xf>
    <xf numFmtId="0" fontId="18" fillId="0" borderId="6" xfId="0" applyFont="1" applyBorder="1">
      <alignment vertical="center"/>
    </xf>
    <xf numFmtId="0" fontId="18" fillId="2" borderId="0" xfId="0" applyFont="1" applyFill="1">
      <alignment vertical="center"/>
    </xf>
    <xf numFmtId="0" fontId="17" fillId="2" borderId="6" xfId="0" applyFont="1" applyFill="1" applyBorder="1" applyAlignment="1">
      <alignment vertical="center" wrapText="1"/>
    </xf>
    <xf numFmtId="0" fontId="17" fillId="2" borderId="1" xfId="0" applyFont="1" applyFill="1" applyBorder="1" applyAlignment="1">
      <alignment vertical="center" wrapText="1"/>
    </xf>
    <xf numFmtId="0" fontId="18" fillId="2" borderId="1" xfId="0" applyFont="1" applyFill="1" applyBorder="1">
      <alignment vertical="center"/>
    </xf>
    <xf numFmtId="0" fontId="18" fillId="2" borderId="1" xfId="0" applyFont="1" applyFill="1" applyBorder="1" applyAlignment="1">
      <alignment horizontal="center" vertical="center"/>
    </xf>
    <xf numFmtId="0" fontId="18" fillId="2" borderId="4" xfId="0" applyFont="1" applyFill="1" applyBorder="1">
      <alignment vertical="center"/>
    </xf>
    <xf numFmtId="177" fontId="18" fillId="2" borderId="4" xfId="0" applyNumberFormat="1" applyFont="1" applyFill="1" applyBorder="1">
      <alignment vertical="center"/>
    </xf>
    <xf numFmtId="0" fontId="18" fillId="2" borderId="6" xfId="0" applyFont="1" applyFill="1" applyBorder="1">
      <alignment vertical="center"/>
    </xf>
    <xf numFmtId="0" fontId="5" fillId="0" borderId="1" xfId="0" applyFont="1" applyBorder="1" applyAlignment="1">
      <alignment horizontal="center" vertical="center"/>
    </xf>
    <xf numFmtId="0" fontId="5" fillId="0" borderId="1" xfId="0" applyFont="1" applyBorder="1" applyAlignment="1">
      <alignment horizontal="center" vertical="center" shrinkToFit="1"/>
    </xf>
    <xf numFmtId="14" fontId="0" fillId="0" borderId="0" xfId="0" applyNumberFormat="1">
      <alignment vertical="center"/>
    </xf>
    <xf numFmtId="0" fontId="18" fillId="0" borderId="3" xfId="0" applyFont="1" applyBorder="1">
      <alignment vertical="center"/>
    </xf>
    <xf numFmtId="0" fontId="20" fillId="0" borderId="0" xfId="0" applyFont="1">
      <alignment vertical="center"/>
    </xf>
    <xf numFmtId="0" fontId="5" fillId="0" borderId="2" xfId="0" applyFont="1" applyBorder="1" applyAlignment="1">
      <alignment horizontal="center" vertical="center"/>
    </xf>
    <xf numFmtId="0" fontId="6" fillId="0" borderId="2" xfId="1" applyFont="1" applyBorder="1" applyAlignment="1">
      <alignment horizontal="center" vertical="center"/>
    </xf>
    <xf numFmtId="0" fontId="5" fillId="0" borderId="3" xfId="0" applyFont="1" applyBorder="1" applyAlignment="1">
      <alignment horizontal="center" vertical="center"/>
    </xf>
    <xf numFmtId="0" fontId="13" fillId="0" borderId="0" xfId="0" applyFont="1">
      <alignment vertical="center"/>
    </xf>
    <xf numFmtId="0" fontId="13" fillId="0" borderId="11" xfId="0" applyFont="1" applyBorder="1">
      <alignment vertical="center"/>
    </xf>
    <xf numFmtId="0" fontId="8" fillId="0" borderId="0" xfId="0" applyFont="1" applyAlignment="1">
      <alignment horizontal="right" vertical="center"/>
    </xf>
    <xf numFmtId="0" fontId="22" fillId="0" borderId="0" xfId="1" applyFont="1">
      <alignment vertical="center"/>
    </xf>
    <xf numFmtId="182" fontId="5" fillId="0" borderId="0" xfId="0" applyNumberFormat="1" applyFont="1">
      <alignment vertical="center"/>
    </xf>
    <xf numFmtId="178" fontId="0" fillId="0" borderId="0" xfId="0" applyNumberFormat="1">
      <alignment vertical="center"/>
    </xf>
    <xf numFmtId="178" fontId="17" fillId="6" borderId="3" xfId="0" applyNumberFormat="1" applyFont="1" applyFill="1" applyBorder="1" applyAlignment="1">
      <alignment vertical="center" wrapText="1"/>
    </xf>
    <xf numFmtId="178" fontId="17" fillId="6" borderId="1" xfId="0" applyNumberFormat="1" applyFont="1" applyFill="1" applyBorder="1" applyAlignment="1">
      <alignment vertical="center" wrapText="1"/>
    </xf>
    <xf numFmtId="178" fontId="17" fillId="2" borderId="1" xfId="0" applyNumberFormat="1" applyFont="1" applyFill="1" applyBorder="1" applyAlignment="1">
      <alignment vertical="center" wrapText="1"/>
    </xf>
    <xf numFmtId="178" fontId="17" fillId="0" borderId="1" xfId="0" applyNumberFormat="1" applyFont="1" applyBorder="1" applyAlignment="1">
      <alignment vertical="center" wrapText="1"/>
    </xf>
    <xf numFmtId="178" fontId="17" fillId="0" borderId="0" xfId="0" applyNumberFormat="1" applyFont="1">
      <alignment vertical="center"/>
    </xf>
    <xf numFmtId="178" fontId="17" fillId="5" borderId="1" xfId="0" applyNumberFormat="1" applyFont="1" applyFill="1" applyBorder="1" applyAlignment="1">
      <alignment vertical="center" wrapText="1"/>
    </xf>
    <xf numFmtId="0" fontId="14" fillId="0" borderId="9" xfId="0" applyFont="1" applyBorder="1" applyAlignment="1">
      <alignment horizontal="left" vertical="center"/>
    </xf>
    <xf numFmtId="0" fontId="11" fillId="0" borderId="13" xfId="0" applyFont="1" applyBorder="1" applyAlignment="1">
      <alignment horizontal="left" vertical="center"/>
    </xf>
    <xf numFmtId="0" fontId="11" fillId="0" borderId="0" xfId="0" applyFont="1" applyAlignment="1">
      <alignment horizontal="left" vertical="center"/>
    </xf>
    <xf numFmtId="184" fontId="13" fillId="0" borderId="0" xfId="0" applyNumberFormat="1" applyFont="1">
      <alignment vertical="center"/>
    </xf>
    <xf numFmtId="0" fontId="5" fillId="0" borderId="6" xfId="0" applyFont="1" applyBorder="1" applyAlignment="1">
      <alignment horizontal="center" vertical="center"/>
    </xf>
    <xf numFmtId="0" fontId="6" fillId="0" borderId="4" xfId="1" applyFont="1" applyBorder="1" applyAlignment="1">
      <alignment horizontal="center" vertical="center"/>
    </xf>
    <xf numFmtId="0" fontId="6" fillId="0" borderId="14" xfId="1" applyFont="1" applyBorder="1" applyAlignment="1">
      <alignment horizontal="center" vertical="center"/>
    </xf>
    <xf numFmtId="0" fontId="7" fillId="0" borderId="3" xfId="1" applyFont="1" applyBorder="1" applyAlignment="1">
      <alignment horizontal="center" vertical="center"/>
    </xf>
    <xf numFmtId="0" fontId="7" fillId="0" borderId="12" xfId="1" applyFont="1" applyBorder="1" applyAlignment="1">
      <alignment horizontal="center" vertical="center"/>
    </xf>
    <xf numFmtId="0" fontId="5" fillId="0" borderId="8" xfId="0" applyFont="1" applyBorder="1" applyAlignment="1">
      <alignment horizontal="center" vertical="center"/>
    </xf>
    <xf numFmtId="0" fontId="5" fillId="0" borderId="2" xfId="0" applyFont="1" applyBorder="1" applyAlignment="1">
      <alignment horizontal="center" vertical="center" shrinkToFit="1"/>
    </xf>
    <xf numFmtId="0" fontId="6" fillId="0" borderId="7" xfId="1" applyFont="1" applyBorder="1" applyAlignment="1">
      <alignment horizontal="center" vertical="center"/>
    </xf>
    <xf numFmtId="0" fontId="5" fillId="0" borderId="3" xfId="0" applyFont="1" applyBorder="1" applyAlignment="1">
      <alignment horizontal="center" vertical="center" shrinkToFit="1"/>
    </xf>
    <xf numFmtId="0" fontId="26" fillId="0" borderId="1" xfId="0" applyFont="1" applyBorder="1" applyAlignment="1">
      <alignment horizontal="center" vertical="center" shrinkToFit="1"/>
    </xf>
    <xf numFmtId="0" fontId="26" fillId="0" borderId="2" xfId="0" applyFont="1" applyBorder="1" applyAlignment="1">
      <alignment horizontal="center" vertical="center" shrinkToFit="1"/>
    </xf>
    <xf numFmtId="0" fontId="26" fillId="0" borderId="3" xfId="0" applyFont="1" applyBorder="1" applyAlignment="1">
      <alignment horizontal="center" vertical="center" shrinkToFit="1"/>
    </xf>
    <xf numFmtId="0" fontId="6" fillId="0" borderId="1" xfId="1" applyFont="1" applyBorder="1" applyAlignment="1">
      <alignment horizontal="center" vertical="center" shrinkToFit="1"/>
    </xf>
    <xf numFmtId="0" fontId="6" fillId="0" borderId="2" xfId="1" applyFont="1" applyBorder="1" applyAlignment="1">
      <alignment horizontal="center" vertical="center" shrinkToFit="1"/>
    </xf>
    <xf numFmtId="0" fontId="6" fillId="0" borderId="3" xfId="1" applyFont="1" applyBorder="1" applyAlignment="1">
      <alignment horizontal="center" vertical="center" shrinkToFit="1"/>
    </xf>
    <xf numFmtId="178" fontId="6" fillId="0" borderId="0" xfId="1" applyNumberFormat="1" applyFont="1" applyAlignment="1">
      <alignment horizontal="left" vertical="center"/>
    </xf>
    <xf numFmtId="0" fontId="27" fillId="0" borderId="0" xfId="1" applyFont="1">
      <alignment vertical="center"/>
    </xf>
    <xf numFmtId="0" fontId="26" fillId="0" borderId="0" xfId="0" applyFont="1">
      <alignment vertical="center"/>
    </xf>
    <xf numFmtId="0" fontId="27" fillId="0" borderId="0" xfId="1" applyFont="1" applyAlignment="1">
      <alignment horizontal="left" vertical="center"/>
    </xf>
    <xf numFmtId="0" fontId="24" fillId="0" borderId="0" xfId="0" applyFont="1">
      <alignment vertical="center"/>
    </xf>
    <xf numFmtId="0" fontId="11" fillId="0" borderId="0" xfId="0" applyFont="1" applyAlignment="1"/>
    <xf numFmtId="178" fontId="0" fillId="2" borderId="0" xfId="0" applyNumberFormat="1" applyFill="1">
      <alignment vertical="center"/>
    </xf>
    <xf numFmtId="176" fontId="0" fillId="0" borderId="0" xfId="0" applyNumberFormat="1">
      <alignment vertical="center"/>
    </xf>
    <xf numFmtId="0" fontId="28" fillId="0" borderId="1" xfId="0" applyFont="1" applyBorder="1">
      <alignment vertical="center"/>
    </xf>
    <xf numFmtId="0" fontId="18" fillId="2" borderId="3" xfId="0" applyFont="1" applyFill="1" applyBorder="1">
      <alignment vertical="center"/>
    </xf>
    <xf numFmtId="176" fontId="8" fillId="0" borderId="0" xfId="0" applyNumberFormat="1" applyFont="1">
      <alignment vertical="center"/>
    </xf>
    <xf numFmtId="0" fontId="30" fillId="0" borderId="0" xfId="2" quotePrefix="1">
      <alignment vertical="center"/>
    </xf>
    <xf numFmtId="0" fontId="30" fillId="0" borderId="0" xfId="2">
      <alignment vertical="center"/>
    </xf>
    <xf numFmtId="0" fontId="8" fillId="0" borderId="55" xfId="0" applyFont="1" applyBorder="1">
      <alignment vertical="center"/>
    </xf>
    <xf numFmtId="0" fontId="8" fillId="0" borderId="55" xfId="0" applyFont="1" applyBorder="1" applyAlignment="1">
      <alignment horizontal="center" vertical="center"/>
    </xf>
    <xf numFmtId="0" fontId="31" fillId="2" borderId="0" xfId="0" applyFont="1" applyFill="1">
      <alignment vertical="center"/>
    </xf>
    <xf numFmtId="0" fontId="31" fillId="0" borderId="0" xfId="0" applyFont="1">
      <alignment vertical="center"/>
    </xf>
    <xf numFmtId="0" fontId="31" fillId="5" borderId="0" xfId="0" applyFont="1" applyFill="1">
      <alignment vertical="center"/>
    </xf>
    <xf numFmtId="0" fontId="31" fillId="7" borderId="0" xfId="0" applyFont="1" applyFill="1">
      <alignment vertical="center"/>
    </xf>
    <xf numFmtId="0" fontId="31" fillId="8" borderId="0" xfId="0" applyFont="1" applyFill="1">
      <alignment vertical="center"/>
    </xf>
    <xf numFmtId="0" fontId="31" fillId="9" borderId="0" xfId="0" applyFont="1" applyFill="1">
      <alignment vertical="center"/>
    </xf>
    <xf numFmtId="0" fontId="31" fillId="10" borderId="0" xfId="0" applyFont="1" applyFill="1">
      <alignment vertical="center"/>
    </xf>
    <xf numFmtId="0" fontId="31" fillId="11" borderId="0" xfId="0" applyFont="1" applyFill="1">
      <alignment vertical="center"/>
    </xf>
    <xf numFmtId="0" fontId="35" fillId="0" borderId="0" xfId="0" applyFont="1">
      <alignment vertical="center"/>
    </xf>
    <xf numFmtId="0" fontId="35" fillId="0" borderId="0" xfId="0" applyFont="1" applyAlignment="1">
      <alignment horizontal="center" vertical="center"/>
    </xf>
    <xf numFmtId="176" fontId="35" fillId="0" borderId="0" xfId="0" applyNumberFormat="1" applyFont="1">
      <alignment vertical="center"/>
    </xf>
    <xf numFmtId="14" fontId="35" fillId="0" borderId="0" xfId="0" applyNumberFormat="1" applyFont="1">
      <alignment vertical="center"/>
    </xf>
    <xf numFmtId="0" fontId="35" fillId="2" borderId="1" xfId="0" applyFont="1" applyFill="1" applyBorder="1" applyAlignment="1">
      <alignment horizontal="center" vertical="center"/>
    </xf>
    <xf numFmtId="176" fontId="35" fillId="0" borderId="0" xfId="0" applyNumberFormat="1" applyFont="1" applyAlignment="1">
      <alignment horizontal="center" vertical="center"/>
    </xf>
    <xf numFmtId="0" fontId="35" fillId="2" borderId="1" xfId="0" applyFont="1" applyFill="1" applyBorder="1">
      <alignment vertical="center"/>
    </xf>
    <xf numFmtId="0" fontId="35" fillId="2" borderId="0" xfId="0" applyFont="1" applyFill="1">
      <alignment vertical="center"/>
    </xf>
    <xf numFmtId="176" fontId="8" fillId="2" borderId="0" xfId="0" applyNumberFormat="1" applyFont="1" applyFill="1">
      <alignment vertical="center"/>
    </xf>
    <xf numFmtId="0" fontId="0" fillId="2" borderId="0" xfId="0" applyFill="1">
      <alignment vertical="center"/>
    </xf>
    <xf numFmtId="0" fontId="37" fillId="0" borderId="0" xfId="0" applyFont="1">
      <alignment vertical="center"/>
    </xf>
    <xf numFmtId="0" fontId="38" fillId="0" borderId="0" xfId="0" applyFont="1" applyAlignment="1"/>
    <xf numFmtId="178" fontId="30" fillId="0" borderId="0" xfId="2" applyNumberFormat="1">
      <alignment vertical="center"/>
    </xf>
    <xf numFmtId="0" fontId="30" fillId="0" borderId="0" xfId="2" applyAlignment="1">
      <alignment horizontal="center" vertical="center"/>
    </xf>
    <xf numFmtId="178" fontId="30" fillId="0" borderId="0" xfId="2" applyNumberFormat="1" applyAlignment="1">
      <alignment horizontal="center" vertical="center"/>
    </xf>
    <xf numFmtId="0" fontId="0" fillId="0" borderId="1" xfId="0" applyBorder="1">
      <alignment vertical="center"/>
    </xf>
    <xf numFmtId="178" fontId="0" fillId="0" borderId="1" xfId="0" applyNumberFormat="1" applyBorder="1">
      <alignment vertical="center"/>
    </xf>
    <xf numFmtId="0" fontId="0" fillId="2" borderId="1" xfId="0" applyFill="1" applyBorder="1">
      <alignment vertical="center"/>
    </xf>
    <xf numFmtId="178" fontId="0" fillId="2" borderId="1" xfId="0" applyNumberFormat="1" applyFill="1" applyBorder="1">
      <alignment vertical="center"/>
    </xf>
    <xf numFmtId="0" fontId="17" fillId="13" borderId="6" xfId="0" applyFont="1" applyFill="1" applyBorder="1" applyAlignment="1">
      <alignment vertical="center" wrapText="1"/>
    </xf>
    <xf numFmtId="0" fontId="17" fillId="13" borderId="1" xfId="0" applyFont="1" applyFill="1" applyBorder="1" applyAlignment="1">
      <alignment vertical="center" wrapText="1"/>
    </xf>
    <xf numFmtId="178" fontId="17" fillId="13" borderId="1" xfId="0" applyNumberFormat="1" applyFont="1" applyFill="1" applyBorder="1" applyAlignment="1">
      <alignment vertical="center" wrapText="1"/>
    </xf>
    <xf numFmtId="0" fontId="18" fillId="13" borderId="1" xfId="0" applyFont="1" applyFill="1" applyBorder="1">
      <alignment vertical="center"/>
    </xf>
    <xf numFmtId="0" fontId="18" fillId="13" borderId="1" xfId="0" applyFont="1" applyFill="1" applyBorder="1" applyAlignment="1">
      <alignment horizontal="center" vertical="center"/>
    </xf>
    <xf numFmtId="0" fontId="36" fillId="13" borderId="1" xfId="0" applyFont="1" applyFill="1" applyBorder="1">
      <alignment vertical="center"/>
    </xf>
    <xf numFmtId="0" fontId="18" fillId="13" borderId="4" xfId="0" applyFont="1" applyFill="1" applyBorder="1">
      <alignment vertical="center"/>
    </xf>
    <xf numFmtId="177" fontId="18" fillId="13" borderId="4" xfId="0" applyNumberFormat="1" applyFont="1" applyFill="1" applyBorder="1">
      <alignment vertical="center"/>
    </xf>
    <xf numFmtId="0" fontId="18" fillId="13" borderId="6" xfId="0" applyFont="1" applyFill="1" applyBorder="1">
      <alignment vertical="center"/>
    </xf>
    <xf numFmtId="14" fontId="18" fillId="13" borderId="1" xfId="0" applyNumberFormat="1" applyFont="1" applyFill="1" applyBorder="1">
      <alignment vertical="center"/>
    </xf>
    <xf numFmtId="0" fontId="40" fillId="14" borderId="6" xfId="0" applyFont="1" applyFill="1" applyBorder="1" applyAlignment="1">
      <alignment vertical="center" wrapText="1"/>
    </xf>
    <xf numFmtId="0" fontId="40" fillId="14" borderId="1" xfId="0" applyFont="1" applyFill="1" applyBorder="1" applyAlignment="1">
      <alignment vertical="center" wrapText="1"/>
    </xf>
    <xf numFmtId="178" fontId="40" fillId="14" borderId="1" xfId="0" applyNumberFormat="1" applyFont="1" applyFill="1" applyBorder="1" applyAlignment="1">
      <alignment vertical="center" wrapText="1"/>
    </xf>
    <xf numFmtId="0" fontId="41" fillId="14" borderId="1" xfId="0" applyFont="1" applyFill="1" applyBorder="1">
      <alignment vertical="center"/>
    </xf>
    <xf numFmtId="0" fontId="41" fillId="14" borderId="1" xfId="0" applyFont="1" applyFill="1" applyBorder="1" applyAlignment="1">
      <alignment horizontal="center" vertical="center"/>
    </xf>
    <xf numFmtId="0" fontId="41" fillId="14" borderId="4" xfId="0" applyFont="1" applyFill="1" applyBorder="1">
      <alignment vertical="center"/>
    </xf>
    <xf numFmtId="177" fontId="41" fillId="14" borderId="4" xfId="0" applyNumberFormat="1" applyFont="1" applyFill="1" applyBorder="1">
      <alignment vertical="center"/>
    </xf>
    <xf numFmtId="0" fontId="41" fillId="14" borderId="6" xfId="0" applyFont="1" applyFill="1" applyBorder="1">
      <alignment vertical="center"/>
    </xf>
    <xf numFmtId="0" fontId="41" fillId="3" borderId="1" xfId="0" applyFont="1" applyFill="1" applyBorder="1">
      <alignment vertical="center"/>
    </xf>
    <xf numFmtId="0" fontId="41" fillId="3" borderId="1" xfId="0" applyFont="1" applyFill="1" applyBorder="1" applyAlignment="1">
      <alignment horizontal="center" vertical="center"/>
    </xf>
    <xf numFmtId="0" fontId="41" fillId="3" borderId="4" xfId="0" applyFont="1" applyFill="1" applyBorder="1">
      <alignment vertical="center"/>
    </xf>
    <xf numFmtId="0" fontId="41" fillId="3" borderId="6" xfId="0" applyFont="1" applyFill="1" applyBorder="1">
      <alignment vertical="center"/>
    </xf>
    <xf numFmtId="0" fontId="41" fillId="3" borderId="2" xfId="0" applyFont="1" applyFill="1" applyBorder="1">
      <alignment vertical="center"/>
    </xf>
    <xf numFmtId="0" fontId="41" fillId="3" borderId="2" xfId="0" applyFont="1" applyFill="1" applyBorder="1" applyAlignment="1">
      <alignment horizontal="center" vertical="center"/>
    </xf>
    <xf numFmtId="0" fontId="41" fillId="3" borderId="7" xfId="0" applyFont="1" applyFill="1" applyBorder="1">
      <alignment vertical="center"/>
    </xf>
    <xf numFmtId="0" fontId="41" fillId="3" borderId="8" xfId="0" applyFont="1" applyFill="1" applyBorder="1">
      <alignment vertical="center"/>
    </xf>
    <xf numFmtId="14" fontId="41" fillId="14" borderId="1" xfId="0" applyNumberFormat="1" applyFont="1" applyFill="1" applyBorder="1">
      <alignment vertical="center"/>
    </xf>
    <xf numFmtId="178" fontId="8" fillId="0" borderId="0" xfId="0" applyNumberFormat="1" applyFont="1">
      <alignment vertical="center"/>
    </xf>
    <xf numFmtId="178" fontId="35" fillId="0" borderId="0" xfId="0" applyNumberFormat="1" applyFont="1">
      <alignment vertical="center"/>
    </xf>
    <xf numFmtId="185" fontId="35" fillId="0" borderId="0" xfId="0" applyNumberFormat="1" applyFont="1">
      <alignment vertical="center"/>
    </xf>
    <xf numFmtId="185" fontId="35" fillId="0" borderId="0" xfId="0" applyNumberFormat="1" applyFont="1" applyAlignment="1">
      <alignment horizontal="center" vertical="center"/>
    </xf>
    <xf numFmtId="0" fontId="42" fillId="2" borderId="1" xfId="0" applyFont="1" applyFill="1" applyBorder="1">
      <alignment vertical="center"/>
    </xf>
    <xf numFmtId="0" fontId="42" fillId="2" borderId="1" xfId="0" applyFont="1" applyFill="1" applyBorder="1" applyAlignment="1">
      <alignment horizontal="center" vertical="center"/>
    </xf>
    <xf numFmtId="0" fontId="42" fillId="2" borderId="4" xfId="0" applyFont="1" applyFill="1" applyBorder="1">
      <alignment vertical="center"/>
    </xf>
    <xf numFmtId="0" fontId="42" fillId="2" borderId="6" xfId="0" applyFont="1" applyFill="1" applyBorder="1">
      <alignment vertical="center"/>
    </xf>
    <xf numFmtId="0" fontId="42" fillId="13" borderId="1" xfId="0" applyFont="1" applyFill="1" applyBorder="1">
      <alignment vertical="center"/>
    </xf>
    <xf numFmtId="0" fontId="42" fillId="13" borderId="1" xfId="0" applyFont="1" applyFill="1" applyBorder="1" applyAlignment="1">
      <alignment horizontal="center" vertical="center"/>
    </xf>
    <xf numFmtId="0" fontId="42" fillId="13" borderId="4" xfId="0" applyFont="1" applyFill="1" applyBorder="1">
      <alignment vertical="center"/>
    </xf>
    <xf numFmtId="0" fontId="42" fillId="13" borderId="6" xfId="0" applyFont="1" applyFill="1" applyBorder="1">
      <alignment vertical="center"/>
    </xf>
    <xf numFmtId="0" fontId="42" fillId="13" borderId="2" xfId="0" applyFont="1" applyFill="1" applyBorder="1">
      <alignment vertical="center"/>
    </xf>
    <xf numFmtId="0" fontId="42" fillId="13" borderId="2" xfId="0" applyFont="1" applyFill="1" applyBorder="1" applyAlignment="1">
      <alignment horizontal="center" vertical="center"/>
    </xf>
    <xf numFmtId="0" fontId="42" fillId="13" borderId="8" xfId="0" applyFont="1" applyFill="1" applyBorder="1">
      <alignment vertical="center"/>
    </xf>
    <xf numFmtId="178" fontId="43" fillId="0" borderId="0" xfId="0" applyNumberFormat="1" applyFont="1" applyAlignment="1">
      <alignment horizontal="center" vertical="center"/>
    </xf>
    <xf numFmtId="0" fontId="45" fillId="15" borderId="56" xfId="0" applyFont="1" applyFill="1" applyBorder="1" applyAlignment="1">
      <alignment horizontal="left" vertical="center" shrinkToFit="1"/>
    </xf>
    <xf numFmtId="0" fontId="46" fillId="16" borderId="56" xfId="0" applyFont="1" applyFill="1" applyBorder="1" applyAlignment="1">
      <alignment horizontal="left" vertical="center" shrinkToFit="1"/>
    </xf>
    <xf numFmtId="0" fontId="45" fillId="10" borderId="56" xfId="0" applyFont="1" applyFill="1" applyBorder="1" applyAlignment="1">
      <alignment horizontal="left" vertical="center" shrinkToFit="1"/>
    </xf>
    <xf numFmtId="0" fontId="45" fillId="17" borderId="56" xfId="0" applyFont="1" applyFill="1" applyBorder="1" applyAlignment="1">
      <alignment horizontal="left" vertical="center" shrinkToFit="1"/>
    </xf>
    <xf numFmtId="0" fontId="46" fillId="18" borderId="56" xfId="0" applyFont="1" applyFill="1" applyBorder="1" applyAlignment="1">
      <alignment horizontal="left" vertical="center" shrinkToFit="1"/>
    </xf>
    <xf numFmtId="0" fontId="46" fillId="19" borderId="56" xfId="0" applyFont="1" applyFill="1" applyBorder="1" applyAlignment="1">
      <alignment horizontal="left" vertical="center" shrinkToFit="1"/>
    </xf>
    <xf numFmtId="0" fontId="46" fillId="8" borderId="56" xfId="0" applyFont="1" applyFill="1" applyBorder="1" applyAlignment="1">
      <alignment horizontal="left" vertical="center" shrinkToFit="1"/>
    </xf>
    <xf numFmtId="0" fontId="45" fillId="20" borderId="56" xfId="0" applyFont="1" applyFill="1" applyBorder="1" applyAlignment="1">
      <alignment horizontal="left" vertical="center" shrinkToFit="1"/>
    </xf>
    <xf numFmtId="0" fontId="46" fillId="2" borderId="56" xfId="0" applyFont="1" applyFill="1" applyBorder="1" applyAlignment="1">
      <alignment horizontal="left" vertical="center" shrinkToFit="1"/>
    </xf>
    <xf numFmtId="0" fontId="46" fillId="21" borderId="56" xfId="0" applyFont="1" applyFill="1" applyBorder="1" applyAlignment="1">
      <alignment horizontal="left" vertical="center" shrinkToFit="1"/>
    </xf>
    <xf numFmtId="0" fontId="48" fillId="0" borderId="0" xfId="0" applyFont="1">
      <alignment vertical="center"/>
    </xf>
    <xf numFmtId="185" fontId="48" fillId="0" borderId="0" xfId="0" applyNumberFormat="1" applyFont="1">
      <alignment vertical="center"/>
    </xf>
    <xf numFmtId="0" fontId="46" fillId="22" borderId="56" xfId="0" applyFont="1" applyFill="1" applyBorder="1" applyAlignment="1">
      <alignment horizontal="left" vertical="center" shrinkToFit="1"/>
    </xf>
    <xf numFmtId="0" fontId="47" fillId="2" borderId="0" xfId="0" applyFont="1" applyFill="1">
      <alignment vertical="center"/>
    </xf>
    <xf numFmtId="176" fontId="47" fillId="2" borderId="0" xfId="0" applyNumberFormat="1" applyFont="1" applyFill="1">
      <alignment vertical="center"/>
    </xf>
    <xf numFmtId="185" fontId="47" fillId="2" borderId="0" xfId="0" applyNumberFormat="1" applyFont="1" applyFill="1">
      <alignment vertical="center"/>
    </xf>
    <xf numFmtId="185" fontId="35" fillId="0" borderId="56" xfId="0" applyNumberFormat="1" applyFont="1" applyBorder="1">
      <alignment vertical="center"/>
    </xf>
    <xf numFmtId="0" fontId="45" fillId="15" borderId="0" xfId="0" applyFont="1" applyFill="1" applyAlignment="1">
      <alignment horizontal="left" vertical="center" shrinkToFit="1"/>
    </xf>
    <xf numFmtId="0" fontId="45" fillId="0" borderId="56" xfId="0" applyFont="1" applyBorder="1" applyAlignment="1">
      <alignment horizontal="left" vertical="center" shrinkToFit="1"/>
    </xf>
    <xf numFmtId="0" fontId="46" fillId="0" borderId="0" xfId="0" applyFont="1" applyAlignment="1">
      <alignment horizontal="left" vertical="center" shrinkToFit="1"/>
    </xf>
    <xf numFmtId="0" fontId="49" fillId="0" borderId="0" xfId="0" applyFont="1">
      <alignment vertical="center"/>
    </xf>
    <xf numFmtId="185" fontId="49" fillId="0" borderId="0" xfId="0" applyNumberFormat="1" applyFont="1">
      <alignment vertical="center"/>
    </xf>
    <xf numFmtId="176" fontId="35" fillId="5" borderId="0" xfId="0" applyNumberFormat="1" applyFont="1" applyFill="1">
      <alignment vertical="center"/>
    </xf>
    <xf numFmtId="176" fontId="49" fillId="5" borderId="0" xfId="0" applyNumberFormat="1" applyFont="1" applyFill="1">
      <alignment vertical="center"/>
    </xf>
    <xf numFmtId="176" fontId="35" fillId="23" borderId="0" xfId="0" applyNumberFormat="1" applyFont="1" applyFill="1">
      <alignment vertical="center"/>
    </xf>
    <xf numFmtId="176" fontId="49" fillId="23" borderId="0" xfId="0" applyNumberFormat="1" applyFont="1" applyFill="1">
      <alignment vertical="center"/>
    </xf>
    <xf numFmtId="176" fontId="48" fillId="23" borderId="0" xfId="0" applyNumberFormat="1" applyFont="1" applyFill="1">
      <alignment vertical="center"/>
    </xf>
    <xf numFmtId="176" fontId="50" fillId="24" borderId="0" xfId="0" applyNumberFormat="1" applyFont="1" applyFill="1">
      <alignment vertical="center"/>
    </xf>
    <xf numFmtId="0" fontId="51" fillId="25" borderId="4" xfId="0" applyFont="1" applyFill="1" applyBorder="1">
      <alignment vertical="center"/>
    </xf>
    <xf numFmtId="0" fontId="18" fillId="26" borderId="4" xfId="0" applyFont="1" applyFill="1" applyBorder="1">
      <alignment vertical="center"/>
    </xf>
    <xf numFmtId="0" fontId="42" fillId="26" borderId="4" xfId="0" applyFont="1" applyFill="1" applyBorder="1">
      <alignment vertical="center"/>
    </xf>
    <xf numFmtId="0" fontId="42" fillId="0" borderId="4" xfId="0" applyFont="1" applyBorder="1">
      <alignment vertical="center"/>
    </xf>
    <xf numFmtId="0" fontId="42" fillId="0" borderId="0" xfId="0" applyFont="1">
      <alignment vertical="center"/>
    </xf>
    <xf numFmtId="176" fontId="0" fillId="0" borderId="1" xfId="0" applyNumberFormat="1" applyBorder="1">
      <alignment vertical="center"/>
    </xf>
    <xf numFmtId="14" fontId="8" fillId="0" borderId="0" xfId="0" applyNumberFormat="1" applyFont="1">
      <alignment vertical="center"/>
    </xf>
    <xf numFmtId="0" fontId="14" fillId="0" borderId="0" xfId="0" applyFont="1" applyAlignment="1">
      <alignment horizontal="center" vertical="center"/>
    </xf>
    <xf numFmtId="176" fontId="35" fillId="22" borderId="0" xfId="0" applyNumberFormat="1" applyFont="1" applyFill="1">
      <alignment vertical="center"/>
    </xf>
    <xf numFmtId="0" fontId="40" fillId="22" borderId="6" xfId="0" applyFont="1" applyFill="1" applyBorder="1" applyAlignment="1">
      <alignment vertical="center" wrapText="1"/>
    </xf>
    <xf numFmtId="0" fontId="40" fillId="22" borderId="1" xfId="0" applyFont="1" applyFill="1" applyBorder="1" applyAlignment="1">
      <alignment vertical="center" wrapText="1"/>
    </xf>
    <xf numFmtId="178" fontId="40" fillId="22" borderId="1" xfId="0" applyNumberFormat="1" applyFont="1" applyFill="1" applyBorder="1" applyAlignment="1">
      <alignment vertical="center" wrapText="1"/>
    </xf>
    <xf numFmtId="0" fontId="41" fillId="22" borderId="1" xfId="0" applyFont="1" applyFill="1" applyBorder="1">
      <alignment vertical="center"/>
    </xf>
    <xf numFmtId="0" fontId="41" fillId="22" borderId="1" xfId="0" applyFont="1" applyFill="1" applyBorder="1" applyAlignment="1">
      <alignment horizontal="center" vertical="center"/>
    </xf>
    <xf numFmtId="0" fontId="51" fillId="22" borderId="4" xfId="0" applyFont="1" applyFill="1" applyBorder="1">
      <alignment vertical="center"/>
    </xf>
    <xf numFmtId="177" fontId="41" fillId="22" borderId="4" xfId="0" applyNumberFormat="1" applyFont="1" applyFill="1" applyBorder="1">
      <alignment vertical="center"/>
    </xf>
    <xf numFmtId="0" fontId="41" fillId="22" borderId="6" xfId="0" applyFont="1" applyFill="1" applyBorder="1">
      <alignment vertical="center"/>
    </xf>
    <xf numFmtId="0" fontId="41" fillId="22" borderId="4" xfId="0" applyFont="1" applyFill="1" applyBorder="1">
      <alignment vertical="center"/>
    </xf>
    <xf numFmtId="14" fontId="41" fillId="22" borderId="1" xfId="0" applyNumberFormat="1" applyFont="1" applyFill="1" applyBorder="1">
      <alignment vertical="center"/>
    </xf>
    <xf numFmtId="0" fontId="18" fillId="22" borderId="4" xfId="0" applyFont="1" applyFill="1" applyBorder="1">
      <alignment vertical="center"/>
    </xf>
    <xf numFmtId="0" fontId="54" fillId="28" borderId="6" xfId="0" applyFont="1" applyFill="1" applyBorder="1" applyAlignment="1">
      <alignment vertical="center" wrapText="1"/>
    </xf>
    <xf numFmtId="0" fontId="54" fillId="28" borderId="1" xfId="0" applyFont="1" applyFill="1" applyBorder="1" applyAlignment="1">
      <alignment vertical="center" wrapText="1"/>
    </xf>
    <xf numFmtId="178" fontId="54" fillId="28" borderId="1" xfId="0" applyNumberFormat="1" applyFont="1" applyFill="1" applyBorder="1" applyAlignment="1">
      <alignment vertical="center" wrapText="1"/>
    </xf>
    <xf numFmtId="0" fontId="51" fillId="28" borderId="1" xfId="0" applyFont="1" applyFill="1" applyBorder="1">
      <alignment vertical="center"/>
    </xf>
    <xf numFmtId="0" fontId="51" fillId="28" borderId="1" xfId="0" applyFont="1" applyFill="1" applyBorder="1" applyAlignment="1">
      <alignment horizontal="center" vertical="center"/>
    </xf>
    <xf numFmtId="0" fontId="51" fillId="28" borderId="4" xfId="0" applyFont="1" applyFill="1" applyBorder="1">
      <alignment vertical="center"/>
    </xf>
    <xf numFmtId="177" fontId="51" fillId="28" borderId="4" xfId="0" applyNumberFormat="1" applyFont="1" applyFill="1" applyBorder="1">
      <alignment vertical="center"/>
    </xf>
    <xf numFmtId="0" fontId="51" fillId="28" borderId="6" xfId="0" applyFont="1" applyFill="1" applyBorder="1">
      <alignment vertical="center"/>
    </xf>
    <xf numFmtId="14" fontId="51" fillId="28" borderId="1" xfId="0" applyNumberFormat="1" applyFont="1" applyFill="1" applyBorder="1">
      <alignment vertical="center"/>
    </xf>
    <xf numFmtId="14" fontId="55" fillId="22" borderId="1" xfId="0" applyNumberFormat="1" applyFont="1" applyFill="1" applyBorder="1">
      <alignment vertical="center"/>
    </xf>
    <xf numFmtId="14" fontId="55" fillId="29" borderId="1" xfId="0" applyNumberFormat="1" applyFont="1" applyFill="1" applyBorder="1">
      <alignment vertical="center"/>
    </xf>
    <xf numFmtId="178" fontId="14" fillId="0" borderId="0" xfId="0" applyNumberFormat="1" applyFont="1">
      <alignment vertical="center"/>
    </xf>
    <xf numFmtId="178" fontId="56" fillId="0" borderId="0" xfId="1" applyNumberFormat="1" applyFont="1" applyAlignment="1">
      <alignment horizontal="left" vertical="center"/>
    </xf>
    <xf numFmtId="0" fontId="14" fillId="0" borderId="1" xfId="0" applyFont="1" applyBorder="1" applyAlignment="1">
      <alignment horizontal="center" vertical="center"/>
    </xf>
    <xf numFmtId="0" fontId="21" fillId="0" borderId="1"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8" xfId="0" applyFont="1" applyBorder="1" applyAlignment="1">
      <alignment horizontal="center" vertical="center" shrinkToFit="1"/>
    </xf>
    <xf numFmtId="0" fontId="5" fillId="0" borderId="14" xfId="0" applyFont="1" applyBorder="1" applyAlignment="1">
      <alignment horizontal="center" vertical="center" shrinkToFit="1"/>
    </xf>
    <xf numFmtId="0" fontId="21" fillId="0" borderId="0" xfId="0" applyFont="1" applyAlignment="1">
      <alignment horizontal="center" vertical="center" shrinkToFit="1"/>
    </xf>
    <xf numFmtId="0" fontId="56" fillId="0" borderId="2" xfId="1" applyFont="1" applyBorder="1" applyAlignment="1">
      <alignment horizontal="center" vertical="center"/>
    </xf>
    <xf numFmtId="0" fontId="56" fillId="0" borderId="2" xfId="1" applyFont="1" applyBorder="1" applyAlignment="1">
      <alignment horizontal="center" vertical="center" shrinkToFit="1"/>
    </xf>
    <xf numFmtId="0" fontId="14" fillId="0" borderId="1" xfId="0" applyFont="1" applyBorder="1">
      <alignment vertical="center"/>
    </xf>
    <xf numFmtId="178" fontId="14" fillId="0" borderId="1" xfId="0" applyNumberFormat="1" applyFont="1" applyBorder="1">
      <alignment vertical="center"/>
    </xf>
    <xf numFmtId="178" fontId="24" fillId="0" borderId="1" xfId="0" applyNumberFormat="1" applyFont="1" applyBorder="1">
      <alignment vertical="center"/>
    </xf>
    <xf numFmtId="178" fontId="24" fillId="0" borderId="0" xfId="0" applyNumberFormat="1" applyFont="1">
      <alignment vertical="center"/>
    </xf>
    <xf numFmtId="176" fontId="8" fillId="30" borderId="0" xfId="0" applyNumberFormat="1" applyFont="1" applyFill="1">
      <alignment vertical="center"/>
    </xf>
    <xf numFmtId="0" fontId="56" fillId="0" borderId="0" xfId="0" applyFont="1">
      <alignment vertical="center"/>
    </xf>
    <xf numFmtId="178" fontId="56" fillId="0" borderId="0" xfId="0" applyNumberFormat="1" applyFont="1">
      <alignment vertical="center"/>
    </xf>
    <xf numFmtId="0" fontId="56" fillId="0" borderId="0" xfId="0" applyFont="1" applyAlignment="1">
      <alignment horizontal="center" vertical="center"/>
    </xf>
    <xf numFmtId="0" fontId="57" fillId="0" borderId="0" xfId="0" applyFont="1" applyAlignment="1">
      <alignment horizontal="center" vertical="center" shrinkToFit="1"/>
    </xf>
    <xf numFmtId="187" fontId="49" fillId="0" borderId="0" xfId="0" applyNumberFormat="1" applyFont="1">
      <alignment vertical="center"/>
    </xf>
    <xf numFmtId="187" fontId="49" fillId="0" borderId="0" xfId="0" applyNumberFormat="1" applyFont="1" applyAlignment="1">
      <alignment horizontal="center" vertical="center"/>
    </xf>
    <xf numFmtId="0" fontId="35" fillId="0" borderId="1" xfId="0" applyFont="1" applyBorder="1">
      <alignment vertical="center"/>
    </xf>
    <xf numFmtId="0" fontId="50" fillId="0" borderId="0" xfId="0" applyFont="1" applyAlignment="1">
      <alignment horizontal="center" vertical="center"/>
    </xf>
    <xf numFmtId="186" fontId="44" fillId="9" borderId="11" xfId="0" applyNumberFormat="1" applyFont="1" applyFill="1" applyBorder="1" applyAlignment="1">
      <alignment horizontal="center" vertical="center" wrapText="1"/>
    </xf>
    <xf numFmtId="186" fontId="44" fillId="0" borderId="11" xfId="0" applyNumberFormat="1" applyFont="1" applyBorder="1" applyAlignment="1">
      <alignment horizontal="center" vertical="center" wrapText="1"/>
    </xf>
    <xf numFmtId="0" fontId="29" fillId="0" borderId="0" xfId="0" applyFont="1" applyAlignment="1">
      <alignment horizontal="left" vertical="center" wrapText="1" shrinkToFi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0" borderId="6" xfId="0" applyFont="1" applyBorder="1" applyAlignment="1">
      <alignment horizontal="center" vertical="center"/>
    </xf>
    <xf numFmtId="178" fontId="13" fillId="0" borderId="4" xfId="0" applyNumberFormat="1" applyFont="1" applyBorder="1" applyAlignment="1">
      <alignment horizontal="left" vertical="center"/>
    </xf>
    <xf numFmtId="178" fontId="13" fillId="0" borderId="5" xfId="0" applyNumberFormat="1" applyFont="1" applyBorder="1" applyAlignment="1">
      <alignment horizontal="left" vertical="center"/>
    </xf>
    <xf numFmtId="178" fontId="13" fillId="0" borderId="6" xfId="0" applyNumberFormat="1" applyFont="1" applyBorder="1" applyAlignment="1">
      <alignment horizontal="left" vertical="center"/>
    </xf>
    <xf numFmtId="14" fontId="8" fillId="0" borderId="5" xfId="0" applyNumberFormat="1" applyFont="1" applyBorder="1" applyAlignment="1">
      <alignment horizontal="center" vertical="center"/>
    </xf>
    <xf numFmtId="0" fontId="8" fillId="0" borderId="2" xfId="0" applyFont="1" applyBorder="1" applyAlignment="1">
      <alignment horizontal="center" vertical="center"/>
    </xf>
    <xf numFmtId="0" fontId="8" fillId="0" borderId="1" xfId="0" applyFont="1" applyBorder="1" applyAlignment="1">
      <alignment horizontal="center" vertical="center"/>
    </xf>
    <xf numFmtId="0" fontId="13" fillId="0" borderId="1" xfId="0" applyFont="1" applyBorder="1" applyAlignment="1">
      <alignment horizontal="left" vertical="center"/>
    </xf>
    <xf numFmtId="0" fontId="13" fillId="0" borderId="6" xfId="0" applyFont="1" applyBorder="1" applyAlignment="1">
      <alignment horizontal="left" vertical="center" wrapText="1"/>
    </xf>
    <xf numFmtId="0" fontId="13" fillId="0" borderId="1" xfId="0" applyFont="1" applyBorder="1" applyAlignment="1">
      <alignment horizontal="left" vertical="center" wrapText="1"/>
    </xf>
    <xf numFmtId="0" fontId="13" fillId="0" borderId="8" xfId="0" applyFont="1" applyBorder="1" applyAlignment="1">
      <alignment horizontal="left" vertical="center" wrapText="1"/>
    </xf>
    <xf numFmtId="0" fontId="13" fillId="0" borderId="2" xfId="0" applyFont="1" applyBorder="1" applyAlignment="1">
      <alignment horizontal="left" vertical="center" wrapText="1"/>
    </xf>
    <xf numFmtId="0" fontId="13" fillId="0" borderId="7" xfId="0" applyFont="1" applyBorder="1" applyAlignment="1">
      <alignment horizontal="right" vertical="center"/>
    </xf>
    <xf numFmtId="0" fontId="13" fillId="0" borderId="9" xfId="0" applyFont="1" applyBorder="1" applyAlignment="1">
      <alignment horizontal="right" vertical="center"/>
    </xf>
    <xf numFmtId="177" fontId="13" fillId="0" borderId="9" xfId="0" applyNumberFormat="1" applyFont="1" applyBorder="1" applyAlignment="1">
      <alignment horizontal="left" vertical="center"/>
    </xf>
    <xf numFmtId="0" fontId="13" fillId="0" borderId="5" xfId="0" applyFont="1" applyBorder="1" applyAlignment="1">
      <alignment horizontal="center" vertical="center"/>
    </xf>
    <xf numFmtId="0" fontId="13" fillId="0" borderId="5" xfId="0" applyFont="1" applyBorder="1" applyAlignment="1">
      <alignment horizontal="left" vertical="center"/>
    </xf>
    <xf numFmtId="0" fontId="13" fillId="0" borderId="6" xfId="0" applyFont="1" applyBorder="1" applyAlignment="1">
      <alignment horizontal="center" vertical="center"/>
    </xf>
    <xf numFmtId="0" fontId="13" fillId="0" borderId="4" xfId="0" applyFont="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0" borderId="0" xfId="0" applyFont="1" applyAlignment="1">
      <alignment horizontal="right" vertical="center"/>
    </xf>
    <xf numFmtId="0" fontId="8" fillId="0" borderId="13" xfId="0" applyFont="1" applyBorder="1" applyAlignment="1">
      <alignment horizontal="center" vertical="center"/>
    </xf>
    <xf numFmtId="0" fontId="8" fillId="2" borderId="1" xfId="0" applyFont="1" applyFill="1" applyBorder="1" applyAlignment="1">
      <alignment horizontal="center" vertical="center"/>
    </xf>
    <xf numFmtId="181" fontId="13" fillId="0" borderId="9" xfId="0" applyNumberFormat="1" applyFont="1" applyBorder="1" applyAlignment="1">
      <alignment horizontal="right" vertical="center"/>
    </xf>
    <xf numFmtId="178" fontId="21" fillId="0" borderId="0" xfId="0" applyNumberFormat="1" applyFont="1" applyAlignment="1">
      <alignment horizontal="center" vertical="center"/>
    </xf>
    <xf numFmtId="0" fontId="21" fillId="0" borderId="0" xfId="0" applyFont="1" applyAlignment="1">
      <alignment horizontal="center" vertical="center"/>
    </xf>
    <xf numFmtId="0" fontId="12" fillId="0" borderId="1" xfId="0" applyFont="1" applyBorder="1" applyAlignment="1">
      <alignment horizontal="center" vertical="center"/>
    </xf>
    <xf numFmtId="0" fontId="13" fillId="0" borderId="1" xfId="0" applyFont="1" applyBorder="1" applyAlignment="1">
      <alignment horizontal="center" vertical="center"/>
    </xf>
    <xf numFmtId="178" fontId="13" fillId="0" borderId="4" xfId="0" applyNumberFormat="1" applyFont="1" applyBorder="1" applyAlignment="1">
      <alignment horizontal="center" vertical="center"/>
    </xf>
    <xf numFmtId="178" fontId="13" fillId="0" borderId="5" xfId="0" applyNumberFormat="1" applyFont="1" applyBorder="1" applyAlignment="1">
      <alignment horizontal="center" vertical="center"/>
    </xf>
    <xf numFmtId="178" fontId="13" fillId="0" borderId="6" xfId="0" applyNumberFormat="1" applyFont="1" applyBorder="1" applyAlignment="1">
      <alignment horizontal="center" vertical="center"/>
    </xf>
    <xf numFmtId="0" fontId="15" fillId="0" borderId="0" xfId="0" applyFont="1" applyAlignment="1">
      <alignment horizontal="left"/>
    </xf>
    <xf numFmtId="0" fontId="14" fillId="0" borderId="0" xfId="0" applyFont="1" applyAlignment="1">
      <alignment horizontal="center" vertical="center"/>
    </xf>
    <xf numFmtId="0" fontId="12" fillId="0" borderId="1" xfId="0" applyFont="1" applyBorder="1" applyAlignment="1">
      <alignment horizontal="left" vertical="center" wrapText="1"/>
    </xf>
    <xf numFmtId="0" fontId="12" fillId="0" borderId="4" xfId="0" applyFont="1" applyBorder="1" applyAlignment="1">
      <alignment horizontal="center" vertical="center"/>
    </xf>
    <xf numFmtId="0" fontId="12" fillId="0" borderId="6" xfId="0" applyFont="1" applyBorder="1" applyAlignment="1">
      <alignment horizontal="center" vertical="center"/>
    </xf>
    <xf numFmtId="0" fontId="12" fillId="0" borderId="6"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4" xfId="0" applyFont="1" applyBorder="1" applyAlignment="1">
      <alignment horizontal="left" vertical="center"/>
    </xf>
    <xf numFmtId="0" fontId="13" fillId="0" borderId="6" xfId="0" applyFont="1" applyBorder="1" applyAlignment="1">
      <alignment horizontal="left" vertical="center"/>
    </xf>
    <xf numFmtId="0" fontId="11" fillId="0" borderId="1" xfId="0" applyFont="1" applyBorder="1" applyAlignment="1">
      <alignment horizontal="center" vertical="center" textRotation="255" wrapText="1"/>
    </xf>
    <xf numFmtId="0" fontId="13" fillId="0" borderId="7" xfId="0" applyFont="1" applyBorder="1" applyAlignment="1">
      <alignment horizontal="center" vertical="center"/>
    </xf>
    <xf numFmtId="0" fontId="13" fillId="0" borderId="9" xfId="0" applyFont="1" applyBorder="1" applyAlignment="1">
      <alignment horizontal="center" vertical="center"/>
    </xf>
    <xf numFmtId="0" fontId="13" fillId="0" borderId="9" xfId="0" applyFont="1" applyBorder="1" applyAlignment="1">
      <alignment horizontal="left" vertical="center"/>
    </xf>
    <xf numFmtId="179" fontId="13" fillId="0" borderId="10" xfId="0" applyNumberFormat="1" applyFont="1" applyBorder="1" applyAlignment="1">
      <alignment horizontal="right" vertical="center"/>
    </xf>
    <xf numFmtId="179" fontId="13" fillId="0" borderId="0" xfId="0" applyNumberFormat="1" applyFont="1" applyAlignment="1">
      <alignment horizontal="right" vertical="center"/>
    </xf>
    <xf numFmtId="177" fontId="13" fillId="0" borderId="0" xfId="0" applyNumberFormat="1" applyFont="1" applyAlignment="1">
      <alignment horizontal="left" vertical="center"/>
    </xf>
    <xf numFmtId="0" fontId="13" fillId="0" borderId="0" xfId="0" applyFont="1" applyAlignment="1">
      <alignment horizontal="center" vertical="center"/>
    </xf>
    <xf numFmtId="180" fontId="13" fillId="0" borderId="9" xfId="0" applyNumberFormat="1" applyFont="1" applyBorder="1" applyAlignment="1">
      <alignment horizontal="right" vertical="center"/>
    </xf>
    <xf numFmtId="0" fontId="10" fillId="0" borderId="10" xfId="0" applyFont="1" applyBorder="1" applyAlignment="1">
      <alignment horizontal="left" vertical="center" wrapText="1"/>
    </xf>
    <xf numFmtId="0" fontId="10" fillId="0" borderId="0" xfId="0" applyFont="1" applyAlignment="1">
      <alignment horizontal="left" vertical="center" wrapText="1"/>
    </xf>
    <xf numFmtId="0" fontId="10" fillId="0" borderId="11" xfId="0" applyFont="1" applyBorder="1" applyAlignment="1">
      <alignment horizontal="left" vertical="center" wrapText="1"/>
    </xf>
    <xf numFmtId="0" fontId="10" fillId="0" borderId="12" xfId="0" applyFont="1" applyBorder="1" applyAlignment="1">
      <alignment horizontal="left" vertical="center" wrapText="1"/>
    </xf>
    <xf numFmtId="0" fontId="10" fillId="0" borderId="13" xfId="0" applyFont="1" applyBorder="1" applyAlignment="1">
      <alignment horizontal="left" vertical="center" wrapText="1"/>
    </xf>
    <xf numFmtId="0" fontId="10" fillId="0" borderId="14" xfId="0" applyFont="1" applyBorder="1" applyAlignment="1">
      <alignment horizontal="left"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0" xfId="0" applyFont="1" applyAlignment="1">
      <alignment horizontal="center" vertical="center" wrapText="1"/>
    </xf>
    <xf numFmtId="0" fontId="12" fillId="0" borderId="11"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12" fillId="0" borderId="14" xfId="0" applyFont="1" applyBorder="1" applyAlignment="1">
      <alignment horizontal="center" vertical="center" wrapText="1"/>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12" fillId="0" borderId="3" xfId="0" applyFont="1" applyBorder="1" applyAlignment="1">
      <alignment horizontal="left" vertical="center" wrapText="1"/>
    </xf>
    <xf numFmtId="0" fontId="13" fillId="0" borderId="12" xfId="0" applyFont="1" applyBorder="1" applyAlignment="1">
      <alignment horizontal="center" vertical="center"/>
    </xf>
    <xf numFmtId="0" fontId="13" fillId="0" borderId="13" xfId="0" applyFont="1" applyBorder="1" applyAlignment="1">
      <alignment horizontal="center" vertical="center"/>
    </xf>
    <xf numFmtId="14" fontId="13" fillId="0" borderId="0" xfId="0" applyNumberFormat="1" applyFont="1" applyAlignment="1">
      <alignment horizontal="center" vertical="center"/>
    </xf>
    <xf numFmtId="0" fontId="52" fillId="27" borderId="10" xfId="0" applyFont="1" applyFill="1" applyBorder="1" applyAlignment="1">
      <alignment horizontal="center" vertical="center"/>
    </xf>
    <xf numFmtId="0" fontId="52" fillId="27" borderId="0" xfId="0" applyFont="1" applyFill="1" applyAlignment="1">
      <alignment horizontal="center" vertical="center"/>
    </xf>
    <xf numFmtId="0" fontId="13" fillId="0" borderId="10" xfId="0" applyFont="1" applyBorder="1" applyAlignment="1">
      <alignment horizontal="left" vertical="center" wrapText="1"/>
    </xf>
    <xf numFmtId="0" fontId="13" fillId="0" borderId="0" xfId="0" applyFont="1" applyAlignment="1">
      <alignment horizontal="left" vertical="center" wrapText="1"/>
    </xf>
    <xf numFmtId="0" fontId="13" fillId="0" borderId="11" xfId="0" applyFont="1" applyBorder="1" applyAlignment="1">
      <alignment horizontal="left" vertical="center" wrapText="1"/>
    </xf>
    <xf numFmtId="0" fontId="13" fillId="0" borderId="12" xfId="0" applyFont="1" applyBorder="1" applyAlignment="1">
      <alignment horizontal="left" vertical="center" wrapText="1"/>
    </xf>
    <xf numFmtId="0" fontId="13" fillId="0" borderId="13" xfId="0" applyFont="1" applyBorder="1" applyAlignment="1">
      <alignment horizontal="left" vertical="center" wrapText="1"/>
    </xf>
    <xf numFmtId="0" fontId="13" fillId="0" borderId="14" xfId="0" applyFont="1" applyBorder="1" applyAlignment="1">
      <alignment horizontal="left" vertical="center" wrapText="1"/>
    </xf>
    <xf numFmtId="0" fontId="13" fillId="0" borderId="7" xfId="0" applyFont="1" applyBorder="1" applyAlignment="1">
      <alignment horizontal="left" vertical="center" wrapText="1"/>
    </xf>
    <xf numFmtId="0" fontId="13" fillId="0" borderId="9" xfId="0" applyFont="1" applyBorder="1" applyAlignment="1">
      <alignment horizontal="left" vertical="center" wrapText="1"/>
    </xf>
    <xf numFmtId="0" fontId="10" fillId="0" borderId="1" xfId="0" applyFont="1" applyBorder="1" applyAlignment="1">
      <alignment horizontal="left" vertical="center" wrapText="1"/>
    </xf>
    <xf numFmtId="0" fontId="10" fillId="0" borderId="7" xfId="0" applyFont="1" applyBorder="1" applyAlignment="1">
      <alignment vertical="top" wrapText="1"/>
    </xf>
    <xf numFmtId="0" fontId="10" fillId="0" borderId="9" xfId="0" applyFont="1" applyBorder="1" applyAlignment="1">
      <alignment vertical="top" wrapText="1"/>
    </xf>
    <xf numFmtId="0" fontId="10" fillId="0" borderId="8" xfId="0" applyFont="1" applyBorder="1" applyAlignment="1">
      <alignment vertical="top" wrapText="1"/>
    </xf>
    <xf numFmtId="0" fontId="10" fillId="0" borderId="10" xfId="0" applyFont="1" applyBorder="1" applyAlignment="1">
      <alignment vertical="top" wrapText="1"/>
    </xf>
    <xf numFmtId="0" fontId="10" fillId="0" borderId="0" xfId="0" applyFont="1" applyAlignment="1">
      <alignment vertical="top" wrapText="1"/>
    </xf>
    <xf numFmtId="0" fontId="10" fillId="0" borderId="11" xfId="0" applyFont="1" applyBorder="1" applyAlignment="1">
      <alignment vertical="top" wrapText="1"/>
    </xf>
    <xf numFmtId="0" fontId="52" fillId="30" borderId="10" xfId="0" applyFont="1" applyFill="1" applyBorder="1" applyAlignment="1">
      <alignment horizontal="left" vertical="center"/>
    </xf>
    <xf numFmtId="0" fontId="52" fillId="30" borderId="0" xfId="0" applyFont="1" applyFill="1" applyAlignment="1">
      <alignment horizontal="left" vertical="center"/>
    </xf>
    <xf numFmtId="0" fontId="8" fillId="0" borderId="10" xfId="0" applyFont="1" applyBorder="1" applyAlignment="1">
      <alignment horizontal="right" vertical="center"/>
    </xf>
    <xf numFmtId="0" fontId="8" fillId="0" borderId="11" xfId="0" applyFont="1" applyBorder="1" applyAlignment="1">
      <alignment horizontal="right" vertical="center"/>
    </xf>
    <xf numFmtId="0" fontId="16" fillId="0" borderId="0" xfId="0" applyFont="1" applyAlignment="1">
      <alignment horizontal="center" vertical="center"/>
    </xf>
    <xf numFmtId="0" fontId="15" fillId="0" borderId="0" xfId="0" applyFont="1" applyAlignment="1">
      <alignment horizontal="left" vertical="center" wrapText="1"/>
    </xf>
    <xf numFmtId="0" fontId="11" fillId="0" borderId="1" xfId="0" applyFont="1" applyBorder="1" applyAlignment="1">
      <alignment horizontal="center" vertical="center"/>
    </xf>
    <xf numFmtId="0" fontId="19" fillId="0" borderId="5" xfId="0" applyFont="1" applyBorder="1" applyAlignment="1">
      <alignment horizontal="left" vertical="center"/>
    </xf>
    <xf numFmtId="0" fontId="27" fillId="0" borderId="0" xfId="1" applyFont="1" applyAlignment="1">
      <alignment horizontal="left" vertical="center"/>
    </xf>
    <xf numFmtId="0" fontId="6" fillId="0" borderId="0" xfId="1" applyFont="1" applyAlignment="1">
      <alignment horizontal="left" vertical="center"/>
    </xf>
    <xf numFmtId="183" fontId="13" fillId="0" borderId="0" xfId="0" applyNumberFormat="1" applyFont="1" applyAlignment="1">
      <alignment horizontal="right" vertical="center" wrapText="1"/>
    </xf>
    <xf numFmtId="0" fontId="23" fillId="0" borderId="0" xfId="0" applyFont="1" applyAlignment="1">
      <alignment horizontal="center" vertical="center"/>
    </xf>
    <xf numFmtId="0" fontId="11" fillId="0" borderId="9" xfId="0" applyFont="1" applyBorder="1" applyAlignment="1">
      <alignment horizontal="left" vertical="center"/>
    </xf>
    <xf numFmtId="0" fontId="11" fillId="0" borderId="8" xfId="0" applyFont="1" applyBorder="1" applyAlignment="1">
      <alignment horizontal="left" vertical="center"/>
    </xf>
    <xf numFmtId="0" fontId="11" fillId="0" borderId="13" xfId="0" applyFont="1" applyBorder="1" applyAlignment="1">
      <alignment horizontal="left" vertical="center"/>
    </xf>
    <xf numFmtId="0" fontId="11" fillId="0" borderId="14" xfId="0" applyFont="1" applyBorder="1" applyAlignment="1">
      <alignment horizontal="left" vertical="center"/>
    </xf>
    <xf numFmtId="0" fontId="11" fillId="0" borderId="34" xfId="0" applyFont="1" applyBorder="1" applyAlignment="1">
      <alignment horizontal="center" vertical="center"/>
    </xf>
    <xf numFmtId="0" fontId="11" fillId="0" borderId="28" xfId="0" applyFont="1" applyBorder="1" applyAlignment="1">
      <alignment horizontal="center" vertical="center"/>
    </xf>
    <xf numFmtId="0" fontId="11" fillId="0" borderId="29" xfId="0" applyFont="1" applyBorder="1" applyAlignment="1">
      <alignment horizontal="center" vertical="center"/>
    </xf>
    <xf numFmtId="0" fontId="11" fillId="0" borderId="39" xfId="0" applyFont="1" applyBorder="1" applyAlignment="1">
      <alignment horizontal="center" vertical="center"/>
    </xf>
    <xf numFmtId="0" fontId="11" fillId="0" borderId="15" xfId="0" applyFont="1" applyBorder="1" applyAlignment="1">
      <alignment horizontal="center" vertical="center"/>
    </xf>
    <xf numFmtId="0" fontId="11" fillId="0" borderId="30" xfId="0" applyFont="1" applyBorder="1" applyAlignment="1">
      <alignment horizontal="center" vertical="center"/>
    </xf>
    <xf numFmtId="0" fontId="11" fillId="0" borderId="42" xfId="0" applyFont="1" applyBorder="1" applyAlignment="1">
      <alignment horizontal="center" vertical="center"/>
    </xf>
    <xf numFmtId="0" fontId="11" fillId="0" borderId="31" xfId="0" applyFont="1" applyBorder="1" applyAlignment="1">
      <alignment horizontal="center" vertical="center"/>
    </xf>
    <xf numFmtId="0" fontId="11" fillId="0" borderId="32" xfId="0" applyFont="1" applyBorder="1" applyAlignment="1">
      <alignment horizontal="center" vertical="center"/>
    </xf>
    <xf numFmtId="0" fontId="14" fillId="0" borderId="7" xfId="0" applyFont="1" applyBorder="1" applyAlignment="1">
      <alignment horizontal="left" vertical="center"/>
    </xf>
    <xf numFmtId="0" fontId="14" fillId="0" borderId="10" xfId="0" applyFont="1" applyBorder="1" applyAlignment="1">
      <alignment horizontal="left" vertical="center"/>
    </xf>
    <xf numFmtId="0" fontId="14" fillId="0" borderId="12" xfId="0" applyFont="1" applyBorder="1" applyAlignment="1">
      <alignment horizontal="left" vertical="center"/>
    </xf>
    <xf numFmtId="0" fontId="11" fillId="0" borderId="0" xfId="0" applyFont="1" applyAlignment="1">
      <alignment horizontal="left" vertical="center"/>
    </xf>
    <xf numFmtId="0" fontId="11" fillId="0" borderId="11" xfId="0" applyFont="1" applyBorder="1" applyAlignment="1">
      <alignment horizontal="left" vertical="center"/>
    </xf>
    <xf numFmtId="0" fontId="11" fillId="0" borderId="34" xfId="0" applyFont="1" applyBorder="1" applyAlignment="1">
      <alignment horizontal="center" vertical="center" wrapText="1"/>
    </xf>
    <xf numFmtId="0" fontId="25" fillId="0" borderId="10" xfId="0" applyFont="1" applyBorder="1" applyAlignment="1">
      <alignment horizontal="center" wrapText="1"/>
    </xf>
    <xf numFmtId="0" fontId="25" fillId="0" borderId="0" xfId="0" applyFont="1" applyAlignment="1">
      <alignment horizontal="center" wrapText="1"/>
    </xf>
    <xf numFmtId="0" fontId="25" fillId="0" borderId="11" xfId="0" applyFont="1" applyBorder="1" applyAlignment="1">
      <alignment horizontal="center" wrapText="1"/>
    </xf>
    <xf numFmtId="0" fontId="11" fillId="0" borderId="7" xfId="0" applyFont="1" applyBorder="1" applyAlignment="1">
      <alignment horizontal="left" vertical="center"/>
    </xf>
    <xf numFmtId="0" fontId="11" fillId="0" borderId="12" xfId="0" applyFont="1" applyBorder="1" applyAlignment="1">
      <alignment horizontal="left" vertical="center"/>
    </xf>
    <xf numFmtId="0" fontId="37" fillId="0" borderId="0" xfId="0" applyFont="1" applyAlignment="1">
      <alignment horizontal="center" vertical="center"/>
    </xf>
    <xf numFmtId="0" fontId="25" fillId="0" borderId="10" xfId="0" applyFont="1" applyBorder="1" applyAlignment="1">
      <alignment horizontal="center" vertical="center" wrapText="1"/>
    </xf>
    <xf numFmtId="0" fontId="25" fillId="0" borderId="0" xfId="0" applyFont="1" applyAlignment="1">
      <alignment horizontal="center" vertical="center" wrapText="1"/>
    </xf>
    <xf numFmtId="0" fontId="25" fillId="0" borderId="11" xfId="0" applyFont="1" applyBorder="1" applyAlignment="1">
      <alignment horizontal="center" vertical="center" wrapText="1"/>
    </xf>
    <xf numFmtId="0" fontId="25" fillId="0" borderId="10" xfId="0" applyFont="1" applyBorder="1" applyAlignment="1">
      <alignment horizontal="center" vertical="top" wrapText="1"/>
    </xf>
    <xf numFmtId="0" fontId="25" fillId="0" borderId="0" xfId="0" applyFont="1" applyAlignment="1">
      <alignment horizontal="center" vertical="top" wrapText="1"/>
    </xf>
    <xf numFmtId="0" fontId="25" fillId="0" borderId="11" xfId="0" applyFont="1" applyBorder="1" applyAlignment="1">
      <alignment horizontal="center" vertical="top" wrapText="1"/>
    </xf>
    <xf numFmtId="0" fontId="25" fillId="0" borderId="12" xfId="0" applyFont="1" applyBorder="1" applyAlignment="1">
      <alignment horizontal="center" vertical="top" wrapText="1"/>
    </xf>
    <xf numFmtId="0" fontId="25" fillId="0" borderId="13" xfId="0" applyFont="1" applyBorder="1" applyAlignment="1">
      <alignment horizontal="center" vertical="top" wrapText="1"/>
    </xf>
    <xf numFmtId="0" fontId="25" fillId="0" borderId="14" xfId="0" applyFont="1" applyBorder="1" applyAlignment="1">
      <alignment horizontal="center" vertical="top" wrapText="1"/>
    </xf>
    <xf numFmtId="0" fontId="11" fillId="0" borderId="45" xfId="0" applyFont="1" applyBorder="1" applyAlignment="1">
      <alignment horizontal="center" vertical="center"/>
    </xf>
    <xf numFmtId="0" fontId="11" fillId="0" borderId="23" xfId="0" applyFont="1" applyBorder="1" applyAlignment="1">
      <alignment horizontal="center" vertical="center"/>
    </xf>
    <xf numFmtId="0" fontId="11" fillId="0" borderId="41" xfId="0" applyFont="1" applyBorder="1" applyAlignment="1">
      <alignment horizontal="center" vertical="center"/>
    </xf>
    <xf numFmtId="0" fontId="11" fillId="0" borderId="50" xfId="0" applyFont="1" applyBorder="1" applyAlignment="1">
      <alignment horizontal="center" vertical="center"/>
    </xf>
    <xf numFmtId="0" fontId="11" fillId="0" borderId="24" xfId="0" applyFont="1" applyBorder="1" applyAlignment="1">
      <alignment horizontal="center" vertical="center"/>
    </xf>
    <xf numFmtId="0" fontId="11" fillId="0" borderId="49" xfId="0" applyFont="1" applyBorder="1" applyAlignment="1">
      <alignment horizontal="center" vertical="center"/>
    </xf>
    <xf numFmtId="0" fontId="14" fillId="0" borderId="0" xfId="0" applyFont="1" applyAlignment="1">
      <alignment horizontal="left" vertical="center"/>
    </xf>
    <xf numFmtId="0" fontId="11" fillId="0" borderId="10" xfId="0" applyFont="1" applyBorder="1" applyAlignment="1">
      <alignment horizontal="left" vertical="center"/>
    </xf>
    <xf numFmtId="0" fontId="11" fillId="0" borderId="7" xfId="0" applyFont="1" applyBorder="1" applyAlignment="1">
      <alignment horizontal="center" vertical="center" shrinkToFit="1"/>
    </xf>
    <xf numFmtId="0" fontId="11" fillId="0" borderId="9" xfId="0" applyFont="1" applyBorder="1" applyAlignment="1">
      <alignment horizontal="center" vertical="center" shrinkToFit="1"/>
    </xf>
    <xf numFmtId="0" fontId="11" fillId="0" borderId="8" xfId="0" applyFont="1" applyBorder="1" applyAlignment="1">
      <alignment horizontal="center" vertical="center" shrinkToFit="1"/>
    </xf>
    <xf numFmtId="0" fontId="11" fillId="0" borderId="10" xfId="0" applyFont="1" applyBorder="1" applyAlignment="1">
      <alignment horizontal="center" vertical="center" shrinkToFit="1"/>
    </xf>
    <xf numFmtId="0" fontId="11" fillId="0" borderId="0" xfId="0" applyFont="1" applyAlignment="1">
      <alignment horizontal="center" vertical="center" shrinkToFit="1"/>
    </xf>
    <xf numFmtId="0" fontId="11" fillId="0" borderId="11" xfId="0" applyFont="1" applyBorder="1" applyAlignment="1">
      <alignment horizontal="center" vertical="center" shrinkToFit="1"/>
    </xf>
    <xf numFmtId="0" fontId="11" fillId="0" borderId="12" xfId="0" applyFont="1" applyBorder="1" applyAlignment="1">
      <alignment horizontal="center" vertical="center" shrinkToFit="1"/>
    </xf>
    <xf numFmtId="0" fontId="11" fillId="0" borderId="13" xfId="0" applyFont="1" applyBorder="1" applyAlignment="1">
      <alignment horizontal="center" vertical="center" shrinkToFit="1"/>
    </xf>
    <xf numFmtId="0" fontId="11" fillId="0" borderId="14" xfId="0" applyFont="1" applyBorder="1" applyAlignment="1">
      <alignment horizontal="center" vertical="center" shrinkToFit="1"/>
    </xf>
    <xf numFmtId="0" fontId="11" fillId="0" borderId="53" xfId="0" applyFont="1" applyBorder="1" applyAlignment="1">
      <alignment horizontal="center" vertical="center"/>
    </xf>
    <xf numFmtId="0" fontId="11" fillId="0" borderId="54" xfId="0"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48" xfId="0" applyFont="1" applyBorder="1" applyAlignment="1">
      <alignment horizontal="center" vertical="center"/>
    </xf>
    <xf numFmtId="0" fontId="11" fillId="0" borderId="44" xfId="0" applyFont="1" applyBorder="1" applyAlignment="1">
      <alignment horizontal="center" vertical="center"/>
    </xf>
    <xf numFmtId="0" fontId="11" fillId="0" borderId="43" xfId="0" applyFont="1" applyBorder="1" applyAlignment="1">
      <alignment horizontal="center" vertical="center"/>
    </xf>
    <xf numFmtId="0" fontId="11" fillId="0" borderId="14" xfId="0" applyFont="1" applyBorder="1" applyAlignment="1">
      <alignment horizontal="center" vertical="center"/>
    </xf>
    <xf numFmtId="0" fontId="11" fillId="0" borderId="18" xfId="0" applyFont="1" applyBorder="1" applyAlignment="1">
      <alignment horizontal="left" vertical="center"/>
    </xf>
    <xf numFmtId="0" fontId="11" fillId="0" borderId="48" xfId="0" applyFont="1" applyBorder="1" applyAlignment="1">
      <alignment horizontal="left" vertical="center"/>
    </xf>
    <xf numFmtId="0" fontId="11" fillId="0" borderId="20" xfId="0" applyFont="1" applyBorder="1" applyAlignment="1">
      <alignment horizontal="center" vertical="center"/>
    </xf>
    <xf numFmtId="0" fontId="11" fillId="0" borderId="19" xfId="0" applyFont="1" applyBorder="1" applyAlignment="1">
      <alignment horizontal="center" vertical="center"/>
    </xf>
    <xf numFmtId="0" fontId="11" fillId="0" borderId="11" xfId="0" applyFont="1" applyBorder="1" applyAlignment="1">
      <alignment horizontal="center" vertical="center"/>
    </xf>
    <xf numFmtId="0" fontId="11" fillId="0" borderId="0" xfId="0" applyFont="1" applyAlignment="1">
      <alignment horizontal="left" vertical="center" shrinkToFit="1"/>
    </xf>
    <xf numFmtId="0" fontId="11" fillId="0" borderId="13" xfId="0" applyFont="1" applyBorder="1" applyAlignment="1">
      <alignment horizontal="left" vertical="center" shrinkToFit="1"/>
    </xf>
    <xf numFmtId="0" fontId="11" fillId="0" borderId="34" xfId="0" applyFont="1" applyBorder="1" applyAlignment="1">
      <alignment horizontal="left" vertical="center" shrinkToFit="1"/>
    </xf>
    <xf numFmtId="0" fontId="11" fillId="0" borderId="28" xfId="0" applyFont="1" applyBorder="1" applyAlignment="1">
      <alignment horizontal="left" vertical="center" shrinkToFit="1"/>
    </xf>
    <xf numFmtId="0" fontId="11" fillId="0" borderId="29" xfId="0" applyFont="1" applyBorder="1" applyAlignment="1">
      <alignment horizontal="left" vertical="center" shrinkToFit="1"/>
    </xf>
    <xf numFmtId="0" fontId="11" fillId="0" borderId="39" xfId="0" applyFont="1" applyBorder="1" applyAlignment="1">
      <alignment horizontal="left" vertical="center" shrinkToFit="1"/>
    </xf>
    <xf numFmtId="0" fontId="11" fillId="0" borderId="15" xfId="0" applyFont="1" applyBorder="1" applyAlignment="1">
      <alignment horizontal="left" vertical="center" shrinkToFit="1"/>
    </xf>
    <xf numFmtId="0" fontId="11" fillId="0" borderId="30" xfId="0" applyFont="1" applyBorder="1" applyAlignment="1">
      <alignment horizontal="left" vertical="center" shrinkToFit="1"/>
    </xf>
    <xf numFmtId="0" fontId="11" fillId="0" borderId="42" xfId="0" applyFont="1" applyBorder="1" applyAlignment="1">
      <alignment horizontal="left" vertical="center" shrinkToFit="1"/>
    </xf>
    <xf numFmtId="0" fontId="11" fillId="0" borderId="31" xfId="0" applyFont="1" applyBorder="1" applyAlignment="1">
      <alignment horizontal="left" vertical="center" shrinkToFit="1"/>
    </xf>
    <xf numFmtId="0" fontId="11" fillId="0" borderId="32" xfId="0" applyFont="1" applyBorder="1" applyAlignment="1">
      <alignment horizontal="left" vertical="center" shrinkToFit="1"/>
    </xf>
    <xf numFmtId="0" fontId="11" fillId="0" borderId="22" xfId="0" applyFont="1" applyBorder="1" applyAlignment="1">
      <alignment horizontal="left" vertical="center" wrapText="1"/>
    </xf>
    <xf numFmtId="0" fontId="11" fillId="0" borderId="23" xfId="0" applyFont="1" applyBorder="1" applyAlignment="1">
      <alignment horizontal="left" vertical="center" wrapText="1"/>
    </xf>
    <xf numFmtId="0" fontId="11" fillId="0" borderId="41" xfId="0" applyFont="1" applyBorder="1" applyAlignment="1">
      <alignment horizontal="left" vertical="center" wrapText="1"/>
    </xf>
    <xf numFmtId="0" fontId="11" fillId="0" borderId="25" xfId="0" applyFont="1" applyBorder="1" applyAlignment="1">
      <alignment horizontal="left" vertical="center" wrapText="1"/>
    </xf>
    <xf numFmtId="0" fontId="11" fillId="0" borderId="15" xfId="0" applyFont="1" applyBorder="1" applyAlignment="1">
      <alignment horizontal="left" vertical="center" wrapText="1"/>
    </xf>
    <xf numFmtId="0" fontId="11" fillId="0" borderId="30" xfId="0" applyFont="1" applyBorder="1" applyAlignment="1">
      <alignment horizontal="left" vertical="center" wrapText="1"/>
    </xf>
    <xf numFmtId="0" fontId="11" fillId="0" borderId="33"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11" fillId="0" borderId="40" xfId="0" applyFont="1" applyBorder="1" applyAlignment="1">
      <alignment horizontal="center" vertical="center"/>
    </xf>
    <xf numFmtId="0" fontId="11" fillId="0" borderId="21" xfId="0" applyFont="1" applyBorder="1" applyAlignment="1">
      <alignment horizontal="left" vertical="center"/>
    </xf>
    <xf numFmtId="0" fontId="33" fillId="0" borderId="0" xfId="0" applyFont="1" applyAlignment="1">
      <alignment horizontal="left" vertical="center"/>
    </xf>
    <xf numFmtId="0" fontId="11" fillId="0" borderId="40" xfId="0" applyFont="1" applyBorder="1" applyAlignment="1">
      <alignment horizontal="left" vertical="center"/>
    </xf>
    <xf numFmtId="0" fontId="11" fillId="0" borderId="19" xfId="0" applyFont="1" applyBorder="1" applyAlignment="1">
      <alignment horizontal="left" vertical="center"/>
    </xf>
    <xf numFmtId="183" fontId="11" fillId="0" borderId="9" xfId="0" applyNumberFormat="1" applyFont="1" applyBorder="1" applyAlignment="1">
      <alignment horizontal="left" vertical="center"/>
    </xf>
    <xf numFmtId="183" fontId="11" fillId="0" borderId="0" xfId="0" applyNumberFormat="1" applyFont="1" applyAlignment="1">
      <alignment horizontal="left" vertical="center"/>
    </xf>
    <xf numFmtId="183" fontId="11" fillId="0" borderId="13" xfId="0" applyNumberFormat="1" applyFont="1" applyBorder="1" applyAlignment="1">
      <alignment horizontal="left" vertical="center"/>
    </xf>
    <xf numFmtId="176" fontId="13" fillId="0" borderId="9" xfId="0" applyNumberFormat="1" applyFont="1" applyBorder="1" applyAlignment="1">
      <alignment horizontal="left" vertical="center"/>
    </xf>
    <xf numFmtId="176" fontId="13" fillId="0" borderId="0" xfId="0" applyNumberFormat="1" applyFont="1" applyAlignment="1">
      <alignment horizontal="left" vertical="center"/>
    </xf>
    <xf numFmtId="176" fontId="13" fillId="0" borderId="13" xfId="0" applyNumberFormat="1" applyFont="1" applyBorder="1" applyAlignment="1">
      <alignment horizontal="left" vertical="center"/>
    </xf>
    <xf numFmtId="176" fontId="11" fillId="0" borderId="9" xfId="0" applyNumberFormat="1" applyFont="1" applyBorder="1" applyAlignment="1">
      <alignment horizontal="left" vertical="center"/>
    </xf>
    <xf numFmtId="176" fontId="11" fillId="0" borderId="8" xfId="0" applyNumberFormat="1" applyFont="1" applyBorder="1" applyAlignment="1">
      <alignment horizontal="left" vertical="center"/>
    </xf>
    <xf numFmtId="176" fontId="11" fillId="0" borderId="0" xfId="0" applyNumberFormat="1" applyFont="1" applyAlignment="1">
      <alignment horizontal="left" vertical="center"/>
    </xf>
    <xf numFmtId="176" fontId="11" fillId="0" borderId="11" xfId="0" applyNumberFormat="1" applyFont="1" applyBorder="1" applyAlignment="1">
      <alignment horizontal="left" vertical="center"/>
    </xf>
    <xf numFmtId="176" fontId="11" fillId="0" borderId="13" xfId="0" applyNumberFormat="1" applyFont="1" applyBorder="1" applyAlignment="1">
      <alignment horizontal="left" vertical="center"/>
    </xf>
    <xf numFmtId="176" fontId="11" fillId="0" borderId="14" xfId="0" applyNumberFormat="1" applyFont="1" applyBorder="1" applyAlignment="1">
      <alignment horizontal="left" vertical="center"/>
    </xf>
    <xf numFmtId="0" fontId="39" fillId="0" borderId="9" xfId="0" applyFont="1" applyBorder="1" applyAlignment="1">
      <alignment horizontal="left" vertical="center" shrinkToFit="1"/>
    </xf>
    <xf numFmtId="0" fontId="39" fillId="0" borderId="8" xfId="0" applyFont="1" applyBorder="1" applyAlignment="1">
      <alignment horizontal="left" vertical="center" shrinkToFit="1"/>
    </xf>
    <xf numFmtId="0" fontId="13" fillId="0" borderId="0" xfId="0" applyFont="1" applyAlignment="1">
      <alignment horizontal="left" vertical="center"/>
    </xf>
    <xf numFmtId="0" fontId="13" fillId="0" borderId="11" xfId="0" applyFont="1" applyBorder="1" applyAlignment="1">
      <alignment horizontal="left" vertical="center"/>
    </xf>
    <xf numFmtId="0" fontId="13" fillId="0" borderId="14" xfId="0" applyFont="1" applyBorder="1" applyAlignment="1">
      <alignment horizontal="left" vertical="center"/>
    </xf>
    <xf numFmtId="0" fontId="11" fillId="0" borderId="46" xfId="0" applyFont="1" applyBorder="1" applyAlignment="1">
      <alignment horizontal="left" vertical="center"/>
    </xf>
    <xf numFmtId="0" fontId="11" fillId="0" borderId="47" xfId="0" applyFont="1" applyBorder="1" applyAlignment="1">
      <alignment horizontal="left" vertical="center"/>
    </xf>
    <xf numFmtId="0" fontId="11" fillId="0" borderId="27" xfId="0" applyFont="1" applyBorder="1" applyAlignment="1">
      <alignment horizontal="left" vertical="center"/>
    </xf>
    <xf numFmtId="0" fontId="11" fillId="0" borderId="37" xfId="0" applyFont="1" applyBorder="1" applyAlignment="1">
      <alignment horizontal="center" vertical="center"/>
    </xf>
    <xf numFmtId="0" fontId="11" fillId="0" borderId="35" xfId="0" applyFont="1" applyBorder="1" applyAlignment="1">
      <alignment horizontal="center" vertical="center"/>
    </xf>
    <xf numFmtId="0" fontId="11" fillId="0" borderId="8" xfId="0" applyFont="1" applyBorder="1" applyAlignment="1">
      <alignment horizontal="center" vertical="center"/>
    </xf>
    <xf numFmtId="178" fontId="11" fillId="0" borderId="5" xfId="0" applyNumberFormat="1" applyFont="1" applyBorder="1" applyAlignment="1">
      <alignment horizontal="left" vertical="center"/>
    </xf>
    <xf numFmtId="178" fontId="11" fillId="0" borderId="4" xfId="0" applyNumberFormat="1" applyFont="1" applyBorder="1" applyAlignment="1">
      <alignment horizontal="right" vertical="center"/>
    </xf>
    <xf numFmtId="178" fontId="11" fillId="0" borderId="5" xfId="0" applyNumberFormat="1" applyFont="1" applyBorder="1" applyAlignment="1">
      <alignment horizontal="right" vertical="center"/>
    </xf>
    <xf numFmtId="0" fontId="25" fillId="0" borderId="0" xfId="0" applyFont="1" applyAlignment="1">
      <alignment horizontal="center" vertical="top"/>
    </xf>
    <xf numFmtId="0" fontId="11" fillId="0" borderId="34" xfId="0" applyFont="1" applyBorder="1" applyAlignment="1">
      <alignment horizontal="left" vertical="center" textRotation="255"/>
    </xf>
    <xf numFmtId="0" fontId="11" fillId="0" borderId="28" xfId="0" applyFont="1" applyBorder="1" applyAlignment="1">
      <alignment horizontal="left" vertical="center" textRotation="255"/>
    </xf>
    <xf numFmtId="0" fontId="11" fillId="0" borderId="37" xfId="0" applyFont="1" applyBorder="1" applyAlignment="1">
      <alignment horizontal="left" vertical="center" textRotation="255"/>
    </xf>
    <xf numFmtId="0" fontId="11" fillId="0" borderId="39" xfId="0" applyFont="1" applyBorder="1" applyAlignment="1">
      <alignment horizontal="left" vertical="center" textRotation="255"/>
    </xf>
    <xf numFmtId="0" fontId="11" fillId="0" borderId="15" xfId="0" applyFont="1" applyBorder="1" applyAlignment="1">
      <alignment horizontal="left" vertical="center" textRotation="255"/>
    </xf>
    <xf numFmtId="0" fontId="11" fillId="0" borderId="16" xfId="0" applyFont="1" applyBorder="1" applyAlignment="1">
      <alignment horizontal="left" vertical="center" textRotation="255"/>
    </xf>
    <xf numFmtId="0" fontId="11" fillId="0" borderId="42" xfId="0" applyFont="1" applyBorder="1" applyAlignment="1">
      <alignment horizontal="left" vertical="center" textRotation="255"/>
    </xf>
    <xf numFmtId="0" fontId="11" fillId="0" borderId="31" xfId="0" applyFont="1" applyBorder="1" applyAlignment="1">
      <alignment horizontal="left" vertical="center" textRotation="255"/>
    </xf>
    <xf numFmtId="0" fontId="11" fillId="0" borderId="44" xfId="0" applyFont="1" applyBorder="1" applyAlignment="1">
      <alignment horizontal="left" vertical="center" textRotation="255"/>
    </xf>
    <xf numFmtId="0" fontId="11" fillId="12" borderId="7" xfId="0" applyFont="1" applyFill="1" applyBorder="1" applyAlignment="1">
      <alignment horizontal="left" vertical="center"/>
    </xf>
    <xf numFmtId="0" fontId="11" fillId="12" borderId="9" xfId="0" applyFont="1" applyFill="1" applyBorder="1" applyAlignment="1">
      <alignment horizontal="left" vertical="center"/>
    </xf>
    <xf numFmtId="0" fontId="11" fillId="12" borderId="35" xfId="0" applyFont="1" applyFill="1" applyBorder="1" applyAlignment="1">
      <alignment horizontal="left" vertical="center"/>
    </xf>
    <xf numFmtId="0" fontId="11" fillId="12" borderId="8" xfId="0" applyFont="1" applyFill="1" applyBorder="1" applyAlignment="1">
      <alignment horizontal="left" vertical="center"/>
    </xf>
    <xf numFmtId="0" fontId="12" fillId="12" borderId="10" xfId="0" applyFont="1" applyFill="1" applyBorder="1" applyAlignment="1">
      <alignment horizontal="left" vertical="center" textRotation="255"/>
    </xf>
    <xf numFmtId="0" fontId="12" fillId="12" borderId="0" xfId="0" applyFont="1" applyFill="1" applyAlignment="1">
      <alignment horizontal="left" vertical="center" textRotation="255"/>
    </xf>
    <xf numFmtId="0" fontId="12" fillId="12" borderId="12" xfId="0" applyFont="1" applyFill="1" applyBorder="1" applyAlignment="1">
      <alignment horizontal="left" vertical="center" textRotation="255"/>
    </xf>
    <xf numFmtId="0" fontId="12" fillId="12" borderId="13" xfId="0" applyFont="1" applyFill="1" applyBorder="1" applyAlignment="1">
      <alignment horizontal="left" vertical="center" textRotation="255"/>
    </xf>
    <xf numFmtId="0" fontId="12" fillId="12" borderId="34" xfId="0" applyFont="1" applyFill="1" applyBorder="1" applyAlignment="1">
      <alignment horizontal="left"/>
    </xf>
    <xf numFmtId="0" fontId="12" fillId="12" borderId="28" xfId="0" applyFont="1" applyFill="1" applyBorder="1" applyAlignment="1">
      <alignment horizontal="left"/>
    </xf>
    <xf numFmtId="0" fontId="12" fillId="12" borderId="37" xfId="0" applyFont="1" applyFill="1" applyBorder="1" applyAlignment="1">
      <alignment horizontal="left"/>
    </xf>
    <xf numFmtId="0" fontId="12" fillId="12" borderId="36" xfId="0" applyFont="1" applyFill="1" applyBorder="1" applyAlignment="1">
      <alignment horizontal="left"/>
    </xf>
    <xf numFmtId="0" fontId="12" fillId="12" borderId="38" xfId="0" applyFont="1" applyFill="1" applyBorder="1" applyAlignment="1">
      <alignment horizontal="left"/>
    </xf>
    <xf numFmtId="0" fontId="12" fillId="12" borderId="39" xfId="0" applyFont="1" applyFill="1" applyBorder="1" applyAlignment="1">
      <alignment horizontal="left"/>
    </xf>
    <xf numFmtId="0" fontId="12" fillId="12" borderId="15" xfId="0" applyFont="1" applyFill="1" applyBorder="1" applyAlignment="1">
      <alignment horizontal="left"/>
    </xf>
    <xf numFmtId="0" fontId="12" fillId="12" borderId="23" xfId="0" applyFont="1" applyFill="1" applyBorder="1" applyAlignment="1">
      <alignment horizontal="left"/>
    </xf>
    <xf numFmtId="0" fontId="12" fillId="12" borderId="41" xfId="0" applyFont="1" applyFill="1" applyBorder="1" applyAlignment="1">
      <alignment horizontal="left"/>
    </xf>
    <xf numFmtId="0" fontId="12" fillId="12" borderId="30" xfId="0" applyFont="1" applyFill="1" applyBorder="1" applyAlignment="1">
      <alignment horizontal="left"/>
    </xf>
    <xf numFmtId="0" fontId="12" fillId="12" borderId="42" xfId="0" applyFont="1" applyFill="1" applyBorder="1" applyAlignment="1">
      <alignment horizontal="left"/>
    </xf>
    <xf numFmtId="0" fontId="12" fillId="12" borderId="31" xfId="0" applyFont="1" applyFill="1" applyBorder="1" applyAlignment="1">
      <alignment horizontal="left"/>
    </xf>
    <xf numFmtId="0" fontId="12" fillId="12" borderId="32" xfId="0" applyFont="1" applyFill="1" applyBorder="1" applyAlignment="1">
      <alignment horizontal="left"/>
    </xf>
    <xf numFmtId="0" fontId="11" fillId="12" borderId="26" xfId="0" applyFont="1" applyFill="1" applyBorder="1" applyAlignment="1">
      <alignment horizontal="left" vertical="center"/>
    </xf>
    <xf numFmtId="0" fontId="11" fillId="12" borderId="36" xfId="0" applyFont="1" applyFill="1" applyBorder="1" applyAlignment="1">
      <alignment horizontal="left" vertical="center"/>
    </xf>
    <xf numFmtId="0" fontId="11" fillId="12" borderId="38" xfId="0" applyFont="1" applyFill="1" applyBorder="1" applyAlignment="1">
      <alignment horizontal="left" vertical="center"/>
    </xf>
    <xf numFmtId="0" fontId="11" fillId="12" borderId="45" xfId="0" applyFont="1" applyFill="1" applyBorder="1" applyAlignment="1">
      <alignment horizontal="left" vertical="center"/>
    </xf>
    <xf numFmtId="0" fontId="11" fillId="12" borderId="23" xfId="0" applyFont="1" applyFill="1" applyBorder="1" applyAlignment="1">
      <alignment horizontal="left" vertical="center"/>
    </xf>
    <xf numFmtId="0" fontId="11" fillId="12" borderId="41" xfId="0" applyFont="1" applyFill="1" applyBorder="1" applyAlignment="1">
      <alignment horizontal="left" vertical="center"/>
    </xf>
    <xf numFmtId="0" fontId="11" fillId="12" borderId="42" xfId="0" applyFont="1" applyFill="1" applyBorder="1" applyAlignment="1">
      <alignment horizontal="left" vertical="center"/>
    </xf>
    <xf numFmtId="0" fontId="11" fillId="12" borderId="31" xfId="0" applyFont="1" applyFill="1" applyBorder="1" applyAlignment="1">
      <alignment horizontal="left" vertical="center"/>
    </xf>
    <xf numFmtId="0" fontId="11" fillId="12" borderId="32" xfId="0" applyFont="1" applyFill="1" applyBorder="1" applyAlignment="1">
      <alignment horizontal="left" vertical="center"/>
    </xf>
    <xf numFmtId="0" fontId="11" fillId="12" borderId="39" xfId="0" applyFont="1" applyFill="1" applyBorder="1" applyAlignment="1">
      <alignment horizontal="left" vertical="center"/>
    </xf>
    <xf numFmtId="0" fontId="11" fillId="12" borderId="15" xfId="0" applyFont="1" applyFill="1" applyBorder="1" applyAlignment="1">
      <alignment horizontal="left" vertical="center"/>
    </xf>
    <xf numFmtId="0" fontId="11" fillId="12" borderId="30" xfId="0" applyFont="1" applyFill="1" applyBorder="1" applyAlignment="1">
      <alignment horizontal="left" vertical="center"/>
    </xf>
    <xf numFmtId="0" fontId="12" fillId="12" borderId="29" xfId="0" applyFont="1" applyFill="1" applyBorder="1" applyAlignment="1">
      <alignment horizontal="left"/>
    </xf>
    <xf numFmtId="0" fontId="11" fillId="12" borderId="34" xfId="0" applyFont="1" applyFill="1" applyBorder="1" applyAlignment="1">
      <alignment horizontal="left" vertical="center"/>
    </xf>
    <xf numFmtId="0" fontId="11" fillId="12" borderId="28" xfId="0" applyFont="1" applyFill="1" applyBorder="1" applyAlignment="1">
      <alignment horizontal="left" vertical="center"/>
    </xf>
    <xf numFmtId="0" fontId="11" fillId="12" borderId="29" xfId="0" applyFont="1" applyFill="1" applyBorder="1" applyAlignment="1">
      <alignment horizontal="left" vertical="center"/>
    </xf>
    <xf numFmtId="0" fontId="11" fillId="12" borderId="22" xfId="0" applyFont="1" applyFill="1" applyBorder="1" applyAlignment="1">
      <alignment horizontal="left" vertical="center"/>
    </xf>
    <xf numFmtId="0" fontId="11" fillId="12" borderId="25" xfId="0" applyFont="1" applyFill="1" applyBorder="1" applyAlignment="1">
      <alignment horizontal="left" vertical="center"/>
    </xf>
    <xf numFmtId="0" fontId="11" fillId="12" borderId="33" xfId="0" applyFont="1" applyFill="1" applyBorder="1" applyAlignment="1">
      <alignment horizontal="left" vertical="center"/>
    </xf>
    <xf numFmtId="0" fontId="12" fillId="12" borderId="45" xfId="0" applyFont="1" applyFill="1" applyBorder="1" applyAlignment="1">
      <alignment horizontal="left"/>
    </xf>
    <xf numFmtId="0" fontId="11" fillId="0" borderId="45" xfId="0" applyFont="1" applyBorder="1" applyAlignment="1">
      <alignment horizontal="center" vertical="center" wrapText="1"/>
    </xf>
    <xf numFmtId="0" fontId="11" fillId="0" borderId="51" xfId="0" applyFont="1" applyBorder="1" applyAlignment="1">
      <alignment horizontal="left" vertical="center"/>
    </xf>
    <xf numFmtId="0" fontId="11" fillId="0" borderId="52" xfId="0" applyFont="1" applyBorder="1" applyAlignment="1">
      <alignment horizontal="left" vertical="center"/>
    </xf>
    <xf numFmtId="178" fontId="53" fillId="0" borderId="5" xfId="0" applyNumberFormat="1" applyFont="1" applyBorder="1" applyAlignment="1">
      <alignment horizontal="left" vertical="center"/>
    </xf>
    <xf numFmtId="178" fontId="53" fillId="0" borderId="5" xfId="0" applyNumberFormat="1" applyFont="1" applyBorder="1" applyAlignment="1">
      <alignment horizontal="center" vertical="center"/>
    </xf>
    <xf numFmtId="178" fontId="53" fillId="0" borderId="6" xfId="0" applyNumberFormat="1" applyFont="1" applyBorder="1" applyAlignment="1">
      <alignment horizontal="center" vertical="center"/>
    </xf>
    <xf numFmtId="178" fontId="53" fillId="0" borderId="4" xfId="0" applyNumberFormat="1" applyFont="1" applyBorder="1" applyAlignment="1">
      <alignment horizontal="right" vertical="center"/>
    </xf>
    <xf numFmtId="178" fontId="53" fillId="0" borderId="5" xfId="0" applyNumberFormat="1" applyFont="1" applyBorder="1" applyAlignment="1">
      <alignment horizontal="right" vertical="center"/>
    </xf>
    <xf numFmtId="178" fontId="11" fillId="0" borderId="5" xfId="0" applyNumberFormat="1" applyFont="1" applyBorder="1" applyAlignment="1">
      <alignment horizontal="center" vertical="center"/>
    </xf>
    <xf numFmtId="178" fontId="11" fillId="0" borderId="6" xfId="0" applyNumberFormat="1" applyFont="1" applyBorder="1" applyAlignment="1">
      <alignment horizontal="center" vertical="center"/>
    </xf>
    <xf numFmtId="0" fontId="5" fillId="0" borderId="0" xfId="0" applyNumberFormat="1" applyFont="1">
      <alignment vertical="center"/>
    </xf>
    <xf numFmtId="0" fontId="45" fillId="15" borderId="0" xfId="0" applyFont="1" applyFill="1" applyBorder="1" applyAlignment="1">
      <alignment horizontal="left" vertical="center" shrinkToFit="1"/>
    </xf>
    <xf numFmtId="0" fontId="46" fillId="16" borderId="0" xfId="0" applyFont="1" applyFill="1" applyBorder="1" applyAlignment="1">
      <alignment horizontal="left" vertical="center" shrinkToFit="1"/>
    </xf>
    <xf numFmtId="0" fontId="46" fillId="19" borderId="0" xfId="0" applyFont="1" applyFill="1" applyBorder="1" applyAlignment="1">
      <alignment horizontal="left" vertical="center" shrinkToFit="1"/>
    </xf>
  </cellXfs>
  <cellStyles count="4">
    <cellStyle name="Hipervínculo" xfId="2" builtinId="8"/>
    <cellStyle name="Normal" xfId="0" builtinId="0"/>
    <cellStyle name="標準 2" xfId="1" xr:uid="{00000000-0005-0000-0000-000002000000}"/>
    <cellStyle name="標準 2 2" xfId="3" xr:uid="{B8ED6126-CE46-4570-A6E9-DB48BC5A9B2D}"/>
  </cellStyles>
  <dxfs count="123">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182" formatCode="yyyy/mm/dd"/>
    </dxf>
    <dxf>
      <font>
        <strike val="0"/>
        <outline val="0"/>
        <shadow val="0"/>
        <u val="none"/>
        <vertAlign val="baseline"/>
        <name val="游明朝"/>
        <family val="1"/>
        <charset val="128"/>
        <scheme val="none"/>
      </font>
      <numFmt numFmtId="182" formatCode="yyyy/mm/dd"/>
    </dxf>
    <dxf>
      <font>
        <strike val="0"/>
        <outline val="0"/>
        <shadow val="0"/>
        <u val="none"/>
        <vertAlign val="baseline"/>
        <name val="游明朝"/>
        <family val="1"/>
        <charset val="128"/>
        <scheme val="none"/>
      </font>
      <numFmt numFmtId="182" formatCode="yyyy/mm/dd"/>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182" formatCode="yyyy/mm/dd"/>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ill>
        <patternFill>
          <bgColor rgb="FFFF0000"/>
        </patternFill>
      </fill>
    </dxf>
    <dxf>
      <font>
        <color theme="0"/>
      </font>
    </dxf>
    <dxf>
      <fill>
        <patternFill>
          <bgColor rgb="FFFF0000"/>
        </patternFill>
      </fill>
    </dxf>
    <dxf>
      <fill>
        <patternFill>
          <bgColor rgb="FFFF0000"/>
        </patternFill>
      </fill>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明朝"/>
        <family val="1"/>
        <charset val="128"/>
        <scheme val="none"/>
      </font>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明朝"/>
        <family val="1"/>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9"/>
        <color auto="1"/>
        <name val="游明朝"/>
        <family val="1"/>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Medium"/>
        <family val="3"/>
        <charset val="128"/>
        <scheme val="none"/>
      </font>
      <numFmt numFmtId="177" formatCode="&quot;¥&quot;#,##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Medium"/>
        <family val="3"/>
        <charset val="128"/>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Medium"/>
        <family val="3"/>
        <charset val="128"/>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Medium"/>
        <family val="3"/>
        <charset val="128"/>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Medium"/>
        <family val="3"/>
        <charset val="128"/>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Medium"/>
        <family val="3"/>
        <charset val="128"/>
        <scheme val="none"/>
      </font>
      <numFmt numFmtId="178" formatCode="yyyy&quot;年&quot;m&quot;月&quot;d&quot;日&quot;;@"/>
      <fill>
        <patternFill patternType="solid">
          <fgColor indexed="64"/>
          <bgColor theme="9" tint="0.7999816888943144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游ゴシック Medium"/>
        <family val="3"/>
        <charset val="128"/>
        <scheme val="none"/>
      </font>
      <numFmt numFmtId="178" formatCode="yyyy&quot;年&quot;m&quot;月&quot;d&quot;日&quot;;@"/>
      <fill>
        <patternFill patternType="solid">
          <fgColor indexed="64"/>
          <bgColor theme="3" tint="0.7999816888943144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游ゴシック Medium"/>
        <family val="3"/>
        <charset val="128"/>
        <scheme val="none"/>
      </font>
      <fill>
        <patternFill patternType="solid">
          <fgColor indexed="64"/>
          <bgColor theme="8" tint="0.7999816888943144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Medium"/>
        <family val="3"/>
        <charset val="128"/>
        <scheme val="none"/>
      </font>
      <fill>
        <patternFill patternType="solid">
          <fgColor indexed="64"/>
          <bgColor theme="8" tint="0.7999816888943144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Medium"/>
        <family val="3"/>
        <charset val="128"/>
        <scheme val="none"/>
      </font>
      <fill>
        <patternFill patternType="solid">
          <fgColor indexed="64"/>
          <bgColor theme="8" tint="0.79998168889431442"/>
        </patternFill>
      </fill>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Medium"/>
        <family val="3"/>
        <charset val="128"/>
        <scheme val="none"/>
      </font>
    </dxf>
    <dxf>
      <border outline="0">
        <bottom style="thin">
          <color indexed="64"/>
        </bottom>
      </border>
    </dxf>
    <dxf>
      <font>
        <b val="0"/>
        <i val="0"/>
        <strike val="0"/>
        <condense val="0"/>
        <extend val="0"/>
        <outline val="0"/>
        <shadow val="0"/>
        <u val="none"/>
        <vertAlign val="baseline"/>
        <sz val="11"/>
        <color theme="1"/>
        <name val="游ゴシック Medium"/>
        <family val="3"/>
        <charset val="128"/>
        <scheme val="none"/>
      </font>
      <fill>
        <patternFill patternType="solid">
          <fgColor indexed="64"/>
          <bgColor theme="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HGS明朝B"/>
        <family val="1"/>
        <charset val="128"/>
        <scheme val="none"/>
      </font>
      <numFmt numFmtId="187" formatCode="&quot;¥&quot;#,##0_);\(&quot;¥&quot;#,##0\)"/>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185" formatCode="0.000"/>
    </dxf>
    <dxf>
      <font>
        <b val="0"/>
        <i val="0"/>
        <strike val="0"/>
        <condense val="0"/>
        <extend val="0"/>
        <outline val="0"/>
        <shadow val="0"/>
        <u val="none"/>
        <vertAlign val="baseline"/>
        <sz val="11"/>
        <color theme="1"/>
        <name val="HGS明朝B"/>
        <family val="1"/>
        <charset val="128"/>
        <scheme val="none"/>
      </font>
      <numFmt numFmtId="176" formatCode="[$-F800]dddd\,\ mmmm\ dd\,\ yyyy"/>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alignment horizontal="center" vertical="center" textRotation="0" wrapText="0" indent="0" justifyLastLine="0" shrinkToFit="0" readingOrder="0"/>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s>
  <tableStyles count="1" defaultTableStyle="TableStyleMedium2" defaultPivotStyle="PivotStyleLight16">
    <tableStyle name="Estilo de tabla 1" pivot="0" count="0" xr9:uid="{186E644E-CAC2-4CEC-9657-A93E26073D6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11</xdr:row>
          <xdr:rowOff>19050</xdr:rowOff>
        </xdr:from>
        <xdr:to>
          <xdr:col>16</xdr:col>
          <xdr:colOff>123825</xdr:colOff>
          <xdr:row>13</xdr:row>
          <xdr:rowOff>9525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限定なし</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76200</xdr:colOff>
          <xdr:row>13</xdr:row>
          <xdr:rowOff>0</xdr:rowOff>
        </xdr:from>
        <xdr:to>
          <xdr:col>12</xdr:col>
          <xdr:colOff>57150</xdr:colOff>
          <xdr:row>14</xdr:row>
          <xdr:rowOff>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付与される権限なし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0</xdr:rowOff>
        </xdr:from>
        <xdr:to>
          <xdr:col>19</xdr:col>
          <xdr:colOff>114300</xdr:colOff>
          <xdr:row>14</xdr:row>
          <xdr:rowOff>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付与される権限あり</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0</xdr:rowOff>
        </xdr:from>
        <xdr:to>
          <xdr:col>14</xdr:col>
          <xdr:colOff>0</xdr:colOff>
          <xdr:row>13</xdr:row>
          <xdr:rowOff>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協定対象派遣労働者に限定</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10</xdr:row>
          <xdr:rowOff>114300</xdr:rowOff>
        </xdr:from>
        <xdr:to>
          <xdr:col>31</xdr:col>
          <xdr:colOff>847725</xdr:colOff>
          <xdr:row>12</xdr:row>
          <xdr:rowOff>104775</xdr:rowOff>
        </xdr:to>
        <xdr:sp macro="" textlink="">
          <xdr:nvSpPr>
            <xdr:cNvPr id="9226" name="Imprimir"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114300</xdr:colOff>
          <xdr:row>4</xdr:row>
          <xdr:rowOff>0</xdr:rowOff>
        </xdr:from>
        <xdr:to>
          <xdr:col>49</xdr:col>
          <xdr:colOff>57150</xdr:colOff>
          <xdr:row>6</xdr:row>
          <xdr:rowOff>104775</xdr:rowOff>
        </xdr:to>
        <xdr:sp macro="" textlink="">
          <xdr:nvSpPr>
            <xdr:cNvPr id="11266" name="CommandButton1"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114300</xdr:colOff>
          <xdr:row>4</xdr:row>
          <xdr:rowOff>0</xdr:rowOff>
        </xdr:from>
        <xdr:to>
          <xdr:col>49</xdr:col>
          <xdr:colOff>57150</xdr:colOff>
          <xdr:row>6</xdr:row>
          <xdr:rowOff>104775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fairburyjeffsorg-my.sharepoint.com/personal/kf20438_office-365_cc/Documents/&#12487;&#12473;&#12463;&#12488;&#12483;&#12503;/Laboratori&#20491;&#21029;&#22865;&#32004;&#26360;/&#20491;&#21029;&#22865;&#32004;KoritsuXcelJp/&#12467;&#12540;&#12522;&#12484;&#20491;&#21029;&#22865;&#32004;&#12475;&#12483;&#12488;&#31561;22&#24180;9&#26376;-12&#263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派遣先責任者 指揮命令者"/>
      <sheetName val="DBGenzai"/>
      <sheetName val="データ連携"/>
      <sheetName val="IDKoritsu"/>
      <sheetName val="契約日付確認"/>
      <sheetName val="労働者派遣個別契約書"/>
      <sheetName val="派遣先管理台帳 "/>
      <sheetName val="派遣先通知書"/>
      <sheetName val="派遣元"/>
    </sheetNames>
    <sheetDataSet>
      <sheetData sheetId="0">
        <row r="2">
          <cell r="AM2">
            <v>44287</v>
          </cell>
        </row>
        <row r="3">
          <cell r="AM3">
            <v>44470</v>
          </cell>
        </row>
        <row r="4">
          <cell r="AM4">
            <v>44652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8EE8E4AC-FE9F-48EE-9C89-8C6E9124AD14}" autoFormatId="20" applyNumberFormats="0" applyBorderFormats="0" applyFontFormats="0" applyPatternFormats="0" applyAlignmentFormats="0" applyWidthHeightFormats="0">
  <queryTableRefresh nextId="48">
    <queryTableFields count="40">
      <queryTableField id="1" name="現在" tableColumnId="1"/>
      <queryTableField id="2" name="社員№" tableColumnId="2"/>
      <queryTableField id="3" name="派遣先ID" tableColumnId="3"/>
      <queryTableField id="4" name="派遣先" tableColumnId="4"/>
      <queryTableField id="5" name="配属先" tableColumnId="5"/>
      <queryTableField id="35" name="配属ライン" tableColumnId="35"/>
      <queryTableField id="46" name="仕事内容" tableColumnId="40"/>
      <queryTableField id="6" name="氏名" tableColumnId="6"/>
      <queryTableField id="7" name="カナ" tableColumnId="7"/>
      <queryTableField id="8" name="性別" tableColumnId="8"/>
      <queryTableField id="9" name="国籍" tableColumnId="9"/>
      <queryTableField id="10" name="生年月日" tableColumnId="10"/>
      <queryTableField id="11" name="年齢" tableColumnId="11"/>
      <queryTableField id="12" name="時給" tableColumnId="12"/>
      <queryTableField id="13" name="時給改定" tableColumnId="13"/>
      <queryTableField id="14" name="請求単価" tableColumnId="14"/>
      <queryTableField id="15" name="請求改定" tableColumnId="15"/>
      <queryTableField id="16" name="差額利益" tableColumnId="16"/>
      <queryTableField id="38" name="標準報酬" tableColumnId="36"/>
      <queryTableField id="39" name="健康保険" tableColumnId="37"/>
      <queryTableField id="40" name="介護保険" tableColumnId="38"/>
      <queryTableField id="41" name="厚生年金" tableColumnId="39"/>
      <queryTableField id="17" name="ビザ期限" tableColumnId="17"/>
      <queryTableField id="18" name="ｱﾗｰﾄ(ﾋﾞｻﾞ更新)" tableColumnId="18"/>
      <queryTableField id="19" name="ビザ種類" tableColumnId="19"/>
      <queryTableField id="20" name="〒" tableColumnId="20"/>
      <queryTableField id="21" name="住所" tableColumnId="21"/>
      <queryTableField id="22" name="ｱﾊﾟｰﾄ" tableColumnId="22"/>
      <queryTableField id="23" name="入居" tableColumnId="23"/>
      <queryTableField id="24" name="入社日" tableColumnId="24"/>
      <queryTableField id="25" name="退社日" tableColumnId="25"/>
      <queryTableField id="26" name="退去" tableColumnId="26"/>
      <queryTableField id="27" name="社保加入" tableColumnId="27"/>
      <queryTableField id="28" name="口座名義" tableColumnId="28"/>
      <queryTableField id="29" name="銀行名" tableColumnId="29"/>
      <queryTableField id="30" name="支店番号" tableColumnId="30"/>
      <queryTableField id="31" name="支店名" tableColumnId="31"/>
      <queryTableField id="32" name="口座番号" tableColumnId="32"/>
      <queryTableField id="33" name="入社依頼" tableColumnId="33"/>
      <queryTableField id="34" name="備考" tableColumnId="3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6515AA-AD48-42EB-9D15-983C962A24B4}" name="DBGenzai" displayName="DBGenzai" ref="A1:AN709" tableType="queryTable" totalsRowShown="0" headerRowDxfId="122" dataDxfId="121">
  <autoFilter ref="A1:AN709" xr:uid="{716515AA-AD48-42EB-9D15-983C962A24B4}">
    <filterColumn colId="0">
      <filters>
        <filter val="在職中"/>
      </filters>
    </filterColumn>
    <filterColumn colId="3">
      <filters>
        <filter val="高雄工業 海南第一"/>
        <filter val="高雄工業 海南第二"/>
        <filter val="高雄工業 静岡"/>
        <filter val="高雄工業 本社"/>
      </filters>
    </filterColumn>
  </autoFilter>
  <sortState xmlns:xlrd2="http://schemas.microsoft.com/office/spreadsheetml/2017/richdata2" ref="A2:AN709">
    <sortCondition ref="C1:C709"/>
  </sortState>
  <tableColumns count="40">
    <tableColumn id="1" xr3:uid="{373E8AFA-BEB4-4A93-A57C-D662C4ECEF83}" uniqueName="1" name="現在" queryTableFieldId="1" dataDxfId="33"/>
    <tableColumn id="2" xr3:uid="{10AA7B44-B6AF-4C32-9BBC-F83191515B74}" uniqueName="2" name="社員№" queryTableFieldId="2" dataDxfId="32"/>
    <tableColumn id="3" xr3:uid="{423DAB9B-0C60-4223-81FB-68D2CE6CEF26}" uniqueName="3" name="派遣先ID" queryTableFieldId="3" dataDxfId="31"/>
    <tableColumn id="4" xr3:uid="{80ED6C1A-8FB8-44B6-B296-BD3F2900FAE7}" uniqueName="4" name="派遣先" queryTableFieldId="4" dataDxfId="30"/>
    <tableColumn id="5" xr3:uid="{70B6CFE3-806D-43C5-9EC7-B34A37DFC9BD}" uniqueName="5" name="配属先" queryTableFieldId="5" dataDxfId="29"/>
    <tableColumn id="35" xr3:uid="{E83C365D-4824-44B2-B762-5BD948301C65}" uniqueName="35" name="配属ライン" queryTableFieldId="35"/>
    <tableColumn id="40" xr3:uid="{4334E779-11CF-428D-BCD9-EA310558060A}" uniqueName="40" name="仕事内容" queryTableFieldId="46"/>
    <tableColumn id="6" xr3:uid="{A3B6E8B4-981A-4A3B-8337-2A4D75EF0620}" uniqueName="6" name="氏名" queryTableFieldId="6" dataDxfId="28"/>
    <tableColumn id="7" xr3:uid="{D7E58A20-BDBA-4C2C-95D2-6208E5E80A9A}" uniqueName="7" name="カナ" queryTableFieldId="7" dataDxfId="27"/>
    <tableColumn id="8" xr3:uid="{1EEEB3B1-5724-4ADB-A537-08256F95E3CA}" uniqueName="8" name="性別" queryTableFieldId="8" dataDxfId="26"/>
    <tableColumn id="9" xr3:uid="{7D3C8F74-464A-4879-BDD1-D9E1E1772F9E}" uniqueName="9" name="国籍" queryTableFieldId="9" dataDxfId="25"/>
    <tableColumn id="10" xr3:uid="{21F0D5AB-F6AC-4741-94F7-543C53FB69FC}" uniqueName="10" name="生年月日" queryTableFieldId="10" dataDxfId="24"/>
    <tableColumn id="11" xr3:uid="{CFBE6883-5DDD-4B78-B222-137CCAF210A3}" uniqueName="11" name="年齢" queryTableFieldId="11" dataDxfId="23"/>
    <tableColumn id="12" xr3:uid="{7A24B9BF-1304-4093-8A50-9F4520F8F4DC}" uniqueName="12" name="時給" queryTableFieldId="12" dataDxfId="22"/>
    <tableColumn id="13" xr3:uid="{FC3BCBE0-CDC8-42A8-9D9B-D1424788A0DC}" uniqueName="13" name="時給改定" queryTableFieldId="13" dataDxfId="21"/>
    <tableColumn id="14" xr3:uid="{B97F3193-6A62-4467-8DC6-E46CB6074235}" uniqueName="14" name="請求単価" queryTableFieldId="14" dataDxfId="20"/>
    <tableColumn id="15" xr3:uid="{4CC9244E-C796-4511-A1E8-EEE9F9BB31AC}" uniqueName="15" name="請求改定" queryTableFieldId="15" dataDxfId="19"/>
    <tableColumn id="16" xr3:uid="{0932FD57-6A44-48A2-8683-AE2CB1919992}" uniqueName="16" name="差額利益" queryTableFieldId="16" dataDxfId="18"/>
    <tableColumn id="36" xr3:uid="{7D2CE4AB-075D-4A8A-BD13-19013EA20299}" uniqueName="36" name="標準報酬" queryTableFieldId="38"/>
    <tableColumn id="37" xr3:uid="{E0AC03DD-D4DC-436E-B81D-6FF902882717}" uniqueName="37" name="健康保険" queryTableFieldId="39"/>
    <tableColumn id="38" xr3:uid="{0A059548-C6ED-4571-B3F3-668A8AC616C1}" uniqueName="38" name="介護保険" queryTableFieldId="40"/>
    <tableColumn id="39" xr3:uid="{D12B13F2-B894-4D72-A349-7CEC7AAD66B3}" uniqueName="39" name="厚生年金" queryTableFieldId="41"/>
    <tableColumn id="17" xr3:uid="{BB67E685-24A2-41DC-A95B-891A7EF88609}" uniqueName="17" name="ビザ期限" queryTableFieldId="17" dataDxfId="17"/>
    <tableColumn id="18" xr3:uid="{8EE07767-BBA0-4E6B-863D-103CD64655AA}" uniqueName="18" name="ｱﾗｰﾄ(ﾋﾞｻﾞ更新)" queryTableFieldId="18" dataDxfId="16"/>
    <tableColumn id="19" xr3:uid="{AA575F33-8295-4FCF-8450-3417C1ABDDF2}" uniqueName="19" name="ビザ種類" queryTableFieldId="19" dataDxfId="15"/>
    <tableColumn id="20" xr3:uid="{EB8AA645-0064-4647-8022-603E494A2258}" uniqueName="20" name="〒" queryTableFieldId="20" dataDxfId="14"/>
    <tableColumn id="21" xr3:uid="{5B153002-76DE-4E5B-865F-F4CC001A9BC8}" uniqueName="21" name="住所" queryTableFieldId="21" dataDxfId="13"/>
    <tableColumn id="22" xr3:uid="{AB3AF698-54ED-4E11-AF9B-0BFCB1C60EEC}" uniqueName="22" name="ｱﾊﾟｰﾄ" queryTableFieldId="22" dataDxfId="12"/>
    <tableColumn id="23" xr3:uid="{85DA3633-C480-48AF-9087-234402E6D371}" uniqueName="23" name="入居" queryTableFieldId="23" dataDxfId="11"/>
    <tableColumn id="24" xr3:uid="{61EEB9CA-28A5-4202-BCD0-9B8FFF94E748}" uniqueName="24" name="入社日" queryTableFieldId="24" dataDxfId="10"/>
    <tableColumn id="25" xr3:uid="{B30B9E6F-FD49-44D2-BACE-1F50D9B126A2}" uniqueName="25" name="退社日" queryTableFieldId="25" dataDxfId="9"/>
    <tableColumn id="26" xr3:uid="{0C3E4852-052C-48CE-B01B-A751D5F57D0C}" uniqueName="26" name="退去" queryTableFieldId="26" dataDxfId="8"/>
    <tableColumn id="27" xr3:uid="{2F5472CA-88BB-40F8-B730-6D6DE16FF521}" uniqueName="27" name="社保加入" queryTableFieldId="27" dataDxfId="7"/>
    <tableColumn id="28" xr3:uid="{8F9812B6-E664-4BE9-8BCD-19B71B20E94D}" uniqueName="28" name="口座名義" queryTableFieldId="28" dataDxfId="6"/>
    <tableColumn id="29" xr3:uid="{AC66DCC3-98DF-4A72-9628-38511BF1EE92}" uniqueName="29" name="銀行名" queryTableFieldId="29" dataDxfId="5"/>
    <tableColumn id="30" xr3:uid="{15D43592-59B3-4611-A9A6-BE58246E1386}" uniqueName="30" name="支店番号" queryTableFieldId="30" dataDxfId="4"/>
    <tableColumn id="31" xr3:uid="{8A806E30-C1B2-4A8E-A2C9-E9527D890112}" uniqueName="31" name="支店名" queryTableFieldId="31" dataDxfId="3"/>
    <tableColumn id="32" xr3:uid="{2C1FF6CD-D48C-4D64-BE8F-0238CFAA4AC0}" uniqueName="32" name="口座番号" queryTableFieldId="32" dataDxfId="2"/>
    <tableColumn id="33" xr3:uid="{C591B18C-457C-415F-9834-9B783C52A65C}" uniqueName="33" name="入社依頼" queryTableFieldId="33" dataDxfId="1"/>
    <tableColumn id="34" xr3:uid="{AD81329F-8FE5-4E74-BFD4-F206F06E2951}" uniqueName="34" name="備考" queryTableFieldId="34"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5C740A-09B4-4B60-95AF-DB81CF590BAE}" name="TablaTransfor" displayName="TablaTransfor" ref="B2:AF159" totalsRowShown="0" headerRowDxfId="120" dataDxfId="119">
  <autoFilter ref="B2:AF159" xr:uid="{F25C740A-09B4-4B60-95AF-DB81CF590BAE}">
    <filterColumn colId="2">
      <filters>
        <filter val="在職中"/>
      </filters>
    </filterColumn>
  </autoFilter>
  <sortState xmlns:xlrd2="http://schemas.microsoft.com/office/spreadsheetml/2017/richdata2" ref="B9:AF61">
    <sortCondition ref="W2:W159"/>
  </sortState>
  <tableColumns count="31">
    <tableColumn id="1" xr3:uid="{5B08BFD2-1344-470A-96E9-458CB84E70AA}" name="№" dataDxfId="118"/>
    <tableColumn id="2" xr3:uid="{37FBF9B6-E340-43CC-A36B-5CFBCE75DD4E}" name="社員№" dataDxfId="117">
      <calculatedColumnFormula>_xlfn.XLOOKUP($F$1&amp;B3,Filtro!B:B,Filtro!D:D,"",0,1)</calculatedColumnFormula>
    </tableColumn>
    <tableColumn id="3" xr3:uid="{A84A1A9F-E9E7-49C0-86A9-2B97BBB0AC38}" name="現在" dataDxfId="116">
      <calculatedColumnFormula>_xlfn.XLOOKUP(C3,DBGenzai[社員№],DBGenzai[現在],"",0,1)</calculatedColumnFormula>
    </tableColumn>
    <tableColumn id="4" xr3:uid="{B6E87202-D2D5-4820-8478-917E0E91FA56}" name="派遣先ID" dataDxfId="115">
      <calculatedColumnFormula>_xlfn.XLOOKUP($C3,DBGenzai[社員№],DBGenzai[派遣先ID],"",0,1)</calculatedColumnFormula>
    </tableColumn>
    <tableColumn id="6" xr3:uid="{1079E918-40B2-440D-9237-D8A40350E583}" name="配属先" dataDxfId="114">
      <calculatedColumnFormula>_xlfn.XLOOKUP($C3,DBGenzai[社員№],DBGenzai[配属先],"",0,1)</calculatedColumnFormula>
    </tableColumn>
    <tableColumn id="5" xr3:uid="{B0FB4BD1-0D00-4107-A428-83A055D3A640}" name="Columna1" dataDxfId="113">
      <calculatedColumnFormula>MID(TablaTransfor[[#This Row],[配属先]],1,8)</calculatedColumnFormula>
    </tableColumn>
    <tableColumn id="21" xr3:uid="{6EBB27A7-2678-414E-83C0-4F5D4B4D30CA}" name="Columna2" dataDxfId="112">
      <calculatedColumnFormula>MID(TablaTransfor[[#This Row],[配属先]],9,6)</calculatedColumnFormula>
    </tableColumn>
    <tableColumn id="24" xr3:uid="{9C13F905-5FAE-4E53-A775-F95FA4F9A633}" name="Columna3" dataDxfId="111">
      <calculatedColumnFormula>MID(TablaTransfor[[#This Row],[配属先]],15,12)</calculatedColumnFormula>
    </tableColumn>
    <tableColumn id="25" xr3:uid="{06DCCDCF-0181-41AA-9498-95B10AFA9ED5}" name="ライン" dataDxfId="110">
      <calculatedColumnFormula>_xlfn.XLOOKUP($C3,DBGenzai[社員№],DBGenzai[配属ライン],"",0,1)</calculatedColumnFormula>
    </tableColumn>
    <tableColumn id="7" xr3:uid="{93D01BAA-7BD1-487E-991D-57230DA8480E}" name="氏名" dataDxfId="109">
      <calculatedColumnFormula>_xlfn.XLOOKUP($C3,DBGenzai[社員№],DBGenzai[氏名],"",0,1)</calculatedColumnFormula>
    </tableColumn>
    <tableColumn id="8" xr3:uid="{F44536C3-0498-4B1C-8A37-DC349E951640}" name="カナ" dataDxfId="108">
      <calculatedColumnFormula>_xlfn.XLOOKUP($C3,DBGenzai[社員№],DBGenzai[カナ],"",0,1)</calculatedColumnFormula>
    </tableColumn>
    <tableColumn id="9" xr3:uid="{220BC3E5-CC2C-45D8-A41F-9D51D6E913DF}" name="性別" dataDxfId="107">
      <calculatedColumnFormula>_xlfn.XLOOKUP($C3,DBGenzai[社員№],DBGenzai[性別],"",0,1)</calculatedColumnFormula>
    </tableColumn>
    <tableColumn id="10" xr3:uid="{BB453834-37D2-4599-8CD1-E7EFA30886A4}" name="国籍" dataDxfId="106">
      <calculatedColumnFormula>_xlfn.XLOOKUP($C3,DBGenzai[社員№],DBGenzai[国籍],"",0,1)</calculatedColumnFormula>
    </tableColumn>
    <tableColumn id="11" xr3:uid="{8D0DEF9E-E42F-4A9A-A7CF-C23C74124B0F}" name="生年月日" dataDxfId="105">
      <calculatedColumnFormula>_xlfn.XLOOKUP($C3,DBGenzai[社員№],DBGenzai[生年月日],"",0,1)</calculatedColumnFormula>
    </tableColumn>
    <tableColumn id="12" xr3:uid="{69167C42-F294-4970-80C4-030B73DF5119}" name="年齢" dataDxfId="104">
      <calculatedColumnFormula>_xlfn.XLOOKUP($C3,DBGenzai[社員№],DBGenzai[年齢],"",0,1)</calculatedColumnFormula>
    </tableColumn>
    <tableColumn id="13" xr3:uid="{3540F52A-E0FF-4A69-8151-F18A42743D69}" name="時給" dataDxfId="103">
      <calculatedColumnFormula>_xlfn.XLOOKUP($C3,DBGenzai[社員№],DBGenzai[時給],"",0,1)</calculatedColumnFormula>
    </tableColumn>
    <tableColumn id="26" xr3:uid="{0C82AB72-5475-4BCB-8A47-8215D5C8F3A4}" name="単価" dataDxfId="102">
      <calculatedColumnFormula>_xlfn.XLOOKUP($C3,DBGenzai[社員№],DBGenzai[請求単価],"",0,1)</calculatedColumnFormula>
    </tableColumn>
    <tableColumn id="14" xr3:uid="{F95F7E9D-8BF2-41C3-91EF-0F77C0D286E4}" name="〒" dataDxfId="101">
      <calculatedColumnFormula>_xlfn.XLOOKUP($C3,DBGenzai[社員№],DBGenzai[〒],"",0,1)</calculatedColumnFormula>
    </tableColumn>
    <tableColumn id="15" xr3:uid="{C438FF0F-6029-45E8-BD68-9E534BC3797A}" name="住所" dataDxfId="100">
      <calculatedColumnFormula>_xlfn.XLOOKUP($C3,DBGenzai[社員№],DBGenzai[住所],"",0,1)</calculatedColumnFormula>
    </tableColumn>
    <tableColumn id="16" xr3:uid="{89B3A2BC-6AF8-483C-8B61-680EAB3295A3}" name="ｱﾊﾟｰﾄ" dataDxfId="99">
      <calculatedColumnFormula>_xlfn.XLOOKUP($C3,DBGenzai[社員№],DBGenzai[ｱﾊﾟｰﾄ],"",0,1)</calculatedColumnFormula>
    </tableColumn>
    <tableColumn id="17" xr3:uid="{B16AAE90-CE72-4506-A155-1D599D07EEB0}" name="入居" dataDxfId="98">
      <calculatedColumnFormula>_xlfn.XLOOKUP($C3,DBGenzai[社員№],DBGenzai[入居],"",0,1)</calculatedColumnFormula>
    </tableColumn>
    <tableColumn id="18" xr3:uid="{6E597D23-ABFF-4D2E-A8EC-F978E4825D49}" name="入社日" dataDxfId="97">
      <calculatedColumnFormula>_xlfn.XLOOKUP($C3,DBGenzai[社員№],DBGenzai[入社日],"",0,1)</calculatedColumnFormula>
    </tableColumn>
    <tableColumn id="19" xr3:uid="{2CD8C1B2-70D3-4714-B9C5-54894424C5E9}" name="退社日" dataDxfId="96">
      <calculatedColumnFormula>_xlfn.XLOOKUP($C3,DBGenzai[社員№],DBGenzai[退社日],"",0,1)</calculatedColumnFormula>
    </tableColumn>
    <tableColumn id="20" xr3:uid="{4347BAB6-EF11-4C65-B818-F42E42B45CF4}" name="退去" dataDxfId="95">
      <calculatedColumnFormula>_xlfn.XLOOKUP($C3,DBGenzai[社員№],DBGenzai[退去],"",0,1)</calculatedColumnFormula>
    </tableColumn>
    <tableColumn id="23" xr3:uid="{E9C09D82-24EF-4B39-A079-EA3ECC08AD1C}" name="備考" dataDxfId="94">
      <calculatedColumnFormula>_xlfn.XLOOKUP($C3,DBGenzai[社員№],DBGenzai[備考],"",0,1)</calculatedColumnFormula>
    </tableColumn>
    <tableColumn id="22" xr3:uid="{1FBB9BF7-A454-40AC-AAAC-2875EF6F2B7E}" name="unicos" dataDxfId="93">
      <calculatedColumnFormula>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calculatedColumnFormula>
    </tableColumn>
    <tableColumn id="27" xr3:uid="{C282FE22-B80B-4D46-A4AD-FE59BC6856FF}" name="SACARFECHQA" dataDxfId="92">
      <calculatedColumnFormula>(TablaTransfor[[#This Row],[unicos]]-TablaTransfor[[#This Row],[入社日]])/364</calculatedColumnFormula>
    </tableColumn>
    <tableColumn id="28" xr3:uid="{25A0486E-C03E-4E2F-BBF1-9A228EF6F9B6}" name="内容" dataDxfId="91"/>
    <tableColumn id="29" xr3:uid="{38DD9405-C3AD-41C9-BF57-4B9B2D6A36CD}" name="Robot" dataDxfId="90"/>
    <tableColumn id="30" xr3:uid="{9572337C-64B3-4BBF-8212-A3DD23D92AB0}" name="Desde" dataDxfId="89"/>
    <tableColumn id="31" xr3:uid="{7386FE6A-054C-41EE-9C44-2B7088FE963B}" name="Sueldo" dataDxfId="88">
      <calculatedColumnFormula>_xlfn.XLOOKUP($C3,DBGenzai[社員№],DBGenzai[請求単価],"",0,1)</calculatedColumnFormula>
    </tableColum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36C5CD-82EA-4A6B-B45B-46F420B0985F}" name="KanriDaichou" displayName="KanriDaichou" ref="A1:AE106" totalsRowShown="0" headerRowDxfId="87" dataDxfId="85" headerRowBorderDxfId="86" tableBorderDxfId="84" totalsRowBorderDxfId="83">
  <tableColumns count="31">
    <tableColumn id="1" xr3:uid="{D33F89AE-60C1-4CFD-BFD0-2B70E5956CA4}" name="派遣先事業所" dataDxfId="82"/>
    <tableColumn id="2" xr3:uid="{CE400D57-9905-4BC7-AF95-487FB9416B8D}" name="派遣先事業所住所" dataDxfId="81"/>
    <tableColumn id="3" xr3:uid="{478ED672-E851-4798-9C55-7D734FCB620B}" name="派遣先事業所TEL" dataDxfId="80"/>
    <tableColumn id="4" xr3:uid="{078B342A-A5FC-472F-90F6-BA70A3E7D584}" name="派遣開始日" dataDxfId="79"/>
    <tableColumn id="5" xr3:uid="{2E8C7343-3B99-443B-960E-99F0DB3A2263}" name="抵触日" dataDxfId="78"/>
    <tableColumn id="6" xr3:uid="{973858C6-D52C-4D27-AEE5-DD626091C9F3}" name="就業場所名称" dataDxfId="77"/>
    <tableColumn id="7" xr3:uid="{5306863E-344D-41A0-8BA6-9C3B406A13F5}" name="就業場所住所" dataDxfId="76"/>
    <tableColumn id="8" xr3:uid="{45D82D52-7554-4211-9C27-398EDA963866}" name="就業場所TEL" dataDxfId="75"/>
    <tableColumn id="9" xr3:uid="{1C10777F-B224-4B10-BFAF-5E9CACC4873F}" name="派遣先工場" dataDxfId="74"/>
    <tableColumn id="10" xr3:uid="{813EEC5A-836E-4FF0-BD36-256EC46C5EB9}" name="派遣先責任者役職" dataDxfId="73"/>
    <tableColumn id="11" xr3:uid="{041AEC2C-487A-41DC-9962-30392DCF7776}" name="派遣先責任者" dataDxfId="72"/>
    <tableColumn id="12" xr3:uid="{9FD84E0A-D461-41B4-B8B9-5070C47B2801}" name="製作課" dataDxfId="71"/>
    <tableColumn id="13" xr3:uid="{51B1B45B-9EC5-46B8-9BE6-A2B8210E471D}" name="指示命令者役職" dataDxfId="70"/>
    <tableColumn id="14" xr3:uid="{C34F9572-6CEA-44EE-A89D-B5B66E137D55}" name="指示命令者" dataDxfId="69"/>
    <tableColumn id="15" xr3:uid="{1669E91A-C238-44A1-B25B-A023BD16BDC6}" name="配属係" dataDxfId="68"/>
    <tableColumn id="16" xr3:uid="{6EF2FF35-9932-4277-8323-5083A21DF289}" name="職務分類" dataDxfId="67"/>
    <tableColumn id="17" xr3:uid="{8ABBE895-837A-4F6B-AD2C-2966C59C34A0}" name="具体的な仕事内容" dataDxfId="66"/>
    <tableColumn id="26" xr3:uid="{E1BFE101-B629-444B-AD64-493862CCB8C4}" name="単価" dataDxfId="65"/>
    <tableColumn id="18" xr3:uid="{72C8A657-1AEE-4E7A-BDAC-23704F64198E}" name="苦情　派遣先（部署)" dataDxfId="64"/>
    <tableColumn id="19" xr3:uid="{339C18AE-9CF1-45DA-83DF-39665142F074}" name="苦情　派遣先（役職)" dataDxfId="63"/>
    <tableColumn id="20" xr3:uid="{B903B4BE-CA34-4029-9A90-22CDB0170228}" name="苦情　派遣先（氏名)" dataDxfId="62"/>
    <tableColumn id="21" xr3:uid="{A639467D-19C6-427E-BF0B-4F84F21C934D}" name="苦情　派遣先（電話番号)" dataDxfId="61"/>
    <tableColumn id="22" xr3:uid="{2F0EA10E-D1EF-4D1A-A4E2-CC4CDC2F8BEA}" name="苦情　派遣元（部署)" dataDxfId="60"/>
    <tableColumn id="23" xr3:uid="{7FC8E8F3-D72D-44AF-B73B-11FA612919A8}" name="苦情　派遣元（役職)" dataDxfId="59"/>
    <tableColumn id="27" xr3:uid="{4232A7B1-30F0-407F-9D4B-8C8D245B2CB2}" name="苦情　派遣元（氏名)" dataDxfId="58"/>
    <tableColumn id="25" xr3:uid="{270E0C8D-8F51-4F5B-B03B-36B00021C73A}" name="苦情　派遣元（電話番号)" dataDxfId="57"/>
    <tableColumn id="24" xr3:uid="{317568C5-1C75-4F35-9BDC-DAD02E9AA6AD}" name="就業時間" dataDxfId="56"/>
    <tableColumn id="28" xr3:uid="{7C2A907E-405B-4D38-BE3F-1AAC74B0871E}" name="休憩時間" dataDxfId="55"/>
    <tableColumn id="29" xr3:uid="{6A352FAA-0C49-4F98-A653-B5443ED5E46C}" name="派遣料金" dataDxfId="54"/>
    <tableColumn id="30" xr3:uid="{09EBA22C-AD1B-4155-8086-41B7DDE044BA}" name="DATEIF" dataDxfId="53"/>
    <tableColumn id="31" xr3:uid="{A27A9CF1-8508-4B21-B49E-6F76C5C85578}" name="列1" dataDxfId="52"/>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2EC7A7-1A0C-4165-9CD2-65FEA03BCB66}" name="TablaTsuchichou" displayName="TablaTsuchichou" ref="J8:R57" totalsRowShown="0" headerRowDxfId="51" dataDxfId="49" headerRowBorderDxfId="50" tableBorderDxfId="48" totalsRowBorderDxfId="47" headerRowCellStyle="標準 2" dataCellStyle="標準 2">
  <autoFilter ref="J8:R57" xr:uid="{E12EC7A7-1A0C-4165-9CD2-65FEA03BCB66}"/>
  <tableColumns count="9">
    <tableColumn id="1" xr3:uid="{6EEA6267-2BF8-41E3-BE34-2238009F882A}" name="No" dataDxfId="46">
      <calculatedColumnFormula>IF(K9="","",J8+1)</calculatedColumnFormula>
    </tableColumn>
    <tableColumn id="2" xr3:uid="{B0EC634C-02CD-4547-8DBE-6057A3130A18}" name="氏名" dataDxfId="45">
      <calculatedColumnFormula>_xlfn.XLOOKUP($C9,DBGenzai[社員№],DBGenzai[カナ],"",0,1)</calculatedColumnFormula>
    </tableColumn>
    <tableColumn id="3" xr3:uid="{7599A9AE-DD54-4AE0-BD21-67A517F17D94}" name="性別" dataDxfId="44" dataCellStyle="標準 2">
      <calculatedColumnFormula>_xlfn.XLOOKUP($C9,DBGenzai[社員№],DBGenzai[性別],"",0,1)</calculatedColumnFormula>
    </tableColumn>
    <tableColumn id="4" xr3:uid="{F379310A-2F96-4D7F-8689-3C1B135E1884}" name="年齢" dataDxfId="43" dataCellStyle="標準 2">
      <calculatedColumnFormula>IF(F9="","",IF(F9&lt;=18,"18未満(     )歳",IF(F9&lt;=60,"60歳未満","60歳以上")))</calculatedColumnFormula>
    </tableColumn>
    <tableColumn id="5" xr3:uid="{3BA12313-FCF8-4B61-8F4F-7D52B7247BF0}" name="雇用保険" dataDxfId="42" dataCellStyle="標準 2">
      <calculatedColumnFormula>IF($K9="","","加入")</calculatedColumnFormula>
    </tableColumn>
    <tableColumn id="6" xr3:uid="{1502706C-8E63-438D-9528-2AC72C1933FC}" name="健康保険" dataDxfId="41" dataCellStyle="標準 2">
      <calculatedColumnFormula>IF($K9="","","加入")</calculatedColumnFormula>
    </tableColumn>
    <tableColumn id="7" xr3:uid="{64EBD306-3B86-4673-9066-848C3F3EC0EE}" name="厚生年金保険" dataDxfId="40" dataCellStyle="標準 2">
      <calculatedColumnFormula>IF($K9="","","加入")</calculatedColumnFormula>
    </tableColumn>
    <tableColumn id="8" xr3:uid="{EEAEEEBD-C770-4BDF-9CE8-13E8D59325C8}" name="雇用期間" dataDxfId="39" dataCellStyle="標準 2">
      <calculatedColumnFormula>IF($K9="","","有期雇用（3ヵ月）")</calculatedColumnFormula>
    </tableColumn>
    <tableColumn id="9" xr3:uid="{C3DCA399-BE7A-4831-8B2B-81296F26212F}" name="待遇決定方式" dataDxfId="38" dataCellStyle="標準 2">
      <calculatedColumnFormula>IF($K9="","","協定対象派遣労働者(労使協定式方式)")</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3.emf"/><Relationship Id="rId4" Type="http://schemas.openxmlformats.org/officeDocument/2006/relationships/control" Target="../activeX/activeX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62E79-1FD7-4459-BAA7-A043C4D8C755}">
  <sheetPr codeName="Hoja1">
    <tabColor theme="1"/>
    <pageSetUpPr fitToPage="1"/>
  </sheetPr>
  <dimension ref="A1:AN709"/>
  <sheetViews>
    <sheetView topLeftCell="A313" workbookViewId="0">
      <selection activeCell="E695" sqref="E695"/>
    </sheetView>
  </sheetViews>
  <sheetFormatPr baseColWidth="10" defaultColWidth="11.375" defaultRowHeight="18"/>
  <cols>
    <col min="1" max="1" width="7.75" style="1" bestFit="1" customWidth="1"/>
    <col min="2" max="2" width="9.75" style="1" bestFit="1" customWidth="1"/>
    <col min="3" max="3" width="12.25" style="1" bestFit="1" customWidth="1"/>
    <col min="4" max="4" width="23.5" style="1" bestFit="1" customWidth="1"/>
    <col min="5" max="5" width="49" style="1" bestFit="1" customWidth="1"/>
    <col min="6" max="6" width="29.375" style="1" bestFit="1" customWidth="1"/>
    <col min="7" max="7" width="79.5" style="1" bestFit="1" customWidth="1"/>
    <col min="8" max="8" width="43.25" style="1" bestFit="1" customWidth="1"/>
    <col min="9" max="9" width="7.75" style="1" hidden="1" customWidth="1"/>
    <col min="10" max="10" width="8.5" style="1" hidden="1" customWidth="1"/>
    <col min="11" max="11" width="11.75" style="1" hidden="1" customWidth="1"/>
    <col min="12" max="12" width="7.75" style="1" hidden="1" customWidth="1"/>
    <col min="13" max="13" width="7.75" style="1" bestFit="1" customWidth="1"/>
    <col min="14" max="14" width="62" style="1" hidden="1" customWidth="1"/>
    <col min="15" max="15" width="81" style="1" bestFit="1" customWidth="1"/>
    <col min="16" max="16" width="11.75" style="1" bestFit="1" customWidth="1"/>
    <col min="17" max="17" width="26.25" style="1" bestFit="1" customWidth="1"/>
    <col min="18" max="23" width="11.75" style="1" bestFit="1" customWidth="1"/>
    <col min="24" max="24" width="18.875" style="1" bestFit="1" customWidth="1"/>
    <col min="25" max="25" width="25" style="1" bestFit="1" customWidth="1"/>
    <col min="26" max="26" width="9.25" style="1" bestFit="1" customWidth="1"/>
    <col min="27" max="27" width="53.5" style="1" bestFit="1" customWidth="1"/>
    <col min="28" max="28" width="26.875" style="1" bestFit="1" customWidth="1"/>
    <col min="29" max="29" width="7.75" style="1" bestFit="1" customWidth="1"/>
    <col min="30" max="32" width="11.25" style="1" bestFit="1" customWidth="1"/>
    <col min="33" max="33" width="11.75" style="1" bestFit="1" customWidth="1"/>
    <col min="34" max="34" width="41.375" style="1" bestFit="1" customWidth="1"/>
    <col min="35" max="35" width="18.875" style="1" bestFit="1" customWidth="1"/>
    <col min="36" max="36" width="11.75" style="1" bestFit="1" customWidth="1"/>
    <col min="37" max="37" width="12.75" style="1" bestFit="1" customWidth="1"/>
    <col min="38" max="38" width="16.75" style="1" bestFit="1" customWidth="1"/>
    <col min="39" max="39" width="11.75" style="1" bestFit="1" customWidth="1"/>
    <col min="40" max="40" width="81" style="1" customWidth="1"/>
    <col min="41" max="16384" width="11.375" style="1"/>
  </cols>
  <sheetData>
    <row r="1" spans="1:40">
      <c r="A1" s="1" t="s">
        <v>20</v>
      </c>
      <c r="B1" s="1" t="s">
        <v>21</v>
      </c>
      <c r="C1" s="1" t="s">
        <v>22</v>
      </c>
      <c r="D1" s="1" t="s">
        <v>23</v>
      </c>
      <c r="E1" s="1" t="s">
        <v>24</v>
      </c>
      <c r="F1" s="1" t="s">
        <v>817</v>
      </c>
      <c r="G1" s="1" t="s">
        <v>3037</v>
      </c>
      <c r="H1" s="1" t="s">
        <v>25</v>
      </c>
      <c r="I1" s="1" t="s">
        <v>26</v>
      </c>
      <c r="J1" s="1" t="s">
        <v>27</v>
      </c>
      <c r="K1" s="1" t="s">
        <v>28</v>
      </c>
      <c r="L1" s="1" t="s">
        <v>29</v>
      </c>
      <c r="M1" s="1" t="s">
        <v>30</v>
      </c>
      <c r="N1" s="1" t="s">
        <v>31</v>
      </c>
      <c r="O1" s="1" t="s">
        <v>32</v>
      </c>
      <c r="P1" s="1" t="s">
        <v>33</v>
      </c>
      <c r="Q1" s="1" t="s">
        <v>34</v>
      </c>
      <c r="R1" s="1" t="s">
        <v>35</v>
      </c>
      <c r="S1" s="1" t="s">
        <v>2634</v>
      </c>
      <c r="T1" s="1" t="s">
        <v>2635</v>
      </c>
      <c r="U1" s="1" t="s">
        <v>2636</v>
      </c>
      <c r="V1" s="1" t="s">
        <v>2637</v>
      </c>
      <c r="W1" s="1" t="s">
        <v>36</v>
      </c>
      <c r="X1" s="1" t="s">
        <v>37</v>
      </c>
      <c r="Y1" s="1" t="s">
        <v>38</v>
      </c>
      <c r="Z1" s="1" t="s">
        <v>39</v>
      </c>
      <c r="AA1" s="1" t="s">
        <v>40</v>
      </c>
      <c r="AB1" s="1" t="s">
        <v>41</v>
      </c>
      <c r="AC1" s="1" t="s">
        <v>42</v>
      </c>
      <c r="AD1" s="1" t="s">
        <v>43</v>
      </c>
      <c r="AE1" s="1" t="s">
        <v>44</v>
      </c>
      <c r="AF1" s="1" t="s">
        <v>45</v>
      </c>
      <c r="AG1" s="1" t="s">
        <v>46</v>
      </c>
      <c r="AH1" s="1" t="s">
        <v>47</v>
      </c>
      <c r="AI1" s="1" t="s">
        <v>48</v>
      </c>
      <c r="AJ1" s="1" t="s">
        <v>49</v>
      </c>
      <c r="AK1" s="1" t="s">
        <v>50</v>
      </c>
      <c r="AL1" s="1" t="s">
        <v>51</v>
      </c>
      <c r="AM1" s="1" t="s">
        <v>52</v>
      </c>
      <c r="AN1" s="1" t="s">
        <v>53</v>
      </c>
    </row>
    <row r="2" spans="1:40" hidden="1">
      <c r="A2" s="537" t="s">
        <v>179</v>
      </c>
      <c r="B2" s="1">
        <v>220109</v>
      </c>
      <c r="C2" s="1">
        <v>41</v>
      </c>
      <c r="D2" s="537" t="s">
        <v>2638</v>
      </c>
      <c r="E2" s="537"/>
      <c r="F2"/>
      <c r="G2"/>
      <c r="H2" s="537" t="s">
        <v>468</v>
      </c>
      <c r="I2" s="537" t="s">
        <v>469</v>
      </c>
      <c r="J2" s="537" t="s">
        <v>18</v>
      </c>
      <c r="K2" s="537" t="s">
        <v>57</v>
      </c>
      <c r="L2" s="61">
        <v>33939</v>
      </c>
      <c r="M2" s="1">
        <v>31</v>
      </c>
      <c r="N2" s="1">
        <v>1300</v>
      </c>
      <c r="P2" s="1">
        <v>1800</v>
      </c>
      <c r="Q2" s="537"/>
      <c r="R2" s="1">
        <v>500</v>
      </c>
      <c r="S2">
        <v>0</v>
      </c>
      <c r="T2">
        <v>0</v>
      </c>
      <c r="U2" t="s">
        <v>2639</v>
      </c>
      <c r="V2">
        <v>0</v>
      </c>
      <c r="W2" s="1">
        <v>46140</v>
      </c>
      <c r="X2" s="537" t="s">
        <v>65</v>
      </c>
      <c r="Y2" s="537" t="s">
        <v>60</v>
      </c>
      <c r="Z2" s="1" t="s">
        <v>61</v>
      </c>
      <c r="AA2" s="537" t="s">
        <v>2641</v>
      </c>
      <c r="AB2" s="537" t="s">
        <v>70</v>
      </c>
      <c r="AD2" s="61">
        <v>44569</v>
      </c>
      <c r="AE2" s="61">
        <v>44984</v>
      </c>
      <c r="AF2" s="61">
        <v>44982</v>
      </c>
      <c r="AG2" s="1">
        <v>22.03</v>
      </c>
      <c r="AH2" s="537" t="s">
        <v>1553</v>
      </c>
      <c r="AI2" s="537" t="s">
        <v>436</v>
      </c>
      <c r="AJ2" s="1">
        <v>697</v>
      </c>
      <c r="AK2" s="537"/>
      <c r="AL2" s="1" t="s">
        <v>1554</v>
      </c>
      <c r="AM2" s="537" t="s">
        <v>64</v>
      </c>
      <c r="AN2" s="537"/>
    </row>
    <row r="3" spans="1:40" hidden="1">
      <c r="A3" s="537" t="s">
        <v>179</v>
      </c>
      <c r="B3" s="1">
        <v>210317</v>
      </c>
      <c r="C3" s="1">
        <v>42</v>
      </c>
      <c r="D3" s="537" t="s">
        <v>2638</v>
      </c>
      <c r="E3" s="537" t="s">
        <v>3038</v>
      </c>
      <c r="F3" t="s">
        <v>3039</v>
      </c>
      <c r="G3" t="s">
        <v>3040</v>
      </c>
      <c r="H3" s="537" t="s">
        <v>218</v>
      </c>
      <c r="I3" s="537" t="s">
        <v>219</v>
      </c>
      <c r="J3" s="537" t="s">
        <v>18</v>
      </c>
      <c r="K3" s="537" t="s">
        <v>57</v>
      </c>
      <c r="L3" s="61">
        <v>32306</v>
      </c>
      <c r="M3" s="1">
        <v>35</v>
      </c>
      <c r="N3" s="1">
        <v>1300</v>
      </c>
      <c r="O3" s="1" t="s">
        <v>220</v>
      </c>
      <c r="P3" s="1">
        <v>1800</v>
      </c>
      <c r="Q3" s="537"/>
      <c r="R3" s="1">
        <v>500</v>
      </c>
      <c r="S3">
        <v>240000</v>
      </c>
      <c r="T3">
        <v>12012</v>
      </c>
      <c r="U3" t="s">
        <v>2639</v>
      </c>
      <c r="V3">
        <v>21960</v>
      </c>
      <c r="W3" s="1">
        <v>45285</v>
      </c>
      <c r="X3" s="537" t="s">
        <v>59</v>
      </c>
      <c r="Y3" s="537" t="s">
        <v>60</v>
      </c>
      <c r="Z3" s="1" t="s">
        <v>221</v>
      </c>
      <c r="AA3" s="537" t="s">
        <v>62</v>
      </c>
      <c r="AB3" s="537" t="s">
        <v>222</v>
      </c>
      <c r="AC3" s="1" t="s">
        <v>63</v>
      </c>
      <c r="AD3" s="61">
        <v>44277</v>
      </c>
      <c r="AE3" s="61">
        <v>45127</v>
      </c>
      <c r="AF3" s="61"/>
      <c r="AG3" s="1">
        <v>44348</v>
      </c>
      <c r="AH3" s="537" t="s">
        <v>1059</v>
      </c>
      <c r="AI3" s="537" t="s">
        <v>86</v>
      </c>
      <c r="AJ3" s="1">
        <v>208</v>
      </c>
      <c r="AK3" s="537" t="s">
        <v>151</v>
      </c>
      <c r="AL3" s="1" t="s">
        <v>1060</v>
      </c>
      <c r="AM3" s="537" t="s">
        <v>64</v>
      </c>
      <c r="AN3" s="537"/>
    </row>
    <row r="4" spans="1:40" hidden="1">
      <c r="A4" s="537" t="s">
        <v>179</v>
      </c>
      <c r="B4" s="1">
        <v>220118</v>
      </c>
      <c r="C4" s="1">
        <v>44</v>
      </c>
      <c r="D4" s="537" t="s">
        <v>2638</v>
      </c>
      <c r="E4" s="537"/>
      <c r="F4"/>
      <c r="G4"/>
      <c r="H4" s="537" t="s">
        <v>486</v>
      </c>
      <c r="I4" s="537" t="s">
        <v>487</v>
      </c>
      <c r="J4" s="537" t="s">
        <v>18</v>
      </c>
      <c r="K4" s="537" t="s">
        <v>57</v>
      </c>
      <c r="L4" s="61">
        <v>34418</v>
      </c>
      <c r="M4" s="1">
        <v>29</v>
      </c>
      <c r="N4" s="1">
        <v>1300</v>
      </c>
      <c r="P4" s="1">
        <v>1800</v>
      </c>
      <c r="Q4" s="537"/>
      <c r="R4" s="1">
        <v>500</v>
      </c>
      <c r="S4"/>
      <c r="T4" t="s">
        <v>65</v>
      </c>
      <c r="U4" t="s">
        <v>2639</v>
      </c>
      <c r="V4" t="s">
        <v>65</v>
      </c>
      <c r="W4" s="1">
        <v>45132</v>
      </c>
      <c r="X4" s="537" t="s">
        <v>59</v>
      </c>
      <c r="Y4" s="537" t="s">
        <v>60</v>
      </c>
      <c r="Z4" s="1" t="s">
        <v>61</v>
      </c>
      <c r="AA4" s="537" t="s">
        <v>69</v>
      </c>
      <c r="AB4" s="537" t="s">
        <v>244</v>
      </c>
      <c r="AC4" s="1">
        <v>44576</v>
      </c>
      <c r="AD4" s="61">
        <v>44578</v>
      </c>
      <c r="AE4" s="61">
        <v>44845</v>
      </c>
      <c r="AF4" s="61">
        <v>44834</v>
      </c>
      <c r="AG4" s="1">
        <v>22.04</v>
      </c>
      <c r="AH4" s="537" t="s">
        <v>487</v>
      </c>
      <c r="AI4" s="537" t="s">
        <v>86</v>
      </c>
      <c r="AJ4" s="1">
        <v>408</v>
      </c>
      <c r="AK4" s="537" t="s">
        <v>87</v>
      </c>
      <c r="AL4" s="1" t="s">
        <v>1578</v>
      </c>
      <c r="AM4" s="537" t="s">
        <v>64</v>
      </c>
      <c r="AN4" s="537"/>
    </row>
    <row r="5" spans="1:40" hidden="1">
      <c r="A5" s="537" t="s">
        <v>54</v>
      </c>
      <c r="B5" s="1">
        <v>200806</v>
      </c>
      <c r="C5" s="1">
        <v>45</v>
      </c>
      <c r="D5" s="537" t="s">
        <v>2638</v>
      </c>
      <c r="E5" s="537" t="s">
        <v>3038</v>
      </c>
      <c r="F5" t="s">
        <v>3039</v>
      </c>
      <c r="G5" t="s">
        <v>3040</v>
      </c>
      <c r="H5" s="537" t="s">
        <v>55</v>
      </c>
      <c r="I5" s="537" t="s">
        <v>56</v>
      </c>
      <c r="J5" s="537" t="s">
        <v>18</v>
      </c>
      <c r="K5" s="537" t="s">
        <v>57</v>
      </c>
      <c r="L5" s="61">
        <v>33037</v>
      </c>
      <c r="M5" s="1">
        <v>33</v>
      </c>
      <c r="N5" s="1">
        <v>1450</v>
      </c>
      <c r="P5" s="1">
        <v>1950</v>
      </c>
      <c r="Q5" s="537" t="s">
        <v>58</v>
      </c>
      <c r="R5" s="1">
        <v>500</v>
      </c>
      <c r="S5">
        <v>320000</v>
      </c>
      <c r="T5">
        <v>16015.999999999998</v>
      </c>
      <c r="U5" t="s">
        <v>2639</v>
      </c>
      <c r="V5">
        <v>29280</v>
      </c>
      <c r="W5" s="1">
        <v>45606</v>
      </c>
      <c r="X5" s="537" t="s">
        <v>65</v>
      </c>
      <c r="Y5" s="537" t="s">
        <v>60</v>
      </c>
      <c r="Z5" s="1" t="s">
        <v>61</v>
      </c>
      <c r="AA5" s="537" t="s">
        <v>62</v>
      </c>
      <c r="AB5" s="537" t="s">
        <v>2368</v>
      </c>
      <c r="AC5" s="1" t="s">
        <v>63</v>
      </c>
      <c r="AD5" s="61">
        <v>44064</v>
      </c>
      <c r="AE5" s="61"/>
      <c r="AF5" s="61"/>
      <c r="AG5" s="1" t="s">
        <v>64</v>
      </c>
      <c r="AH5" s="537" t="s">
        <v>933</v>
      </c>
      <c r="AI5" s="537"/>
      <c r="AK5" s="537"/>
      <c r="AM5" s="537" t="s">
        <v>64</v>
      </c>
      <c r="AN5" s="537"/>
    </row>
    <row r="6" spans="1:40" hidden="1">
      <c r="A6" s="537" t="s">
        <v>54</v>
      </c>
      <c r="B6" s="1">
        <v>200901</v>
      </c>
      <c r="C6" s="1">
        <v>46</v>
      </c>
      <c r="D6" s="537" t="s">
        <v>2638</v>
      </c>
      <c r="E6" s="537" t="s">
        <v>3038</v>
      </c>
      <c r="F6" s="1" t="s">
        <v>3039</v>
      </c>
      <c r="G6" t="s">
        <v>3040</v>
      </c>
      <c r="H6" s="537" t="s">
        <v>66</v>
      </c>
      <c r="I6" s="537" t="s">
        <v>67</v>
      </c>
      <c r="J6" s="537" t="s">
        <v>18</v>
      </c>
      <c r="K6" s="537" t="s">
        <v>57</v>
      </c>
      <c r="L6" s="61">
        <v>34765</v>
      </c>
      <c r="M6" s="1">
        <v>28</v>
      </c>
      <c r="N6" s="1">
        <v>1350</v>
      </c>
      <c r="O6" s="1" t="s">
        <v>68</v>
      </c>
      <c r="P6" s="1">
        <v>1800</v>
      </c>
      <c r="Q6" s="537"/>
      <c r="R6" s="1">
        <v>450</v>
      </c>
      <c r="S6">
        <v>300000</v>
      </c>
      <c r="T6">
        <v>15014.999999999998</v>
      </c>
      <c r="U6" t="s">
        <v>2639</v>
      </c>
      <c r="V6">
        <v>27450</v>
      </c>
      <c r="W6" s="1">
        <v>45482</v>
      </c>
      <c r="X6" s="537" t="s">
        <v>65</v>
      </c>
      <c r="Y6" s="537" t="s">
        <v>60</v>
      </c>
      <c r="Z6" s="1" t="s">
        <v>61</v>
      </c>
      <c r="AA6" s="537" t="s">
        <v>2641</v>
      </c>
      <c r="AB6" s="537" t="s">
        <v>70</v>
      </c>
      <c r="AC6" s="1">
        <v>44136</v>
      </c>
      <c r="AD6" s="61">
        <v>44083</v>
      </c>
      <c r="AE6" s="61"/>
      <c r="AF6" s="61"/>
      <c r="AG6" s="1" t="s">
        <v>64</v>
      </c>
      <c r="AH6" s="537" t="s">
        <v>67</v>
      </c>
      <c r="AI6" s="537" t="s">
        <v>86</v>
      </c>
      <c r="AJ6" s="1">
        <v>208</v>
      </c>
      <c r="AK6" s="537" t="s">
        <v>151</v>
      </c>
      <c r="AL6" s="1" t="s">
        <v>934</v>
      </c>
      <c r="AM6" s="537" t="s">
        <v>64</v>
      </c>
      <c r="AN6" s="537"/>
    </row>
    <row r="7" spans="1:40" hidden="1">
      <c r="A7" s="537" t="s">
        <v>179</v>
      </c>
      <c r="B7" s="1">
        <v>210426</v>
      </c>
      <c r="C7" s="1">
        <v>48</v>
      </c>
      <c r="D7" s="537" t="s">
        <v>2638</v>
      </c>
      <c r="E7" s="537"/>
      <c r="F7" t="s">
        <v>2604</v>
      </c>
      <c r="G7"/>
      <c r="H7" s="537" t="s">
        <v>242</v>
      </c>
      <c r="I7" s="537" t="s">
        <v>243</v>
      </c>
      <c r="J7" s="537" t="s">
        <v>18</v>
      </c>
      <c r="K7" s="537" t="s">
        <v>57</v>
      </c>
      <c r="L7" s="61">
        <v>34509</v>
      </c>
      <c r="M7" s="1">
        <v>29</v>
      </c>
      <c r="N7" s="1">
        <v>1300</v>
      </c>
      <c r="P7" s="1">
        <v>1800</v>
      </c>
      <c r="Q7" s="537"/>
      <c r="R7" s="1">
        <v>500</v>
      </c>
      <c r="S7"/>
      <c r="T7" t="s">
        <v>65</v>
      </c>
      <c r="U7" t="s">
        <v>2639</v>
      </c>
      <c r="V7" t="s">
        <v>65</v>
      </c>
      <c r="W7" s="1">
        <v>45734</v>
      </c>
      <c r="X7" s="537" t="s">
        <v>65</v>
      </c>
      <c r="Y7" s="537" t="s">
        <v>60</v>
      </c>
      <c r="Z7" s="1" t="s">
        <v>61</v>
      </c>
      <c r="AA7" s="537" t="s">
        <v>69</v>
      </c>
      <c r="AB7" s="537" t="s">
        <v>244</v>
      </c>
      <c r="AC7" s="1">
        <v>44312</v>
      </c>
      <c r="AD7" s="61">
        <v>44313</v>
      </c>
      <c r="AE7" s="61">
        <v>44712</v>
      </c>
      <c r="AF7" s="61"/>
      <c r="AG7" s="1">
        <v>44378</v>
      </c>
      <c r="AH7" s="537"/>
      <c r="AI7" s="537"/>
      <c r="AK7" s="537"/>
      <c r="AM7" s="537" t="s">
        <v>64</v>
      </c>
      <c r="AN7" s="537"/>
    </row>
    <row r="8" spans="1:40" hidden="1">
      <c r="A8" s="537" t="s">
        <v>179</v>
      </c>
      <c r="B8" s="1">
        <v>220307</v>
      </c>
      <c r="C8" s="1">
        <v>104</v>
      </c>
      <c r="D8" s="537" t="s">
        <v>72</v>
      </c>
      <c r="E8" s="537"/>
      <c r="F8"/>
      <c r="G8"/>
      <c r="H8" s="537" t="s">
        <v>583</v>
      </c>
      <c r="I8" s="537" t="s">
        <v>584</v>
      </c>
      <c r="J8" s="537" t="s">
        <v>18</v>
      </c>
      <c r="K8" s="537" t="s">
        <v>57</v>
      </c>
      <c r="L8" s="61">
        <v>34917</v>
      </c>
      <c r="M8" s="1">
        <v>28</v>
      </c>
      <c r="N8" s="1">
        <v>1300</v>
      </c>
      <c r="P8" s="1">
        <v>1750</v>
      </c>
      <c r="Q8" s="537"/>
      <c r="R8" s="1">
        <v>450</v>
      </c>
      <c r="S8">
        <v>180000</v>
      </c>
      <c r="T8">
        <v>9009</v>
      </c>
      <c r="U8" t="s">
        <v>2639</v>
      </c>
      <c r="V8">
        <v>16470</v>
      </c>
      <c r="W8" s="1">
        <v>45282</v>
      </c>
      <c r="X8" s="537" t="s">
        <v>59</v>
      </c>
      <c r="Y8" s="537" t="s">
        <v>60</v>
      </c>
      <c r="Z8" s="1" t="s">
        <v>174</v>
      </c>
      <c r="AA8" s="537" t="s">
        <v>175</v>
      </c>
      <c r="AB8" s="537" t="s">
        <v>176</v>
      </c>
      <c r="AC8" s="1">
        <v>44955</v>
      </c>
      <c r="AD8" s="61">
        <v>44664</v>
      </c>
      <c r="AE8" s="61">
        <v>45044</v>
      </c>
      <c r="AF8" s="61">
        <v>45061</v>
      </c>
      <c r="AG8" s="1">
        <v>44682</v>
      </c>
      <c r="AH8" s="537" t="s">
        <v>1762</v>
      </c>
      <c r="AI8" s="537" t="s">
        <v>86</v>
      </c>
      <c r="AJ8" s="1">
        <v>208</v>
      </c>
      <c r="AK8" s="537" t="s">
        <v>151</v>
      </c>
      <c r="AL8" s="1" t="s">
        <v>1763</v>
      </c>
      <c r="AM8" s="537" t="s">
        <v>64</v>
      </c>
      <c r="AN8" s="537" t="s">
        <v>588</v>
      </c>
    </row>
    <row r="9" spans="1:40" hidden="1">
      <c r="A9" s="537" t="s">
        <v>179</v>
      </c>
      <c r="B9" s="1">
        <v>210901</v>
      </c>
      <c r="C9" s="1">
        <v>106</v>
      </c>
      <c r="D9" s="537" t="s">
        <v>72</v>
      </c>
      <c r="E9" s="537"/>
      <c r="F9"/>
      <c r="G9"/>
      <c r="H9" s="537" t="s">
        <v>325</v>
      </c>
      <c r="I9" s="537" t="s">
        <v>326</v>
      </c>
      <c r="J9" s="537" t="s">
        <v>18</v>
      </c>
      <c r="K9" s="537" t="s">
        <v>57</v>
      </c>
      <c r="L9" s="61">
        <v>34523</v>
      </c>
      <c r="M9" s="1">
        <v>29</v>
      </c>
      <c r="N9" s="1">
        <v>1300</v>
      </c>
      <c r="O9" s="1" t="s">
        <v>327</v>
      </c>
      <c r="P9" s="1">
        <v>1750</v>
      </c>
      <c r="Q9" s="537"/>
      <c r="R9" s="1">
        <v>450</v>
      </c>
      <c r="S9">
        <v>260000</v>
      </c>
      <c r="T9">
        <v>13013</v>
      </c>
      <c r="U9" t="s">
        <v>2639</v>
      </c>
      <c r="V9">
        <v>23790</v>
      </c>
      <c r="W9" s="1">
        <v>45841</v>
      </c>
      <c r="X9" s="537" t="s">
        <v>65</v>
      </c>
      <c r="Y9" s="537" t="s">
        <v>60</v>
      </c>
      <c r="Z9" s="1" t="s">
        <v>76</v>
      </c>
      <c r="AA9" s="537" t="s">
        <v>77</v>
      </c>
      <c r="AB9" s="537" t="s">
        <v>2380</v>
      </c>
      <c r="AC9" s="1" t="s">
        <v>63</v>
      </c>
      <c r="AD9" s="61">
        <v>44441</v>
      </c>
      <c r="AE9" s="61">
        <v>44970</v>
      </c>
      <c r="AF9" s="61"/>
      <c r="AG9" s="1">
        <v>44501</v>
      </c>
      <c r="AH9" s="537" t="s">
        <v>326</v>
      </c>
      <c r="AI9" s="537" t="s">
        <v>86</v>
      </c>
      <c r="AJ9" s="1">
        <v>438</v>
      </c>
      <c r="AK9" s="537" t="s">
        <v>223</v>
      </c>
      <c r="AL9" s="1" t="s">
        <v>1292</v>
      </c>
      <c r="AM9" s="537" t="s">
        <v>64</v>
      </c>
      <c r="AN9" s="537"/>
    </row>
    <row r="10" spans="1:40" hidden="1">
      <c r="A10" s="537" t="s">
        <v>179</v>
      </c>
      <c r="B10" s="1">
        <v>201001</v>
      </c>
      <c r="C10" s="1">
        <v>108</v>
      </c>
      <c r="D10" s="537" t="s">
        <v>72</v>
      </c>
      <c r="E10" s="537"/>
      <c r="F10"/>
      <c r="G10"/>
      <c r="H10" s="537" t="s">
        <v>73</v>
      </c>
      <c r="I10" s="537" t="s">
        <v>74</v>
      </c>
      <c r="J10" s="537" t="s">
        <v>18</v>
      </c>
      <c r="K10" s="537" t="s">
        <v>57</v>
      </c>
      <c r="L10" s="61">
        <v>33380</v>
      </c>
      <c r="M10" s="1">
        <v>32</v>
      </c>
      <c r="N10" s="1">
        <v>1350</v>
      </c>
      <c r="O10" s="1" t="s">
        <v>75</v>
      </c>
      <c r="P10" s="1">
        <v>1750</v>
      </c>
      <c r="Q10" s="537"/>
      <c r="R10" s="1">
        <v>400</v>
      </c>
      <c r="S10">
        <v>220000</v>
      </c>
      <c r="T10">
        <v>11011</v>
      </c>
      <c r="U10" t="s">
        <v>2639</v>
      </c>
      <c r="V10">
        <v>20130</v>
      </c>
      <c r="W10" s="1">
        <v>45541</v>
      </c>
      <c r="X10" s="537" t="s">
        <v>65</v>
      </c>
      <c r="Y10" s="537" t="s">
        <v>60</v>
      </c>
      <c r="Z10" s="1" t="s">
        <v>76</v>
      </c>
      <c r="AA10" s="537" t="s">
        <v>77</v>
      </c>
      <c r="AB10" s="537" t="s">
        <v>818</v>
      </c>
      <c r="AC10" s="1" t="s">
        <v>63</v>
      </c>
      <c r="AD10" s="61">
        <v>44130</v>
      </c>
      <c r="AE10" s="61">
        <v>45226</v>
      </c>
      <c r="AF10" s="61"/>
      <c r="AG10" s="1">
        <v>44197</v>
      </c>
      <c r="AH10" s="537" t="s">
        <v>74</v>
      </c>
      <c r="AI10" s="537" t="s">
        <v>86</v>
      </c>
      <c r="AK10" s="537"/>
      <c r="AL10" s="1" t="s">
        <v>948</v>
      </c>
      <c r="AM10" s="537" t="s">
        <v>64</v>
      </c>
      <c r="AN10" s="537" t="s">
        <v>78</v>
      </c>
    </row>
    <row r="11" spans="1:40" hidden="1">
      <c r="A11" s="537" t="s">
        <v>54</v>
      </c>
      <c r="B11" s="1">
        <v>231005</v>
      </c>
      <c r="C11" s="1">
        <v>4805</v>
      </c>
      <c r="D11" s="537" t="s">
        <v>2700</v>
      </c>
      <c r="E11" s="537" t="s">
        <v>3091</v>
      </c>
      <c r="F11" t="s">
        <v>3458</v>
      </c>
      <c r="G11" t="s">
        <v>3456</v>
      </c>
      <c r="H11" s="537" t="s">
        <v>3439</v>
      </c>
      <c r="I11" s="537" t="s">
        <v>3440</v>
      </c>
      <c r="J11" s="537" t="s">
        <v>18</v>
      </c>
      <c r="K11" s="537" t="s">
        <v>57</v>
      </c>
      <c r="L11" s="61">
        <v>33726</v>
      </c>
      <c r="M11" s="1">
        <v>31</v>
      </c>
      <c r="N11" s="1">
        <v>1300</v>
      </c>
      <c r="P11" s="1">
        <v>1700</v>
      </c>
      <c r="Q11" s="537"/>
      <c r="R11" s="1">
        <v>400</v>
      </c>
      <c r="S11">
        <v>220000</v>
      </c>
      <c r="T11">
        <v>11011</v>
      </c>
      <c r="U11" t="s">
        <v>2639</v>
      </c>
      <c r="V11">
        <v>20130</v>
      </c>
      <c r="W11" s="1">
        <v>45462</v>
      </c>
      <c r="X11" s="537" t="s">
        <v>65</v>
      </c>
      <c r="Y11" s="537" t="s">
        <v>60</v>
      </c>
      <c r="Z11" s="1" t="s">
        <v>2606</v>
      </c>
      <c r="AA11" s="537" t="s">
        <v>3149</v>
      </c>
      <c r="AB11" s="537" t="s">
        <v>3150</v>
      </c>
      <c r="AD11" s="61">
        <v>45215</v>
      </c>
      <c r="AE11" s="61"/>
      <c r="AF11" s="61"/>
      <c r="AG11" s="1" t="s">
        <v>3473</v>
      </c>
      <c r="AH11" s="537"/>
      <c r="AI11" s="537"/>
      <c r="AK11" s="537"/>
      <c r="AM11" s="537" t="s">
        <v>3469</v>
      </c>
      <c r="AN11" s="537"/>
    </row>
    <row r="12" spans="1:40" hidden="1">
      <c r="A12" s="537" t="s">
        <v>54</v>
      </c>
      <c r="B12" s="1">
        <v>220809</v>
      </c>
      <c r="C12" s="1">
        <v>5465</v>
      </c>
      <c r="D12" s="537" t="s">
        <v>2700</v>
      </c>
      <c r="E12" s="537" t="s">
        <v>3091</v>
      </c>
      <c r="F12" t="s">
        <v>3458</v>
      </c>
      <c r="G12" t="s">
        <v>3456</v>
      </c>
      <c r="H12" s="537" t="s">
        <v>3107</v>
      </c>
      <c r="I12" s="537" t="s">
        <v>2186</v>
      </c>
      <c r="J12" s="537" t="s">
        <v>18</v>
      </c>
      <c r="K12" s="537" t="s">
        <v>57</v>
      </c>
      <c r="L12" s="61">
        <v>34779</v>
      </c>
      <c r="M12" s="1">
        <v>28</v>
      </c>
      <c r="N12" s="1">
        <v>1300</v>
      </c>
      <c r="P12" s="1">
        <v>1700</v>
      </c>
      <c r="Q12" s="537"/>
      <c r="R12" s="1">
        <v>400</v>
      </c>
      <c r="S12">
        <v>300000</v>
      </c>
      <c r="T12">
        <v>15014.999999999998</v>
      </c>
      <c r="U12" t="s">
        <v>2639</v>
      </c>
      <c r="V12">
        <v>27450</v>
      </c>
      <c r="W12" s="1">
        <v>45435</v>
      </c>
      <c r="X12" s="537" t="s">
        <v>65</v>
      </c>
      <c r="Y12" s="537" t="s">
        <v>60</v>
      </c>
      <c r="Z12" s="1" t="s">
        <v>2187</v>
      </c>
      <c r="AA12" s="537" t="s">
        <v>2188</v>
      </c>
      <c r="AB12" s="537" t="s">
        <v>2189</v>
      </c>
      <c r="AC12" s="1">
        <v>44797</v>
      </c>
      <c r="AD12" s="61">
        <v>44798</v>
      </c>
      <c r="AE12" s="61"/>
      <c r="AF12" s="61"/>
      <c r="AG12" s="1" t="s">
        <v>766</v>
      </c>
      <c r="AH12" s="537" t="s">
        <v>2190</v>
      </c>
      <c r="AI12" s="537" t="s">
        <v>86</v>
      </c>
      <c r="AJ12" s="1">
        <v>118</v>
      </c>
      <c r="AK12" s="537" t="s">
        <v>171</v>
      </c>
      <c r="AL12" s="1" t="s">
        <v>2191</v>
      </c>
      <c r="AM12" s="537" t="s">
        <v>2178</v>
      </c>
      <c r="AN12" s="537"/>
    </row>
    <row r="13" spans="1:40" hidden="1">
      <c r="A13" s="537" t="s">
        <v>54</v>
      </c>
      <c r="B13" s="1">
        <v>220810</v>
      </c>
      <c r="C13" s="1">
        <v>5466</v>
      </c>
      <c r="D13" s="537" t="s">
        <v>2700</v>
      </c>
      <c r="E13" s="537" t="s">
        <v>3079</v>
      </c>
      <c r="F13" t="s">
        <v>3095</v>
      </c>
      <c r="G13" t="s">
        <v>3456</v>
      </c>
      <c r="H13" s="537" t="s">
        <v>2192</v>
      </c>
      <c r="I13" s="537" t="s">
        <v>2193</v>
      </c>
      <c r="J13" s="537" t="s">
        <v>18</v>
      </c>
      <c r="K13" s="537" t="s">
        <v>57</v>
      </c>
      <c r="L13" s="61">
        <v>33186</v>
      </c>
      <c r="M13" s="1">
        <v>33</v>
      </c>
      <c r="N13" s="1">
        <v>1300</v>
      </c>
      <c r="P13" s="1">
        <v>1700</v>
      </c>
      <c r="Q13" s="537"/>
      <c r="R13" s="1">
        <v>400</v>
      </c>
      <c r="S13">
        <v>260000</v>
      </c>
      <c r="T13">
        <v>13013</v>
      </c>
      <c r="U13" t="s">
        <v>2639</v>
      </c>
      <c r="V13">
        <v>23790</v>
      </c>
      <c r="W13" s="1">
        <v>45243</v>
      </c>
      <c r="X13" s="537" t="s">
        <v>59</v>
      </c>
      <c r="Y13" s="537" t="s">
        <v>60</v>
      </c>
      <c r="Z13" s="1" t="s">
        <v>2187</v>
      </c>
      <c r="AA13" s="537" t="s">
        <v>2194</v>
      </c>
      <c r="AB13" s="537" t="s">
        <v>2189</v>
      </c>
      <c r="AC13" s="1">
        <v>44803</v>
      </c>
      <c r="AD13" s="61">
        <v>44798</v>
      </c>
      <c r="AE13" s="61"/>
      <c r="AF13" s="61"/>
      <c r="AG13" s="1" t="s">
        <v>766</v>
      </c>
      <c r="AH13" s="537" t="s">
        <v>2193</v>
      </c>
      <c r="AI13" s="537" t="s">
        <v>86</v>
      </c>
      <c r="AJ13" s="1">
        <v>228</v>
      </c>
      <c r="AK13" s="537" t="s">
        <v>443</v>
      </c>
      <c r="AL13" s="1" t="s">
        <v>2195</v>
      </c>
      <c r="AM13" s="537" t="s">
        <v>2178</v>
      </c>
      <c r="AN13" s="537"/>
    </row>
    <row r="14" spans="1:40" hidden="1">
      <c r="A14" s="537" t="s">
        <v>179</v>
      </c>
      <c r="B14" s="1">
        <v>220815</v>
      </c>
      <c r="C14" s="1">
        <v>5468</v>
      </c>
      <c r="D14" s="537" t="s">
        <v>2700</v>
      </c>
      <c r="E14" s="537" t="s">
        <v>3079</v>
      </c>
      <c r="F14" t="s">
        <v>3080</v>
      </c>
      <c r="G14" t="s">
        <v>3081</v>
      </c>
      <c r="H14" s="537" t="s">
        <v>2211</v>
      </c>
      <c r="I14" s="537" t="s">
        <v>2212</v>
      </c>
      <c r="J14" s="537" t="s">
        <v>18</v>
      </c>
      <c r="K14" s="537" t="s">
        <v>57</v>
      </c>
      <c r="L14" s="61">
        <v>33013</v>
      </c>
      <c r="M14" s="1">
        <v>33</v>
      </c>
      <c r="N14" s="1">
        <v>1300</v>
      </c>
      <c r="O14" s="1">
        <v>1700</v>
      </c>
      <c r="P14" s="1">
        <v>1700</v>
      </c>
      <c r="Q14" s="537"/>
      <c r="R14" s="1">
        <v>400</v>
      </c>
      <c r="S14">
        <v>280000</v>
      </c>
      <c r="T14">
        <v>14014</v>
      </c>
      <c r="U14" t="s">
        <v>2639</v>
      </c>
      <c r="V14">
        <v>25620</v>
      </c>
      <c r="W14" s="1">
        <v>46174</v>
      </c>
      <c r="X14" s="537" t="s">
        <v>65</v>
      </c>
      <c r="Y14" s="537" t="s">
        <v>60</v>
      </c>
      <c r="Z14" s="1" t="s">
        <v>2187</v>
      </c>
      <c r="AA14" s="537" t="s">
        <v>2209</v>
      </c>
      <c r="AB14" s="537" t="s">
        <v>2210</v>
      </c>
      <c r="AC14" s="1">
        <v>44803</v>
      </c>
      <c r="AD14" s="61">
        <v>44804</v>
      </c>
      <c r="AE14" s="61">
        <v>45197</v>
      </c>
      <c r="AF14" s="61"/>
      <c r="AG14" s="1" t="s">
        <v>766</v>
      </c>
      <c r="AH14" s="537" t="s">
        <v>2201</v>
      </c>
      <c r="AI14" s="537" t="s">
        <v>86</v>
      </c>
      <c r="AK14" s="537"/>
      <c r="AL14" s="1" t="s">
        <v>2202</v>
      </c>
      <c r="AM14" s="537" t="s">
        <v>2178</v>
      </c>
      <c r="AN14" s="537"/>
    </row>
    <row r="15" spans="1:40" hidden="1">
      <c r="A15" s="537" t="s">
        <v>54</v>
      </c>
      <c r="B15" s="1">
        <v>220814</v>
      </c>
      <c r="C15" s="1">
        <v>5469</v>
      </c>
      <c r="D15" s="537" t="s">
        <v>2700</v>
      </c>
      <c r="E15" s="537" t="s">
        <v>3079</v>
      </c>
      <c r="F15" t="s">
        <v>3108</v>
      </c>
      <c r="G15" t="s">
        <v>3456</v>
      </c>
      <c r="H15" s="537" t="s">
        <v>2208</v>
      </c>
      <c r="I15" s="537" t="s">
        <v>2199</v>
      </c>
      <c r="J15" s="537" t="s">
        <v>18</v>
      </c>
      <c r="K15" s="537" t="s">
        <v>57</v>
      </c>
      <c r="L15" s="61">
        <v>34787</v>
      </c>
      <c r="M15" s="1">
        <v>28</v>
      </c>
      <c r="N15" s="1">
        <v>1300</v>
      </c>
      <c r="O15" s="1">
        <v>1700</v>
      </c>
      <c r="P15" s="1">
        <v>1700</v>
      </c>
      <c r="Q15" s="537"/>
      <c r="R15" s="1">
        <v>400</v>
      </c>
      <c r="S15">
        <v>280000</v>
      </c>
      <c r="T15">
        <v>14014</v>
      </c>
      <c r="U15" t="s">
        <v>2639</v>
      </c>
      <c r="V15">
        <v>25620</v>
      </c>
      <c r="W15" s="1">
        <v>45746</v>
      </c>
      <c r="X15" s="537" t="s">
        <v>65</v>
      </c>
      <c r="Y15" s="537" t="s">
        <v>60</v>
      </c>
      <c r="Z15" s="1" t="s">
        <v>2187</v>
      </c>
      <c r="AA15" s="537" t="s">
        <v>2209</v>
      </c>
      <c r="AB15" s="537" t="s">
        <v>2210</v>
      </c>
      <c r="AC15" s="1">
        <v>44803</v>
      </c>
      <c r="AD15" s="61">
        <v>44804</v>
      </c>
      <c r="AE15" s="61"/>
      <c r="AF15" s="61"/>
      <c r="AG15" s="1" t="s">
        <v>766</v>
      </c>
      <c r="AH15" s="537" t="s">
        <v>2199</v>
      </c>
      <c r="AI15" s="537" t="s">
        <v>86</v>
      </c>
      <c r="AK15" s="537"/>
      <c r="AL15" s="1" t="s">
        <v>2200</v>
      </c>
      <c r="AM15" s="537" t="s">
        <v>2178</v>
      </c>
      <c r="AN15" s="537"/>
    </row>
    <row r="16" spans="1:40" hidden="1">
      <c r="A16" s="537" t="s">
        <v>54</v>
      </c>
      <c r="B16" s="1">
        <v>220816</v>
      </c>
      <c r="C16" s="1">
        <v>5470</v>
      </c>
      <c r="D16" s="537" t="s">
        <v>2700</v>
      </c>
      <c r="E16" s="537" t="s">
        <v>3079</v>
      </c>
      <c r="F16" t="s">
        <v>3080</v>
      </c>
      <c r="G16" t="s">
        <v>3456</v>
      </c>
      <c r="H16" s="537" t="s">
        <v>2213</v>
      </c>
      <c r="I16" s="537" t="s">
        <v>2206</v>
      </c>
      <c r="J16" s="537" t="s">
        <v>18</v>
      </c>
      <c r="K16" s="537" t="s">
        <v>57</v>
      </c>
      <c r="L16" s="61">
        <v>34768</v>
      </c>
      <c r="M16" s="1">
        <v>28</v>
      </c>
      <c r="N16" s="1">
        <v>1300</v>
      </c>
      <c r="O16" s="1">
        <v>1700</v>
      </c>
      <c r="P16" s="1">
        <v>1700</v>
      </c>
      <c r="Q16" s="537"/>
      <c r="R16" s="1">
        <v>400</v>
      </c>
      <c r="S16">
        <v>280000</v>
      </c>
      <c r="T16">
        <v>14014</v>
      </c>
      <c r="U16" t="s">
        <v>2639</v>
      </c>
      <c r="V16">
        <v>25620</v>
      </c>
      <c r="W16" s="1">
        <v>45549</v>
      </c>
      <c r="X16" s="537" t="s">
        <v>65</v>
      </c>
      <c r="Y16" s="537" t="s">
        <v>60</v>
      </c>
      <c r="Z16" s="1" t="s">
        <v>2187</v>
      </c>
      <c r="AA16" s="537" t="s">
        <v>2209</v>
      </c>
      <c r="AB16" s="537" t="s">
        <v>2214</v>
      </c>
      <c r="AC16" s="1">
        <v>44803</v>
      </c>
      <c r="AD16" s="61">
        <v>44804</v>
      </c>
      <c r="AE16" s="61"/>
      <c r="AF16" s="61"/>
      <c r="AG16" s="1" t="s">
        <v>766</v>
      </c>
      <c r="AH16" s="537" t="s">
        <v>2206</v>
      </c>
      <c r="AI16" s="537" t="s">
        <v>86</v>
      </c>
      <c r="AJ16" s="1">
        <v>208</v>
      </c>
      <c r="AK16" s="537" t="s">
        <v>151</v>
      </c>
      <c r="AL16" s="1" t="s">
        <v>2207</v>
      </c>
      <c r="AM16" s="537" t="s">
        <v>2178</v>
      </c>
      <c r="AN16" s="537"/>
    </row>
    <row r="17" spans="1:40" hidden="1">
      <c r="A17" s="537" t="s">
        <v>54</v>
      </c>
      <c r="B17" s="1">
        <v>220912</v>
      </c>
      <c r="C17" s="1">
        <v>5480</v>
      </c>
      <c r="D17" s="537" t="s">
        <v>2700</v>
      </c>
      <c r="E17" s="537" t="s">
        <v>3079</v>
      </c>
      <c r="F17" t="s">
        <v>3080</v>
      </c>
      <c r="G17" t="s">
        <v>3456</v>
      </c>
      <c r="H17" s="537" t="s">
        <v>2242</v>
      </c>
      <c r="I17" s="537" t="s">
        <v>2243</v>
      </c>
      <c r="J17" s="537" t="s">
        <v>18</v>
      </c>
      <c r="K17" s="537" t="s">
        <v>57</v>
      </c>
      <c r="L17" s="61">
        <v>35646</v>
      </c>
      <c r="M17" s="1">
        <v>26</v>
      </c>
      <c r="N17" s="1">
        <v>1300</v>
      </c>
      <c r="P17" s="1">
        <v>1700</v>
      </c>
      <c r="Q17" s="537"/>
      <c r="R17" s="1">
        <v>400</v>
      </c>
      <c r="S17">
        <v>280000</v>
      </c>
      <c r="T17">
        <v>14014</v>
      </c>
      <c r="U17" t="s">
        <v>2639</v>
      </c>
      <c r="V17">
        <v>25620</v>
      </c>
      <c r="W17" s="1">
        <v>45484</v>
      </c>
      <c r="X17" s="537" t="s">
        <v>65</v>
      </c>
      <c r="Y17" s="537" t="s">
        <v>60</v>
      </c>
      <c r="Z17" s="1" t="s">
        <v>3109</v>
      </c>
      <c r="AA17" s="537" t="s">
        <v>3110</v>
      </c>
      <c r="AB17" s="537" t="s">
        <v>3111</v>
      </c>
      <c r="AC17" s="1">
        <v>45186</v>
      </c>
      <c r="AD17" s="61">
        <v>44818</v>
      </c>
      <c r="AE17" s="61"/>
      <c r="AF17" s="61"/>
      <c r="AG17" s="1" t="s">
        <v>766</v>
      </c>
      <c r="AH17" s="537" t="s">
        <v>2243</v>
      </c>
      <c r="AI17" s="537" t="s">
        <v>86</v>
      </c>
      <c r="AJ17" s="1">
        <v>468</v>
      </c>
      <c r="AK17" s="537" t="s">
        <v>158</v>
      </c>
      <c r="AL17" s="1" t="s">
        <v>2244</v>
      </c>
      <c r="AM17" s="537" t="s">
        <v>2238</v>
      </c>
      <c r="AN17" s="537"/>
    </row>
    <row r="18" spans="1:40" hidden="1">
      <c r="A18" s="537" t="s">
        <v>54</v>
      </c>
      <c r="B18" s="1">
        <v>220914</v>
      </c>
      <c r="C18" s="1">
        <v>5481</v>
      </c>
      <c r="D18" s="537" t="s">
        <v>2700</v>
      </c>
      <c r="E18" s="537" t="s">
        <v>3079</v>
      </c>
      <c r="F18" t="s">
        <v>3108</v>
      </c>
      <c r="G18" t="s">
        <v>3456</v>
      </c>
      <c r="H18" s="537" t="s">
        <v>2250</v>
      </c>
      <c r="I18" s="537" t="s">
        <v>2251</v>
      </c>
      <c r="J18" s="537" t="s">
        <v>18</v>
      </c>
      <c r="K18" s="537" t="s">
        <v>57</v>
      </c>
      <c r="L18" s="61">
        <v>30926</v>
      </c>
      <c r="M18" s="1">
        <v>39</v>
      </c>
      <c r="N18" s="1">
        <v>1300</v>
      </c>
      <c r="P18" s="1">
        <v>1700</v>
      </c>
      <c r="Q18" s="537"/>
      <c r="R18" s="1">
        <v>400</v>
      </c>
      <c r="S18">
        <v>260000</v>
      </c>
      <c r="T18">
        <v>13013</v>
      </c>
      <c r="U18" t="s">
        <v>2639</v>
      </c>
      <c r="V18">
        <v>23790</v>
      </c>
      <c r="W18" s="1">
        <v>45471</v>
      </c>
      <c r="X18" s="537" t="s">
        <v>65</v>
      </c>
      <c r="Y18" s="537" t="s">
        <v>60</v>
      </c>
      <c r="Z18" s="1" t="s">
        <v>2252</v>
      </c>
      <c r="AA18" s="537" t="s">
        <v>2253</v>
      </c>
      <c r="AB18" s="537" t="s">
        <v>2254</v>
      </c>
      <c r="AC18" s="1">
        <v>44820</v>
      </c>
      <c r="AD18" s="61">
        <v>44823</v>
      </c>
      <c r="AE18" s="61"/>
      <c r="AF18" s="61"/>
      <c r="AG18" s="1" t="s">
        <v>766</v>
      </c>
      <c r="AH18" s="537" t="s">
        <v>2251</v>
      </c>
      <c r="AI18" s="537" t="s">
        <v>86</v>
      </c>
      <c r="AK18" s="537"/>
      <c r="AL18" s="1" t="s">
        <v>2255</v>
      </c>
      <c r="AM18" s="537" t="s">
        <v>2238</v>
      </c>
      <c r="AN18" s="537"/>
    </row>
    <row r="19" spans="1:40" hidden="1">
      <c r="A19" s="537" t="s">
        <v>54</v>
      </c>
      <c r="B19" s="1">
        <v>220915</v>
      </c>
      <c r="C19" s="1">
        <v>5482</v>
      </c>
      <c r="D19" s="537" t="s">
        <v>2700</v>
      </c>
      <c r="E19" s="537" t="s">
        <v>3459</v>
      </c>
      <c r="F19" t="s">
        <v>3112</v>
      </c>
      <c r="G19" t="s">
        <v>3456</v>
      </c>
      <c r="H19" s="537" t="s">
        <v>1654</v>
      </c>
      <c r="I19" s="537" t="s">
        <v>1655</v>
      </c>
      <c r="J19" s="537" t="s">
        <v>18</v>
      </c>
      <c r="K19" s="537" t="s">
        <v>57</v>
      </c>
      <c r="L19" s="61">
        <v>31900</v>
      </c>
      <c r="M19" s="1">
        <v>36</v>
      </c>
      <c r="N19" s="1">
        <v>1300</v>
      </c>
      <c r="P19" s="1">
        <v>1700</v>
      </c>
      <c r="Q19" s="537"/>
      <c r="R19" s="1">
        <v>400</v>
      </c>
      <c r="S19">
        <v>320000</v>
      </c>
      <c r="T19">
        <v>16015.999999999998</v>
      </c>
      <c r="U19" t="s">
        <v>2639</v>
      </c>
      <c r="V19">
        <v>29280</v>
      </c>
      <c r="W19" s="1">
        <v>46164</v>
      </c>
      <c r="X19" s="537" t="s">
        <v>65</v>
      </c>
      <c r="Y19" s="537" t="s">
        <v>60</v>
      </c>
      <c r="Z19" s="1" t="s">
        <v>3113</v>
      </c>
      <c r="AA19" s="537" t="s">
        <v>3114</v>
      </c>
      <c r="AB19" s="537" t="s">
        <v>3115</v>
      </c>
      <c r="AC19" s="1">
        <v>44820</v>
      </c>
      <c r="AD19" s="61">
        <v>44823</v>
      </c>
      <c r="AE19" s="61"/>
      <c r="AF19" s="61"/>
      <c r="AG19" s="1" t="s">
        <v>766</v>
      </c>
      <c r="AH19" s="537" t="s">
        <v>1655</v>
      </c>
      <c r="AI19" s="537" t="s">
        <v>86</v>
      </c>
      <c r="AJ19" s="1">
        <v>538</v>
      </c>
      <c r="AK19" s="537" t="s">
        <v>1523</v>
      </c>
      <c r="AL19" s="1" t="s">
        <v>2256</v>
      </c>
      <c r="AM19" s="537" t="s">
        <v>2238</v>
      </c>
      <c r="AN19" s="537"/>
    </row>
    <row r="20" spans="1:40" hidden="1">
      <c r="A20" s="537" t="s">
        <v>179</v>
      </c>
      <c r="B20" s="1">
        <v>220922</v>
      </c>
      <c r="C20" s="1">
        <v>5493</v>
      </c>
      <c r="D20" s="537" t="s">
        <v>2700</v>
      </c>
      <c r="E20" s="537" t="s">
        <v>3091</v>
      </c>
      <c r="F20" t="s">
        <v>3092</v>
      </c>
      <c r="G20" t="s">
        <v>3081</v>
      </c>
      <c r="H20" s="537" t="s">
        <v>2271</v>
      </c>
      <c r="I20" s="537" t="s">
        <v>2272</v>
      </c>
      <c r="J20" s="537" t="s">
        <v>18</v>
      </c>
      <c r="K20" s="537" t="s">
        <v>57</v>
      </c>
      <c r="L20" s="61">
        <v>34978</v>
      </c>
      <c r="M20" s="1">
        <v>28</v>
      </c>
      <c r="N20" s="1">
        <v>1300</v>
      </c>
      <c r="P20" s="1">
        <v>1700</v>
      </c>
      <c r="Q20" s="537"/>
      <c r="R20" s="1">
        <v>400</v>
      </c>
      <c r="S20">
        <v>300000</v>
      </c>
      <c r="T20">
        <v>15014.999999999998</v>
      </c>
      <c r="U20" t="s">
        <v>2639</v>
      </c>
      <c r="V20">
        <v>27450</v>
      </c>
      <c r="W20" s="1">
        <v>46128</v>
      </c>
      <c r="X20" s="537" t="s">
        <v>65</v>
      </c>
      <c r="Y20" s="537" t="s">
        <v>60</v>
      </c>
      <c r="Z20" s="1" t="s">
        <v>2449</v>
      </c>
      <c r="AA20" s="537" t="s">
        <v>2450</v>
      </c>
      <c r="AB20" s="537" t="s">
        <v>2451</v>
      </c>
      <c r="AD20" s="61">
        <v>44830</v>
      </c>
      <c r="AE20" s="61">
        <v>45198</v>
      </c>
      <c r="AF20" s="61"/>
      <c r="AG20" s="1" t="s">
        <v>766</v>
      </c>
      <c r="AH20" s="537"/>
      <c r="AI20" s="537"/>
      <c r="AK20" s="537"/>
      <c r="AM20" s="537" t="s">
        <v>2448</v>
      </c>
      <c r="AN20" s="537"/>
    </row>
    <row r="21" spans="1:40" hidden="1">
      <c r="A21" s="537" t="s">
        <v>54</v>
      </c>
      <c r="B21" s="1">
        <v>221010</v>
      </c>
      <c r="C21" s="1">
        <v>5501</v>
      </c>
      <c r="D21" s="537" t="s">
        <v>2700</v>
      </c>
      <c r="E21" s="537" t="s">
        <v>3459</v>
      </c>
      <c r="F21" t="s">
        <v>3112</v>
      </c>
      <c r="G21" t="s">
        <v>3456</v>
      </c>
      <c r="H21" s="537" t="s">
        <v>2480</v>
      </c>
      <c r="I21" s="537" t="s">
        <v>2481</v>
      </c>
      <c r="J21" s="537" t="s">
        <v>18</v>
      </c>
      <c r="K21" s="537" t="s">
        <v>57</v>
      </c>
      <c r="L21" s="61">
        <v>35133</v>
      </c>
      <c r="M21" s="1">
        <v>27</v>
      </c>
      <c r="N21" s="1">
        <v>1300</v>
      </c>
      <c r="P21" s="1">
        <v>1700</v>
      </c>
      <c r="Q21" s="537"/>
      <c r="R21" s="1">
        <v>400</v>
      </c>
      <c r="S21">
        <v>300000</v>
      </c>
      <c r="T21">
        <v>15014.999999999998</v>
      </c>
      <c r="U21" t="s">
        <v>2639</v>
      </c>
      <c r="V21">
        <v>27450</v>
      </c>
      <c r="W21" s="1">
        <v>45794</v>
      </c>
      <c r="X21" s="537" t="s">
        <v>65</v>
      </c>
      <c r="Y21" s="537" t="s">
        <v>60</v>
      </c>
      <c r="Z21" s="1" t="s">
        <v>2709</v>
      </c>
      <c r="AA21" s="537" t="s">
        <v>2710</v>
      </c>
      <c r="AB21" s="537" t="s">
        <v>2711</v>
      </c>
      <c r="AC21" s="1" t="s">
        <v>63</v>
      </c>
      <c r="AD21" s="61">
        <v>44858</v>
      </c>
      <c r="AE21" s="61"/>
      <c r="AF21" s="61">
        <v>44983</v>
      </c>
      <c r="AG21" s="1">
        <v>44858</v>
      </c>
      <c r="AH21" s="537"/>
      <c r="AI21" s="537"/>
      <c r="AK21" s="537"/>
      <c r="AM21" s="537" t="s">
        <v>2482</v>
      </c>
      <c r="AN21" s="537"/>
    </row>
    <row r="22" spans="1:40" hidden="1">
      <c r="A22" s="537" t="s">
        <v>54</v>
      </c>
      <c r="B22" s="1">
        <v>221103</v>
      </c>
      <c r="C22" s="1">
        <v>5509</v>
      </c>
      <c r="D22" s="537" t="s">
        <v>2700</v>
      </c>
      <c r="E22" s="537" t="s">
        <v>3091</v>
      </c>
      <c r="F22" t="s">
        <v>3458</v>
      </c>
      <c r="G22" t="s">
        <v>3456</v>
      </c>
      <c r="H22" s="537" t="s">
        <v>2519</v>
      </c>
      <c r="I22" s="537" t="s">
        <v>2520</v>
      </c>
      <c r="J22" s="537" t="s">
        <v>17</v>
      </c>
      <c r="K22" s="537" t="s">
        <v>57</v>
      </c>
      <c r="L22" s="61">
        <v>35464</v>
      </c>
      <c r="M22" s="1">
        <v>26</v>
      </c>
      <c r="N22" s="1">
        <v>1300</v>
      </c>
      <c r="P22" s="1">
        <v>1700</v>
      </c>
      <c r="Q22" s="537"/>
      <c r="R22" s="1">
        <v>400</v>
      </c>
      <c r="S22">
        <v>280000</v>
      </c>
      <c r="T22">
        <v>14014</v>
      </c>
      <c r="U22" t="s">
        <v>2639</v>
      </c>
      <c r="V22">
        <v>25620</v>
      </c>
      <c r="W22" s="1">
        <v>46463</v>
      </c>
      <c r="X22" s="537" t="s">
        <v>65</v>
      </c>
      <c r="Y22" s="537" t="s">
        <v>60</v>
      </c>
      <c r="Z22" s="1" t="s">
        <v>2606</v>
      </c>
      <c r="AA22" s="537" t="s">
        <v>2607</v>
      </c>
      <c r="AB22" s="537" t="s">
        <v>2713</v>
      </c>
      <c r="AD22" s="61">
        <v>44880</v>
      </c>
      <c r="AE22" s="61"/>
      <c r="AF22" s="61"/>
      <c r="AG22" s="1" t="s">
        <v>2516</v>
      </c>
      <c r="AH22" s="537"/>
      <c r="AI22" s="537"/>
      <c r="AK22" s="537"/>
      <c r="AM22" s="537" t="s">
        <v>2608</v>
      </c>
      <c r="AN22" s="537"/>
    </row>
    <row r="23" spans="1:40" hidden="1">
      <c r="A23" s="537" t="s">
        <v>54</v>
      </c>
      <c r="B23" s="1">
        <v>221217</v>
      </c>
      <c r="C23" s="1">
        <v>5516</v>
      </c>
      <c r="D23" s="537" t="s">
        <v>2745</v>
      </c>
      <c r="E23" s="537" t="s">
        <v>3120</v>
      </c>
      <c r="F23" t="s">
        <v>3121</v>
      </c>
      <c r="G23" t="s">
        <v>3456</v>
      </c>
      <c r="H23" s="537" t="s">
        <v>2746</v>
      </c>
      <c r="I23" s="537" t="s">
        <v>2747</v>
      </c>
      <c r="J23" s="537" t="s">
        <v>18</v>
      </c>
      <c r="K23" s="537" t="s">
        <v>57</v>
      </c>
      <c r="L23" s="61">
        <v>34773</v>
      </c>
      <c r="M23" s="1">
        <v>28</v>
      </c>
      <c r="N23" s="1">
        <v>1300</v>
      </c>
      <c r="P23" s="1">
        <v>1700</v>
      </c>
      <c r="Q23" s="537"/>
      <c r="R23" s="1">
        <v>400</v>
      </c>
      <c r="S23">
        <v>300000</v>
      </c>
      <c r="T23">
        <v>15014.999999999998</v>
      </c>
      <c r="U23" t="s">
        <v>2639</v>
      </c>
      <c r="V23">
        <v>27450</v>
      </c>
      <c r="W23" s="1">
        <v>45319</v>
      </c>
      <c r="X23" s="537" t="s">
        <v>59</v>
      </c>
      <c r="Y23" s="537" t="s">
        <v>60</v>
      </c>
      <c r="Z23" s="1" t="s">
        <v>2748</v>
      </c>
      <c r="AA23" s="537" t="s">
        <v>2720</v>
      </c>
      <c r="AB23" s="537" t="s">
        <v>2749</v>
      </c>
      <c r="AD23" s="61">
        <v>44907</v>
      </c>
      <c r="AE23" s="61">
        <v>45282</v>
      </c>
      <c r="AF23" s="61"/>
      <c r="AG23" s="1" t="s">
        <v>2724</v>
      </c>
      <c r="AH23" s="537"/>
      <c r="AI23" s="537"/>
      <c r="AK23" s="537"/>
      <c r="AM23" s="537" t="s">
        <v>2733</v>
      </c>
      <c r="AN23" s="537"/>
    </row>
    <row r="24" spans="1:40" hidden="1">
      <c r="A24" s="537" t="s">
        <v>54</v>
      </c>
      <c r="B24" s="1">
        <v>221218</v>
      </c>
      <c r="C24" s="1">
        <v>5518</v>
      </c>
      <c r="D24" s="537" t="s">
        <v>2745</v>
      </c>
      <c r="E24" s="537" t="s">
        <v>3120</v>
      </c>
      <c r="F24" s="1" t="s">
        <v>3121</v>
      </c>
      <c r="G24" t="s">
        <v>3456</v>
      </c>
      <c r="H24" s="537" t="s">
        <v>2768</v>
      </c>
      <c r="I24" s="537" t="s">
        <v>2769</v>
      </c>
      <c r="J24" s="537" t="s">
        <v>17</v>
      </c>
      <c r="K24" s="537" t="s">
        <v>57</v>
      </c>
      <c r="L24" s="61">
        <v>32925</v>
      </c>
      <c r="M24" s="1">
        <v>33</v>
      </c>
      <c r="N24" s="1">
        <v>1300</v>
      </c>
      <c r="P24" s="1">
        <v>1700</v>
      </c>
      <c r="Q24" s="537"/>
      <c r="R24" s="1">
        <v>400</v>
      </c>
      <c r="S24">
        <v>280000</v>
      </c>
      <c r="T24">
        <v>14014</v>
      </c>
      <c r="U24" t="s">
        <v>2639</v>
      </c>
      <c r="V24">
        <v>25620</v>
      </c>
      <c r="W24" s="1">
        <v>46194</v>
      </c>
      <c r="X24" s="537" t="s">
        <v>65</v>
      </c>
      <c r="Y24" s="537" t="s">
        <v>60</v>
      </c>
      <c r="Z24" s="1" t="s">
        <v>2709</v>
      </c>
      <c r="AA24" s="537" t="s">
        <v>2710</v>
      </c>
      <c r="AB24" s="537" t="s">
        <v>2770</v>
      </c>
      <c r="AD24" s="61">
        <v>44914</v>
      </c>
      <c r="AE24" s="61"/>
      <c r="AF24" s="61"/>
      <c r="AG24" s="1" t="s">
        <v>2771</v>
      </c>
      <c r="AH24" s="537"/>
      <c r="AI24" s="537"/>
      <c r="AK24" s="537"/>
      <c r="AM24" s="537" t="s">
        <v>2772</v>
      </c>
      <c r="AN24" s="537"/>
    </row>
    <row r="25" spans="1:40" hidden="1">
      <c r="A25" s="537" t="s">
        <v>54</v>
      </c>
      <c r="B25" s="1">
        <v>230102</v>
      </c>
      <c r="C25" s="1">
        <v>5519</v>
      </c>
      <c r="D25" s="537" t="s">
        <v>2745</v>
      </c>
      <c r="E25" s="537" t="s">
        <v>3120</v>
      </c>
      <c r="F25" s="1" t="s">
        <v>3121</v>
      </c>
      <c r="G25" t="s">
        <v>3456</v>
      </c>
      <c r="H25" s="537" t="s">
        <v>2773</v>
      </c>
      <c r="I25" s="537" t="s">
        <v>2774</v>
      </c>
      <c r="J25" s="537" t="s">
        <v>17</v>
      </c>
      <c r="K25" s="537" t="s">
        <v>57</v>
      </c>
      <c r="L25" s="61">
        <v>33671</v>
      </c>
      <c r="M25" s="1">
        <v>31</v>
      </c>
      <c r="N25" s="1">
        <v>1300</v>
      </c>
      <c r="P25" s="1">
        <v>1700</v>
      </c>
      <c r="Q25" s="537"/>
      <c r="R25" s="1">
        <v>400</v>
      </c>
      <c r="S25">
        <v>300000</v>
      </c>
      <c r="T25">
        <v>15014.999999999998</v>
      </c>
      <c r="U25" t="s">
        <v>2639</v>
      </c>
      <c r="V25">
        <v>27450</v>
      </c>
      <c r="W25" s="1">
        <v>45457</v>
      </c>
      <c r="X25" s="537" t="s">
        <v>65</v>
      </c>
      <c r="Y25" s="537" t="s">
        <v>60</v>
      </c>
      <c r="Z25" s="1" t="s">
        <v>2775</v>
      </c>
      <c r="AA25" s="537" t="s">
        <v>2776</v>
      </c>
      <c r="AB25" s="537" t="s">
        <v>2777</v>
      </c>
      <c r="AC25" s="1" t="s">
        <v>63</v>
      </c>
      <c r="AD25" s="61">
        <v>44932</v>
      </c>
      <c r="AE25" s="61"/>
      <c r="AF25" s="61"/>
      <c r="AG25" s="1" t="s">
        <v>2778</v>
      </c>
      <c r="AH25" s="537"/>
      <c r="AI25" s="537"/>
      <c r="AK25" s="537"/>
      <c r="AM25" s="537" t="s">
        <v>2779</v>
      </c>
      <c r="AN25" s="537"/>
    </row>
    <row r="26" spans="1:40" hidden="1">
      <c r="A26" s="537" t="s">
        <v>54</v>
      </c>
      <c r="B26" s="1">
        <v>230101</v>
      </c>
      <c r="C26" s="1">
        <v>5520</v>
      </c>
      <c r="D26" s="537" t="s">
        <v>2700</v>
      </c>
      <c r="E26" s="537" t="s">
        <v>3459</v>
      </c>
      <c r="F26" t="s">
        <v>3112</v>
      </c>
      <c r="G26" t="s">
        <v>3456</v>
      </c>
      <c r="H26" s="537" t="s">
        <v>2780</v>
      </c>
      <c r="I26" s="537" t="s">
        <v>2781</v>
      </c>
      <c r="J26" s="537" t="s">
        <v>18</v>
      </c>
      <c r="K26" s="537" t="s">
        <v>2782</v>
      </c>
      <c r="L26" s="61">
        <v>33164</v>
      </c>
      <c r="M26" s="1">
        <v>33</v>
      </c>
      <c r="N26" s="1">
        <v>1300</v>
      </c>
      <c r="P26" s="1">
        <v>1700</v>
      </c>
      <c r="Q26" s="537"/>
      <c r="R26" s="1">
        <v>400</v>
      </c>
      <c r="S26">
        <v>320000</v>
      </c>
      <c r="T26">
        <v>16015.999999999998</v>
      </c>
      <c r="U26" t="s">
        <v>2639</v>
      </c>
      <c r="V26">
        <v>29280</v>
      </c>
      <c r="W26" s="1">
        <v>45405</v>
      </c>
      <c r="X26" s="537" t="s">
        <v>65</v>
      </c>
      <c r="Y26" s="537" t="s">
        <v>1568</v>
      </c>
      <c r="Z26" s="1" t="s">
        <v>2783</v>
      </c>
      <c r="AA26" s="537" t="s">
        <v>2784</v>
      </c>
      <c r="AB26" s="537" t="s">
        <v>2785</v>
      </c>
      <c r="AC26" s="1">
        <v>44924</v>
      </c>
      <c r="AD26" s="61">
        <v>44932</v>
      </c>
      <c r="AE26" s="61"/>
      <c r="AF26" s="61"/>
      <c r="AG26" s="1" t="s">
        <v>2786</v>
      </c>
      <c r="AH26" s="537"/>
      <c r="AI26" s="537"/>
      <c r="AK26" s="537"/>
      <c r="AM26" s="537" t="s">
        <v>2787</v>
      </c>
      <c r="AN26" s="537"/>
    </row>
    <row r="27" spans="1:40" hidden="1">
      <c r="A27" s="537" t="s">
        <v>54</v>
      </c>
      <c r="B27" s="1">
        <v>230202</v>
      </c>
      <c r="C27" s="1">
        <v>5534</v>
      </c>
      <c r="D27" s="537" t="s">
        <v>2745</v>
      </c>
      <c r="E27" s="537" t="s">
        <v>3120</v>
      </c>
      <c r="F27" s="1" t="s">
        <v>3121</v>
      </c>
      <c r="G27" t="s">
        <v>3456</v>
      </c>
      <c r="H27" s="537" t="s">
        <v>2819</v>
      </c>
      <c r="I27" s="537" t="s">
        <v>2820</v>
      </c>
      <c r="J27" s="537" t="s">
        <v>18</v>
      </c>
      <c r="K27" s="537" t="s">
        <v>57</v>
      </c>
      <c r="L27" s="61">
        <v>35967</v>
      </c>
      <c r="M27" s="1">
        <v>25</v>
      </c>
      <c r="N27" s="1">
        <v>1300</v>
      </c>
      <c r="P27" s="1">
        <v>1700</v>
      </c>
      <c r="Q27" s="537"/>
      <c r="R27" s="1">
        <v>400</v>
      </c>
      <c r="S27">
        <v>300000</v>
      </c>
      <c r="T27">
        <v>15014.999999999998</v>
      </c>
      <c r="U27" t="s">
        <v>2639</v>
      </c>
      <c r="V27">
        <v>27450</v>
      </c>
      <c r="W27" s="1">
        <v>45321</v>
      </c>
      <c r="X27" s="537" t="s">
        <v>59</v>
      </c>
      <c r="Y27" s="537" t="s">
        <v>60</v>
      </c>
      <c r="Z27" s="1" t="s">
        <v>2187</v>
      </c>
      <c r="AA27" s="537" t="s">
        <v>2514</v>
      </c>
      <c r="AB27" s="537" t="s">
        <v>2214</v>
      </c>
      <c r="AD27" s="61">
        <v>44959</v>
      </c>
      <c r="AE27" s="61"/>
      <c r="AF27" s="61"/>
      <c r="AG27" s="1" t="s">
        <v>2817</v>
      </c>
      <c r="AH27" s="537"/>
      <c r="AI27" s="537"/>
      <c r="AK27" s="537"/>
      <c r="AM27" s="537" t="s">
        <v>2821</v>
      </c>
      <c r="AN27" s="537"/>
    </row>
    <row r="28" spans="1:40" hidden="1">
      <c r="A28" s="537" t="s">
        <v>54</v>
      </c>
      <c r="B28" s="1">
        <v>230203</v>
      </c>
      <c r="C28" s="1">
        <v>5535</v>
      </c>
      <c r="D28" s="537" t="s">
        <v>2745</v>
      </c>
      <c r="E28" s="537" t="s">
        <v>3120</v>
      </c>
      <c r="F28" t="s">
        <v>3121</v>
      </c>
      <c r="G28" t="s">
        <v>3456</v>
      </c>
      <c r="H28" s="537" t="s">
        <v>2822</v>
      </c>
      <c r="I28" s="537" t="s">
        <v>2823</v>
      </c>
      <c r="J28" s="537" t="s">
        <v>18</v>
      </c>
      <c r="K28" s="537" t="s">
        <v>57</v>
      </c>
      <c r="L28" s="61">
        <v>36051</v>
      </c>
      <c r="M28" s="1">
        <v>25</v>
      </c>
      <c r="N28" s="1">
        <v>1300</v>
      </c>
      <c r="P28" s="1">
        <v>1700</v>
      </c>
      <c r="Q28" s="537"/>
      <c r="R28" s="1">
        <v>400</v>
      </c>
      <c r="S28">
        <v>300000</v>
      </c>
      <c r="T28">
        <v>15014.999999999998</v>
      </c>
      <c r="U28" t="s">
        <v>2639</v>
      </c>
      <c r="V28">
        <v>27450</v>
      </c>
      <c r="W28" s="1">
        <v>45321</v>
      </c>
      <c r="X28" s="537" t="s">
        <v>59</v>
      </c>
      <c r="Y28" s="537" t="s">
        <v>60</v>
      </c>
      <c r="Z28" s="1" t="s">
        <v>2187</v>
      </c>
      <c r="AA28" s="537" t="s">
        <v>2514</v>
      </c>
      <c r="AB28" s="537" t="s">
        <v>2214</v>
      </c>
      <c r="AD28" s="61">
        <v>44959</v>
      </c>
      <c r="AE28" s="61"/>
      <c r="AF28" s="61"/>
      <c r="AG28" s="1" t="s">
        <v>2817</v>
      </c>
      <c r="AH28" s="537"/>
      <c r="AI28" s="537"/>
      <c r="AK28" s="537"/>
      <c r="AM28" s="537" t="s">
        <v>2821</v>
      </c>
      <c r="AN28" s="537"/>
    </row>
    <row r="29" spans="1:40" hidden="1">
      <c r="A29" s="537" t="s">
        <v>54</v>
      </c>
      <c r="B29" s="1">
        <v>230204</v>
      </c>
      <c r="C29" s="1">
        <v>5536</v>
      </c>
      <c r="D29" s="537" t="s">
        <v>2745</v>
      </c>
      <c r="E29" s="537" t="s">
        <v>3120</v>
      </c>
      <c r="F29" s="1" t="s">
        <v>3121</v>
      </c>
      <c r="G29" t="s">
        <v>3456</v>
      </c>
      <c r="H29" s="537" t="s">
        <v>2824</v>
      </c>
      <c r="I29" s="537" t="s">
        <v>2825</v>
      </c>
      <c r="J29" s="537" t="s">
        <v>18</v>
      </c>
      <c r="K29" s="537" t="s">
        <v>57</v>
      </c>
      <c r="L29" s="61">
        <v>36058</v>
      </c>
      <c r="M29" s="1">
        <v>25</v>
      </c>
      <c r="N29" s="1">
        <v>1300</v>
      </c>
      <c r="P29" s="1">
        <v>1700</v>
      </c>
      <c r="Q29" s="537"/>
      <c r="R29" s="1">
        <v>400</v>
      </c>
      <c r="S29">
        <v>280000</v>
      </c>
      <c r="T29">
        <v>14014</v>
      </c>
      <c r="U29" t="s">
        <v>2639</v>
      </c>
      <c r="V29">
        <v>25620</v>
      </c>
      <c r="W29" s="1">
        <v>45321</v>
      </c>
      <c r="X29" s="537" t="s">
        <v>59</v>
      </c>
      <c r="Y29" s="537" t="s">
        <v>60</v>
      </c>
      <c r="Z29" s="1" t="s">
        <v>2748</v>
      </c>
      <c r="AA29" s="537" t="s">
        <v>2720</v>
      </c>
      <c r="AB29" s="537" t="s">
        <v>2749</v>
      </c>
      <c r="AD29" s="61">
        <v>44959</v>
      </c>
      <c r="AE29" s="61"/>
      <c r="AF29" s="61"/>
      <c r="AG29" s="1" t="s">
        <v>2817</v>
      </c>
      <c r="AH29" s="537"/>
      <c r="AI29" s="537"/>
      <c r="AK29" s="537"/>
      <c r="AM29" s="537" t="s">
        <v>2821</v>
      </c>
      <c r="AN29" s="537"/>
    </row>
    <row r="30" spans="1:40" hidden="1">
      <c r="A30" s="537" t="s">
        <v>54</v>
      </c>
      <c r="B30" s="1">
        <v>230219</v>
      </c>
      <c r="C30" s="1">
        <v>5538</v>
      </c>
      <c r="D30" s="537" t="s">
        <v>2700</v>
      </c>
      <c r="E30" s="537" t="s">
        <v>3460</v>
      </c>
      <c r="F30" s="1" t="s">
        <v>3129</v>
      </c>
      <c r="G30" t="s">
        <v>3456</v>
      </c>
      <c r="H30" s="537" t="s">
        <v>2867</v>
      </c>
      <c r="I30" s="537" t="s">
        <v>2868</v>
      </c>
      <c r="J30" s="537" t="s">
        <v>18</v>
      </c>
      <c r="K30" s="537" t="s">
        <v>57</v>
      </c>
      <c r="L30" s="61">
        <v>34874</v>
      </c>
      <c r="M30" s="1">
        <v>28</v>
      </c>
      <c r="N30" s="1">
        <v>1300</v>
      </c>
      <c r="P30" s="1">
        <v>1700</v>
      </c>
      <c r="Q30" s="537"/>
      <c r="R30" s="1">
        <v>400</v>
      </c>
      <c r="S30">
        <v>260000</v>
      </c>
      <c r="T30">
        <v>13013</v>
      </c>
      <c r="U30" t="s">
        <v>2639</v>
      </c>
      <c r="V30">
        <v>23790</v>
      </c>
      <c r="W30" s="1">
        <v>46128</v>
      </c>
      <c r="X30" s="537" t="s">
        <v>65</v>
      </c>
      <c r="Y30" s="537" t="s">
        <v>60</v>
      </c>
      <c r="Z30" s="1" t="s">
        <v>2449</v>
      </c>
      <c r="AA30" s="537" t="s">
        <v>2450</v>
      </c>
      <c r="AB30" s="537" t="s">
        <v>2451</v>
      </c>
      <c r="AD30" s="61">
        <v>44984</v>
      </c>
      <c r="AE30" s="61"/>
      <c r="AF30" s="61"/>
      <c r="AG30" s="1" t="s">
        <v>2814</v>
      </c>
      <c r="AH30" s="537"/>
      <c r="AI30" s="537"/>
      <c r="AK30" s="537"/>
      <c r="AM30" s="537" t="s">
        <v>2843</v>
      </c>
      <c r="AN30" s="537"/>
    </row>
    <row r="31" spans="1:40" hidden="1">
      <c r="A31" s="537" t="s">
        <v>179</v>
      </c>
      <c r="B31" s="1">
        <v>230315</v>
      </c>
      <c r="C31" s="1">
        <v>5543</v>
      </c>
      <c r="D31" s="537" t="s">
        <v>2700</v>
      </c>
      <c r="E31" s="537" t="s">
        <v>3079</v>
      </c>
      <c r="F31" t="s">
        <v>3108</v>
      </c>
      <c r="G31" t="s">
        <v>3081</v>
      </c>
      <c r="H31" s="537" t="s">
        <v>2914</v>
      </c>
      <c r="I31" s="537" t="s">
        <v>2915</v>
      </c>
      <c r="J31" s="537" t="s">
        <v>18</v>
      </c>
      <c r="K31" s="537" t="s">
        <v>57</v>
      </c>
      <c r="L31" s="61">
        <v>30065</v>
      </c>
      <c r="M31" s="1">
        <v>41</v>
      </c>
      <c r="N31" s="1">
        <v>1300</v>
      </c>
      <c r="P31" s="1">
        <v>1700</v>
      </c>
      <c r="Q31" s="537"/>
      <c r="R31" s="1">
        <v>400</v>
      </c>
      <c r="S31">
        <v>180000</v>
      </c>
      <c r="T31">
        <v>9009</v>
      </c>
      <c r="U31">
        <v>1637.9999999999982</v>
      </c>
      <c r="V31">
        <v>16470</v>
      </c>
      <c r="W31" s="1">
        <v>45370</v>
      </c>
      <c r="X31" s="537" t="s">
        <v>65</v>
      </c>
      <c r="Y31" s="537" t="s">
        <v>60</v>
      </c>
      <c r="Z31" s="1" t="s">
        <v>2783</v>
      </c>
      <c r="AA31" s="537" t="s">
        <v>2784</v>
      </c>
      <c r="AB31" s="537" t="s">
        <v>3093</v>
      </c>
      <c r="AC31" s="1">
        <v>45017</v>
      </c>
      <c r="AD31" s="61">
        <v>45007</v>
      </c>
      <c r="AE31" s="61">
        <v>45147</v>
      </c>
      <c r="AF31" s="61"/>
      <c r="AG31" s="1" t="s">
        <v>2877</v>
      </c>
      <c r="AH31" s="537"/>
      <c r="AI31" s="537"/>
      <c r="AK31" s="537"/>
      <c r="AM31" s="537" t="s">
        <v>3139</v>
      </c>
      <c r="AN31" s="537"/>
    </row>
    <row r="32" spans="1:40" hidden="1">
      <c r="A32" s="537" t="s">
        <v>54</v>
      </c>
      <c r="B32" s="1">
        <v>220504</v>
      </c>
      <c r="C32" s="1">
        <v>5547</v>
      </c>
      <c r="D32" s="537" t="s">
        <v>2700</v>
      </c>
      <c r="E32" s="537" t="s">
        <v>3091</v>
      </c>
      <c r="F32" t="s">
        <v>3455</v>
      </c>
      <c r="G32" t="s">
        <v>3456</v>
      </c>
      <c r="H32" s="537" t="s">
        <v>595</v>
      </c>
      <c r="I32" s="537" t="s">
        <v>596</v>
      </c>
      <c r="J32" s="537" t="s">
        <v>18</v>
      </c>
      <c r="K32" s="537" t="s">
        <v>57</v>
      </c>
      <c r="L32" s="61">
        <v>35828</v>
      </c>
      <c r="M32" s="1">
        <v>25</v>
      </c>
      <c r="N32" s="1">
        <v>1300</v>
      </c>
      <c r="P32" s="1">
        <v>1700</v>
      </c>
      <c r="Q32" s="537"/>
      <c r="R32" s="1">
        <v>400</v>
      </c>
      <c r="S32">
        <v>300000</v>
      </c>
      <c r="T32">
        <v>15014.999999999998</v>
      </c>
      <c r="U32" t="s">
        <v>2639</v>
      </c>
      <c r="V32">
        <v>27450</v>
      </c>
      <c r="W32" s="1">
        <v>45407</v>
      </c>
      <c r="X32" s="537" t="s">
        <v>65</v>
      </c>
      <c r="Y32" s="537" t="s">
        <v>60</v>
      </c>
      <c r="Z32" s="1" t="s">
        <v>2783</v>
      </c>
      <c r="AA32" s="537" t="s">
        <v>2784</v>
      </c>
      <c r="AB32" s="537" t="s">
        <v>3093</v>
      </c>
      <c r="AC32" s="1">
        <v>45025</v>
      </c>
      <c r="AD32" s="61">
        <v>44690</v>
      </c>
      <c r="AE32" s="61"/>
      <c r="AF32" s="61"/>
      <c r="AG32" s="1" t="s">
        <v>589</v>
      </c>
      <c r="AH32" s="537"/>
      <c r="AI32" s="537"/>
      <c r="AK32" s="537"/>
      <c r="AL32" s="1" t="s">
        <v>1795</v>
      </c>
      <c r="AM32" s="537" t="s">
        <v>590</v>
      </c>
      <c r="AN32" s="537" t="s">
        <v>3094</v>
      </c>
    </row>
    <row r="33" spans="1:40" hidden="1">
      <c r="A33" s="537" t="s">
        <v>54</v>
      </c>
      <c r="B33" s="1">
        <v>220511</v>
      </c>
      <c r="C33" s="1">
        <v>5548</v>
      </c>
      <c r="D33" s="537" t="s">
        <v>2700</v>
      </c>
      <c r="E33" s="537" t="s">
        <v>3079</v>
      </c>
      <c r="F33" s="1" t="s">
        <v>3095</v>
      </c>
      <c r="G33" t="s">
        <v>3456</v>
      </c>
      <c r="H33" s="537" t="s">
        <v>604</v>
      </c>
      <c r="I33" s="537" t="s">
        <v>605</v>
      </c>
      <c r="J33" s="537" t="s">
        <v>18</v>
      </c>
      <c r="K33" s="537" t="s">
        <v>57</v>
      </c>
      <c r="L33" s="61">
        <v>34305</v>
      </c>
      <c r="M33" s="1">
        <v>30</v>
      </c>
      <c r="N33" s="1">
        <v>1300</v>
      </c>
      <c r="P33" s="1">
        <v>1700</v>
      </c>
      <c r="Q33" s="537"/>
      <c r="R33" s="1">
        <v>400</v>
      </c>
      <c r="S33">
        <v>280000</v>
      </c>
      <c r="T33">
        <v>14014</v>
      </c>
      <c r="U33" t="s">
        <v>2639</v>
      </c>
      <c r="V33">
        <v>25620</v>
      </c>
      <c r="W33" s="1">
        <v>45408</v>
      </c>
      <c r="X33" s="537" t="s">
        <v>65</v>
      </c>
      <c r="Y33" s="537" t="s">
        <v>60</v>
      </c>
      <c r="Z33" s="1" t="s">
        <v>2783</v>
      </c>
      <c r="AA33" s="537" t="s">
        <v>2784</v>
      </c>
      <c r="AB33" s="537" t="s">
        <v>3093</v>
      </c>
      <c r="AC33" s="1">
        <v>45025</v>
      </c>
      <c r="AD33" s="61">
        <v>44692</v>
      </c>
      <c r="AE33" s="61"/>
      <c r="AF33" s="61"/>
      <c r="AG33" s="1" t="s">
        <v>589</v>
      </c>
      <c r="AH33" s="537"/>
      <c r="AI33" s="537"/>
      <c r="AK33" s="537"/>
      <c r="AL33" s="1" t="s">
        <v>1795</v>
      </c>
      <c r="AM33" s="537" t="s">
        <v>601</v>
      </c>
      <c r="AN33" s="537" t="s">
        <v>3096</v>
      </c>
    </row>
    <row r="34" spans="1:40" hidden="1">
      <c r="A34" s="537" t="s">
        <v>54</v>
      </c>
      <c r="B34" s="1">
        <v>230403</v>
      </c>
      <c r="C34" s="1">
        <v>5550</v>
      </c>
      <c r="D34" s="537" t="s">
        <v>2700</v>
      </c>
      <c r="E34" s="537" t="s">
        <v>3459</v>
      </c>
      <c r="F34" s="1" t="s">
        <v>3112</v>
      </c>
      <c r="G34" t="s">
        <v>3456</v>
      </c>
      <c r="H34" s="537" t="s">
        <v>3147</v>
      </c>
      <c r="I34" s="537" t="s">
        <v>3148</v>
      </c>
      <c r="J34" s="537" t="s">
        <v>18</v>
      </c>
      <c r="K34" s="537" t="s">
        <v>57</v>
      </c>
      <c r="L34" s="61">
        <v>34497</v>
      </c>
      <c r="M34" s="1">
        <v>29</v>
      </c>
      <c r="N34" s="1">
        <v>1300</v>
      </c>
      <c r="P34" s="1">
        <v>1700</v>
      </c>
      <c r="Q34" s="537"/>
      <c r="R34" s="1">
        <v>400</v>
      </c>
      <c r="S34">
        <v>300000</v>
      </c>
      <c r="T34">
        <v>15014.999999999998</v>
      </c>
      <c r="U34" t="s">
        <v>2639</v>
      </c>
      <c r="V34">
        <v>27450</v>
      </c>
      <c r="W34" s="1">
        <v>46783</v>
      </c>
      <c r="X34" s="537" t="s">
        <v>65</v>
      </c>
      <c r="Y34" s="537" t="s">
        <v>60</v>
      </c>
      <c r="Z34" s="1" t="s">
        <v>2606</v>
      </c>
      <c r="AA34" s="537" t="s">
        <v>3149</v>
      </c>
      <c r="AB34" s="537" t="s">
        <v>3150</v>
      </c>
      <c r="AC34" s="1">
        <v>45044</v>
      </c>
      <c r="AD34" s="61">
        <v>45026</v>
      </c>
      <c r="AE34" s="61"/>
      <c r="AF34" s="61"/>
      <c r="AG34" s="1" t="s">
        <v>3145</v>
      </c>
      <c r="AH34" s="537"/>
      <c r="AI34" s="537"/>
      <c r="AK34" s="537"/>
      <c r="AM34" s="537" t="s">
        <v>3146</v>
      </c>
      <c r="AN34" s="537"/>
    </row>
    <row r="35" spans="1:40" hidden="1">
      <c r="A35" s="537" t="s">
        <v>54</v>
      </c>
      <c r="B35" s="1">
        <v>230404</v>
      </c>
      <c r="C35" s="1">
        <v>5551</v>
      </c>
      <c r="D35" s="537" t="s">
        <v>2700</v>
      </c>
      <c r="E35" s="537" t="s">
        <v>3459</v>
      </c>
      <c r="F35" s="1" t="s">
        <v>3112</v>
      </c>
      <c r="G35" t="s">
        <v>3456</v>
      </c>
      <c r="H35" s="537" t="s">
        <v>3151</v>
      </c>
      <c r="I35" s="537" t="s">
        <v>3152</v>
      </c>
      <c r="J35" s="537" t="s">
        <v>18</v>
      </c>
      <c r="K35" s="537" t="s">
        <v>57</v>
      </c>
      <c r="L35" s="61">
        <v>34497</v>
      </c>
      <c r="M35" s="1">
        <v>29</v>
      </c>
      <c r="N35" s="1">
        <v>1300</v>
      </c>
      <c r="P35" s="1">
        <v>1700</v>
      </c>
      <c r="Q35" s="537"/>
      <c r="R35" s="1">
        <v>400</v>
      </c>
      <c r="S35">
        <v>280000</v>
      </c>
      <c r="T35">
        <v>14014</v>
      </c>
      <c r="U35" t="s">
        <v>2639</v>
      </c>
      <c r="V35">
        <v>25620</v>
      </c>
      <c r="W35" s="1">
        <v>45566</v>
      </c>
      <c r="X35" s="537" t="s">
        <v>65</v>
      </c>
      <c r="Y35" s="537" t="s">
        <v>60</v>
      </c>
      <c r="Z35" s="1" t="s">
        <v>2783</v>
      </c>
      <c r="AA35" s="537" t="s">
        <v>2784</v>
      </c>
      <c r="AB35" s="537" t="s">
        <v>3093</v>
      </c>
      <c r="AC35" s="1">
        <v>45044</v>
      </c>
      <c r="AD35" s="61">
        <v>45026</v>
      </c>
      <c r="AE35" s="61"/>
      <c r="AF35" s="61"/>
      <c r="AG35" s="1" t="s">
        <v>3145</v>
      </c>
      <c r="AH35" s="537"/>
      <c r="AI35" s="537"/>
      <c r="AK35" s="537"/>
      <c r="AM35" s="537" t="s">
        <v>3146</v>
      </c>
      <c r="AN35" s="537"/>
    </row>
    <row r="36" spans="1:40" hidden="1">
      <c r="A36" s="537" t="s">
        <v>54</v>
      </c>
      <c r="B36" s="1">
        <v>230602</v>
      </c>
      <c r="C36" s="1">
        <v>5570</v>
      </c>
      <c r="D36" s="537" t="s">
        <v>2745</v>
      </c>
      <c r="E36" s="537" t="s">
        <v>3465</v>
      </c>
      <c r="F36" s="1" t="s">
        <v>3095</v>
      </c>
      <c r="G36" t="s">
        <v>3456</v>
      </c>
      <c r="H36" s="537" t="s">
        <v>3202</v>
      </c>
      <c r="I36" s="537" t="s">
        <v>3203</v>
      </c>
      <c r="J36" s="537" t="s">
        <v>18</v>
      </c>
      <c r="K36" s="537" t="s">
        <v>57</v>
      </c>
      <c r="L36" s="61">
        <v>33704</v>
      </c>
      <c r="M36" s="1">
        <v>31</v>
      </c>
      <c r="N36" s="1">
        <v>1300</v>
      </c>
      <c r="P36" s="1">
        <v>1700</v>
      </c>
      <c r="Q36" s="537"/>
      <c r="R36" s="1">
        <v>400</v>
      </c>
      <c r="S36">
        <v>180000</v>
      </c>
      <c r="T36">
        <v>9009</v>
      </c>
      <c r="U36" t="s">
        <v>2639</v>
      </c>
      <c r="V36">
        <v>16470</v>
      </c>
      <c r="W36" s="1">
        <v>46361</v>
      </c>
      <c r="X36" s="537" t="s">
        <v>65</v>
      </c>
      <c r="Y36" s="537" t="s">
        <v>60</v>
      </c>
      <c r="Z36" s="1" t="s">
        <v>3204</v>
      </c>
      <c r="AA36" s="537" t="s">
        <v>3205</v>
      </c>
      <c r="AB36" s="537" t="s">
        <v>3206</v>
      </c>
      <c r="AC36" s="1">
        <v>45077</v>
      </c>
      <c r="AD36" s="61">
        <v>45082</v>
      </c>
      <c r="AE36" s="61"/>
      <c r="AF36" s="61"/>
      <c r="AG36" s="1" t="s">
        <v>3207</v>
      </c>
      <c r="AH36" s="537"/>
      <c r="AI36" s="537"/>
      <c r="AK36" s="537"/>
      <c r="AM36" s="537" t="s">
        <v>3208</v>
      </c>
      <c r="AN36" s="537"/>
    </row>
    <row r="37" spans="1:40" hidden="1">
      <c r="A37" s="537" t="s">
        <v>179</v>
      </c>
      <c r="B37" s="1">
        <v>230708</v>
      </c>
      <c r="C37" s="1">
        <v>5578</v>
      </c>
      <c r="D37" s="537" t="s">
        <v>2700</v>
      </c>
      <c r="E37" s="537" t="s">
        <v>3079</v>
      </c>
      <c r="F37" t="s">
        <v>3095</v>
      </c>
      <c r="G37" t="s">
        <v>3456</v>
      </c>
      <c r="H37" s="537" t="s">
        <v>3274</v>
      </c>
      <c r="I37" s="537" t="s">
        <v>3275</v>
      </c>
      <c r="J37" s="537" t="s">
        <v>18</v>
      </c>
      <c r="K37" s="537" t="s">
        <v>57</v>
      </c>
      <c r="L37" s="61">
        <v>33552</v>
      </c>
      <c r="M37" s="1">
        <v>32</v>
      </c>
      <c r="N37" s="1">
        <v>1300</v>
      </c>
      <c r="P37" s="1">
        <v>1700</v>
      </c>
      <c r="Q37" s="537"/>
      <c r="R37" s="1">
        <v>400</v>
      </c>
      <c r="S37">
        <v>220000</v>
      </c>
      <c r="T37">
        <v>11011</v>
      </c>
      <c r="U37" t="s">
        <v>2639</v>
      </c>
      <c r="V37">
        <v>20130</v>
      </c>
      <c r="W37" s="1">
        <v>46103</v>
      </c>
      <c r="X37" s="537" t="s">
        <v>65</v>
      </c>
      <c r="Y37" s="537" t="s">
        <v>60</v>
      </c>
      <c r="Z37" s="1" t="s">
        <v>3204</v>
      </c>
      <c r="AA37" s="537" t="s">
        <v>3205</v>
      </c>
      <c r="AB37" s="537" t="s">
        <v>3206</v>
      </c>
      <c r="AC37" s="1">
        <v>45126</v>
      </c>
      <c r="AD37" s="61">
        <v>45128</v>
      </c>
      <c r="AE37" s="61">
        <v>45248</v>
      </c>
      <c r="AF37" s="61"/>
      <c r="AG37" s="1" t="s">
        <v>3276</v>
      </c>
      <c r="AH37" s="537"/>
      <c r="AI37" s="537"/>
      <c r="AK37" s="537"/>
      <c r="AM37" s="537" t="s">
        <v>3273</v>
      </c>
      <c r="AN37" s="537"/>
    </row>
    <row r="38" spans="1:40" hidden="1">
      <c r="A38" s="537" t="s">
        <v>54</v>
      </c>
      <c r="B38" s="1">
        <v>230815</v>
      </c>
      <c r="C38" s="1">
        <v>5579</v>
      </c>
      <c r="D38" s="537" t="s">
        <v>2745</v>
      </c>
      <c r="E38" s="537" t="s">
        <v>3120</v>
      </c>
      <c r="F38" t="s">
        <v>3121</v>
      </c>
      <c r="G38" t="s">
        <v>3456</v>
      </c>
      <c r="H38" s="537" t="s">
        <v>3336</v>
      </c>
      <c r="I38" s="537" t="s">
        <v>3337</v>
      </c>
      <c r="J38" s="537" t="s">
        <v>18</v>
      </c>
      <c r="K38" s="537" t="s">
        <v>57</v>
      </c>
      <c r="L38" s="61">
        <v>32314</v>
      </c>
      <c r="M38" s="1">
        <v>35</v>
      </c>
      <c r="N38" s="1">
        <v>1300</v>
      </c>
      <c r="P38" s="1">
        <v>1700</v>
      </c>
      <c r="Q38" s="537"/>
      <c r="R38" s="1">
        <v>400</v>
      </c>
      <c r="S38">
        <v>220000</v>
      </c>
      <c r="T38">
        <v>11011</v>
      </c>
      <c r="U38" t="s">
        <v>2639</v>
      </c>
      <c r="V38">
        <v>20130</v>
      </c>
      <c r="W38" s="1">
        <v>46548</v>
      </c>
      <c r="X38" s="537" t="s">
        <v>65</v>
      </c>
      <c r="Y38" s="537" t="s">
        <v>60</v>
      </c>
      <c r="Z38" s="1" t="s">
        <v>2187</v>
      </c>
      <c r="AA38" s="537" t="s">
        <v>2209</v>
      </c>
      <c r="AB38" s="537" t="s">
        <v>2210</v>
      </c>
      <c r="AD38" s="61">
        <v>45140</v>
      </c>
      <c r="AE38" s="61"/>
      <c r="AF38" s="61"/>
      <c r="AG38" s="1" t="s">
        <v>3338</v>
      </c>
      <c r="AH38" s="537"/>
      <c r="AI38" s="537"/>
      <c r="AK38" s="537"/>
      <c r="AM38" s="537" t="s">
        <v>3312</v>
      </c>
      <c r="AN38" s="537"/>
    </row>
    <row r="39" spans="1:40" hidden="1">
      <c r="A39" s="537" t="s">
        <v>54</v>
      </c>
      <c r="B39" s="1">
        <v>231004</v>
      </c>
      <c r="C39" s="1">
        <v>5600</v>
      </c>
      <c r="D39" s="537" t="s">
        <v>2700</v>
      </c>
      <c r="E39" s="537" t="s">
        <v>3091</v>
      </c>
      <c r="F39" t="s">
        <v>3458</v>
      </c>
      <c r="G39" t="s">
        <v>3456</v>
      </c>
      <c r="H39" s="537" t="s">
        <v>3437</v>
      </c>
      <c r="I39" s="537" t="s">
        <v>3438</v>
      </c>
      <c r="J39" s="537" t="s">
        <v>18</v>
      </c>
      <c r="K39" s="537" t="s">
        <v>57</v>
      </c>
      <c r="L39" s="61">
        <v>34038</v>
      </c>
      <c r="M39" s="1">
        <v>30</v>
      </c>
      <c r="N39" s="1">
        <v>1300</v>
      </c>
      <c r="P39" s="1">
        <v>1700</v>
      </c>
      <c r="Q39" s="537"/>
      <c r="R39" s="1">
        <v>400</v>
      </c>
      <c r="S39">
        <v>220000</v>
      </c>
      <c r="T39">
        <v>11011</v>
      </c>
      <c r="U39" t="s">
        <v>2639</v>
      </c>
      <c r="V39">
        <v>20130</v>
      </c>
      <c r="W39" s="1">
        <v>45535</v>
      </c>
      <c r="X39" s="537" t="s">
        <v>65</v>
      </c>
      <c r="Y39" s="537" t="s">
        <v>60</v>
      </c>
      <c r="Z39" s="1" t="s">
        <v>2449</v>
      </c>
      <c r="AA39" s="537" t="s">
        <v>2450</v>
      </c>
      <c r="AB39" s="537" t="s">
        <v>2451</v>
      </c>
      <c r="AD39" s="61">
        <v>45215</v>
      </c>
      <c r="AE39" s="61"/>
      <c r="AF39" s="61"/>
      <c r="AG39" s="1" t="s">
        <v>3473</v>
      </c>
      <c r="AH39" s="537"/>
      <c r="AI39" s="537"/>
      <c r="AK39" s="537"/>
      <c r="AM39" s="537" t="s">
        <v>3469</v>
      </c>
      <c r="AN39" s="537"/>
    </row>
    <row r="40" spans="1:40" hidden="1">
      <c r="A40" s="537" t="s">
        <v>54</v>
      </c>
      <c r="B40" s="1">
        <v>220802</v>
      </c>
      <c r="C40" s="1">
        <v>6545</v>
      </c>
      <c r="D40" s="537" t="s">
        <v>2165</v>
      </c>
      <c r="E40" s="537" t="s">
        <v>2699</v>
      </c>
      <c r="F40" t="s">
        <v>2376</v>
      </c>
      <c r="G40" t="s">
        <v>3103</v>
      </c>
      <c r="H40" s="537" t="s">
        <v>2166</v>
      </c>
      <c r="I40" s="537" t="s">
        <v>2167</v>
      </c>
      <c r="J40" s="537" t="s">
        <v>18</v>
      </c>
      <c r="K40" s="537" t="s">
        <v>57</v>
      </c>
      <c r="L40" s="61">
        <v>34604</v>
      </c>
      <c r="M40" s="1">
        <v>29</v>
      </c>
      <c r="N40" s="1">
        <v>1400</v>
      </c>
      <c r="P40" s="1">
        <v>1800</v>
      </c>
      <c r="Q40" s="537"/>
      <c r="R40" s="1">
        <v>400</v>
      </c>
      <c r="S40">
        <v>340000</v>
      </c>
      <c r="T40">
        <v>17017</v>
      </c>
      <c r="U40" t="s">
        <v>2639</v>
      </c>
      <c r="V40">
        <v>31110</v>
      </c>
      <c r="W40" s="1">
        <v>46214</v>
      </c>
      <c r="X40" s="537" t="s">
        <v>65</v>
      </c>
      <c r="Y40" s="537" t="s">
        <v>60</v>
      </c>
      <c r="Z40" s="1" t="s">
        <v>2168</v>
      </c>
      <c r="AA40" s="537" t="s">
        <v>2169</v>
      </c>
      <c r="AB40" s="537" t="s">
        <v>2170</v>
      </c>
      <c r="AC40" s="1">
        <v>44772</v>
      </c>
      <c r="AD40" s="61">
        <v>44775</v>
      </c>
      <c r="AE40" s="61"/>
      <c r="AF40" s="61"/>
      <c r="AG40" s="1" t="s">
        <v>766</v>
      </c>
      <c r="AH40" s="537"/>
      <c r="AI40" s="537"/>
      <c r="AK40" s="537"/>
      <c r="AM40" s="537" t="s">
        <v>2171</v>
      </c>
      <c r="AN40" s="537" t="s">
        <v>633</v>
      </c>
    </row>
    <row r="41" spans="1:40" hidden="1">
      <c r="A41" s="537" t="s">
        <v>54</v>
      </c>
      <c r="B41" s="1">
        <v>221001</v>
      </c>
      <c r="C41" s="1">
        <v>6546</v>
      </c>
      <c r="D41" s="537" t="s">
        <v>2278</v>
      </c>
      <c r="E41" s="537" t="s">
        <v>2707</v>
      </c>
      <c r="F41" t="s">
        <v>2707</v>
      </c>
      <c r="G41" t="s">
        <v>3103</v>
      </c>
      <c r="H41" s="537" t="s">
        <v>2279</v>
      </c>
      <c r="I41" s="537" t="s">
        <v>2280</v>
      </c>
      <c r="J41" s="537" t="s">
        <v>18</v>
      </c>
      <c r="K41" s="537" t="s">
        <v>57</v>
      </c>
      <c r="L41" s="61">
        <v>35097</v>
      </c>
      <c r="M41" s="1">
        <v>27</v>
      </c>
      <c r="N41" s="1">
        <v>1400</v>
      </c>
      <c r="P41" s="1">
        <v>1900</v>
      </c>
      <c r="Q41" s="537"/>
      <c r="R41" s="1">
        <v>500</v>
      </c>
      <c r="S41">
        <v>320000</v>
      </c>
      <c r="T41">
        <v>16015.999999999998</v>
      </c>
      <c r="U41" t="s">
        <v>2639</v>
      </c>
      <c r="V41">
        <v>29280</v>
      </c>
      <c r="W41" s="1">
        <v>45325</v>
      </c>
      <c r="X41" s="537" t="s">
        <v>59</v>
      </c>
      <c r="Y41" s="537" t="s">
        <v>60</v>
      </c>
      <c r="Z41" s="1" t="s">
        <v>2453</v>
      </c>
      <c r="AA41" s="537" t="s">
        <v>2454</v>
      </c>
      <c r="AB41" s="537" t="s">
        <v>2455</v>
      </c>
      <c r="AC41" s="1">
        <v>44833</v>
      </c>
      <c r="AD41" s="61">
        <v>44837</v>
      </c>
      <c r="AE41" s="61"/>
      <c r="AF41" s="61"/>
      <c r="AG41" s="1" t="s">
        <v>2456</v>
      </c>
      <c r="AH41" s="537"/>
      <c r="AI41" s="537"/>
      <c r="AK41" s="537"/>
      <c r="AM41" s="537" t="s">
        <v>2457</v>
      </c>
      <c r="AN41" s="537"/>
    </row>
    <row r="42" spans="1:40" hidden="1">
      <c r="A42" s="537" t="s">
        <v>54</v>
      </c>
      <c r="B42" s="1">
        <v>221002</v>
      </c>
      <c r="C42" s="1">
        <v>6547</v>
      </c>
      <c r="D42" s="537" t="s">
        <v>2278</v>
      </c>
      <c r="E42" s="537" t="s">
        <v>2707</v>
      </c>
      <c r="F42" t="s">
        <v>2707</v>
      </c>
      <c r="G42" t="s">
        <v>3103</v>
      </c>
      <c r="H42" s="537" t="s">
        <v>2458</v>
      </c>
      <c r="I42" s="537" t="s">
        <v>2459</v>
      </c>
      <c r="J42" s="537" t="s">
        <v>18</v>
      </c>
      <c r="K42" s="537" t="s">
        <v>57</v>
      </c>
      <c r="L42" s="61">
        <v>31801</v>
      </c>
      <c r="M42" s="1">
        <v>36</v>
      </c>
      <c r="N42" s="1">
        <v>1400</v>
      </c>
      <c r="P42" s="1">
        <v>1900</v>
      </c>
      <c r="Q42" s="537"/>
      <c r="R42" s="1">
        <v>500</v>
      </c>
      <c r="S42">
        <v>320000</v>
      </c>
      <c r="T42">
        <v>16015.999999999998</v>
      </c>
      <c r="U42" t="s">
        <v>2639</v>
      </c>
      <c r="V42">
        <v>29280</v>
      </c>
      <c r="W42" s="1">
        <v>45513</v>
      </c>
      <c r="X42" s="537" t="s">
        <v>65</v>
      </c>
      <c r="Y42" s="537" t="s">
        <v>60</v>
      </c>
      <c r="Z42" s="1" t="s">
        <v>2453</v>
      </c>
      <c r="AA42" s="537" t="s">
        <v>2454</v>
      </c>
      <c r="AB42" s="537" t="s">
        <v>2455</v>
      </c>
      <c r="AC42" s="1">
        <v>44833</v>
      </c>
      <c r="AD42" s="61">
        <v>44837</v>
      </c>
      <c r="AE42" s="61"/>
      <c r="AF42" s="61"/>
      <c r="AG42" s="1" t="s">
        <v>2456</v>
      </c>
      <c r="AH42" s="537"/>
      <c r="AI42" s="537"/>
      <c r="AK42" s="537"/>
      <c r="AM42" s="537" t="s">
        <v>2457</v>
      </c>
      <c r="AN42" s="537"/>
    </row>
    <row r="43" spans="1:40" hidden="1">
      <c r="A43" s="537" t="s">
        <v>54</v>
      </c>
      <c r="B43" s="1">
        <v>230103</v>
      </c>
      <c r="C43" s="1">
        <v>6551</v>
      </c>
      <c r="D43" s="537" t="s">
        <v>2278</v>
      </c>
      <c r="E43" s="537" t="s">
        <v>2707</v>
      </c>
      <c r="F43" t="s">
        <v>2707</v>
      </c>
      <c r="G43" t="s">
        <v>3103</v>
      </c>
      <c r="H43" s="537" t="s">
        <v>2788</v>
      </c>
      <c r="I43" s="537" t="s">
        <v>2789</v>
      </c>
      <c r="J43" s="537" t="s">
        <v>18</v>
      </c>
      <c r="K43" s="537" t="s">
        <v>57</v>
      </c>
      <c r="L43" s="61">
        <v>36393</v>
      </c>
      <c r="M43" s="1">
        <v>24</v>
      </c>
      <c r="N43" s="1">
        <v>1400</v>
      </c>
      <c r="P43" s="1">
        <v>1800</v>
      </c>
      <c r="Q43" s="537"/>
      <c r="R43" s="1">
        <v>400</v>
      </c>
      <c r="S43">
        <v>320000</v>
      </c>
      <c r="T43">
        <v>16015.999999999998</v>
      </c>
      <c r="U43" t="s">
        <v>2639</v>
      </c>
      <c r="V43">
        <v>29280</v>
      </c>
      <c r="W43" s="1">
        <v>45899</v>
      </c>
      <c r="X43" s="537" t="s">
        <v>65</v>
      </c>
      <c r="Y43" s="537" t="s">
        <v>60</v>
      </c>
      <c r="Z43" s="1" t="s">
        <v>2453</v>
      </c>
      <c r="AA43" s="537" t="s">
        <v>2454</v>
      </c>
      <c r="AB43" s="537" t="s">
        <v>2455</v>
      </c>
      <c r="AD43" s="61">
        <v>44935</v>
      </c>
      <c r="AE43" s="61"/>
      <c r="AF43" s="61"/>
      <c r="AG43" s="1" t="s">
        <v>2790</v>
      </c>
      <c r="AH43" s="537"/>
      <c r="AI43" s="537"/>
      <c r="AK43" s="537"/>
      <c r="AM43" s="537" t="s">
        <v>2787</v>
      </c>
      <c r="AN43" s="537"/>
    </row>
    <row r="44" spans="1:40" hidden="1">
      <c r="A44" s="537" t="s">
        <v>179</v>
      </c>
      <c r="B44" s="1">
        <v>211017</v>
      </c>
      <c r="C44" s="1">
        <v>60050</v>
      </c>
      <c r="D44" s="537" t="s">
        <v>385</v>
      </c>
      <c r="E44" s="537" t="s">
        <v>386</v>
      </c>
      <c r="F44"/>
      <c r="G44"/>
      <c r="H44" s="537" t="s">
        <v>392</v>
      </c>
      <c r="I44" s="537" t="s">
        <v>393</v>
      </c>
      <c r="J44" s="537" t="s">
        <v>18</v>
      </c>
      <c r="K44" s="537" t="s">
        <v>57</v>
      </c>
      <c r="L44" s="61">
        <v>32906</v>
      </c>
      <c r="M44" s="1">
        <v>33</v>
      </c>
      <c r="N44" s="1">
        <v>1400</v>
      </c>
      <c r="P44" s="1">
        <v>2000</v>
      </c>
      <c r="Q44" s="537"/>
      <c r="R44" s="1">
        <v>600</v>
      </c>
      <c r="S44"/>
      <c r="T44" t="s">
        <v>65</v>
      </c>
      <c r="U44" t="s">
        <v>2639</v>
      </c>
      <c r="V44" t="s">
        <v>65</v>
      </c>
      <c r="W44" s="1">
        <v>45041</v>
      </c>
      <c r="X44" s="537" t="s">
        <v>59</v>
      </c>
      <c r="Y44" s="537" t="s">
        <v>60</v>
      </c>
      <c r="Z44" s="1" t="s">
        <v>389</v>
      </c>
      <c r="AA44" s="537" t="s">
        <v>390</v>
      </c>
      <c r="AB44" s="537" t="s">
        <v>391</v>
      </c>
      <c r="AC44" s="1">
        <v>44480</v>
      </c>
      <c r="AD44" s="61">
        <v>44481</v>
      </c>
      <c r="AE44" s="61">
        <v>44923</v>
      </c>
      <c r="AF44" s="61">
        <v>44925</v>
      </c>
      <c r="AG44" s="1">
        <v>44531</v>
      </c>
      <c r="AH44" s="537" t="s">
        <v>393</v>
      </c>
      <c r="AI44" s="537" t="s">
        <v>86</v>
      </c>
      <c r="AJ44" s="1">
        <v>238</v>
      </c>
      <c r="AK44" s="537" t="s">
        <v>1109</v>
      </c>
      <c r="AL44" s="1" t="s">
        <v>1386</v>
      </c>
      <c r="AM44" s="537" t="s">
        <v>64</v>
      </c>
      <c r="AN44" s="537"/>
    </row>
    <row r="45" spans="1:40" hidden="1">
      <c r="A45" s="537" t="s">
        <v>54</v>
      </c>
      <c r="B45" s="1">
        <v>211016</v>
      </c>
      <c r="C45" s="1">
        <v>60051</v>
      </c>
      <c r="D45" s="537" t="s">
        <v>385</v>
      </c>
      <c r="E45" s="537" t="s">
        <v>386</v>
      </c>
      <c r="F45"/>
      <c r="G45"/>
      <c r="H45" s="537" t="s">
        <v>387</v>
      </c>
      <c r="I45" s="537" t="s">
        <v>388</v>
      </c>
      <c r="J45" s="537" t="s">
        <v>18</v>
      </c>
      <c r="K45" s="537" t="s">
        <v>57</v>
      </c>
      <c r="L45" s="61">
        <v>34043</v>
      </c>
      <c r="M45" s="1">
        <v>30</v>
      </c>
      <c r="N45" s="1">
        <v>1400</v>
      </c>
      <c r="P45" s="1">
        <v>2000</v>
      </c>
      <c r="Q45" s="537"/>
      <c r="R45" s="1">
        <v>600</v>
      </c>
      <c r="S45">
        <v>280000</v>
      </c>
      <c r="T45">
        <v>14014</v>
      </c>
      <c r="U45" t="s">
        <v>2639</v>
      </c>
      <c r="V45">
        <v>25620</v>
      </c>
      <c r="W45" s="1">
        <v>46805</v>
      </c>
      <c r="X45" s="537" t="s">
        <v>65</v>
      </c>
      <c r="Y45" s="537" t="s">
        <v>60</v>
      </c>
      <c r="Z45" s="1" t="s">
        <v>3070</v>
      </c>
      <c r="AA45" s="537" t="s">
        <v>3451</v>
      </c>
      <c r="AB45" s="537" t="s">
        <v>3452</v>
      </c>
      <c r="AC45" s="1" t="s">
        <v>63</v>
      </c>
      <c r="AD45" s="61">
        <v>44481</v>
      </c>
      <c r="AE45" s="61"/>
      <c r="AF45" s="61"/>
      <c r="AG45" s="1">
        <v>44531</v>
      </c>
      <c r="AH45" s="537" t="s">
        <v>388</v>
      </c>
      <c r="AI45" s="537" t="s">
        <v>86</v>
      </c>
      <c r="AJ45" s="1">
        <v>438</v>
      </c>
      <c r="AK45" s="537" t="s">
        <v>223</v>
      </c>
      <c r="AL45" s="1" t="s">
        <v>1387</v>
      </c>
      <c r="AM45" s="537" t="s">
        <v>64</v>
      </c>
      <c r="AN45" s="537"/>
    </row>
    <row r="46" spans="1:40" hidden="1">
      <c r="A46" s="537" t="s">
        <v>179</v>
      </c>
      <c r="B46" s="1">
        <v>211018</v>
      </c>
      <c r="C46" s="1">
        <v>60052</v>
      </c>
      <c r="D46" s="537" t="s">
        <v>385</v>
      </c>
      <c r="E46" s="537" t="s">
        <v>386</v>
      </c>
      <c r="F46"/>
      <c r="G46"/>
      <c r="H46" s="537" t="s">
        <v>394</v>
      </c>
      <c r="I46" s="537" t="s">
        <v>395</v>
      </c>
      <c r="J46" s="537" t="s">
        <v>18</v>
      </c>
      <c r="K46" s="537" t="s">
        <v>57</v>
      </c>
      <c r="L46" s="61">
        <v>35330</v>
      </c>
      <c r="M46" s="1">
        <v>27</v>
      </c>
      <c r="N46" s="1">
        <v>1400</v>
      </c>
      <c r="P46" s="1">
        <v>2000</v>
      </c>
      <c r="Q46" s="537"/>
      <c r="R46" s="1">
        <v>600</v>
      </c>
      <c r="S46">
        <v>300000</v>
      </c>
      <c r="T46">
        <v>15014.999999999998</v>
      </c>
      <c r="U46" t="s">
        <v>2639</v>
      </c>
      <c r="V46">
        <v>27450</v>
      </c>
      <c r="W46" s="1">
        <v>45080</v>
      </c>
      <c r="X46" s="537" t="s">
        <v>59</v>
      </c>
      <c r="Y46" s="537" t="s">
        <v>60</v>
      </c>
      <c r="Z46" s="1" t="s">
        <v>396</v>
      </c>
      <c r="AA46" s="537" t="s">
        <v>397</v>
      </c>
      <c r="AB46" s="537" t="s">
        <v>398</v>
      </c>
      <c r="AC46" s="1">
        <v>44664</v>
      </c>
      <c r="AD46" s="61">
        <v>44481</v>
      </c>
      <c r="AE46" s="61">
        <v>45057</v>
      </c>
      <c r="AF46" s="61"/>
      <c r="AG46" s="1">
        <v>44531</v>
      </c>
      <c r="AH46" s="537" t="s">
        <v>1388</v>
      </c>
      <c r="AI46" s="537" t="s">
        <v>86</v>
      </c>
      <c r="AJ46" s="1">
        <v>208</v>
      </c>
      <c r="AK46" s="537" t="s">
        <v>151</v>
      </c>
      <c r="AL46" s="1" t="s">
        <v>1389</v>
      </c>
      <c r="AM46" s="537" t="s">
        <v>64</v>
      </c>
      <c r="AN46" s="537" t="s">
        <v>399</v>
      </c>
    </row>
    <row r="47" spans="1:40" hidden="1">
      <c r="A47" s="537" t="s">
        <v>179</v>
      </c>
      <c r="B47" s="1">
        <v>211024</v>
      </c>
      <c r="C47" s="1">
        <v>60053</v>
      </c>
      <c r="D47" s="537" t="s">
        <v>385</v>
      </c>
      <c r="E47" s="537" t="s">
        <v>386</v>
      </c>
      <c r="F47"/>
      <c r="G47"/>
      <c r="H47" s="537" t="s">
        <v>415</v>
      </c>
      <c r="I47" s="537" t="s">
        <v>416</v>
      </c>
      <c r="J47" s="537" t="s">
        <v>18</v>
      </c>
      <c r="K47" s="537" t="s">
        <v>57</v>
      </c>
      <c r="L47" s="61">
        <v>33705</v>
      </c>
      <c r="M47" s="1">
        <v>31</v>
      </c>
      <c r="N47" s="1">
        <v>1400</v>
      </c>
      <c r="P47" s="1">
        <v>2000</v>
      </c>
      <c r="Q47" s="537"/>
      <c r="R47" s="1">
        <v>600</v>
      </c>
      <c r="S47">
        <v>300000</v>
      </c>
      <c r="T47">
        <v>15014.999999999998</v>
      </c>
      <c r="U47" t="s">
        <v>2639</v>
      </c>
      <c r="V47">
        <v>27450</v>
      </c>
      <c r="W47" s="1">
        <v>45403</v>
      </c>
      <c r="X47" s="537" t="s">
        <v>65</v>
      </c>
      <c r="Y47" s="537" t="s">
        <v>60</v>
      </c>
      <c r="Z47" s="1" t="s">
        <v>410</v>
      </c>
      <c r="AA47" s="537" t="s">
        <v>411</v>
      </c>
      <c r="AB47" s="537" t="s">
        <v>412</v>
      </c>
      <c r="AC47" s="1">
        <v>44484</v>
      </c>
      <c r="AD47" s="61">
        <v>44487</v>
      </c>
      <c r="AE47" s="61">
        <v>45163</v>
      </c>
      <c r="AF47" s="61"/>
      <c r="AG47" s="1">
        <v>22.01</v>
      </c>
      <c r="AH47" s="537" t="s">
        <v>1397</v>
      </c>
      <c r="AI47" s="537" t="s">
        <v>145</v>
      </c>
      <c r="AJ47" s="1">
        <v>822</v>
      </c>
      <c r="AK47" s="537" t="s">
        <v>1398</v>
      </c>
      <c r="AL47" s="1" t="s">
        <v>1399</v>
      </c>
      <c r="AM47" s="537" t="s">
        <v>64</v>
      </c>
      <c r="AN47" s="537"/>
    </row>
    <row r="48" spans="1:40" hidden="1">
      <c r="A48" s="537" t="s">
        <v>179</v>
      </c>
      <c r="B48" s="1">
        <v>211023</v>
      </c>
      <c r="C48" s="1">
        <v>60054</v>
      </c>
      <c r="D48" s="537" t="s">
        <v>385</v>
      </c>
      <c r="E48" s="537" t="s">
        <v>386</v>
      </c>
      <c r="F48"/>
      <c r="G48"/>
      <c r="H48" s="537" t="s">
        <v>413</v>
      </c>
      <c r="I48" s="537" t="s">
        <v>414</v>
      </c>
      <c r="J48" s="537" t="s">
        <v>18</v>
      </c>
      <c r="K48" s="537" t="s">
        <v>57</v>
      </c>
      <c r="L48" s="61">
        <v>34262</v>
      </c>
      <c r="M48" s="1">
        <v>30</v>
      </c>
      <c r="N48" s="1">
        <v>1400</v>
      </c>
      <c r="P48" s="1">
        <v>2000</v>
      </c>
      <c r="Q48" s="537"/>
      <c r="R48" s="1">
        <v>600</v>
      </c>
      <c r="S48">
        <v>300000</v>
      </c>
      <c r="T48">
        <v>15014.999999999998</v>
      </c>
      <c r="U48" t="s">
        <v>2639</v>
      </c>
      <c r="V48">
        <v>27450</v>
      </c>
      <c r="W48" s="1">
        <v>46077</v>
      </c>
      <c r="X48" s="537" t="s">
        <v>65</v>
      </c>
      <c r="Y48" s="537" t="s">
        <v>60</v>
      </c>
      <c r="Z48" s="1" t="s">
        <v>410</v>
      </c>
      <c r="AA48" s="537" t="s">
        <v>411</v>
      </c>
      <c r="AB48" s="537" t="s">
        <v>412</v>
      </c>
      <c r="AC48" s="1">
        <v>44484</v>
      </c>
      <c r="AD48" s="61">
        <v>44487</v>
      </c>
      <c r="AE48" s="61">
        <v>45106</v>
      </c>
      <c r="AF48" s="61"/>
      <c r="AG48" s="1">
        <v>22.01</v>
      </c>
      <c r="AH48" s="537" t="s">
        <v>414</v>
      </c>
      <c r="AI48" s="537" t="s">
        <v>86</v>
      </c>
      <c r="AJ48" s="1">
        <v>788</v>
      </c>
      <c r="AK48" s="537" t="s">
        <v>1400</v>
      </c>
      <c r="AL48" s="1" t="s">
        <v>1401</v>
      </c>
      <c r="AM48" s="537" t="s">
        <v>64</v>
      </c>
      <c r="AN48" s="537"/>
    </row>
    <row r="49" spans="1:40" hidden="1">
      <c r="A49" s="537" t="s">
        <v>54</v>
      </c>
      <c r="B49" s="1">
        <v>211022</v>
      </c>
      <c r="C49" s="1">
        <v>60055</v>
      </c>
      <c r="D49" s="537" t="s">
        <v>385</v>
      </c>
      <c r="E49" s="537" t="s">
        <v>386</v>
      </c>
      <c r="F49"/>
      <c r="G49"/>
      <c r="H49" s="537" t="s">
        <v>408</v>
      </c>
      <c r="I49" s="537" t="s">
        <v>409</v>
      </c>
      <c r="J49" s="537" t="s">
        <v>18</v>
      </c>
      <c r="K49" s="537" t="s">
        <v>57</v>
      </c>
      <c r="L49" s="61">
        <v>33773</v>
      </c>
      <c r="M49" s="1">
        <v>31</v>
      </c>
      <c r="N49" s="1">
        <v>1400</v>
      </c>
      <c r="P49" s="1">
        <v>2000</v>
      </c>
      <c r="Q49" s="537"/>
      <c r="R49" s="1">
        <v>600</v>
      </c>
      <c r="S49">
        <v>280000</v>
      </c>
      <c r="T49">
        <v>14014</v>
      </c>
      <c r="U49" t="s">
        <v>2639</v>
      </c>
      <c r="V49">
        <v>25620</v>
      </c>
      <c r="W49" s="1">
        <v>45403</v>
      </c>
      <c r="X49" s="537" t="s">
        <v>65</v>
      </c>
      <c r="Y49" s="537" t="s">
        <v>60</v>
      </c>
      <c r="Z49" s="1" t="s">
        <v>410</v>
      </c>
      <c r="AA49" s="537" t="s">
        <v>411</v>
      </c>
      <c r="AB49" s="537" t="s">
        <v>412</v>
      </c>
      <c r="AC49" s="1">
        <v>44484</v>
      </c>
      <c r="AD49" s="61">
        <v>44487</v>
      </c>
      <c r="AE49" s="61"/>
      <c r="AF49" s="61"/>
      <c r="AG49" s="1">
        <v>22.01</v>
      </c>
      <c r="AH49" s="537" t="s">
        <v>1402</v>
      </c>
      <c r="AI49" s="537" t="s">
        <v>145</v>
      </c>
      <c r="AJ49" s="1">
        <v>822</v>
      </c>
      <c r="AK49" s="537"/>
      <c r="AL49" s="1" t="s">
        <v>1403</v>
      </c>
      <c r="AM49" s="537" t="s">
        <v>64</v>
      </c>
      <c r="AN49" s="537"/>
    </row>
    <row r="50" spans="1:40" hidden="1">
      <c r="A50" s="537" t="s">
        <v>54</v>
      </c>
      <c r="B50" s="1">
        <v>220102</v>
      </c>
      <c r="C50" s="1">
        <v>60058</v>
      </c>
      <c r="D50" s="537" t="s">
        <v>385</v>
      </c>
      <c r="E50" s="537" t="s">
        <v>461</v>
      </c>
      <c r="F50"/>
      <c r="G50"/>
      <c r="H50" s="537" t="s">
        <v>462</v>
      </c>
      <c r="I50" s="537" t="s">
        <v>463</v>
      </c>
      <c r="J50" s="537" t="s">
        <v>18</v>
      </c>
      <c r="K50" s="537" t="s">
        <v>57</v>
      </c>
      <c r="L50" s="61">
        <v>33728</v>
      </c>
      <c r="M50" s="1">
        <v>31</v>
      </c>
      <c r="N50" s="1">
        <v>1400</v>
      </c>
      <c r="P50" s="1">
        <v>2000</v>
      </c>
      <c r="Q50" s="537"/>
      <c r="R50" s="1">
        <v>600</v>
      </c>
      <c r="S50">
        <v>300000</v>
      </c>
      <c r="T50">
        <v>15014.999999999998</v>
      </c>
      <c r="U50" t="s">
        <v>2639</v>
      </c>
      <c r="V50">
        <v>27450</v>
      </c>
      <c r="W50" s="1">
        <v>46270</v>
      </c>
      <c r="X50" s="537" t="s">
        <v>65</v>
      </c>
      <c r="Y50" s="537" t="s">
        <v>60</v>
      </c>
      <c r="Z50" s="1" t="s">
        <v>3074</v>
      </c>
      <c r="AA50" s="537" t="s">
        <v>3075</v>
      </c>
      <c r="AB50" s="537"/>
      <c r="AC50" s="1" t="s">
        <v>63</v>
      </c>
      <c r="AD50" s="61">
        <v>44566</v>
      </c>
      <c r="AE50" s="61"/>
      <c r="AF50" s="61"/>
      <c r="AG50" s="1">
        <v>22.03</v>
      </c>
      <c r="AH50" s="537" t="s">
        <v>463</v>
      </c>
      <c r="AI50" s="537" t="s">
        <v>86</v>
      </c>
      <c r="AJ50" s="1">
        <v>408</v>
      </c>
      <c r="AK50" s="537" t="s">
        <v>87</v>
      </c>
      <c r="AL50" s="1" t="s">
        <v>1547</v>
      </c>
      <c r="AM50" s="537" t="s">
        <v>64</v>
      </c>
      <c r="AN50" s="537"/>
    </row>
    <row r="51" spans="1:40" hidden="1">
      <c r="A51" s="537" t="s">
        <v>179</v>
      </c>
      <c r="B51" s="1">
        <v>220122</v>
      </c>
      <c r="C51" s="1">
        <v>60060</v>
      </c>
      <c r="D51" s="537" t="s">
        <v>385</v>
      </c>
      <c r="E51" s="537" t="s">
        <v>461</v>
      </c>
      <c r="F51"/>
      <c r="G51"/>
      <c r="H51" s="537" t="s">
        <v>492</v>
      </c>
      <c r="I51" s="537" t="s">
        <v>493</v>
      </c>
      <c r="J51" s="537" t="s">
        <v>18</v>
      </c>
      <c r="K51" s="537" t="s">
        <v>57</v>
      </c>
      <c r="L51" s="61">
        <v>34656</v>
      </c>
      <c r="M51" s="1">
        <v>29</v>
      </c>
      <c r="N51" s="1">
        <v>1400</v>
      </c>
      <c r="P51" s="1">
        <v>2000</v>
      </c>
      <c r="Q51" s="537"/>
      <c r="R51" s="1">
        <v>600</v>
      </c>
      <c r="S51"/>
      <c r="T51" t="s">
        <v>65</v>
      </c>
      <c r="U51" t="s">
        <v>2639</v>
      </c>
      <c r="V51" t="s">
        <v>65</v>
      </c>
      <c r="W51" s="1">
        <v>45170</v>
      </c>
      <c r="X51" s="537" t="s">
        <v>59</v>
      </c>
      <c r="Y51" s="537" t="s">
        <v>60</v>
      </c>
      <c r="Z51" s="1" t="s">
        <v>494</v>
      </c>
      <c r="AA51" s="537" t="s">
        <v>495</v>
      </c>
      <c r="AB51" s="537" t="s">
        <v>496</v>
      </c>
      <c r="AC51" s="1">
        <v>44582</v>
      </c>
      <c r="AD51" s="61">
        <v>44579</v>
      </c>
      <c r="AE51" s="61">
        <v>44802</v>
      </c>
      <c r="AF51" s="61"/>
      <c r="AG51" s="1">
        <v>22.04</v>
      </c>
      <c r="AH51" s="537"/>
      <c r="AI51" s="537"/>
      <c r="AK51" s="537"/>
      <c r="AM51" s="537" t="s">
        <v>64</v>
      </c>
      <c r="AN51" s="537"/>
    </row>
    <row r="52" spans="1:40" hidden="1">
      <c r="A52" s="537" t="s">
        <v>179</v>
      </c>
      <c r="B52" s="1">
        <v>220215</v>
      </c>
      <c r="C52" s="1">
        <v>60062</v>
      </c>
      <c r="D52" s="537" t="s">
        <v>385</v>
      </c>
      <c r="E52" s="537" t="s">
        <v>540</v>
      </c>
      <c r="F52"/>
      <c r="G52"/>
      <c r="H52" s="537" t="s">
        <v>541</v>
      </c>
      <c r="I52" s="537" t="s">
        <v>542</v>
      </c>
      <c r="J52" s="537" t="s">
        <v>18</v>
      </c>
      <c r="K52" s="537" t="s">
        <v>57</v>
      </c>
      <c r="L52" s="61">
        <v>33924</v>
      </c>
      <c r="M52" s="1">
        <v>31</v>
      </c>
      <c r="N52" s="1">
        <v>1500</v>
      </c>
      <c r="P52" s="1">
        <v>2200</v>
      </c>
      <c r="Q52" s="537"/>
      <c r="R52" s="1">
        <v>700</v>
      </c>
      <c r="S52"/>
      <c r="T52" t="s">
        <v>65</v>
      </c>
      <c r="U52" t="s">
        <v>2639</v>
      </c>
      <c r="V52" t="s">
        <v>65</v>
      </c>
      <c r="W52" s="1">
        <v>45517</v>
      </c>
      <c r="X52" s="537" t="s">
        <v>65</v>
      </c>
      <c r="Y52" s="537" t="s">
        <v>60</v>
      </c>
      <c r="Z52" s="1" t="s">
        <v>494</v>
      </c>
      <c r="AA52" s="537" t="s">
        <v>495</v>
      </c>
      <c r="AB52" s="537" t="s">
        <v>496</v>
      </c>
      <c r="AC52" s="1">
        <v>44601</v>
      </c>
      <c r="AD52" s="61">
        <v>44608</v>
      </c>
      <c r="AE52" s="61">
        <v>44875</v>
      </c>
      <c r="AF52" s="61"/>
      <c r="AG52" s="1">
        <v>22.04</v>
      </c>
      <c r="AH52" s="537" t="s">
        <v>1633</v>
      </c>
      <c r="AI52" s="537" t="s">
        <v>86</v>
      </c>
      <c r="AJ52" s="1">
        <v>438</v>
      </c>
      <c r="AK52" s="537" t="s">
        <v>223</v>
      </c>
      <c r="AL52" s="1" t="s">
        <v>1634</v>
      </c>
      <c r="AM52" s="537" t="s">
        <v>64</v>
      </c>
      <c r="AN52" s="537"/>
    </row>
    <row r="53" spans="1:40" hidden="1">
      <c r="A53" s="537" t="s">
        <v>54</v>
      </c>
      <c r="B53" s="1">
        <v>220220</v>
      </c>
      <c r="C53" s="1">
        <v>60063</v>
      </c>
      <c r="D53" s="537" t="s">
        <v>385</v>
      </c>
      <c r="E53" s="537" t="s">
        <v>540</v>
      </c>
      <c r="F53"/>
      <c r="G53"/>
      <c r="H53" s="537" t="s">
        <v>545</v>
      </c>
      <c r="I53" s="537" t="s">
        <v>546</v>
      </c>
      <c r="J53" s="537" t="s">
        <v>18</v>
      </c>
      <c r="K53" s="537" t="s">
        <v>57</v>
      </c>
      <c r="L53" s="61">
        <v>35079</v>
      </c>
      <c r="M53" s="1">
        <v>27</v>
      </c>
      <c r="N53" s="1">
        <v>1500</v>
      </c>
      <c r="P53" s="1">
        <v>2200</v>
      </c>
      <c r="Q53" s="537"/>
      <c r="R53" s="1">
        <v>700</v>
      </c>
      <c r="S53">
        <v>300000</v>
      </c>
      <c r="T53">
        <v>15014.999999999998</v>
      </c>
      <c r="U53" t="s">
        <v>2639</v>
      </c>
      <c r="V53">
        <v>27450</v>
      </c>
      <c r="W53" s="1">
        <v>45677</v>
      </c>
      <c r="X53" s="537" t="s">
        <v>65</v>
      </c>
      <c r="Y53" s="537" t="s">
        <v>60</v>
      </c>
      <c r="Z53" s="1" t="s">
        <v>547</v>
      </c>
      <c r="AA53" s="537" t="s">
        <v>561</v>
      </c>
      <c r="AB53" s="537" t="s">
        <v>548</v>
      </c>
      <c r="AC53" s="1">
        <v>44681</v>
      </c>
      <c r="AD53" s="61">
        <v>44614</v>
      </c>
      <c r="AE53" s="61"/>
      <c r="AF53" s="61"/>
      <c r="AG53" s="1">
        <v>22.05</v>
      </c>
      <c r="AH53" s="537" t="s">
        <v>1645</v>
      </c>
      <c r="AI53" s="537" t="s">
        <v>86</v>
      </c>
      <c r="AJ53" s="1">
        <v>438</v>
      </c>
      <c r="AK53" s="537" t="s">
        <v>223</v>
      </c>
      <c r="AL53" s="1" t="s">
        <v>1646</v>
      </c>
      <c r="AM53" s="537" t="s">
        <v>64</v>
      </c>
      <c r="AN53" s="537"/>
    </row>
    <row r="54" spans="1:40" hidden="1">
      <c r="A54" s="537" t="s">
        <v>54</v>
      </c>
      <c r="B54" s="1">
        <v>220316</v>
      </c>
      <c r="C54" s="1">
        <v>60064</v>
      </c>
      <c r="D54" s="537" t="s">
        <v>385</v>
      </c>
      <c r="E54" s="537" t="s">
        <v>386</v>
      </c>
      <c r="F54"/>
      <c r="G54"/>
      <c r="H54" s="537" t="s">
        <v>559</v>
      </c>
      <c r="I54" s="537" t="s">
        <v>560</v>
      </c>
      <c r="J54" s="537" t="s">
        <v>18</v>
      </c>
      <c r="K54" s="537" t="s">
        <v>57</v>
      </c>
      <c r="L54" s="61">
        <v>35348</v>
      </c>
      <c r="M54" s="1">
        <v>27</v>
      </c>
      <c r="N54" s="1">
        <v>1400</v>
      </c>
      <c r="P54" s="1">
        <v>2000</v>
      </c>
      <c r="Q54" s="537"/>
      <c r="R54" s="1">
        <v>600</v>
      </c>
      <c r="S54">
        <v>280000</v>
      </c>
      <c r="T54">
        <v>14014</v>
      </c>
      <c r="U54" t="s">
        <v>2639</v>
      </c>
      <c r="V54">
        <v>25620</v>
      </c>
      <c r="W54" s="1">
        <v>45665</v>
      </c>
      <c r="X54" s="537" t="s">
        <v>65</v>
      </c>
      <c r="Y54" s="537" t="s">
        <v>60</v>
      </c>
      <c r="Z54" s="1" t="s">
        <v>3086</v>
      </c>
      <c r="AA54" s="537" t="s">
        <v>3087</v>
      </c>
      <c r="AB54" s="537" t="s">
        <v>3088</v>
      </c>
      <c r="AC54" s="1" t="s">
        <v>63</v>
      </c>
      <c r="AD54" s="61">
        <v>44637</v>
      </c>
      <c r="AE54" s="61"/>
      <c r="AF54" s="61">
        <v>45192</v>
      </c>
      <c r="AG54" s="1">
        <v>22.04</v>
      </c>
      <c r="AH54" s="537" t="s">
        <v>560</v>
      </c>
      <c r="AI54" s="537" t="s">
        <v>436</v>
      </c>
      <c r="AJ54" s="1">
        <v>125</v>
      </c>
      <c r="AK54" s="537" t="s">
        <v>1682</v>
      </c>
      <c r="AL54" s="1" t="s">
        <v>1705</v>
      </c>
      <c r="AM54" s="537" t="s">
        <v>64</v>
      </c>
      <c r="AN54" s="537"/>
    </row>
    <row r="55" spans="1:40" hidden="1">
      <c r="A55" s="537" t="s">
        <v>179</v>
      </c>
      <c r="B55" s="1">
        <v>220323</v>
      </c>
      <c r="C55" s="1">
        <v>60065</v>
      </c>
      <c r="D55" s="537" t="s">
        <v>385</v>
      </c>
      <c r="E55" s="537" t="s">
        <v>540</v>
      </c>
      <c r="F55"/>
      <c r="G55"/>
      <c r="H55" s="537" t="s">
        <v>566</v>
      </c>
      <c r="I55" s="537" t="s">
        <v>567</v>
      </c>
      <c r="J55" s="537" t="s">
        <v>18</v>
      </c>
      <c r="K55" s="537" t="s">
        <v>57</v>
      </c>
      <c r="L55" s="61">
        <v>33826</v>
      </c>
      <c r="M55" s="1">
        <v>31</v>
      </c>
      <c r="N55" s="1">
        <v>1500</v>
      </c>
      <c r="P55" s="1">
        <v>2200</v>
      </c>
      <c r="Q55" s="537"/>
      <c r="R55" s="1">
        <v>700</v>
      </c>
      <c r="S55"/>
      <c r="T55" t="s">
        <v>65</v>
      </c>
      <c r="U55" t="s">
        <v>2639</v>
      </c>
      <c r="V55" t="s">
        <v>65</v>
      </c>
      <c r="W55" s="1">
        <v>45712</v>
      </c>
      <c r="X55" s="537" t="s">
        <v>65</v>
      </c>
      <c r="Y55" s="537" t="s">
        <v>60</v>
      </c>
      <c r="Z55" s="1" t="s">
        <v>547</v>
      </c>
      <c r="AA55" s="537" t="s">
        <v>561</v>
      </c>
      <c r="AB55" s="537" t="s">
        <v>562</v>
      </c>
      <c r="AC55" s="1">
        <v>44661</v>
      </c>
      <c r="AD55" s="61">
        <v>44645</v>
      </c>
      <c r="AE55" s="61">
        <v>44854</v>
      </c>
      <c r="AF55" s="61"/>
      <c r="AG55" s="1">
        <v>44713</v>
      </c>
      <c r="AH55" s="537" t="s">
        <v>1718</v>
      </c>
      <c r="AI55" s="537" t="s">
        <v>86</v>
      </c>
      <c r="AJ55" s="1">
        <v>408</v>
      </c>
      <c r="AK55" s="537" t="s">
        <v>87</v>
      </c>
      <c r="AL55" s="1" t="s">
        <v>1719</v>
      </c>
      <c r="AM55" s="537" t="s">
        <v>565</v>
      </c>
      <c r="AN55" s="537"/>
    </row>
    <row r="56" spans="1:40" hidden="1">
      <c r="A56" s="537" t="s">
        <v>179</v>
      </c>
      <c r="B56" s="1">
        <v>220612</v>
      </c>
      <c r="C56" s="1">
        <v>60066</v>
      </c>
      <c r="D56" s="537" t="s">
        <v>385</v>
      </c>
      <c r="E56" s="537" t="s">
        <v>461</v>
      </c>
      <c r="F56"/>
      <c r="G56"/>
      <c r="H56" s="537" t="s">
        <v>642</v>
      </c>
      <c r="I56" s="537" t="s">
        <v>643</v>
      </c>
      <c r="J56" s="537" t="s">
        <v>18</v>
      </c>
      <c r="K56" s="537" t="s">
        <v>57</v>
      </c>
      <c r="L56" s="61">
        <v>32574</v>
      </c>
      <c r="M56" s="1">
        <v>34</v>
      </c>
      <c r="N56" s="1">
        <v>1400</v>
      </c>
      <c r="P56" s="1">
        <v>2000</v>
      </c>
      <c r="Q56" s="537"/>
      <c r="R56" s="1">
        <v>600</v>
      </c>
      <c r="S56"/>
      <c r="T56" t="s">
        <v>65</v>
      </c>
      <c r="U56" t="s">
        <v>2639</v>
      </c>
      <c r="V56" t="s">
        <v>65</v>
      </c>
      <c r="W56" s="1">
        <v>45029</v>
      </c>
      <c r="X56" s="537" t="s">
        <v>59</v>
      </c>
      <c r="Y56" s="537" t="s">
        <v>60</v>
      </c>
      <c r="Z56" s="1" t="s">
        <v>547</v>
      </c>
      <c r="AA56" s="537" t="s">
        <v>561</v>
      </c>
      <c r="AB56" s="537" t="s">
        <v>548</v>
      </c>
      <c r="AC56" s="1">
        <v>44726</v>
      </c>
      <c r="AD56" s="61">
        <v>44726</v>
      </c>
      <c r="AE56" s="61">
        <v>44856</v>
      </c>
      <c r="AF56" s="61"/>
      <c r="AG56" s="1" t="s">
        <v>638</v>
      </c>
      <c r="AH56" s="537" t="s">
        <v>1791</v>
      </c>
      <c r="AI56" s="537" t="s">
        <v>86</v>
      </c>
      <c r="AJ56" s="1">
        <v>408</v>
      </c>
      <c r="AK56" s="537" t="s">
        <v>87</v>
      </c>
      <c r="AL56" s="1" t="s">
        <v>1792</v>
      </c>
      <c r="AM56" s="537" t="s">
        <v>639</v>
      </c>
      <c r="AN56" s="537"/>
    </row>
    <row r="57" spans="1:40" hidden="1">
      <c r="A57" s="537" t="s">
        <v>54</v>
      </c>
      <c r="B57" s="1">
        <v>210304</v>
      </c>
      <c r="C57" s="1">
        <v>83373</v>
      </c>
      <c r="D57" s="537" t="s">
        <v>2277</v>
      </c>
      <c r="E57" s="537" t="s">
        <v>186</v>
      </c>
      <c r="F57"/>
      <c r="G57"/>
      <c r="H57" s="537" t="s">
        <v>187</v>
      </c>
      <c r="I57" s="537" t="s">
        <v>188</v>
      </c>
      <c r="J57" s="537" t="s">
        <v>18</v>
      </c>
      <c r="K57" s="537" t="s">
        <v>57</v>
      </c>
      <c r="L57" s="61">
        <v>32862</v>
      </c>
      <c r="M57" s="1">
        <v>33</v>
      </c>
      <c r="N57" s="1">
        <v>1400</v>
      </c>
      <c r="O57" s="1" t="s">
        <v>182</v>
      </c>
      <c r="P57" s="1">
        <v>1850</v>
      </c>
      <c r="Q57" s="537" t="s">
        <v>2651</v>
      </c>
      <c r="R57" s="1">
        <v>450</v>
      </c>
      <c r="S57">
        <v>300000</v>
      </c>
      <c r="T57">
        <v>15014.999999999998</v>
      </c>
      <c r="U57" t="s">
        <v>2639</v>
      </c>
      <c r="V57">
        <v>27450</v>
      </c>
      <c r="W57" s="1">
        <v>46039</v>
      </c>
      <c r="X57" s="537" t="s">
        <v>65</v>
      </c>
      <c r="Y57" s="537" t="s">
        <v>60</v>
      </c>
      <c r="Z57" s="1" t="s">
        <v>215</v>
      </c>
      <c r="AA57" s="537" t="s">
        <v>189</v>
      </c>
      <c r="AB57" s="537" t="s">
        <v>190</v>
      </c>
      <c r="AC57" s="1" t="s">
        <v>63</v>
      </c>
      <c r="AD57" s="61">
        <v>44258</v>
      </c>
      <c r="AE57" s="61"/>
      <c r="AF57" s="61"/>
      <c r="AG57" s="1">
        <v>44317</v>
      </c>
      <c r="AH57" s="537" t="s">
        <v>1050</v>
      </c>
      <c r="AI57" s="537" t="s">
        <v>145</v>
      </c>
      <c r="AJ57" s="1">
        <v>292</v>
      </c>
      <c r="AK57" s="537" t="s">
        <v>1051</v>
      </c>
      <c r="AL57" s="1" t="s">
        <v>1052</v>
      </c>
      <c r="AM57" s="537" t="s">
        <v>64</v>
      </c>
      <c r="AN57" s="537" t="s">
        <v>2652</v>
      </c>
    </row>
    <row r="58" spans="1:40" hidden="1">
      <c r="A58" s="537" t="s">
        <v>179</v>
      </c>
      <c r="B58" s="1">
        <v>210312</v>
      </c>
      <c r="C58" s="1">
        <v>83448</v>
      </c>
      <c r="D58" s="537" t="s">
        <v>180</v>
      </c>
      <c r="E58" s="537" t="s">
        <v>207</v>
      </c>
      <c r="F58"/>
      <c r="G58"/>
      <c r="H58" s="537" t="s">
        <v>208</v>
      </c>
      <c r="I58" s="537" t="s">
        <v>209</v>
      </c>
      <c r="J58" s="537" t="s">
        <v>18</v>
      </c>
      <c r="K58" s="537" t="s">
        <v>57</v>
      </c>
      <c r="L58" s="61">
        <v>33491</v>
      </c>
      <c r="M58" s="1">
        <v>32</v>
      </c>
      <c r="N58" s="1">
        <v>1500</v>
      </c>
      <c r="O58" s="1" t="s">
        <v>182</v>
      </c>
      <c r="P58" s="1">
        <v>2300</v>
      </c>
      <c r="Q58" s="537" t="s">
        <v>183</v>
      </c>
      <c r="R58" s="1">
        <v>800</v>
      </c>
      <c r="S58">
        <v>340000</v>
      </c>
      <c r="T58">
        <v>17017</v>
      </c>
      <c r="U58" t="s">
        <v>2639</v>
      </c>
      <c r="V58">
        <v>31110</v>
      </c>
      <c r="W58" s="1">
        <v>45194</v>
      </c>
      <c r="X58" s="537" t="s">
        <v>59</v>
      </c>
      <c r="Y58" s="537" t="s">
        <v>60</v>
      </c>
      <c r="Z58" s="1" t="s">
        <v>210</v>
      </c>
      <c r="AA58" s="537" t="s">
        <v>211</v>
      </c>
      <c r="AB58" s="537" t="s">
        <v>212</v>
      </c>
      <c r="AC58" s="1">
        <v>44408</v>
      </c>
      <c r="AD58" s="61">
        <v>44272</v>
      </c>
      <c r="AE58" s="61">
        <v>44984</v>
      </c>
      <c r="AF58" s="61"/>
      <c r="AG58" s="1">
        <v>44348</v>
      </c>
      <c r="AH58" s="537" t="s">
        <v>1055</v>
      </c>
      <c r="AI58" s="537" t="s">
        <v>86</v>
      </c>
      <c r="AJ58" s="1">
        <v>48</v>
      </c>
      <c r="AK58" s="537" t="s">
        <v>155</v>
      </c>
      <c r="AL58" s="1" t="s">
        <v>1056</v>
      </c>
      <c r="AM58" s="537" t="s">
        <v>64</v>
      </c>
      <c r="AN58" s="537"/>
    </row>
    <row r="59" spans="1:40" hidden="1">
      <c r="A59" s="537" t="s">
        <v>179</v>
      </c>
      <c r="B59" s="1">
        <v>210313</v>
      </c>
      <c r="C59" s="1">
        <v>83455</v>
      </c>
      <c r="D59" s="537" t="s">
        <v>180</v>
      </c>
      <c r="E59" s="537" t="s">
        <v>207</v>
      </c>
      <c r="F59"/>
      <c r="G59"/>
      <c r="H59" s="537" t="s">
        <v>213</v>
      </c>
      <c r="I59" s="537" t="s">
        <v>214</v>
      </c>
      <c r="J59" s="537" t="s">
        <v>18</v>
      </c>
      <c r="K59" s="537" t="s">
        <v>57</v>
      </c>
      <c r="L59" s="61">
        <v>33608</v>
      </c>
      <c r="M59" s="1">
        <v>31</v>
      </c>
      <c r="N59" s="1">
        <v>1500</v>
      </c>
      <c r="O59" s="1" t="s">
        <v>182</v>
      </c>
      <c r="P59" s="1">
        <v>2300</v>
      </c>
      <c r="Q59" s="537" t="s">
        <v>183</v>
      </c>
      <c r="R59" s="1">
        <v>800</v>
      </c>
      <c r="S59">
        <v>300000</v>
      </c>
      <c r="T59">
        <v>15014.999999999998</v>
      </c>
      <c r="U59" t="s">
        <v>2639</v>
      </c>
      <c r="V59">
        <v>27450</v>
      </c>
      <c r="W59" s="1">
        <v>45360</v>
      </c>
      <c r="X59" s="537" t="s">
        <v>59</v>
      </c>
      <c r="Y59" s="537" t="s">
        <v>60</v>
      </c>
      <c r="Z59" s="1" t="s">
        <v>215</v>
      </c>
      <c r="AA59" s="537" t="s">
        <v>216</v>
      </c>
      <c r="AB59" s="537" t="s">
        <v>217</v>
      </c>
      <c r="AC59" s="1">
        <v>44270</v>
      </c>
      <c r="AD59" s="61">
        <v>44272</v>
      </c>
      <c r="AE59" s="61">
        <v>45015</v>
      </c>
      <c r="AF59" s="61"/>
      <c r="AG59" s="1">
        <v>44348</v>
      </c>
      <c r="AH59" s="537" t="s">
        <v>1057</v>
      </c>
      <c r="AI59" s="537" t="s">
        <v>86</v>
      </c>
      <c r="AJ59" s="1">
        <v>48</v>
      </c>
      <c r="AK59" s="537" t="s">
        <v>155</v>
      </c>
      <c r="AL59" s="1" t="s">
        <v>1058</v>
      </c>
      <c r="AM59" s="537" t="s">
        <v>64</v>
      </c>
      <c r="AN59" s="537"/>
    </row>
    <row r="60" spans="1:40" hidden="1">
      <c r="A60" s="537" t="s">
        <v>179</v>
      </c>
      <c r="B60" s="1">
        <v>210417</v>
      </c>
      <c r="C60" s="1">
        <v>83505</v>
      </c>
      <c r="D60" s="537" t="s">
        <v>180</v>
      </c>
      <c r="E60" s="537" t="s">
        <v>235</v>
      </c>
      <c r="G60"/>
      <c r="H60" s="537" t="s">
        <v>236</v>
      </c>
      <c r="I60" s="537" t="s">
        <v>237</v>
      </c>
      <c r="J60" s="537" t="s">
        <v>18</v>
      </c>
      <c r="K60" s="537" t="s">
        <v>57</v>
      </c>
      <c r="L60" s="61">
        <v>33593</v>
      </c>
      <c r="M60" s="1">
        <v>31</v>
      </c>
      <c r="N60" s="1">
        <v>1500</v>
      </c>
      <c r="O60" s="1" t="s">
        <v>238</v>
      </c>
      <c r="P60" s="1">
        <v>2300</v>
      </c>
      <c r="Q60" s="537"/>
      <c r="R60" s="1">
        <v>800</v>
      </c>
      <c r="S60">
        <v>340000</v>
      </c>
      <c r="T60">
        <v>17017</v>
      </c>
      <c r="U60" t="s">
        <v>2639</v>
      </c>
      <c r="V60">
        <v>31110</v>
      </c>
      <c r="W60" s="1">
        <v>44996</v>
      </c>
      <c r="X60" s="537" t="s">
        <v>59</v>
      </c>
      <c r="Y60" s="537" t="s">
        <v>60</v>
      </c>
      <c r="Z60" s="1" t="s">
        <v>215</v>
      </c>
      <c r="AA60" s="537" t="s">
        <v>239</v>
      </c>
      <c r="AB60" s="537" t="s">
        <v>240</v>
      </c>
      <c r="AC60" s="1" t="s">
        <v>63</v>
      </c>
      <c r="AD60" s="61">
        <v>44306</v>
      </c>
      <c r="AE60" s="61">
        <v>45015</v>
      </c>
      <c r="AF60" s="61"/>
      <c r="AG60" s="1">
        <v>44378</v>
      </c>
      <c r="AH60" s="537" t="s">
        <v>237</v>
      </c>
      <c r="AI60" s="537" t="s">
        <v>86</v>
      </c>
      <c r="AJ60" s="1">
        <v>328</v>
      </c>
      <c r="AK60" s="537" t="s">
        <v>206</v>
      </c>
      <c r="AL60" s="1" t="s">
        <v>1141</v>
      </c>
      <c r="AM60" s="537" t="s">
        <v>64</v>
      </c>
      <c r="AN60" s="537"/>
    </row>
    <row r="61" spans="1:40" hidden="1">
      <c r="A61" s="537" t="s">
        <v>179</v>
      </c>
      <c r="B61" s="1">
        <v>210603</v>
      </c>
      <c r="C61" s="1">
        <v>83665</v>
      </c>
      <c r="D61" s="537" t="s">
        <v>180</v>
      </c>
      <c r="E61" s="537" t="s">
        <v>207</v>
      </c>
      <c r="F61"/>
      <c r="G61"/>
      <c r="H61" s="537" t="s">
        <v>259</v>
      </c>
      <c r="I61" s="537" t="s">
        <v>260</v>
      </c>
      <c r="J61" s="537" t="s">
        <v>18</v>
      </c>
      <c r="K61" s="537" t="s">
        <v>57</v>
      </c>
      <c r="L61" s="61">
        <v>33531</v>
      </c>
      <c r="M61" s="1">
        <v>32</v>
      </c>
      <c r="N61" s="1">
        <v>1500</v>
      </c>
      <c r="O61" s="1" t="s">
        <v>261</v>
      </c>
      <c r="P61" s="1">
        <v>2300</v>
      </c>
      <c r="Q61" s="537"/>
      <c r="R61" s="1">
        <v>800</v>
      </c>
      <c r="S61">
        <v>300000</v>
      </c>
      <c r="T61">
        <v>15014.999999999998</v>
      </c>
      <c r="U61" t="s">
        <v>2639</v>
      </c>
      <c r="V61">
        <v>27450</v>
      </c>
      <c r="W61" s="1">
        <v>45566</v>
      </c>
      <c r="X61" s="537" t="s">
        <v>65</v>
      </c>
      <c r="Y61" s="537" t="s">
        <v>60</v>
      </c>
      <c r="Z61" s="1" t="s">
        <v>262</v>
      </c>
      <c r="AA61" s="537" t="s">
        <v>263</v>
      </c>
      <c r="AB61" s="537" t="s">
        <v>264</v>
      </c>
      <c r="AC61" s="1">
        <v>44348</v>
      </c>
      <c r="AD61" s="61">
        <v>44350</v>
      </c>
      <c r="AE61" s="61">
        <v>45015</v>
      </c>
      <c r="AF61" s="61"/>
      <c r="AG61" s="1">
        <v>44409</v>
      </c>
      <c r="AH61" s="537" t="s">
        <v>260</v>
      </c>
      <c r="AI61" s="537" t="s">
        <v>86</v>
      </c>
      <c r="AJ61" s="1">
        <v>548</v>
      </c>
      <c r="AK61" s="537" t="s">
        <v>125</v>
      </c>
      <c r="AL61" s="1" t="s">
        <v>1188</v>
      </c>
      <c r="AM61" s="537" t="s">
        <v>64</v>
      </c>
      <c r="AN61" s="537"/>
    </row>
    <row r="62" spans="1:40" hidden="1">
      <c r="A62" s="537" t="s">
        <v>179</v>
      </c>
      <c r="B62" s="1">
        <v>210801</v>
      </c>
      <c r="C62" s="1">
        <v>83829</v>
      </c>
      <c r="D62" s="537" t="s">
        <v>180</v>
      </c>
      <c r="E62" s="537" t="s">
        <v>296</v>
      </c>
      <c r="F62"/>
      <c r="G62"/>
      <c r="H62" s="537" t="s">
        <v>297</v>
      </c>
      <c r="I62" s="537" t="s">
        <v>298</v>
      </c>
      <c r="J62" s="537" t="s">
        <v>18</v>
      </c>
      <c r="K62" s="537" t="s">
        <v>57</v>
      </c>
      <c r="L62" s="61">
        <v>34643</v>
      </c>
      <c r="M62" s="1">
        <v>29</v>
      </c>
      <c r="N62" s="1">
        <v>1500</v>
      </c>
      <c r="O62" s="1" t="s">
        <v>299</v>
      </c>
      <c r="P62" s="1">
        <v>2300</v>
      </c>
      <c r="Q62" s="537"/>
      <c r="R62" s="1">
        <v>800</v>
      </c>
      <c r="S62">
        <v>320000</v>
      </c>
      <c r="T62">
        <v>16015.999999999998</v>
      </c>
      <c r="U62" t="s">
        <v>2639</v>
      </c>
      <c r="V62">
        <v>29280</v>
      </c>
      <c r="W62" s="1">
        <v>45200</v>
      </c>
      <c r="X62" s="537" t="s">
        <v>59</v>
      </c>
      <c r="Y62" s="537" t="s">
        <v>60</v>
      </c>
      <c r="Z62" s="1" t="s">
        <v>184</v>
      </c>
      <c r="AA62" s="537" t="s">
        <v>195</v>
      </c>
      <c r="AB62" s="537" t="s">
        <v>196</v>
      </c>
      <c r="AC62" s="1">
        <v>44417</v>
      </c>
      <c r="AD62" s="61">
        <v>44418</v>
      </c>
      <c r="AE62" s="61">
        <v>45015</v>
      </c>
      <c r="AF62" s="61"/>
      <c r="AG62" s="1">
        <v>44470</v>
      </c>
      <c r="AH62" s="537" t="s">
        <v>298</v>
      </c>
      <c r="AI62" s="537" t="s">
        <v>86</v>
      </c>
      <c r="AJ62" s="1">
        <v>548</v>
      </c>
      <c r="AK62" s="537" t="s">
        <v>125</v>
      </c>
      <c r="AL62" s="1" t="s">
        <v>1251</v>
      </c>
      <c r="AM62" s="537" t="s">
        <v>64</v>
      </c>
      <c r="AN62" s="537"/>
    </row>
    <row r="63" spans="1:40" hidden="1">
      <c r="A63" s="537" t="s">
        <v>54</v>
      </c>
      <c r="B63" s="1">
        <v>210802</v>
      </c>
      <c r="C63" s="1">
        <v>83836</v>
      </c>
      <c r="D63" s="537" t="s">
        <v>2277</v>
      </c>
      <c r="E63" s="537" t="s">
        <v>296</v>
      </c>
      <c r="F63"/>
      <c r="G63"/>
      <c r="H63" s="537" t="s">
        <v>300</v>
      </c>
      <c r="I63" s="537" t="s">
        <v>301</v>
      </c>
      <c r="J63" s="537" t="s">
        <v>18</v>
      </c>
      <c r="K63" s="537" t="s">
        <v>57</v>
      </c>
      <c r="L63" s="61">
        <v>34498</v>
      </c>
      <c r="M63" s="1">
        <v>29</v>
      </c>
      <c r="N63" s="1">
        <v>1400</v>
      </c>
      <c r="O63" s="1" t="s">
        <v>299</v>
      </c>
      <c r="P63" s="1">
        <v>1850</v>
      </c>
      <c r="Q63" s="537"/>
      <c r="R63" s="1">
        <v>450</v>
      </c>
      <c r="S63">
        <v>260000</v>
      </c>
      <c r="T63">
        <v>13013</v>
      </c>
      <c r="U63" t="s">
        <v>2639</v>
      </c>
      <c r="V63">
        <v>23790</v>
      </c>
      <c r="W63" s="1">
        <v>46342</v>
      </c>
      <c r="X63" s="537" t="s">
        <v>65</v>
      </c>
      <c r="Y63" s="537" t="s">
        <v>60</v>
      </c>
      <c r="Z63" s="1" t="s">
        <v>215</v>
      </c>
      <c r="AA63" s="537" t="s">
        <v>239</v>
      </c>
      <c r="AB63" s="537" t="s">
        <v>819</v>
      </c>
      <c r="AC63" s="1" t="s">
        <v>63</v>
      </c>
      <c r="AD63" s="61">
        <v>44418</v>
      </c>
      <c r="AE63" s="61"/>
      <c r="AF63" s="61"/>
      <c r="AG63" s="1">
        <v>44470</v>
      </c>
      <c r="AH63" s="537" t="s">
        <v>301</v>
      </c>
      <c r="AI63" s="537" t="s">
        <v>86</v>
      </c>
      <c r="AJ63" s="1">
        <v>18</v>
      </c>
      <c r="AK63" s="537" t="s">
        <v>294</v>
      </c>
      <c r="AL63" s="1" t="s">
        <v>1252</v>
      </c>
      <c r="AM63" s="537" t="s">
        <v>64</v>
      </c>
      <c r="AN63" s="537" t="s">
        <v>2663</v>
      </c>
    </row>
    <row r="64" spans="1:40" hidden="1">
      <c r="A64" s="537" t="s">
        <v>54</v>
      </c>
      <c r="B64" s="1">
        <v>210805</v>
      </c>
      <c r="C64" s="1">
        <v>83843</v>
      </c>
      <c r="D64" s="537" t="s">
        <v>2277</v>
      </c>
      <c r="E64" s="537" t="s">
        <v>186</v>
      </c>
      <c r="F64"/>
      <c r="G64"/>
      <c r="H64" s="537" t="s">
        <v>305</v>
      </c>
      <c r="I64" s="537" t="s">
        <v>306</v>
      </c>
      <c r="J64" s="537" t="s">
        <v>18</v>
      </c>
      <c r="K64" s="537" t="s">
        <v>57</v>
      </c>
      <c r="L64" s="61">
        <v>32818</v>
      </c>
      <c r="M64" s="1">
        <v>34</v>
      </c>
      <c r="N64" s="1">
        <v>1400</v>
      </c>
      <c r="O64" s="1" t="s">
        <v>299</v>
      </c>
      <c r="P64" s="1">
        <v>1850</v>
      </c>
      <c r="Q64" s="537"/>
      <c r="R64" s="1">
        <v>450</v>
      </c>
      <c r="S64">
        <v>260000</v>
      </c>
      <c r="T64">
        <v>13013</v>
      </c>
      <c r="U64" t="s">
        <v>2639</v>
      </c>
      <c r="V64">
        <v>23790</v>
      </c>
      <c r="W64" s="1">
        <v>46121</v>
      </c>
      <c r="X64" s="537" t="s">
        <v>65</v>
      </c>
      <c r="Y64" s="537" t="s">
        <v>60</v>
      </c>
      <c r="Z64" s="1" t="s">
        <v>215</v>
      </c>
      <c r="AA64" s="537" t="s">
        <v>239</v>
      </c>
      <c r="AB64" s="537" t="s">
        <v>307</v>
      </c>
      <c r="AC64" s="1" t="s">
        <v>63</v>
      </c>
      <c r="AD64" s="61">
        <v>44424</v>
      </c>
      <c r="AE64" s="61"/>
      <c r="AF64" s="61"/>
      <c r="AG64" s="1">
        <v>44470</v>
      </c>
      <c r="AH64" s="537" t="s">
        <v>1253</v>
      </c>
      <c r="AI64" s="537" t="s">
        <v>86</v>
      </c>
      <c r="AJ64" s="1">
        <v>748</v>
      </c>
      <c r="AK64" s="537" t="s">
        <v>96</v>
      </c>
      <c r="AL64" s="1" t="s">
        <v>1254</v>
      </c>
      <c r="AM64" s="537" t="s">
        <v>64</v>
      </c>
      <c r="AN64" s="537" t="s">
        <v>2664</v>
      </c>
    </row>
    <row r="65" spans="1:40" hidden="1">
      <c r="A65" s="537" t="s">
        <v>179</v>
      </c>
      <c r="B65" s="1">
        <v>210806</v>
      </c>
      <c r="C65" s="1">
        <v>83850</v>
      </c>
      <c r="D65" s="537" t="s">
        <v>180</v>
      </c>
      <c r="E65" s="537" t="s">
        <v>186</v>
      </c>
      <c r="F65"/>
      <c r="G65"/>
      <c r="H65" s="537" t="s">
        <v>308</v>
      </c>
      <c r="I65" s="537" t="s">
        <v>309</v>
      </c>
      <c r="J65" s="537" t="s">
        <v>18</v>
      </c>
      <c r="K65" s="537" t="s">
        <v>57</v>
      </c>
      <c r="L65" s="61">
        <v>33996</v>
      </c>
      <c r="M65" s="1">
        <v>30</v>
      </c>
      <c r="N65" s="1">
        <v>1500</v>
      </c>
      <c r="O65" s="1" t="s">
        <v>299</v>
      </c>
      <c r="P65" s="1">
        <v>2300</v>
      </c>
      <c r="Q65" s="537"/>
      <c r="R65" s="1">
        <v>800</v>
      </c>
      <c r="S65">
        <v>320000</v>
      </c>
      <c r="T65">
        <v>16015.999999999998</v>
      </c>
      <c r="U65" t="s">
        <v>2639</v>
      </c>
      <c r="V65">
        <v>29280</v>
      </c>
      <c r="W65" s="1">
        <v>45348</v>
      </c>
      <c r="X65" s="537" t="s">
        <v>59</v>
      </c>
      <c r="Y65" s="537" t="s">
        <v>60</v>
      </c>
      <c r="Z65" s="1" t="s">
        <v>184</v>
      </c>
      <c r="AA65" s="537" t="s">
        <v>185</v>
      </c>
      <c r="AB65" s="537" t="s">
        <v>310</v>
      </c>
      <c r="AC65" s="1">
        <v>44423</v>
      </c>
      <c r="AD65" s="61">
        <v>44424</v>
      </c>
      <c r="AE65" s="61">
        <v>45028</v>
      </c>
      <c r="AF65" s="61"/>
      <c r="AG65" s="1">
        <v>44470</v>
      </c>
      <c r="AH65" s="537" t="s">
        <v>309</v>
      </c>
      <c r="AI65" s="537" t="s">
        <v>86</v>
      </c>
      <c r="AJ65" s="1">
        <v>238</v>
      </c>
      <c r="AK65" s="537" t="s">
        <v>1109</v>
      </c>
      <c r="AL65" s="1" t="s">
        <v>1255</v>
      </c>
      <c r="AM65" s="537" t="s">
        <v>64</v>
      </c>
      <c r="AN65" s="537"/>
    </row>
    <row r="66" spans="1:40" hidden="1">
      <c r="A66" s="537" t="s">
        <v>179</v>
      </c>
      <c r="B66" s="1">
        <v>210803</v>
      </c>
      <c r="C66" s="1">
        <v>83868</v>
      </c>
      <c r="D66" s="537" t="s">
        <v>180</v>
      </c>
      <c r="E66" s="537" t="s">
        <v>207</v>
      </c>
      <c r="F66"/>
      <c r="G66"/>
      <c r="H66" s="537" t="s">
        <v>302</v>
      </c>
      <c r="I66" s="537" t="s">
        <v>303</v>
      </c>
      <c r="J66" s="537" t="s">
        <v>18</v>
      </c>
      <c r="K66" s="537" t="s">
        <v>57</v>
      </c>
      <c r="L66" s="61">
        <v>32950</v>
      </c>
      <c r="M66" s="1">
        <v>33</v>
      </c>
      <c r="N66" s="1">
        <v>1500</v>
      </c>
      <c r="O66" s="1" t="s">
        <v>299</v>
      </c>
      <c r="P66" s="1">
        <v>2300</v>
      </c>
      <c r="Q66" s="537"/>
      <c r="R66" s="1">
        <v>800</v>
      </c>
      <c r="S66">
        <v>300000</v>
      </c>
      <c r="T66">
        <v>15014.999999999998</v>
      </c>
      <c r="U66" t="s">
        <v>2639</v>
      </c>
      <c r="V66">
        <v>27450</v>
      </c>
      <c r="W66" s="1">
        <v>45183</v>
      </c>
      <c r="X66" s="537" t="s">
        <v>59</v>
      </c>
      <c r="Y66" s="537" t="s">
        <v>60</v>
      </c>
      <c r="Z66" s="1" t="s">
        <v>210</v>
      </c>
      <c r="AA66" s="537" t="s">
        <v>211</v>
      </c>
      <c r="AB66" s="537" t="s">
        <v>304</v>
      </c>
      <c r="AC66" s="1">
        <v>44413</v>
      </c>
      <c r="AD66" s="61">
        <v>44424</v>
      </c>
      <c r="AE66" s="61">
        <v>45015</v>
      </c>
      <c r="AF66" s="61"/>
      <c r="AG66" s="1">
        <v>44470</v>
      </c>
      <c r="AH66" s="537" t="s">
        <v>1256</v>
      </c>
      <c r="AI66" s="537" t="s">
        <v>86</v>
      </c>
      <c r="AJ66" s="1">
        <v>548</v>
      </c>
      <c r="AK66" s="537" t="s">
        <v>125</v>
      </c>
      <c r="AL66" s="1" t="s">
        <v>1257</v>
      </c>
      <c r="AM66" s="537" t="s">
        <v>64</v>
      </c>
      <c r="AN66" s="537"/>
    </row>
    <row r="67" spans="1:40" hidden="1">
      <c r="A67" s="537" t="s">
        <v>179</v>
      </c>
      <c r="B67" s="1">
        <v>210812</v>
      </c>
      <c r="C67" s="1">
        <v>83882</v>
      </c>
      <c r="D67" s="537" t="s">
        <v>180</v>
      </c>
      <c r="E67" s="537" t="s">
        <v>311</v>
      </c>
      <c r="F67"/>
      <c r="G67"/>
      <c r="H67" s="537" t="s">
        <v>312</v>
      </c>
      <c r="I67" s="537" t="s">
        <v>313</v>
      </c>
      <c r="J67" s="537" t="s">
        <v>18</v>
      </c>
      <c r="K67" s="537" t="s">
        <v>57</v>
      </c>
      <c r="L67" s="61">
        <v>33805</v>
      </c>
      <c r="M67" s="1">
        <v>31</v>
      </c>
      <c r="N67" s="1">
        <v>1500</v>
      </c>
      <c r="O67" s="1" t="s">
        <v>299</v>
      </c>
      <c r="P67" s="1">
        <v>2300</v>
      </c>
      <c r="Q67" s="537"/>
      <c r="R67" s="1">
        <v>800</v>
      </c>
      <c r="S67">
        <v>320000</v>
      </c>
      <c r="T67">
        <v>16015.999999999998</v>
      </c>
      <c r="U67" t="s">
        <v>2639</v>
      </c>
      <c r="V67">
        <v>29280</v>
      </c>
      <c r="W67" s="1">
        <v>45127</v>
      </c>
      <c r="X67" s="537" t="s">
        <v>59</v>
      </c>
      <c r="Y67" s="537" t="s">
        <v>60</v>
      </c>
      <c r="Z67" s="1" t="s">
        <v>184</v>
      </c>
      <c r="AA67" s="537" t="s">
        <v>195</v>
      </c>
      <c r="AB67" s="537" t="s">
        <v>196</v>
      </c>
      <c r="AC67" s="1">
        <v>44423</v>
      </c>
      <c r="AD67" s="61">
        <v>44424</v>
      </c>
      <c r="AE67" s="61">
        <v>45015</v>
      </c>
      <c r="AF67" s="61"/>
      <c r="AG67" s="1">
        <v>44470</v>
      </c>
      <c r="AH67" s="537" t="s">
        <v>313</v>
      </c>
      <c r="AI67" s="537" t="s">
        <v>86</v>
      </c>
      <c r="AJ67" s="1">
        <v>418</v>
      </c>
      <c r="AK67" s="537" t="s">
        <v>1258</v>
      </c>
      <c r="AL67" s="1" t="s">
        <v>1259</v>
      </c>
      <c r="AM67" s="537" t="s">
        <v>64</v>
      </c>
      <c r="AN67" s="537"/>
    </row>
    <row r="68" spans="1:40" hidden="1">
      <c r="A68" s="537" t="s">
        <v>179</v>
      </c>
      <c r="B68" s="1">
        <v>210820</v>
      </c>
      <c r="C68" s="1">
        <v>83925</v>
      </c>
      <c r="D68" s="537" t="s">
        <v>180</v>
      </c>
      <c r="E68" s="537" t="s">
        <v>320</v>
      </c>
      <c r="F68"/>
      <c r="G68"/>
      <c r="H68" s="537" t="s">
        <v>321</v>
      </c>
      <c r="I68" s="537" t="s">
        <v>322</v>
      </c>
      <c r="J68" s="537" t="s">
        <v>18</v>
      </c>
      <c r="K68" s="537" t="s">
        <v>57</v>
      </c>
      <c r="L68" s="61">
        <v>31605</v>
      </c>
      <c r="M68" s="1">
        <v>37</v>
      </c>
      <c r="N68" s="1">
        <v>1500</v>
      </c>
      <c r="P68" s="1">
        <v>2300</v>
      </c>
      <c r="Q68" s="537"/>
      <c r="R68" s="1">
        <v>800</v>
      </c>
      <c r="S68">
        <v>320000</v>
      </c>
      <c r="T68">
        <v>16015.999999999998</v>
      </c>
      <c r="U68" t="s">
        <v>2639</v>
      </c>
      <c r="V68">
        <v>29280</v>
      </c>
      <c r="W68" s="1">
        <v>45150</v>
      </c>
      <c r="X68" s="537" t="s">
        <v>59</v>
      </c>
      <c r="Y68" s="537" t="s">
        <v>60</v>
      </c>
      <c r="Z68" s="1" t="s">
        <v>215</v>
      </c>
      <c r="AA68" s="537" t="s">
        <v>323</v>
      </c>
      <c r="AB68" s="537" t="s">
        <v>324</v>
      </c>
      <c r="AC68" s="1">
        <v>44431</v>
      </c>
      <c r="AD68" s="61">
        <v>44434</v>
      </c>
      <c r="AE68" s="61">
        <v>45015</v>
      </c>
      <c r="AF68" s="61"/>
      <c r="AG68" s="1">
        <v>44501</v>
      </c>
      <c r="AH68" s="537" t="s">
        <v>322</v>
      </c>
      <c r="AI68" s="537" t="s">
        <v>86</v>
      </c>
      <c r="AJ68" s="1">
        <v>438</v>
      </c>
      <c r="AK68" s="537" t="s">
        <v>223</v>
      </c>
      <c r="AL68" s="1" t="s">
        <v>1285</v>
      </c>
      <c r="AM68" s="537" t="s">
        <v>64</v>
      </c>
      <c r="AN68" s="537"/>
    </row>
    <row r="69" spans="1:40" hidden="1">
      <c r="A69" s="537" t="s">
        <v>179</v>
      </c>
      <c r="B69" s="1">
        <v>210902</v>
      </c>
      <c r="C69" s="1">
        <v>83940</v>
      </c>
      <c r="D69" s="537" t="s">
        <v>180</v>
      </c>
      <c r="E69" s="537" t="s">
        <v>320</v>
      </c>
      <c r="F69"/>
      <c r="G69"/>
      <c r="H69" s="537" t="s">
        <v>331</v>
      </c>
      <c r="I69" s="537" t="s">
        <v>332</v>
      </c>
      <c r="J69" s="537" t="s">
        <v>18</v>
      </c>
      <c r="K69" s="537" t="s">
        <v>57</v>
      </c>
      <c r="L69" s="61">
        <v>32964</v>
      </c>
      <c r="M69" s="1">
        <v>33</v>
      </c>
      <c r="N69" s="1">
        <v>1500</v>
      </c>
      <c r="P69" s="1">
        <v>2300</v>
      </c>
      <c r="Q69" s="537"/>
      <c r="R69" s="1">
        <v>800</v>
      </c>
      <c r="S69">
        <v>320000</v>
      </c>
      <c r="T69">
        <v>16015.999999999998</v>
      </c>
      <c r="U69" t="s">
        <v>2639</v>
      </c>
      <c r="V69">
        <v>29280</v>
      </c>
      <c r="W69" s="1">
        <v>45195</v>
      </c>
      <c r="X69" s="537" t="s">
        <v>59</v>
      </c>
      <c r="Y69" s="537" t="s">
        <v>60</v>
      </c>
      <c r="Z69" s="1" t="s">
        <v>215</v>
      </c>
      <c r="AA69" s="537" t="s">
        <v>239</v>
      </c>
      <c r="AB69" s="537" t="s">
        <v>333</v>
      </c>
      <c r="AC69" s="1" t="s">
        <v>63</v>
      </c>
      <c r="AD69" s="61">
        <v>44445</v>
      </c>
      <c r="AE69" s="61">
        <v>45015</v>
      </c>
      <c r="AF69" s="61"/>
      <c r="AG69" s="1">
        <v>44501</v>
      </c>
      <c r="AH69" s="537" t="s">
        <v>1293</v>
      </c>
      <c r="AI69" s="537" t="s">
        <v>117</v>
      </c>
      <c r="AJ69" s="1">
        <v>220</v>
      </c>
      <c r="AK69" s="537" t="s">
        <v>1294</v>
      </c>
      <c r="AL69" s="1" t="s">
        <v>1295</v>
      </c>
      <c r="AM69" s="537" t="s">
        <v>64</v>
      </c>
      <c r="AN69" s="537"/>
    </row>
    <row r="70" spans="1:40" hidden="1">
      <c r="A70" s="537" t="s">
        <v>179</v>
      </c>
      <c r="B70" s="1">
        <v>210909</v>
      </c>
      <c r="C70" s="1">
        <v>83964</v>
      </c>
      <c r="D70" s="537" t="s">
        <v>180</v>
      </c>
      <c r="E70" s="537" t="s">
        <v>191</v>
      </c>
      <c r="F70"/>
      <c r="G70"/>
      <c r="H70" s="537" t="s">
        <v>341</v>
      </c>
      <c r="I70" s="537" t="s">
        <v>342</v>
      </c>
      <c r="J70" s="537" t="s">
        <v>18</v>
      </c>
      <c r="K70" s="537" t="s">
        <v>57</v>
      </c>
      <c r="L70" s="61">
        <v>33600</v>
      </c>
      <c r="M70" s="1">
        <v>31</v>
      </c>
      <c r="N70" s="1">
        <v>1500</v>
      </c>
      <c r="P70" s="1">
        <v>2300</v>
      </c>
      <c r="Q70" s="537"/>
      <c r="R70" s="1">
        <v>800</v>
      </c>
      <c r="S70"/>
      <c r="T70" t="s">
        <v>65</v>
      </c>
      <c r="U70" t="s">
        <v>2639</v>
      </c>
      <c r="V70" t="s">
        <v>65</v>
      </c>
      <c r="W70" s="1">
        <v>45157</v>
      </c>
      <c r="X70" s="537" t="s">
        <v>59</v>
      </c>
      <c r="Y70" s="537" t="s">
        <v>60</v>
      </c>
      <c r="Z70" s="1" t="s">
        <v>210</v>
      </c>
      <c r="AA70" s="537" t="s">
        <v>343</v>
      </c>
      <c r="AB70" s="537" t="s">
        <v>344</v>
      </c>
      <c r="AC70" s="1">
        <v>44458</v>
      </c>
      <c r="AD70" s="61">
        <v>44460</v>
      </c>
      <c r="AE70" s="61">
        <v>44915</v>
      </c>
      <c r="AF70" s="61"/>
      <c r="AG70" s="1">
        <v>44531</v>
      </c>
      <c r="AH70" s="537" t="s">
        <v>1327</v>
      </c>
      <c r="AI70" s="537" t="s">
        <v>436</v>
      </c>
      <c r="AJ70" s="1">
        <v>220</v>
      </c>
      <c r="AK70" s="537" t="s">
        <v>1328</v>
      </c>
      <c r="AL70" s="1" t="s">
        <v>1329</v>
      </c>
      <c r="AM70" s="537" t="s">
        <v>64</v>
      </c>
      <c r="AN70" s="537"/>
    </row>
    <row r="71" spans="1:40" hidden="1">
      <c r="A71" s="537" t="s">
        <v>179</v>
      </c>
      <c r="B71" s="1">
        <v>211027</v>
      </c>
      <c r="C71" s="1">
        <v>84030</v>
      </c>
      <c r="D71" s="537" t="s">
        <v>2277</v>
      </c>
      <c r="E71" s="537" t="s">
        <v>417</v>
      </c>
      <c r="F71"/>
      <c r="G71"/>
      <c r="H71" s="537" t="s">
        <v>418</v>
      </c>
      <c r="I71" s="537" t="s">
        <v>419</v>
      </c>
      <c r="J71" s="537" t="s">
        <v>18</v>
      </c>
      <c r="K71" s="537" t="s">
        <v>57</v>
      </c>
      <c r="L71" s="61">
        <v>35548</v>
      </c>
      <c r="M71" s="1">
        <v>26</v>
      </c>
      <c r="N71" s="1">
        <v>1400</v>
      </c>
      <c r="O71" s="1" t="s">
        <v>420</v>
      </c>
      <c r="P71" s="1">
        <v>1850</v>
      </c>
      <c r="Q71" s="537"/>
      <c r="R71" s="1">
        <v>450</v>
      </c>
      <c r="S71">
        <v>280000</v>
      </c>
      <c r="T71">
        <v>14014</v>
      </c>
      <c r="U71" t="s">
        <v>2639</v>
      </c>
      <c r="V71">
        <v>25620</v>
      </c>
      <c r="W71" s="1">
        <v>46089</v>
      </c>
      <c r="X71" s="537" t="s">
        <v>65</v>
      </c>
      <c r="Y71" s="537" t="s">
        <v>60</v>
      </c>
      <c r="Z71" s="1" t="s">
        <v>210</v>
      </c>
      <c r="AA71" s="537" t="s">
        <v>211</v>
      </c>
      <c r="AB71" s="537" t="s">
        <v>212</v>
      </c>
      <c r="AD71" s="61">
        <v>44494</v>
      </c>
      <c r="AE71" s="61">
        <v>45215</v>
      </c>
      <c r="AF71" s="61"/>
      <c r="AG71" s="1">
        <v>22.01</v>
      </c>
      <c r="AH71" s="537" t="s">
        <v>419</v>
      </c>
      <c r="AI71" s="537" t="s">
        <v>1420</v>
      </c>
      <c r="AJ71" s="1">
        <v>614</v>
      </c>
      <c r="AK71" s="537" t="s">
        <v>1421</v>
      </c>
      <c r="AL71" s="1" t="s">
        <v>1422</v>
      </c>
      <c r="AM71" s="537" t="s">
        <v>64</v>
      </c>
      <c r="AN71" s="537" t="s">
        <v>2670</v>
      </c>
    </row>
    <row r="72" spans="1:40" hidden="1">
      <c r="A72" s="537" t="s">
        <v>54</v>
      </c>
      <c r="B72" s="1">
        <v>200801</v>
      </c>
      <c r="C72" s="1">
        <v>84105</v>
      </c>
      <c r="D72" s="537" t="s">
        <v>180</v>
      </c>
      <c r="E72" s="537" t="s">
        <v>320</v>
      </c>
      <c r="F72"/>
      <c r="G72"/>
      <c r="H72" s="537" t="s">
        <v>475</v>
      </c>
      <c r="I72" s="537" t="s">
        <v>476</v>
      </c>
      <c r="J72" s="537" t="s">
        <v>18</v>
      </c>
      <c r="K72" s="537" t="s">
        <v>57</v>
      </c>
      <c r="L72" s="61">
        <v>32431</v>
      </c>
      <c r="M72" s="1">
        <v>35</v>
      </c>
      <c r="N72" s="1">
        <v>1600</v>
      </c>
      <c r="O72" s="1" t="s">
        <v>477</v>
      </c>
      <c r="P72" s="1">
        <v>2300</v>
      </c>
      <c r="Q72" s="537" t="s">
        <v>478</v>
      </c>
      <c r="R72" s="1">
        <v>700</v>
      </c>
      <c r="S72">
        <v>320000</v>
      </c>
      <c r="T72">
        <v>16015.999999999998</v>
      </c>
      <c r="U72" t="s">
        <v>2639</v>
      </c>
      <c r="V72">
        <v>29280</v>
      </c>
      <c r="W72" s="1">
        <v>46309</v>
      </c>
      <c r="X72" s="537" t="s">
        <v>65</v>
      </c>
      <c r="Y72" s="537" t="s">
        <v>60</v>
      </c>
      <c r="Z72" s="1" t="s">
        <v>210</v>
      </c>
      <c r="AA72" s="537" t="s">
        <v>211</v>
      </c>
      <c r="AB72" s="537" t="s">
        <v>304</v>
      </c>
      <c r="AC72" s="1">
        <v>44571</v>
      </c>
      <c r="AD72" s="61">
        <v>44573</v>
      </c>
      <c r="AE72" s="61"/>
      <c r="AF72" s="61"/>
      <c r="AG72" s="1">
        <v>22.03</v>
      </c>
      <c r="AH72" s="537" t="s">
        <v>1559</v>
      </c>
      <c r="AI72" s="537" t="s">
        <v>1560</v>
      </c>
      <c r="AJ72" s="1">
        <v>101</v>
      </c>
      <c r="AK72" s="537" t="s">
        <v>1561</v>
      </c>
      <c r="AL72" s="1" t="s">
        <v>1562</v>
      </c>
      <c r="AM72" s="537" t="s">
        <v>64</v>
      </c>
      <c r="AN72" s="537" t="s">
        <v>479</v>
      </c>
    </row>
    <row r="73" spans="1:40" hidden="1">
      <c r="A73" s="537" t="s">
        <v>179</v>
      </c>
      <c r="B73" s="1">
        <v>220129</v>
      </c>
      <c r="C73" s="1">
        <v>84112</v>
      </c>
      <c r="D73" s="537" t="s">
        <v>180</v>
      </c>
      <c r="E73" s="537" t="s">
        <v>500</v>
      </c>
      <c r="F73"/>
      <c r="G73"/>
      <c r="H73" s="537" t="s">
        <v>501</v>
      </c>
      <c r="I73" s="537" t="s">
        <v>502</v>
      </c>
      <c r="J73" s="537" t="s">
        <v>18</v>
      </c>
      <c r="K73" s="537" t="s">
        <v>57</v>
      </c>
      <c r="L73" s="61">
        <v>33462</v>
      </c>
      <c r="M73" s="1">
        <v>32</v>
      </c>
      <c r="N73" s="1">
        <v>1500</v>
      </c>
      <c r="O73" s="1" t="s">
        <v>503</v>
      </c>
      <c r="P73" s="1">
        <v>2300</v>
      </c>
      <c r="Q73" s="537" t="s">
        <v>478</v>
      </c>
      <c r="R73" s="1">
        <v>800</v>
      </c>
      <c r="S73">
        <v>280000</v>
      </c>
      <c r="T73">
        <v>14014</v>
      </c>
      <c r="U73" t="s">
        <v>2639</v>
      </c>
      <c r="V73">
        <v>25620</v>
      </c>
      <c r="W73" s="1">
        <v>46372</v>
      </c>
      <c r="X73" s="537" t="s">
        <v>65</v>
      </c>
      <c r="Y73" s="537" t="s">
        <v>60</v>
      </c>
      <c r="Z73" s="1" t="s">
        <v>504</v>
      </c>
      <c r="AA73" s="537" t="s">
        <v>505</v>
      </c>
      <c r="AB73" s="537" t="s">
        <v>506</v>
      </c>
      <c r="AC73" s="1" t="s">
        <v>63</v>
      </c>
      <c r="AD73" s="61">
        <v>44585</v>
      </c>
      <c r="AE73" s="61">
        <v>44946</v>
      </c>
      <c r="AF73" s="61"/>
      <c r="AG73" s="1">
        <v>22.02</v>
      </c>
      <c r="AH73" s="537" t="s">
        <v>1598</v>
      </c>
      <c r="AI73" s="537" t="s">
        <v>117</v>
      </c>
      <c r="AJ73" s="1">
        <v>181</v>
      </c>
      <c r="AK73" s="537" t="s">
        <v>1599</v>
      </c>
      <c r="AL73" s="1" t="s">
        <v>1600</v>
      </c>
      <c r="AM73" s="537" t="s">
        <v>64</v>
      </c>
      <c r="AN73" s="537"/>
    </row>
    <row r="74" spans="1:40" hidden="1">
      <c r="A74" s="537" t="s">
        <v>179</v>
      </c>
      <c r="B74" s="1">
        <v>210102</v>
      </c>
      <c r="C74" s="1">
        <v>212004</v>
      </c>
      <c r="D74" s="537" t="s">
        <v>105</v>
      </c>
      <c r="E74" s="537" t="s">
        <v>106</v>
      </c>
      <c r="F74" t="s">
        <v>2370</v>
      </c>
      <c r="G74"/>
      <c r="H74" s="537" t="s">
        <v>107</v>
      </c>
      <c r="I74" s="537" t="s">
        <v>108</v>
      </c>
      <c r="J74" s="537" t="s">
        <v>18</v>
      </c>
      <c r="K74" s="537" t="s">
        <v>57</v>
      </c>
      <c r="L74" s="61">
        <v>34018</v>
      </c>
      <c r="M74" s="1">
        <v>30</v>
      </c>
      <c r="N74" s="1">
        <v>1400</v>
      </c>
      <c r="P74" s="1">
        <v>1770</v>
      </c>
      <c r="Q74" s="537" t="s">
        <v>92</v>
      </c>
      <c r="R74" s="1">
        <v>370</v>
      </c>
      <c r="S74"/>
      <c r="T74" t="s">
        <v>65</v>
      </c>
      <c r="U74" t="s">
        <v>2639</v>
      </c>
      <c r="V74" t="s">
        <v>65</v>
      </c>
      <c r="W74" s="1">
        <v>45157</v>
      </c>
      <c r="X74" s="537" t="s">
        <v>59</v>
      </c>
      <c r="Y74" s="537" t="s">
        <v>60</v>
      </c>
      <c r="Z74" s="1" t="s">
        <v>84</v>
      </c>
      <c r="AA74" s="537" t="s">
        <v>109</v>
      </c>
      <c r="AB74" s="537" t="s">
        <v>110</v>
      </c>
      <c r="AC74" s="1">
        <v>44193</v>
      </c>
      <c r="AD74" s="61">
        <v>44201</v>
      </c>
      <c r="AE74" s="61">
        <v>44860</v>
      </c>
      <c r="AF74" s="61"/>
      <c r="AG74" s="1">
        <v>44256</v>
      </c>
      <c r="AH74" s="537" t="s">
        <v>108</v>
      </c>
      <c r="AI74" s="537" t="s">
        <v>86</v>
      </c>
      <c r="AK74" s="537"/>
      <c r="AL74" s="1" t="s">
        <v>111</v>
      </c>
      <c r="AM74" s="537" t="s">
        <v>64</v>
      </c>
      <c r="AN74" s="537"/>
    </row>
    <row r="75" spans="1:40">
      <c r="A75" s="537" t="s">
        <v>54</v>
      </c>
      <c r="B75" s="1">
        <v>210121</v>
      </c>
      <c r="C75" s="1">
        <v>212006</v>
      </c>
      <c r="D75" s="537" t="s">
        <v>105</v>
      </c>
      <c r="E75" s="537" t="s">
        <v>106</v>
      </c>
      <c r="F75" s="1" t="s">
        <v>2373</v>
      </c>
      <c r="G75" s="1" t="s">
        <v>868</v>
      </c>
      <c r="H75" s="537" t="s">
        <v>134</v>
      </c>
      <c r="I75" s="537" t="s">
        <v>135</v>
      </c>
      <c r="J75" s="537" t="s">
        <v>18</v>
      </c>
      <c r="K75" s="537" t="s">
        <v>57</v>
      </c>
      <c r="L75" s="61">
        <v>34904</v>
      </c>
      <c r="M75" s="1">
        <v>28</v>
      </c>
      <c r="N75" s="1">
        <v>1400</v>
      </c>
      <c r="O75" s="1" t="s">
        <v>91</v>
      </c>
      <c r="P75" s="1">
        <v>1800</v>
      </c>
      <c r="Q75" s="537" t="s">
        <v>92</v>
      </c>
      <c r="R75" s="1">
        <v>400</v>
      </c>
      <c r="S75" s="1">
        <v>260000</v>
      </c>
      <c r="T75" s="1">
        <v>13013</v>
      </c>
      <c r="U75" s="1" t="s">
        <v>2639</v>
      </c>
      <c r="V75" s="1">
        <v>23790</v>
      </c>
      <c r="W75" s="1">
        <v>46210</v>
      </c>
      <c r="X75" s="537" t="s">
        <v>65</v>
      </c>
      <c r="Y75" s="537" t="s">
        <v>60</v>
      </c>
      <c r="Z75" s="1" t="s">
        <v>136</v>
      </c>
      <c r="AA75" s="537" t="s">
        <v>347</v>
      </c>
      <c r="AB75" s="537" t="s">
        <v>348</v>
      </c>
      <c r="AC75" s="1">
        <v>44983</v>
      </c>
      <c r="AD75" s="61">
        <v>44222</v>
      </c>
      <c r="AE75" s="61">
        <v>45289</v>
      </c>
      <c r="AF75" s="61"/>
      <c r="AG75" s="1">
        <v>44287</v>
      </c>
      <c r="AH75" s="537" t="s">
        <v>135</v>
      </c>
      <c r="AI75" s="537" t="s">
        <v>86</v>
      </c>
      <c r="AJ75" s="1">
        <v>478</v>
      </c>
      <c r="AK75" s="537" t="s">
        <v>139</v>
      </c>
      <c r="AL75" s="1" t="s">
        <v>1030</v>
      </c>
      <c r="AM75" s="537" t="s">
        <v>64</v>
      </c>
      <c r="AN75" s="537"/>
    </row>
    <row r="76" spans="1:40" hidden="1">
      <c r="A76" s="537" t="s">
        <v>179</v>
      </c>
      <c r="B76" s="1">
        <v>210203</v>
      </c>
      <c r="C76" s="1">
        <v>212007</v>
      </c>
      <c r="D76" s="537" t="s">
        <v>105</v>
      </c>
      <c r="E76" s="537" t="s">
        <v>106</v>
      </c>
      <c r="F76" t="s">
        <v>2374</v>
      </c>
      <c r="G76"/>
      <c r="H76" s="537" t="s">
        <v>152</v>
      </c>
      <c r="I76" s="537" t="s">
        <v>153</v>
      </c>
      <c r="J76" s="537" t="s">
        <v>18</v>
      </c>
      <c r="K76" s="537" t="s">
        <v>57</v>
      </c>
      <c r="L76" s="61">
        <v>35412</v>
      </c>
      <c r="M76" s="1">
        <v>26</v>
      </c>
      <c r="N76" s="1">
        <v>1400</v>
      </c>
      <c r="P76" s="1">
        <v>1780</v>
      </c>
      <c r="Q76" s="537" t="s">
        <v>92</v>
      </c>
      <c r="R76" s="1">
        <v>380</v>
      </c>
      <c r="S76"/>
      <c r="T76" t="s">
        <v>65</v>
      </c>
      <c r="U76" t="s">
        <v>2639</v>
      </c>
      <c r="V76" t="s">
        <v>65</v>
      </c>
      <c r="W76" s="1">
        <v>45734</v>
      </c>
      <c r="X76" s="537" t="s">
        <v>65</v>
      </c>
      <c r="Y76" s="537" t="s">
        <v>60</v>
      </c>
      <c r="Z76" s="1" t="s">
        <v>136</v>
      </c>
      <c r="AA76" s="537" t="s">
        <v>137</v>
      </c>
      <c r="AB76" s="537" t="s">
        <v>138</v>
      </c>
      <c r="AC76" s="1">
        <v>44223</v>
      </c>
      <c r="AD76" s="61">
        <v>44229</v>
      </c>
      <c r="AE76" s="61">
        <v>44923</v>
      </c>
      <c r="AF76" s="61"/>
      <c r="AG76" s="1">
        <v>44287</v>
      </c>
      <c r="AH76" s="537" t="s">
        <v>154</v>
      </c>
      <c r="AI76" s="537" t="s">
        <v>86</v>
      </c>
      <c r="AJ76" s="1">
        <v>48</v>
      </c>
      <c r="AK76" s="537" t="s">
        <v>155</v>
      </c>
      <c r="AL76" s="1" t="s">
        <v>1033</v>
      </c>
      <c r="AM76" s="537" t="s">
        <v>64</v>
      </c>
      <c r="AN76" s="537"/>
    </row>
    <row r="77" spans="1:40">
      <c r="A77" s="537" t="s">
        <v>54</v>
      </c>
      <c r="B77" s="1">
        <v>210208</v>
      </c>
      <c r="C77" s="1">
        <v>212008</v>
      </c>
      <c r="D77" s="537" t="s">
        <v>105</v>
      </c>
      <c r="E77" s="537" t="s">
        <v>106</v>
      </c>
      <c r="F77" s="1" t="s">
        <v>2370</v>
      </c>
      <c r="G77" s="1" t="s">
        <v>703</v>
      </c>
      <c r="H77" s="537" t="s">
        <v>166</v>
      </c>
      <c r="I77" s="537" t="s">
        <v>167</v>
      </c>
      <c r="J77" s="537" t="s">
        <v>18</v>
      </c>
      <c r="K77" s="537" t="s">
        <v>57</v>
      </c>
      <c r="L77" s="61">
        <v>33087</v>
      </c>
      <c r="M77" s="1">
        <v>33</v>
      </c>
      <c r="N77" s="1">
        <v>1400</v>
      </c>
      <c r="P77" s="1">
        <v>1800</v>
      </c>
      <c r="Q77" s="537" t="s">
        <v>92</v>
      </c>
      <c r="R77" s="1">
        <v>400</v>
      </c>
      <c r="S77" s="1">
        <v>260000</v>
      </c>
      <c r="T77" s="1">
        <v>13013</v>
      </c>
      <c r="U77" s="1" t="s">
        <v>2639</v>
      </c>
      <c r="V77" s="1">
        <v>23790</v>
      </c>
      <c r="W77" s="1">
        <v>45580</v>
      </c>
      <c r="X77" s="537" t="s">
        <v>65</v>
      </c>
      <c r="Y77" s="537" t="s">
        <v>60</v>
      </c>
      <c r="Z77" s="1" t="s">
        <v>84</v>
      </c>
      <c r="AA77" s="537" t="s">
        <v>168</v>
      </c>
      <c r="AB77" s="537" t="s">
        <v>169</v>
      </c>
      <c r="AC77" s="1">
        <v>44232</v>
      </c>
      <c r="AD77" s="61">
        <v>44243</v>
      </c>
      <c r="AE77" s="61"/>
      <c r="AF77" s="61"/>
      <c r="AG77" s="1">
        <v>44287</v>
      </c>
      <c r="AH77" s="537" t="s">
        <v>170</v>
      </c>
      <c r="AI77" s="537" t="s">
        <v>86</v>
      </c>
      <c r="AJ77" s="1">
        <v>118</v>
      </c>
      <c r="AK77" s="537" t="s">
        <v>171</v>
      </c>
      <c r="AL77" s="1" t="s">
        <v>1042</v>
      </c>
      <c r="AM77" s="537" t="s">
        <v>64</v>
      </c>
      <c r="AN77" s="537"/>
    </row>
    <row r="78" spans="1:40" hidden="1">
      <c r="A78" s="537" t="s">
        <v>179</v>
      </c>
      <c r="B78" s="1">
        <v>210410</v>
      </c>
      <c r="C78" s="1">
        <v>212011</v>
      </c>
      <c r="D78" s="537" t="s">
        <v>105</v>
      </c>
      <c r="E78" s="537" t="s">
        <v>106</v>
      </c>
      <c r="F78" t="s">
        <v>2377</v>
      </c>
      <c r="G78"/>
      <c r="H78" s="537" t="s">
        <v>225</v>
      </c>
      <c r="I78" s="537" t="s">
        <v>226</v>
      </c>
      <c r="J78" s="537" t="s">
        <v>18</v>
      </c>
      <c r="K78" s="537" t="s">
        <v>57</v>
      </c>
      <c r="L78" s="61">
        <v>35048</v>
      </c>
      <c r="M78" s="1">
        <v>27</v>
      </c>
      <c r="N78" s="1">
        <v>1400</v>
      </c>
      <c r="O78" s="1" t="s">
        <v>91</v>
      </c>
      <c r="P78" s="1">
        <v>1770</v>
      </c>
      <c r="Q78" s="537" t="s">
        <v>92</v>
      </c>
      <c r="R78" s="1">
        <v>370</v>
      </c>
      <c r="S78"/>
      <c r="T78" t="s">
        <v>65</v>
      </c>
      <c r="U78" t="s">
        <v>2639</v>
      </c>
      <c r="V78" t="s">
        <v>65</v>
      </c>
      <c r="W78" s="1">
        <v>45003</v>
      </c>
      <c r="X78" s="537" t="s">
        <v>59</v>
      </c>
      <c r="Y78" s="537" t="s">
        <v>60</v>
      </c>
      <c r="Z78" s="1" t="s">
        <v>136</v>
      </c>
      <c r="AA78" s="537" t="s">
        <v>137</v>
      </c>
      <c r="AB78" s="537" t="s">
        <v>138</v>
      </c>
      <c r="AC78" s="1">
        <v>44287</v>
      </c>
      <c r="AD78" s="61">
        <v>44295</v>
      </c>
      <c r="AE78" s="61">
        <v>44915</v>
      </c>
      <c r="AF78" s="61"/>
      <c r="AG78" s="1">
        <v>44348</v>
      </c>
      <c r="AH78" s="537" t="s">
        <v>227</v>
      </c>
      <c r="AI78" s="537" t="s">
        <v>86</v>
      </c>
      <c r="AJ78" s="1">
        <v>128</v>
      </c>
      <c r="AK78" s="537" t="s">
        <v>228</v>
      </c>
      <c r="AL78" s="1" t="s">
        <v>1120</v>
      </c>
      <c r="AM78" s="537" t="s">
        <v>64</v>
      </c>
      <c r="AN78" s="537"/>
    </row>
    <row r="79" spans="1:40" hidden="1">
      <c r="A79" s="537" t="s">
        <v>179</v>
      </c>
      <c r="B79" s="1">
        <v>211102</v>
      </c>
      <c r="C79" s="1">
        <v>212016</v>
      </c>
      <c r="D79" s="537" t="s">
        <v>105</v>
      </c>
      <c r="E79" s="537" t="s">
        <v>106</v>
      </c>
      <c r="F79" t="s">
        <v>2374</v>
      </c>
      <c r="G79"/>
      <c r="H79" s="537" t="s">
        <v>439</v>
      </c>
      <c r="I79" s="537" t="s">
        <v>440</v>
      </c>
      <c r="J79" s="537" t="s">
        <v>18</v>
      </c>
      <c r="K79" s="537" t="s">
        <v>57</v>
      </c>
      <c r="L79" s="61">
        <v>31725</v>
      </c>
      <c r="M79" s="1">
        <v>37</v>
      </c>
      <c r="N79" s="1">
        <v>1410</v>
      </c>
      <c r="P79" s="1">
        <v>1770</v>
      </c>
      <c r="Q79" s="537"/>
      <c r="R79" s="1">
        <v>360</v>
      </c>
      <c r="S79"/>
      <c r="T79" t="s">
        <v>65</v>
      </c>
      <c r="U79" t="s">
        <v>2639</v>
      </c>
      <c r="V79" t="s">
        <v>65</v>
      </c>
      <c r="W79" s="1">
        <v>45242</v>
      </c>
      <c r="X79" s="537" t="s">
        <v>59</v>
      </c>
      <c r="Y79" s="537" t="s">
        <v>60</v>
      </c>
      <c r="Z79" s="1" t="s">
        <v>441</v>
      </c>
      <c r="AA79" s="537" t="s">
        <v>2671</v>
      </c>
      <c r="AB79" s="537" t="s">
        <v>442</v>
      </c>
      <c r="AC79" s="1" t="s">
        <v>63</v>
      </c>
      <c r="AD79" s="61">
        <v>44501</v>
      </c>
      <c r="AE79" s="61">
        <v>44923</v>
      </c>
      <c r="AF79" s="61"/>
      <c r="AG79" s="1">
        <v>22.01</v>
      </c>
      <c r="AH79" s="537" t="s">
        <v>440</v>
      </c>
      <c r="AI79" s="537" t="s">
        <v>86</v>
      </c>
      <c r="AJ79" s="1">
        <v>228</v>
      </c>
      <c r="AK79" s="537" t="s">
        <v>443</v>
      </c>
      <c r="AL79" s="1" t="s">
        <v>1439</v>
      </c>
      <c r="AM79" s="537" t="s">
        <v>64</v>
      </c>
      <c r="AN79" s="537" t="s">
        <v>821</v>
      </c>
    </row>
    <row r="80" spans="1:40">
      <c r="A80" s="537" t="s">
        <v>54</v>
      </c>
      <c r="B80" s="1">
        <v>220121</v>
      </c>
      <c r="C80" s="1">
        <v>212018</v>
      </c>
      <c r="D80" s="537" t="s">
        <v>105</v>
      </c>
      <c r="E80" s="537" t="s">
        <v>106</v>
      </c>
      <c r="F80" s="1" t="s">
        <v>2374</v>
      </c>
      <c r="G80" s="1" t="s">
        <v>3076</v>
      </c>
      <c r="H80" s="537" t="s">
        <v>488</v>
      </c>
      <c r="I80" s="537" t="s">
        <v>489</v>
      </c>
      <c r="J80" s="537" t="s">
        <v>18</v>
      </c>
      <c r="K80" s="537" t="s">
        <v>57</v>
      </c>
      <c r="L80" s="61">
        <v>35377</v>
      </c>
      <c r="M80" s="1">
        <v>27</v>
      </c>
      <c r="N80" s="1">
        <v>1400</v>
      </c>
      <c r="P80" s="1">
        <v>1780</v>
      </c>
      <c r="Q80" s="537"/>
      <c r="R80" s="1">
        <v>380</v>
      </c>
      <c r="S80" s="1">
        <v>260000</v>
      </c>
      <c r="T80" s="1">
        <v>13013</v>
      </c>
      <c r="U80" s="1" t="s">
        <v>2639</v>
      </c>
      <c r="V80" s="1">
        <v>23790</v>
      </c>
      <c r="W80" s="1">
        <v>45373</v>
      </c>
      <c r="X80" s="537" t="s">
        <v>65</v>
      </c>
      <c r="Y80" s="537" t="s">
        <v>60</v>
      </c>
      <c r="Z80" s="1" t="s">
        <v>84</v>
      </c>
      <c r="AA80" s="537" t="s">
        <v>109</v>
      </c>
      <c r="AB80" s="537" t="s">
        <v>3454</v>
      </c>
      <c r="AC80" s="1">
        <v>44558</v>
      </c>
      <c r="AD80" s="61">
        <v>44579</v>
      </c>
      <c r="AE80" s="61"/>
      <c r="AF80" s="61"/>
      <c r="AG80" s="1">
        <v>22.04</v>
      </c>
      <c r="AH80" s="537"/>
      <c r="AI80" s="537"/>
      <c r="AK80" s="537"/>
      <c r="AM80" s="537" t="s">
        <v>64</v>
      </c>
      <c r="AN80" s="537"/>
    </row>
    <row r="81" spans="1:40" hidden="1">
      <c r="A81" s="537" t="s">
        <v>179</v>
      </c>
      <c r="B81" s="1">
        <v>210105</v>
      </c>
      <c r="C81" s="1">
        <v>212019</v>
      </c>
      <c r="D81" s="537" t="s">
        <v>105</v>
      </c>
      <c r="E81" s="537" t="s">
        <v>106</v>
      </c>
      <c r="F81" t="s">
        <v>2373</v>
      </c>
      <c r="G81"/>
      <c r="H81" s="537" t="s">
        <v>497</v>
      </c>
      <c r="I81" s="537" t="s">
        <v>498</v>
      </c>
      <c r="J81" s="537" t="s">
        <v>18</v>
      </c>
      <c r="K81" s="537" t="s">
        <v>57</v>
      </c>
      <c r="L81" s="61">
        <v>35053</v>
      </c>
      <c r="M81" s="1">
        <v>27</v>
      </c>
      <c r="N81" s="1">
        <v>1400</v>
      </c>
      <c r="P81" s="1">
        <v>1770</v>
      </c>
      <c r="Q81" s="537"/>
      <c r="R81" s="1">
        <v>370</v>
      </c>
      <c r="S81"/>
      <c r="T81" t="s">
        <v>65</v>
      </c>
      <c r="U81" t="s">
        <v>2639</v>
      </c>
      <c r="V81" t="s">
        <v>65</v>
      </c>
      <c r="W81" s="1">
        <v>44990</v>
      </c>
      <c r="X81" s="537" t="s">
        <v>59</v>
      </c>
      <c r="Y81" s="537" t="s">
        <v>60</v>
      </c>
      <c r="Z81" s="1" t="s">
        <v>136</v>
      </c>
      <c r="AA81" s="537" t="s">
        <v>347</v>
      </c>
      <c r="AB81" s="537" t="s">
        <v>452</v>
      </c>
      <c r="AD81" s="61">
        <v>44585</v>
      </c>
      <c r="AE81" s="61">
        <v>44881</v>
      </c>
      <c r="AF81" s="61"/>
      <c r="AG81" s="1">
        <v>22.04</v>
      </c>
      <c r="AH81" s="537" t="s">
        <v>1612</v>
      </c>
      <c r="AI81" s="537" t="s">
        <v>145</v>
      </c>
      <c r="AJ81" s="1">
        <v>180</v>
      </c>
      <c r="AK81" s="537" t="s">
        <v>1613</v>
      </c>
      <c r="AL81" s="1" t="s">
        <v>1614</v>
      </c>
      <c r="AM81" s="537" t="s">
        <v>64</v>
      </c>
      <c r="AN81" s="537" t="s">
        <v>499</v>
      </c>
    </row>
    <row r="82" spans="1:40" hidden="1">
      <c r="A82" s="537" t="s">
        <v>179</v>
      </c>
      <c r="B82" s="1">
        <v>220204</v>
      </c>
      <c r="C82" s="1">
        <v>212021</v>
      </c>
      <c r="D82" s="537" t="s">
        <v>105</v>
      </c>
      <c r="E82" s="537" t="s">
        <v>106</v>
      </c>
      <c r="F82" t="s">
        <v>2374</v>
      </c>
      <c r="G82"/>
      <c r="H82" s="537" t="s">
        <v>524</v>
      </c>
      <c r="I82" s="537" t="s">
        <v>525</v>
      </c>
      <c r="J82" s="537" t="s">
        <v>18</v>
      </c>
      <c r="K82" s="537" t="s">
        <v>57</v>
      </c>
      <c r="L82" s="61">
        <v>35733</v>
      </c>
      <c r="M82" s="1">
        <v>26</v>
      </c>
      <c r="N82" s="1">
        <v>1400</v>
      </c>
      <c r="P82" s="1">
        <v>1760</v>
      </c>
      <c r="Q82" s="537"/>
      <c r="R82" s="1">
        <v>360</v>
      </c>
      <c r="S82">
        <v>180000</v>
      </c>
      <c r="T82">
        <v>9009</v>
      </c>
      <c r="U82" t="s">
        <v>2639</v>
      </c>
      <c r="V82">
        <v>16470</v>
      </c>
      <c r="W82" s="1">
        <v>45284</v>
      </c>
      <c r="X82" s="537" t="s">
        <v>59</v>
      </c>
      <c r="Y82" s="537" t="s">
        <v>60</v>
      </c>
      <c r="Z82" s="1" t="s">
        <v>526</v>
      </c>
      <c r="AA82" s="537" t="s">
        <v>527</v>
      </c>
      <c r="AB82" s="537" t="s">
        <v>528</v>
      </c>
      <c r="AC82" s="1">
        <v>44602</v>
      </c>
      <c r="AD82" s="61">
        <v>44599</v>
      </c>
      <c r="AE82" s="61">
        <v>45020</v>
      </c>
      <c r="AF82" s="61">
        <v>45020</v>
      </c>
      <c r="AG82" s="1">
        <v>22.04</v>
      </c>
      <c r="AH82" s="537" t="s">
        <v>1612</v>
      </c>
      <c r="AI82" s="537" t="s">
        <v>145</v>
      </c>
      <c r="AJ82" s="1">
        <v>180</v>
      </c>
      <c r="AK82" s="537" t="s">
        <v>1613</v>
      </c>
      <c r="AL82" s="1" t="s">
        <v>1614</v>
      </c>
      <c r="AM82" s="537" t="s">
        <v>64</v>
      </c>
      <c r="AN82" s="537"/>
    </row>
    <row r="83" spans="1:40">
      <c r="A83" s="537" t="s">
        <v>54</v>
      </c>
      <c r="B83" s="1">
        <v>220209</v>
      </c>
      <c r="C83" s="1">
        <v>212023</v>
      </c>
      <c r="D83" s="537" t="s">
        <v>105</v>
      </c>
      <c r="E83" s="537" t="s">
        <v>106</v>
      </c>
      <c r="F83" s="1" t="s">
        <v>2374</v>
      </c>
      <c r="G83" s="1" t="s">
        <v>3076</v>
      </c>
      <c r="H83" s="537" t="s">
        <v>534</v>
      </c>
      <c r="I83" s="537" t="s">
        <v>535</v>
      </c>
      <c r="J83" s="537" t="s">
        <v>18</v>
      </c>
      <c r="K83" s="537" t="s">
        <v>57</v>
      </c>
      <c r="L83" s="61">
        <v>35544</v>
      </c>
      <c r="M83" s="1">
        <v>26</v>
      </c>
      <c r="N83" s="1">
        <v>1400</v>
      </c>
      <c r="P83" s="1">
        <v>1770</v>
      </c>
      <c r="Q83" s="537"/>
      <c r="R83" s="1">
        <v>370</v>
      </c>
      <c r="S83" s="1">
        <v>260000</v>
      </c>
      <c r="T83" s="1">
        <v>13013</v>
      </c>
      <c r="U83" s="1" t="s">
        <v>2639</v>
      </c>
      <c r="V83" s="1">
        <v>23790</v>
      </c>
      <c r="W83" s="1">
        <v>45281</v>
      </c>
      <c r="X83" s="537" t="s">
        <v>59</v>
      </c>
      <c r="Y83" s="537" t="s">
        <v>60</v>
      </c>
      <c r="Z83" s="1" t="s">
        <v>84</v>
      </c>
      <c r="AA83" s="537" t="s">
        <v>2391</v>
      </c>
      <c r="AB83" s="537" t="s">
        <v>2511</v>
      </c>
      <c r="AC83" s="1">
        <v>44632</v>
      </c>
      <c r="AD83" s="61">
        <v>44599</v>
      </c>
      <c r="AE83" s="61"/>
      <c r="AF83" s="61"/>
      <c r="AG83" s="1">
        <v>22.04</v>
      </c>
      <c r="AH83" s="537"/>
      <c r="AI83" s="537"/>
      <c r="AK83" s="537"/>
      <c r="AL83" s="1" t="s">
        <v>1611</v>
      </c>
      <c r="AM83" s="537" t="s">
        <v>64</v>
      </c>
      <c r="AN83" s="537"/>
    </row>
    <row r="84" spans="1:40" hidden="1">
      <c r="A84" s="537" t="s">
        <v>179</v>
      </c>
      <c r="B84" s="1">
        <v>220208</v>
      </c>
      <c r="C84" s="1">
        <v>212024</v>
      </c>
      <c r="D84" s="537" t="s">
        <v>105</v>
      </c>
      <c r="E84" s="537" t="s">
        <v>106</v>
      </c>
      <c r="F84" t="s">
        <v>2374</v>
      </c>
      <c r="G84"/>
      <c r="H84" s="537" t="s">
        <v>532</v>
      </c>
      <c r="I84" s="537" t="s">
        <v>533</v>
      </c>
      <c r="J84" s="537" t="s">
        <v>18</v>
      </c>
      <c r="K84" s="537" t="s">
        <v>57</v>
      </c>
      <c r="L84" s="61">
        <v>35358</v>
      </c>
      <c r="M84" s="1">
        <v>27</v>
      </c>
      <c r="N84" s="1">
        <v>1400</v>
      </c>
      <c r="P84" s="1">
        <v>1760</v>
      </c>
      <c r="Q84" s="537"/>
      <c r="R84" s="1">
        <v>360</v>
      </c>
      <c r="S84">
        <v>180000</v>
      </c>
      <c r="T84">
        <v>9009</v>
      </c>
      <c r="U84" t="s">
        <v>2639</v>
      </c>
      <c r="V84">
        <v>16470</v>
      </c>
      <c r="W84" s="1">
        <v>45281</v>
      </c>
      <c r="X84" s="537" t="s">
        <v>59</v>
      </c>
      <c r="Y84" s="537" t="s">
        <v>60</v>
      </c>
      <c r="Z84" s="1" t="s">
        <v>84</v>
      </c>
      <c r="AA84" s="537" t="s">
        <v>2391</v>
      </c>
      <c r="AB84" s="537" t="s">
        <v>2511</v>
      </c>
      <c r="AC84" s="1">
        <v>44632</v>
      </c>
      <c r="AD84" s="61">
        <v>44599</v>
      </c>
      <c r="AE84" s="61">
        <v>45002</v>
      </c>
      <c r="AF84" s="61">
        <v>44995</v>
      </c>
      <c r="AG84" s="1">
        <v>22.04</v>
      </c>
      <c r="AH84" s="537" t="s">
        <v>1612</v>
      </c>
      <c r="AI84" s="537" t="s">
        <v>145</v>
      </c>
      <c r="AJ84" s="1">
        <v>180</v>
      </c>
      <c r="AK84" s="537" t="s">
        <v>1613</v>
      </c>
      <c r="AL84" s="1" t="s">
        <v>1614</v>
      </c>
      <c r="AM84" s="537" t="s">
        <v>64</v>
      </c>
      <c r="AN84" s="537"/>
    </row>
    <row r="85" spans="1:40" hidden="1">
      <c r="A85" s="537" t="s">
        <v>179</v>
      </c>
      <c r="B85" s="1">
        <v>220212</v>
      </c>
      <c r="C85" s="1">
        <v>212025</v>
      </c>
      <c r="D85" s="537" t="s">
        <v>105</v>
      </c>
      <c r="E85" s="537" t="s">
        <v>106</v>
      </c>
      <c r="F85" t="s">
        <v>2370</v>
      </c>
      <c r="G85" t="s">
        <v>703</v>
      </c>
      <c r="H85" s="537" t="s">
        <v>536</v>
      </c>
      <c r="I85" s="537" t="s">
        <v>537</v>
      </c>
      <c r="J85" s="537" t="s">
        <v>18</v>
      </c>
      <c r="K85" s="537" t="s">
        <v>57</v>
      </c>
      <c r="L85" s="61">
        <v>34669</v>
      </c>
      <c r="M85" s="1">
        <v>29</v>
      </c>
      <c r="N85" s="1">
        <v>1400</v>
      </c>
      <c r="P85" s="1">
        <v>1770</v>
      </c>
      <c r="Q85" s="537"/>
      <c r="R85" s="1">
        <v>370</v>
      </c>
      <c r="S85">
        <v>180000</v>
      </c>
      <c r="T85">
        <v>9009</v>
      </c>
      <c r="U85" t="s">
        <v>2639</v>
      </c>
      <c r="V85">
        <v>16470</v>
      </c>
      <c r="W85" s="1">
        <v>45283</v>
      </c>
      <c r="X85" s="537" t="s">
        <v>59</v>
      </c>
      <c r="Y85" s="537" t="s">
        <v>60</v>
      </c>
      <c r="Z85" s="1" t="s">
        <v>84</v>
      </c>
      <c r="AA85" s="537" t="s">
        <v>538</v>
      </c>
      <c r="AB85" s="537" t="s">
        <v>2392</v>
      </c>
      <c r="AC85" s="1">
        <v>44596</v>
      </c>
      <c r="AD85" s="61">
        <v>44602</v>
      </c>
      <c r="AE85" s="61">
        <v>45058</v>
      </c>
      <c r="AF85" s="61">
        <v>45071</v>
      </c>
      <c r="AG85" s="1">
        <v>22.04</v>
      </c>
      <c r="AH85" s="537"/>
      <c r="AI85" s="537"/>
      <c r="AK85" s="537"/>
      <c r="AM85" s="537" t="s">
        <v>64</v>
      </c>
      <c r="AN85" s="537"/>
    </row>
    <row r="86" spans="1:40">
      <c r="A86" s="537" t="s">
        <v>54</v>
      </c>
      <c r="B86" s="1">
        <v>220503</v>
      </c>
      <c r="C86" s="1">
        <v>212027</v>
      </c>
      <c r="D86" s="537" t="s">
        <v>105</v>
      </c>
      <c r="E86" s="537" t="s">
        <v>106</v>
      </c>
      <c r="F86" s="1" t="s">
        <v>2370</v>
      </c>
      <c r="G86" s="1" t="s">
        <v>703</v>
      </c>
      <c r="H86" s="537" t="s">
        <v>599</v>
      </c>
      <c r="I86" s="537" t="s">
        <v>600</v>
      </c>
      <c r="J86" s="537" t="s">
        <v>18</v>
      </c>
      <c r="K86" s="537" t="s">
        <v>57</v>
      </c>
      <c r="L86" s="61">
        <v>34820</v>
      </c>
      <c r="M86" s="1">
        <v>28</v>
      </c>
      <c r="N86" s="1">
        <v>1300</v>
      </c>
      <c r="P86" s="1">
        <v>1660</v>
      </c>
      <c r="Q86" s="537"/>
      <c r="R86" s="1">
        <v>360</v>
      </c>
      <c r="S86" s="1">
        <v>300000</v>
      </c>
      <c r="T86" s="1">
        <v>15014.999999999998</v>
      </c>
      <c r="U86" s="1" t="s">
        <v>2639</v>
      </c>
      <c r="V86" s="1">
        <v>27450</v>
      </c>
      <c r="W86" s="1">
        <v>45407</v>
      </c>
      <c r="X86" s="537" t="s">
        <v>65</v>
      </c>
      <c r="Y86" s="537" t="s">
        <v>60</v>
      </c>
      <c r="Z86" s="1" t="s">
        <v>136</v>
      </c>
      <c r="AA86" s="537" t="s">
        <v>347</v>
      </c>
      <c r="AB86" s="537" t="s">
        <v>452</v>
      </c>
      <c r="AC86" s="1">
        <v>44678</v>
      </c>
      <c r="AD86" s="61">
        <v>44690</v>
      </c>
      <c r="AE86" s="61"/>
      <c r="AF86" s="61"/>
      <c r="AG86" s="1" t="s">
        <v>589</v>
      </c>
      <c r="AH86" s="537"/>
      <c r="AI86" s="537"/>
      <c r="AK86" s="537"/>
      <c r="AM86" s="537" t="s">
        <v>590</v>
      </c>
      <c r="AN86" s="537"/>
    </row>
    <row r="87" spans="1:40">
      <c r="A87" s="537" t="s">
        <v>54</v>
      </c>
      <c r="B87" s="1">
        <v>220505</v>
      </c>
      <c r="C87" s="1">
        <v>212028</v>
      </c>
      <c r="D87" s="537" t="s">
        <v>105</v>
      </c>
      <c r="E87" s="537" t="s">
        <v>106</v>
      </c>
      <c r="F87" s="1" t="s">
        <v>2374</v>
      </c>
      <c r="G87" s="1" t="s">
        <v>3076</v>
      </c>
      <c r="H87" s="537" t="s">
        <v>597</v>
      </c>
      <c r="I87" s="537" t="s">
        <v>598</v>
      </c>
      <c r="J87" s="537" t="s">
        <v>18</v>
      </c>
      <c r="K87" s="537" t="s">
        <v>57</v>
      </c>
      <c r="L87" s="61">
        <v>35477</v>
      </c>
      <c r="M87" s="1">
        <v>26</v>
      </c>
      <c r="N87" s="1">
        <v>1300</v>
      </c>
      <c r="P87" s="1">
        <v>1660</v>
      </c>
      <c r="Q87" s="537"/>
      <c r="R87" s="1">
        <v>360</v>
      </c>
      <c r="S87" s="1">
        <v>300000</v>
      </c>
      <c r="T87" s="1">
        <v>15014.999999999998</v>
      </c>
      <c r="U87" s="1" t="s">
        <v>2639</v>
      </c>
      <c r="V87" s="1">
        <v>27450</v>
      </c>
      <c r="W87" s="1">
        <v>45407</v>
      </c>
      <c r="X87" s="537" t="s">
        <v>65</v>
      </c>
      <c r="Y87" s="537" t="s">
        <v>60</v>
      </c>
      <c r="Z87" s="1" t="s">
        <v>136</v>
      </c>
      <c r="AA87" s="537" t="s">
        <v>347</v>
      </c>
      <c r="AB87" s="537" t="s">
        <v>452</v>
      </c>
      <c r="AC87" s="1">
        <v>44675</v>
      </c>
      <c r="AD87" s="61">
        <v>44690</v>
      </c>
      <c r="AE87" s="61"/>
      <c r="AF87" s="61"/>
      <c r="AG87" s="1" t="s">
        <v>589</v>
      </c>
      <c r="AH87" s="537"/>
      <c r="AI87" s="537"/>
      <c r="AK87" s="537"/>
      <c r="AL87" s="1" t="s">
        <v>1792</v>
      </c>
      <c r="AM87" s="537" t="s">
        <v>590</v>
      </c>
      <c r="AN87" s="537"/>
    </row>
    <row r="88" spans="1:40" hidden="1">
      <c r="A88" s="537" t="s">
        <v>179</v>
      </c>
      <c r="B88" s="1">
        <v>220510</v>
      </c>
      <c r="C88" s="1">
        <v>212031</v>
      </c>
      <c r="D88" s="537" t="s">
        <v>105</v>
      </c>
      <c r="E88" s="537" t="s">
        <v>106</v>
      </c>
      <c r="F88" t="s">
        <v>2374</v>
      </c>
      <c r="G88" t="s">
        <v>3076</v>
      </c>
      <c r="H88" s="537" t="s">
        <v>602</v>
      </c>
      <c r="I88" s="537" t="s">
        <v>603</v>
      </c>
      <c r="J88" s="537" t="s">
        <v>18</v>
      </c>
      <c r="K88" s="537" t="s">
        <v>57</v>
      </c>
      <c r="L88" s="61">
        <v>35784</v>
      </c>
      <c r="M88" s="1">
        <v>25</v>
      </c>
      <c r="N88" s="1">
        <v>1250</v>
      </c>
      <c r="P88" s="1">
        <v>1660</v>
      </c>
      <c r="Q88" s="537"/>
      <c r="R88" s="1">
        <v>410</v>
      </c>
      <c r="S88">
        <v>180000</v>
      </c>
      <c r="T88">
        <v>9009</v>
      </c>
      <c r="U88" t="s">
        <v>2639</v>
      </c>
      <c r="V88">
        <v>16470</v>
      </c>
      <c r="W88" s="1">
        <v>45408</v>
      </c>
      <c r="X88" s="537" t="s">
        <v>65</v>
      </c>
      <c r="Y88" s="537" t="s">
        <v>60</v>
      </c>
      <c r="Z88" s="1" t="s">
        <v>84</v>
      </c>
      <c r="AA88" s="537" t="s">
        <v>490</v>
      </c>
      <c r="AB88" s="537" t="s">
        <v>3097</v>
      </c>
      <c r="AC88" s="1">
        <v>45039</v>
      </c>
      <c r="AD88" s="61">
        <v>44692</v>
      </c>
      <c r="AE88" s="61">
        <v>45107</v>
      </c>
      <c r="AF88" s="61"/>
      <c r="AG88" s="1" t="s">
        <v>589</v>
      </c>
      <c r="AH88" s="537"/>
      <c r="AI88" s="537"/>
      <c r="AK88" s="537"/>
      <c r="AL88" s="1" t="s">
        <v>1792</v>
      </c>
      <c r="AM88" s="537" t="s">
        <v>601</v>
      </c>
      <c r="AN88" s="537"/>
    </row>
    <row r="89" spans="1:40">
      <c r="A89" s="537" t="s">
        <v>54</v>
      </c>
      <c r="B89" s="1">
        <v>221102</v>
      </c>
      <c r="C89" s="1">
        <v>212032</v>
      </c>
      <c r="D89" s="537" t="s">
        <v>105</v>
      </c>
      <c r="E89" s="537" t="s">
        <v>106</v>
      </c>
      <c r="F89" s="1" t="s">
        <v>2370</v>
      </c>
      <c r="G89" s="1" t="s">
        <v>703</v>
      </c>
      <c r="H89" s="537" t="s">
        <v>2517</v>
      </c>
      <c r="I89" s="537" t="s">
        <v>2518</v>
      </c>
      <c r="J89" s="537" t="s">
        <v>18</v>
      </c>
      <c r="K89" s="537" t="s">
        <v>57</v>
      </c>
      <c r="L89" s="61">
        <v>34790</v>
      </c>
      <c r="M89" s="1">
        <v>28</v>
      </c>
      <c r="N89" s="1">
        <v>1260</v>
      </c>
      <c r="P89" s="1">
        <v>1660</v>
      </c>
      <c r="Q89" s="537"/>
      <c r="R89" s="1">
        <v>400</v>
      </c>
      <c r="S89" s="1">
        <v>280000</v>
      </c>
      <c r="T89" s="1">
        <v>14014</v>
      </c>
      <c r="U89" s="1" t="s">
        <v>2639</v>
      </c>
      <c r="V89" s="1">
        <v>25620</v>
      </c>
      <c r="W89" s="1">
        <v>45407</v>
      </c>
      <c r="X89" s="537" t="s">
        <v>65</v>
      </c>
      <c r="Y89" s="537" t="s">
        <v>60</v>
      </c>
      <c r="Z89" s="1" t="s">
        <v>526</v>
      </c>
      <c r="AA89" s="537" t="s">
        <v>347</v>
      </c>
      <c r="AB89" s="537" t="s">
        <v>348</v>
      </c>
      <c r="AC89" s="1">
        <v>44869</v>
      </c>
      <c r="AD89" s="61">
        <v>44874</v>
      </c>
      <c r="AE89" s="61"/>
      <c r="AF89" s="61"/>
      <c r="AG89" s="1" t="s">
        <v>2516</v>
      </c>
      <c r="AH89" s="537"/>
      <c r="AI89" s="537"/>
      <c r="AK89" s="537"/>
      <c r="AM89" s="537" t="s">
        <v>2515</v>
      </c>
      <c r="AN89" s="537"/>
    </row>
    <row r="90" spans="1:40">
      <c r="A90" s="537" t="s">
        <v>54</v>
      </c>
      <c r="B90" s="1">
        <v>221104</v>
      </c>
      <c r="C90" s="1">
        <v>212033</v>
      </c>
      <c r="D90" s="537" t="s">
        <v>105</v>
      </c>
      <c r="E90" s="537" t="s">
        <v>106</v>
      </c>
      <c r="F90" s="1" t="s">
        <v>2374</v>
      </c>
      <c r="G90" s="1" t="s">
        <v>3076</v>
      </c>
      <c r="H90" s="537" t="s">
        <v>2570</v>
      </c>
      <c r="I90" s="537" t="s">
        <v>2571</v>
      </c>
      <c r="J90" s="537" t="s">
        <v>18</v>
      </c>
      <c r="K90" s="537" t="s">
        <v>57</v>
      </c>
      <c r="L90" s="61">
        <v>35422</v>
      </c>
      <c r="M90" s="1">
        <v>26</v>
      </c>
      <c r="N90" s="1">
        <v>1250</v>
      </c>
      <c r="P90" s="1">
        <v>1650</v>
      </c>
      <c r="Q90" s="537"/>
      <c r="R90" s="1">
        <v>400</v>
      </c>
      <c r="S90" s="1">
        <v>280000</v>
      </c>
      <c r="T90" s="1">
        <v>14014</v>
      </c>
      <c r="U90" s="1" t="s">
        <v>2639</v>
      </c>
      <c r="V90" s="1">
        <v>25620</v>
      </c>
      <c r="W90" s="1">
        <v>45244</v>
      </c>
      <c r="X90" s="537" t="s">
        <v>59</v>
      </c>
      <c r="Y90" s="537" t="s">
        <v>60</v>
      </c>
      <c r="Z90" s="1" t="s">
        <v>427</v>
      </c>
      <c r="AA90" s="537" t="s">
        <v>428</v>
      </c>
      <c r="AB90" s="537" t="s">
        <v>429</v>
      </c>
      <c r="AC90" s="1">
        <v>44879</v>
      </c>
      <c r="AD90" s="61">
        <v>44882</v>
      </c>
      <c r="AE90" s="61"/>
      <c r="AF90" s="61"/>
      <c r="AG90" s="1" t="s">
        <v>2516</v>
      </c>
      <c r="AH90" s="537"/>
      <c r="AI90" s="537"/>
      <c r="AK90" s="537"/>
      <c r="AM90" s="537" t="s">
        <v>2608</v>
      </c>
      <c r="AN90" s="537"/>
    </row>
    <row r="91" spans="1:40">
      <c r="A91" s="537" t="s">
        <v>54</v>
      </c>
      <c r="B91" s="1">
        <v>221202</v>
      </c>
      <c r="C91" s="1">
        <v>212035</v>
      </c>
      <c r="D91" s="537" t="s">
        <v>105</v>
      </c>
      <c r="E91" s="537" t="s">
        <v>106</v>
      </c>
      <c r="F91" s="1" t="s">
        <v>2374</v>
      </c>
      <c r="G91" s="1" t="s">
        <v>3076</v>
      </c>
      <c r="H91" s="537" t="s">
        <v>2726</v>
      </c>
      <c r="I91" s="537" t="s">
        <v>2727</v>
      </c>
      <c r="J91" s="537" t="s">
        <v>18</v>
      </c>
      <c r="K91" s="537" t="s">
        <v>57</v>
      </c>
      <c r="L91" s="61">
        <v>35703</v>
      </c>
      <c r="M91" s="1">
        <v>26</v>
      </c>
      <c r="N91" s="1">
        <v>1250</v>
      </c>
      <c r="P91" s="1">
        <v>1650</v>
      </c>
      <c r="Q91" s="537"/>
      <c r="R91" s="1">
        <v>400</v>
      </c>
      <c r="S91" s="1">
        <v>280000</v>
      </c>
      <c r="T91" s="1">
        <v>14014</v>
      </c>
      <c r="U91" s="1" t="s">
        <v>2639</v>
      </c>
      <c r="V91" s="1">
        <v>25620</v>
      </c>
      <c r="W91" s="1">
        <v>45258</v>
      </c>
      <c r="X91" s="537" t="s">
        <v>59</v>
      </c>
      <c r="Y91" s="537" t="s">
        <v>60</v>
      </c>
      <c r="Z91" s="1" t="s">
        <v>427</v>
      </c>
      <c r="AA91" s="537" t="s">
        <v>428</v>
      </c>
      <c r="AB91" s="537" t="s">
        <v>429</v>
      </c>
      <c r="AC91" s="1">
        <v>44893</v>
      </c>
      <c r="AD91" s="61">
        <v>44896</v>
      </c>
      <c r="AE91" s="61"/>
      <c r="AF91" s="61"/>
      <c r="AG91" s="1" t="s">
        <v>2724</v>
      </c>
      <c r="AH91" s="537"/>
      <c r="AI91" s="537"/>
      <c r="AK91" s="537"/>
      <c r="AM91" s="537" t="s">
        <v>2725</v>
      </c>
      <c r="AN91" s="537"/>
    </row>
    <row r="92" spans="1:40">
      <c r="A92" s="537" t="s">
        <v>54</v>
      </c>
      <c r="B92" s="1">
        <v>221210</v>
      </c>
      <c r="C92" s="1">
        <v>212036</v>
      </c>
      <c r="D92" s="537" t="s">
        <v>105</v>
      </c>
      <c r="E92" s="537" t="s">
        <v>106</v>
      </c>
      <c r="F92" s="1" t="s">
        <v>2370</v>
      </c>
      <c r="G92" s="1" t="s">
        <v>703</v>
      </c>
      <c r="H92" s="537" t="s">
        <v>2755</v>
      </c>
      <c r="I92" s="537" t="s">
        <v>2756</v>
      </c>
      <c r="J92" s="537" t="s">
        <v>18</v>
      </c>
      <c r="K92" s="537" t="s">
        <v>57</v>
      </c>
      <c r="L92" s="61">
        <v>31986</v>
      </c>
      <c r="M92" s="1">
        <v>36</v>
      </c>
      <c r="N92" s="1">
        <v>1250</v>
      </c>
      <c r="P92" s="1">
        <v>1650</v>
      </c>
      <c r="Q92" s="537"/>
      <c r="R92" s="1">
        <v>400</v>
      </c>
      <c r="S92" s="1">
        <v>260000</v>
      </c>
      <c r="T92" s="1">
        <v>13013</v>
      </c>
      <c r="U92" s="1" t="s">
        <v>2639</v>
      </c>
      <c r="V92" s="1">
        <v>23790</v>
      </c>
      <c r="W92" s="1">
        <v>45267</v>
      </c>
      <c r="X92" s="537" t="s">
        <v>59</v>
      </c>
      <c r="Y92" s="537" t="s">
        <v>60</v>
      </c>
      <c r="Z92" s="1" t="s">
        <v>526</v>
      </c>
      <c r="AA92" s="537" t="s">
        <v>347</v>
      </c>
      <c r="AB92" s="537" t="s">
        <v>452</v>
      </c>
      <c r="AC92" s="1">
        <v>44904</v>
      </c>
      <c r="AD92" s="61">
        <v>44907</v>
      </c>
      <c r="AE92" s="61"/>
      <c r="AF92" s="61"/>
      <c r="AG92" s="1" t="s">
        <v>2724</v>
      </c>
      <c r="AH92" s="537"/>
      <c r="AI92" s="537"/>
      <c r="AK92" s="537"/>
      <c r="AM92" s="537" t="s">
        <v>2752</v>
      </c>
      <c r="AN92" s="537"/>
    </row>
    <row r="93" spans="1:40">
      <c r="A93" s="537" t="s">
        <v>54</v>
      </c>
      <c r="B93" s="1">
        <v>221209</v>
      </c>
      <c r="C93" s="1">
        <v>212037</v>
      </c>
      <c r="D93" s="537" t="s">
        <v>105</v>
      </c>
      <c r="E93" s="537" t="s">
        <v>106</v>
      </c>
      <c r="F93" s="1" t="s">
        <v>2374</v>
      </c>
      <c r="G93" s="1" t="s">
        <v>3076</v>
      </c>
      <c r="H93" s="537" t="s">
        <v>2753</v>
      </c>
      <c r="I93" s="537" t="s">
        <v>2754</v>
      </c>
      <c r="J93" s="537" t="s">
        <v>18</v>
      </c>
      <c r="K93" s="537" t="s">
        <v>57</v>
      </c>
      <c r="L93" s="61">
        <v>34048</v>
      </c>
      <c r="M93" s="1">
        <v>30</v>
      </c>
      <c r="N93" s="1">
        <v>1250</v>
      </c>
      <c r="P93" s="1">
        <v>1650</v>
      </c>
      <c r="Q93" s="537"/>
      <c r="R93" s="1">
        <v>400</v>
      </c>
      <c r="S93" s="1">
        <v>280000</v>
      </c>
      <c r="T93" s="1">
        <v>14014</v>
      </c>
      <c r="U93" s="1" t="s">
        <v>2639</v>
      </c>
      <c r="V93" s="1">
        <v>25620</v>
      </c>
      <c r="W93" s="1">
        <v>45267</v>
      </c>
      <c r="X93" s="537" t="s">
        <v>59</v>
      </c>
      <c r="Y93" s="537" t="s">
        <v>60</v>
      </c>
      <c r="Z93" s="1" t="s">
        <v>84</v>
      </c>
      <c r="AA93" s="537" t="s">
        <v>490</v>
      </c>
      <c r="AB93" s="537" t="s">
        <v>641</v>
      </c>
      <c r="AC93" s="1">
        <v>44904</v>
      </c>
      <c r="AD93" s="61">
        <v>44907</v>
      </c>
      <c r="AE93" s="61"/>
      <c r="AF93" s="61"/>
      <c r="AG93" s="1" t="s">
        <v>2724</v>
      </c>
      <c r="AH93" s="537"/>
      <c r="AI93" s="537"/>
      <c r="AK93" s="537"/>
      <c r="AM93" s="537" t="s">
        <v>2752</v>
      </c>
      <c r="AN93" s="537"/>
    </row>
    <row r="94" spans="1:40">
      <c r="A94" s="537" t="s">
        <v>54</v>
      </c>
      <c r="B94" s="1">
        <v>230220</v>
      </c>
      <c r="C94" s="1">
        <v>212038</v>
      </c>
      <c r="D94" s="537" t="s">
        <v>105</v>
      </c>
      <c r="E94" s="537" t="s">
        <v>3130</v>
      </c>
      <c r="F94" s="1" t="s">
        <v>2418</v>
      </c>
      <c r="G94" s="1" t="s">
        <v>865</v>
      </c>
      <c r="H94" s="537" t="s">
        <v>2869</v>
      </c>
      <c r="I94" s="537" t="s">
        <v>2870</v>
      </c>
      <c r="J94" s="537" t="s">
        <v>18</v>
      </c>
      <c r="K94" s="537" t="s">
        <v>939</v>
      </c>
      <c r="L94" s="61">
        <v>21815</v>
      </c>
      <c r="M94" s="1">
        <v>64</v>
      </c>
      <c r="N94" s="1">
        <v>1400</v>
      </c>
      <c r="P94" s="1">
        <v>1750</v>
      </c>
      <c r="Q94" s="537"/>
      <c r="R94" s="1">
        <v>350</v>
      </c>
      <c r="S94" s="1">
        <v>260000</v>
      </c>
      <c r="T94" s="1">
        <v>13013</v>
      </c>
      <c r="U94" s="1">
        <v>2365.9999999999982</v>
      </c>
      <c r="V94" s="1">
        <v>23790</v>
      </c>
      <c r="W94" s="1">
        <v>47026</v>
      </c>
      <c r="X94" s="537" t="s">
        <v>65</v>
      </c>
      <c r="Y94" s="537" t="s">
        <v>71</v>
      </c>
      <c r="Z94" s="1" t="s">
        <v>2871</v>
      </c>
      <c r="AA94" s="537" t="s">
        <v>2872</v>
      </c>
      <c r="AB94" s="537" t="s">
        <v>2873</v>
      </c>
      <c r="AC94" s="1" t="s">
        <v>63</v>
      </c>
      <c r="AD94" s="61">
        <v>44985</v>
      </c>
      <c r="AE94" s="61"/>
      <c r="AF94" s="61"/>
      <c r="AG94" s="1" t="s">
        <v>2814</v>
      </c>
      <c r="AH94" s="537"/>
      <c r="AI94" s="537"/>
      <c r="AK94" s="537"/>
      <c r="AM94" s="537" t="s">
        <v>2874</v>
      </c>
      <c r="AN94" s="537"/>
    </row>
    <row r="95" spans="1:40">
      <c r="A95" s="537" t="s">
        <v>54</v>
      </c>
      <c r="B95" s="1">
        <v>230505</v>
      </c>
      <c r="C95" s="1">
        <v>212039</v>
      </c>
      <c r="D95" s="537" t="s">
        <v>105</v>
      </c>
      <c r="E95" s="537" t="s">
        <v>106</v>
      </c>
      <c r="F95" s="1" t="s">
        <v>2370</v>
      </c>
      <c r="G95" s="1" t="s">
        <v>703</v>
      </c>
      <c r="H95" s="537" t="s">
        <v>3184</v>
      </c>
      <c r="I95" s="537" t="s">
        <v>3185</v>
      </c>
      <c r="J95" s="537" t="s">
        <v>18</v>
      </c>
      <c r="K95" s="537" t="s">
        <v>57</v>
      </c>
      <c r="L95" s="61">
        <v>35429</v>
      </c>
      <c r="M95" s="1">
        <v>26</v>
      </c>
      <c r="N95" s="1">
        <v>1200</v>
      </c>
      <c r="P95" s="1">
        <v>1650</v>
      </c>
      <c r="Q95" s="537"/>
      <c r="R95" s="1">
        <v>450</v>
      </c>
      <c r="S95" s="1">
        <v>180000</v>
      </c>
      <c r="T95" s="1">
        <v>9009</v>
      </c>
      <c r="U95" s="1" t="s">
        <v>2639</v>
      </c>
      <c r="V95" s="1">
        <v>16470</v>
      </c>
      <c r="W95" s="1">
        <v>45422</v>
      </c>
      <c r="X95" s="537" t="s">
        <v>65</v>
      </c>
      <c r="Y95" s="537" t="s">
        <v>60</v>
      </c>
      <c r="Z95" s="1" t="s">
        <v>136</v>
      </c>
      <c r="AA95" s="537" t="s">
        <v>149</v>
      </c>
      <c r="AB95" s="537" t="s">
        <v>3186</v>
      </c>
      <c r="AC95" s="1">
        <v>45056</v>
      </c>
      <c r="AD95" s="61">
        <v>45061</v>
      </c>
      <c r="AE95" s="61"/>
      <c r="AF95" s="61"/>
      <c r="AG95" s="1" t="s">
        <v>3171</v>
      </c>
      <c r="AH95" s="537"/>
      <c r="AI95" s="537"/>
      <c r="AK95" s="537"/>
      <c r="AM95" s="537" t="s">
        <v>3175</v>
      </c>
      <c r="AN95" s="537"/>
    </row>
    <row r="96" spans="1:40">
      <c r="A96" s="537" t="s">
        <v>54</v>
      </c>
      <c r="B96" s="1">
        <v>230812</v>
      </c>
      <c r="C96" s="1">
        <v>212040</v>
      </c>
      <c r="D96" s="537" t="s">
        <v>105</v>
      </c>
      <c r="E96" s="537" t="s">
        <v>106</v>
      </c>
      <c r="F96" s="1" t="s">
        <v>2374</v>
      </c>
      <c r="G96" s="1" t="s">
        <v>3076</v>
      </c>
      <c r="H96" s="537" t="s">
        <v>3331</v>
      </c>
      <c r="I96" s="537" t="s">
        <v>3332</v>
      </c>
      <c r="J96" s="537" t="s">
        <v>18</v>
      </c>
      <c r="K96" s="537" t="s">
        <v>57</v>
      </c>
      <c r="L96" s="61">
        <v>34092</v>
      </c>
      <c r="M96" s="1">
        <v>30</v>
      </c>
      <c r="N96" s="1">
        <v>1200</v>
      </c>
      <c r="P96" s="1">
        <v>1650</v>
      </c>
      <c r="Q96" s="537"/>
      <c r="R96" s="1">
        <v>450</v>
      </c>
      <c r="S96" s="1">
        <v>190000</v>
      </c>
      <c r="T96" s="1">
        <v>9509.5</v>
      </c>
      <c r="U96" s="1" t="s">
        <v>2639</v>
      </c>
      <c r="V96" s="1">
        <v>17385</v>
      </c>
      <c r="W96" s="1">
        <v>45499</v>
      </c>
      <c r="X96" s="537" t="s">
        <v>65</v>
      </c>
      <c r="Y96" s="537" t="s">
        <v>60</v>
      </c>
      <c r="Z96" s="1" t="s">
        <v>2642</v>
      </c>
      <c r="AA96" s="537" t="s">
        <v>3329</v>
      </c>
      <c r="AB96" s="537" t="s">
        <v>3333</v>
      </c>
      <c r="AC96" s="1">
        <v>45133</v>
      </c>
      <c r="AD96" s="61">
        <v>45139</v>
      </c>
      <c r="AE96" s="61"/>
      <c r="AF96" s="61"/>
      <c r="AG96" s="1" t="s">
        <v>3294</v>
      </c>
      <c r="AH96" s="537"/>
      <c r="AI96" s="537"/>
      <c r="AK96" s="537"/>
      <c r="AM96" s="537" t="s">
        <v>3290</v>
      </c>
      <c r="AN96" s="537"/>
    </row>
    <row r="97" spans="1:40">
      <c r="A97" s="537" t="s">
        <v>54</v>
      </c>
      <c r="B97" s="1">
        <v>230813</v>
      </c>
      <c r="C97" s="1">
        <v>212041</v>
      </c>
      <c r="D97" s="537" t="s">
        <v>105</v>
      </c>
      <c r="E97" s="537" t="s">
        <v>106</v>
      </c>
      <c r="F97" s="1" t="s">
        <v>2374</v>
      </c>
      <c r="G97" s="1" t="s">
        <v>3076</v>
      </c>
      <c r="H97" s="537" t="s">
        <v>3334</v>
      </c>
      <c r="I97" s="537" t="s">
        <v>3335</v>
      </c>
      <c r="J97" s="537" t="s">
        <v>18</v>
      </c>
      <c r="K97" s="537" t="s">
        <v>57</v>
      </c>
      <c r="L97" s="61">
        <v>36654</v>
      </c>
      <c r="M97" s="1">
        <v>23</v>
      </c>
      <c r="N97" s="1">
        <v>1200</v>
      </c>
      <c r="P97" s="1">
        <v>1650</v>
      </c>
      <c r="Q97" s="537"/>
      <c r="R97" s="1">
        <v>450</v>
      </c>
      <c r="S97" s="1">
        <v>190000</v>
      </c>
      <c r="T97" s="1">
        <v>9509.5</v>
      </c>
      <c r="U97" s="1" t="s">
        <v>2639</v>
      </c>
      <c r="V97" s="1">
        <v>17385</v>
      </c>
      <c r="W97" s="1">
        <v>45499</v>
      </c>
      <c r="X97" s="537" t="s">
        <v>65</v>
      </c>
      <c r="Y97" s="537" t="s">
        <v>60</v>
      </c>
      <c r="Z97" s="1" t="s">
        <v>2642</v>
      </c>
      <c r="AA97" s="537" t="s">
        <v>3329</v>
      </c>
      <c r="AB97" s="537" t="s">
        <v>3330</v>
      </c>
      <c r="AC97" s="1">
        <v>45133</v>
      </c>
      <c r="AD97" s="61">
        <v>45139</v>
      </c>
      <c r="AE97" s="61"/>
      <c r="AF97" s="61"/>
      <c r="AG97" s="1" t="s">
        <v>3294</v>
      </c>
      <c r="AH97" s="537"/>
      <c r="AI97" s="537"/>
      <c r="AK97" s="537"/>
      <c r="AM97" s="537" t="s">
        <v>3290</v>
      </c>
      <c r="AN97" s="537"/>
    </row>
    <row r="98" spans="1:40">
      <c r="A98" s="537" t="s">
        <v>54</v>
      </c>
      <c r="B98" s="1">
        <v>230811</v>
      </c>
      <c r="C98" s="1">
        <v>212042</v>
      </c>
      <c r="D98" s="537" t="s">
        <v>105</v>
      </c>
      <c r="E98" s="537" t="s">
        <v>106</v>
      </c>
      <c r="F98" s="1" t="s">
        <v>2370</v>
      </c>
      <c r="G98" s="1" t="s">
        <v>703</v>
      </c>
      <c r="H98" s="537" t="s">
        <v>3327</v>
      </c>
      <c r="I98" s="537" t="s">
        <v>3328</v>
      </c>
      <c r="J98" s="537" t="s">
        <v>18</v>
      </c>
      <c r="K98" s="537" t="s">
        <v>57</v>
      </c>
      <c r="L98" s="61">
        <v>37213</v>
      </c>
      <c r="M98" s="1">
        <v>22</v>
      </c>
      <c r="N98" s="1">
        <v>1200</v>
      </c>
      <c r="P98" s="1">
        <v>1650</v>
      </c>
      <c r="Q98" s="537"/>
      <c r="R98" s="1">
        <v>450</v>
      </c>
      <c r="S98" s="1">
        <v>190000</v>
      </c>
      <c r="T98" s="1">
        <v>9509.5</v>
      </c>
      <c r="U98" s="1" t="s">
        <v>2639</v>
      </c>
      <c r="V98" s="1">
        <v>17385</v>
      </c>
      <c r="W98" s="1">
        <v>45499</v>
      </c>
      <c r="X98" s="537" t="s">
        <v>65</v>
      </c>
      <c r="Y98" s="537" t="s">
        <v>60</v>
      </c>
      <c r="Z98" s="1" t="s">
        <v>2642</v>
      </c>
      <c r="AA98" s="537" t="s">
        <v>3329</v>
      </c>
      <c r="AB98" s="537" t="s">
        <v>3330</v>
      </c>
      <c r="AC98" s="1">
        <v>45133</v>
      </c>
      <c r="AD98" s="61">
        <v>45139</v>
      </c>
      <c r="AE98" s="61"/>
      <c r="AF98" s="61"/>
      <c r="AG98" s="1" t="s">
        <v>3294</v>
      </c>
      <c r="AH98" s="537"/>
      <c r="AI98" s="537"/>
      <c r="AK98" s="537"/>
      <c r="AM98" s="537" t="s">
        <v>3290</v>
      </c>
      <c r="AN98" s="537"/>
    </row>
    <row r="99" spans="1:40">
      <c r="A99" s="537" t="s">
        <v>54</v>
      </c>
      <c r="B99" s="1">
        <v>230908</v>
      </c>
      <c r="C99" s="1">
        <v>212043</v>
      </c>
      <c r="D99" s="537" t="s">
        <v>105</v>
      </c>
      <c r="E99" s="537" t="s">
        <v>106</v>
      </c>
      <c r="F99" s="1" t="s">
        <v>2405</v>
      </c>
      <c r="G99" s="1" t="s">
        <v>3388</v>
      </c>
      <c r="H99" s="537" t="s">
        <v>3389</v>
      </c>
      <c r="I99" s="537" t="s">
        <v>3390</v>
      </c>
      <c r="J99" s="537" t="s">
        <v>18</v>
      </c>
      <c r="K99" s="537" t="s">
        <v>57</v>
      </c>
      <c r="L99" s="61">
        <v>36910</v>
      </c>
      <c r="M99" s="1">
        <v>22</v>
      </c>
      <c r="N99" s="1">
        <v>1200</v>
      </c>
      <c r="P99" s="1">
        <v>1650</v>
      </c>
      <c r="Q99" s="537"/>
      <c r="R99" s="1">
        <v>450</v>
      </c>
      <c r="S99" s="1">
        <v>200000</v>
      </c>
      <c r="T99" s="1">
        <v>10010</v>
      </c>
      <c r="U99" s="1" t="s">
        <v>2639</v>
      </c>
      <c r="V99" s="1">
        <v>18300</v>
      </c>
      <c r="W99" s="1">
        <v>45547</v>
      </c>
      <c r="X99" s="537" t="s">
        <v>65</v>
      </c>
      <c r="Y99" s="537" t="s">
        <v>60</v>
      </c>
      <c r="Z99" s="1" t="s">
        <v>2642</v>
      </c>
      <c r="AA99" s="537" t="s">
        <v>3329</v>
      </c>
      <c r="AB99" s="537" t="s">
        <v>3330</v>
      </c>
      <c r="AC99" s="1">
        <v>45181</v>
      </c>
      <c r="AD99" s="61">
        <v>45187</v>
      </c>
      <c r="AE99" s="61"/>
      <c r="AF99" s="61"/>
      <c r="AG99" s="1" t="s">
        <v>3391</v>
      </c>
      <c r="AH99" s="537"/>
      <c r="AI99" s="537"/>
      <c r="AK99" s="537"/>
      <c r="AM99" s="537" t="s">
        <v>2448</v>
      </c>
      <c r="AN99" s="537"/>
    </row>
    <row r="100" spans="1:40">
      <c r="A100" s="537" t="s">
        <v>54</v>
      </c>
      <c r="B100" s="1">
        <v>231102</v>
      </c>
      <c r="C100" s="1">
        <v>212044</v>
      </c>
      <c r="D100" s="537" t="s">
        <v>105</v>
      </c>
      <c r="E100" s="537" t="s">
        <v>106</v>
      </c>
      <c r="F100" s="1" t="s">
        <v>2370</v>
      </c>
      <c r="G100" s="1" t="s">
        <v>703</v>
      </c>
      <c r="H100" s="537" t="s">
        <v>3501</v>
      </c>
      <c r="I100" s="537" t="s">
        <v>3502</v>
      </c>
      <c r="J100" s="537" t="s">
        <v>18</v>
      </c>
      <c r="K100" s="537" t="s">
        <v>57</v>
      </c>
      <c r="L100" s="61">
        <v>35497</v>
      </c>
      <c r="M100" s="1">
        <v>26</v>
      </c>
      <c r="N100" s="1">
        <v>1200</v>
      </c>
      <c r="P100" s="1">
        <v>1650</v>
      </c>
      <c r="Q100" s="537"/>
      <c r="R100" s="1">
        <v>450</v>
      </c>
      <c r="S100" s="1">
        <v>200000</v>
      </c>
      <c r="T100" s="1">
        <v>10010</v>
      </c>
      <c r="U100" s="1" t="s">
        <v>2639</v>
      </c>
      <c r="V100" s="1">
        <v>18300</v>
      </c>
      <c r="W100" s="1">
        <v>45592</v>
      </c>
      <c r="X100" s="537" t="s">
        <v>65</v>
      </c>
      <c r="Y100" s="537" t="s">
        <v>60</v>
      </c>
      <c r="Z100" s="1" t="s">
        <v>3503</v>
      </c>
      <c r="AA100" s="537" t="s">
        <v>3504</v>
      </c>
      <c r="AB100" s="537" t="s">
        <v>3505</v>
      </c>
      <c r="AD100" s="61">
        <v>45231</v>
      </c>
      <c r="AE100" s="61"/>
      <c r="AF100" s="61"/>
      <c r="AG100" s="1" t="s">
        <v>3499</v>
      </c>
      <c r="AH100" s="537"/>
      <c r="AI100" s="537"/>
      <c r="AK100" s="537"/>
      <c r="AM100" s="537" t="s">
        <v>3500</v>
      </c>
      <c r="AN100" s="537"/>
    </row>
    <row r="101" spans="1:40">
      <c r="A101" s="537" t="s">
        <v>54</v>
      </c>
      <c r="B101" s="1">
        <v>231103</v>
      </c>
      <c r="C101" s="1">
        <v>212045</v>
      </c>
      <c r="D101" s="537" t="s">
        <v>105</v>
      </c>
      <c r="E101" s="537" t="s">
        <v>106</v>
      </c>
      <c r="F101" s="1" t="s">
        <v>2405</v>
      </c>
      <c r="G101" s="1" t="s">
        <v>3388</v>
      </c>
      <c r="H101" s="537" t="s">
        <v>3506</v>
      </c>
      <c r="I101" s="537" t="s">
        <v>3507</v>
      </c>
      <c r="J101" s="537" t="s">
        <v>18</v>
      </c>
      <c r="K101" s="537" t="s">
        <v>57</v>
      </c>
      <c r="L101" s="61">
        <v>36831</v>
      </c>
      <c r="M101" s="1">
        <v>23</v>
      </c>
      <c r="N101" s="1">
        <v>1200</v>
      </c>
      <c r="P101" s="1">
        <v>1650</v>
      </c>
      <c r="Q101" s="537"/>
      <c r="R101" s="1">
        <v>450</v>
      </c>
      <c r="S101" s="1">
        <v>200000</v>
      </c>
      <c r="T101" s="1">
        <v>10010</v>
      </c>
      <c r="U101" s="1" t="s">
        <v>2639</v>
      </c>
      <c r="V101" s="1">
        <v>18300</v>
      </c>
      <c r="W101" s="1">
        <v>45592</v>
      </c>
      <c r="X101" s="537" t="s">
        <v>65</v>
      </c>
      <c r="Y101" s="537" t="s">
        <v>60</v>
      </c>
      <c r="Z101" s="1" t="s">
        <v>3503</v>
      </c>
      <c r="AA101" s="537" t="s">
        <v>3504</v>
      </c>
      <c r="AB101" s="537" t="s">
        <v>3505</v>
      </c>
      <c r="AD101" s="61">
        <v>45231</v>
      </c>
      <c r="AE101" s="61"/>
      <c r="AF101" s="61"/>
      <c r="AG101" s="1" t="s">
        <v>3499</v>
      </c>
      <c r="AH101" s="537"/>
      <c r="AI101" s="537"/>
      <c r="AK101" s="537"/>
      <c r="AM101" s="537" t="s">
        <v>3500</v>
      </c>
      <c r="AN101" s="537"/>
    </row>
    <row r="102" spans="1:40">
      <c r="A102" s="537" t="s">
        <v>54</v>
      </c>
      <c r="B102" s="1">
        <v>231206</v>
      </c>
      <c r="C102" s="1">
        <v>212046</v>
      </c>
      <c r="D102" s="537" t="s">
        <v>105</v>
      </c>
      <c r="E102" s="537" t="s">
        <v>106</v>
      </c>
      <c r="F102" s="1" t="s">
        <v>2373</v>
      </c>
      <c r="G102" s="1" t="s">
        <v>703</v>
      </c>
      <c r="H102" s="537" t="s">
        <v>3564</v>
      </c>
      <c r="I102" s="537" t="s">
        <v>3565</v>
      </c>
      <c r="J102" s="537" t="s">
        <v>18</v>
      </c>
      <c r="K102" s="537" t="s">
        <v>57</v>
      </c>
      <c r="L102" s="61">
        <v>36983</v>
      </c>
      <c r="M102" s="1">
        <v>22</v>
      </c>
      <c r="N102" s="1">
        <v>1200</v>
      </c>
      <c r="P102" s="1">
        <v>1650</v>
      </c>
      <c r="Q102" s="537"/>
      <c r="R102" s="1">
        <v>450</v>
      </c>
      <c r="S102" s="1">
        <v>0</v>
      </c>
      <c r="T102" s="1">
        <v>0</v>
      </c>
      <c r="U102" s="1" t="s">
        <v>2639</v>
      </c>
      <c r="V102" s="1">
        <v>0</v>
      </c>
      <c r="W102" s="1">
        <v>45623</v>
      </c>
      <c r="X102" s="537" t="s">
        <v>65</v>
      </c>
      <c r="Y102" s="537" t="s">
        <v>60</v>
      </c>
      <c r="AA102" s="537"/>
      <c r="AB102" s="537"/>
      <c r="AC102" s="1">
        <v>45257</v>
      </c>
      <c r="AD102" s="61">
        <v>45261</v>
      </c>
      <c r="AE102" s="61"/>
      <c r="AF102" s="61"/>
      <c r="AH102" s="537"/>
      <c r="AI102" s="537"/>
      <c r="AK102" s="537"/>
      <c r="AM102" s="537"/>
      <c r="AN102" s="537"/>
    </row>
    <row r="103" spans="1:40">
      <c r="A103" s="537" t="s">
        <v>54</v>
      </c>
      <c r="B103" s="1">
        <v>201106</v>
      </c>
      <c r="C103" s="1">
        <v>222004</v>
      </c>
      <c r="D103" s="537" t="s">
        <v>79</v>
      </c>
      <c r="E103" s="537" t="s">
        <v>667</v>
      </c>
      <c r="F103" s="1" t="s">
        <v>2569</v>
      </c>
      <c r="G103" s="1" t="s">
        <v>883</v>
      </c>
      <c r="H103" s="537" t="s">
        <v>80</v>
      </c>
      <c r="I103" s="537" t="s">
        <v>81</v>
      </c>
      <c r="J103" s="537" t="s">
        <v>18</v>
      </c>
      <c r="K103" s="537" t="s">
        <v>57</v>
      </c>
      <c r="L103" s="61">
        <v>34415</v>
      </c>
      <c r="M103" s="1">
        <v>29</v>
      </c>
      <c r="N103" s="1">
        <v>1410</v>
      </c>
      <c r="O103" s="1" t="s">
        <v>82</v>
      </c>
      <c r="P103" s="1">
        <v>1790</v>
      </c>
      <c r="Q103" s="537" t="s">
        <v>83</v>
      </c>
      <c r="R103" s="1">
        <v>380</v>
      </c>
      <c r="S103" s="1">
        <v>240000</v>
      </c>
      <c r="T103" s="1">
        <v>12012</v>
      </c>
      <c r="U103" s="1" t="s">
        <v>2639</v>
      </c>
      <c r="V103" s="1">
        <v>21960</v>
      </c>
      <c r="W103" s="1">
        <v>45499</v>
      </c>
      <c r="X103" s="537" t="s">
        <v>65</v>
      </c>
      <c r="Y103" s="537" t="s">
        <v>60</v>
      </c>
      <c r="Z103" s="1" t="s">
        <v>2642</v>
      </c>
      <c r="AA103" s="537" t="s">
        <v>2643</v>
      </c>
      <c r="AB103" s="537" t="s">
        <v>3046</v>
      </c>
      <c r="AC103" s="1" t="s">
        <v>63</v>
      </c>
      <c r="AD103" s="61">
        <v>44159</v>
      </c>
      <c r="AE103" s="61"/>
      <c r="AF103" s="61"/>
      <c r="AG103" s="1">
        <v>44197</v>
      </c>
      <c r="AH103" s="537" t="s">
        <v>81</v>
      </c>
      <c r="AI103" s="537" t="s">
        <v>86</v>
      </c>
      <c r="AJ103" s="1">
        <v>408</v>
      </c>
      <c r="AK103" s="537" t="s">
        <v>87</v>
      </c>
      <c r="AL103" s="1" t="s">
        <v>949</v>
      </c>
      <c r="AM103" s="537" t="s">
        <v>64</v>
      </c>
      <c r="AN103" s="537"/>
    </row>
    <row r="104" spans="1:40">
      <c r="A104" s="537" t="s">
        <v>54</v>
      </c>
      <c r="B104" s="1">
        <v>210110</v>
      </c>
      <c r="C104" s="1">
        <v>222008</v>
      </c>
      <c r="D104" s="537" t="s">
        <v>79</v>
      </c>
      <c r="E104" s="537" t="s">
        <v>667</v>
      </c>
      <c r="F104" s="1" t="s">
        <v>2569</v>
      </c>
      <c r="G104" s="1" t="s">
        <v>883</v>
      </c>
      <c r="H104" s="537" t="s">
        <v>112</v>
      </c>
      <c r="I104" s="537" t="s">
        <v>113</v>
      </c>
      <c r="J104" s="537" t="s">
        <v>18</v>
      </c>
      <c r="K104" s="537" t="s">
        <v>57</v>
      </c>
      <c r="L104" s="61">
        <v>34363</v>
      </c>
      <c r="M104" s="1">
        <v>29</v>
      </c>
      <c r="N104" s="1">
        <v>1400</v>
      </c>
      <c r="O104" s="1" t="s">
        <v>91</v>
      </c>
      <c r="P104" s="1">
        <v>1780</v>
      </c>
      <c r="Q104" s="537" t="s">
        <v>92</v>
      </c>
      <c r="R104" s="1">
        <v>380</v>
      </c>
      <c r="S104" s="1">
        <v>240000</v>
      </c>
      <c r="T104" s="1">
        <v>12012</v>
      </c>
      <c r="U104" s="1" t="s">
        <v>2639</v>
      </c>
      <c r="V104" s="1">
        <v>21960</v>
      </c>
      <c r="W104" s="1">
        <v>45591</v>
      </c>
      <c r="X104" s="537" t="s">
        <v>65</v>
      </c>
      <c r="Y104" s="537" t="s">
        <v>60</v>
      </c>
      <c r="Z104" s="1" t="s">
        <v>114</v>
      </c>
      <c r="AA104" s="537" t="s">
        <v>115</v>
      </c>
      <c r="AB104" s="537" t="s">
        <v>116</v>
      </c>
      <c r="AC104" s="1">
        <v>44188</v>
      </c>
      <c r="AD104" s="61">
        <v>44204</v>
      </c>
      <c r="AE104" s="61"/>
      <c r="AF104" s="61"/>
      <c r="AG104" s="1">
        <v>44256</v>
      </c>
      <c r="AH104" s="537" t="s">
        <v>113</v>
      </c>
      <c r="AI104" s="537" t="s">
        <v>86</v>
      </c>
      <c r="AJ104" s="1">
        <v>408</v>
      </c>
      <c r="AK104" s="537" t="s">
        <v>87</v>
      </c>
      <c r="AL104" s="1" t="s">
        <v>994</v>
      </c>
      <c r="AM104" s="537" t="s">
        <v>64</v>
      </c>
      <c r="AN104" s="537"/>
    </row>
    <row r="105" spans="1:40">
      <c r="A105" s="537" t="s">
        <v>54</v>
      </c>
      <c r="B105" s="1">
        <v>210201</v>
      </c>
      <c r="C105" s="1">
        <v>222009</v>
      </c>
      <c r="D105" s="537" t="s">
        <v>79</v>
      </c>
      <c r="E105" s="537" t="s">
        <v>667</v>
      </c>
      <c r="F105" s="1" t="s">
        <v>2382</v>
      </c>
      <c r="G105" s="1" t="s">
        <v>3066</v>
      </c>
      <c r="H105" s="537" t="s">
        <v>140</v>
      </c>
      <c r="I105" s="537" t="s">
        <v>141</v>
      </c>
      <c r="J105" s="537" t="s">
        <v>18</v>
      </c>
      <c r="K105" s="537" t="s">
        <v>57</v>
      </c>
      <c r="L105" s="61">
        <v>33480</v>
      </c>
      <c r="M105" s="1">
        <v>32</v>
      </c>
      <c r="N105" s="1">
        <v>1460</v>
      </c>
      <c r="O105" s="1" t="s">
        <v>142</v>
      </c>
      <c r="P105" s="1">
        <v>1790</v>
      </c>
      <c r="Q105" s="537" t="s">
        <v>83</v>
      </c>
      <c r="R105" s="1">
        <v>330</v>
      </c>
      <c r="S105" s="1">
        <v>280000</v>
      </c>
      <c r="T105" s="1">
        <v>14014</v>
      </c>
      <c r="U105" s="1" t="s">
        <v>2639</v>
      </c>
      <c r="V105" s="1">
        <v>25620</v>
      </c>
      <c r="W105" s="1">
        <v>45566</v>
      </c>
      <c r="X105" s="537" t="s">
        <v>65</v>
      </c>
      <c r="Y105" s="537" t="s">
        <v>60</v>
      </c>
      <c r="Z105" s="1" t="s">
        <v>143</v>
      </c>
      <c r="AA105" s="537" t="s">
        <v>3048</v>
      </c>
      <c r="AB105" s="537" t="s">
        <v>3049</v>
      </c>
      <c r="AC105" s="1">
        <v>44226</v>
      </c>
      <c r="AD105" s="61">
        <v>44228</v>
      </c>
      <c r="AE105" s="61"/>
      <c r="AF105" s="61"/>
      <c r="AG105" s="1">
        <v>44287</v>
      </c>
      <c r="AH105" s="537" t="s">
        <v>144</v>
      </c>
      <c r="AI105" s="537" t="s">
        <v>145</v>
      </c>
      <c r="AJ105" s="1">
        <v>273</v>
      </c>
      <c r="AK105" s="537" t="s">
        <v>146</v>
      </c>
      <c r="AL105" s="1" t="s">
        <v>1031</v>
      </c>
      <c r="AM105" s="537" t="s">
        <v>64</v>
      </c>
      <c r="AN105" s="537"/>
    </row>
    <row r="106" spans="1:40">
      <c r="A106" s="537" t="s">
        <v>54</v>
      </c>
      <c r="B106" s="1">
        <v>210202</v>
      </c>
      <c r="C106" s="1">
        <v>222010</v>
      </c>
      <c r="D106" s="537" t="s">
        <v>79</v>
      </c>
      <c r="E106" s="537" t="s">
        <v>667</v>
      </c>
      <c r="F106" s="1" t="s">
        <v>2568</v>
      </c>
      <c r="G106" s="1" t="s">
        <v>694</v>
      </c>
      <c r="H106" s="537" t="s">
        <v>147</v>
      </c>
      <c r="I106" s="537" t="s">
        <v>148</v>
      </c>
      <c r="J106" s="537" t="s">
        <v>18</v>
      </c>
      <c r="K106" s="537" t="s">
        <v>57</v>
      </c>
      <c r="L106" s="61">
        <v>33501</v>
      </c>
      <c r="M106" s="1">
        <v>32</v>
      </c>
      <c r="N106" s="1">
        <v>1400</v>
      </c>
      <c r="O106" s="1" t="s">
        <v>91</v>
      </c>
      <c r="P106" s="1">
        <v>1780</v>
      </c>
      <c r="Q106" s="537" t="s">
        <v>92</v>
      </c>
      <c r="R106" s="1">
        <v>380</v>
      </c>
      <c r="S106" s="1">
        <v>220000</v>
      </c>
      <c r="T106" s="1">
        <v>11011</v>
      </c>
      <c r="U106" s="1" t="s">
        <v>2639</v>
      </c>
      <c r="V106" s="1">
        <v>20130</v>
      </c>
      <c r="W106" s="1">
        <v>45702</v>
      </c>
      <c r="X106" s="537" t="s">
        <v>65</v>
      </c>
      <c r="Y106" s="537" t="s">
        <v>60</v>
      </c>
      <c r="Z106" s="1" t="s">
        <v>136</v>
      </c>
      <c r="AA106" s="537" t="s">
        <v>149</v>
      </c>
      <c r="AB106" s="537" t="s">
        <v>150</v>
      </c>
      <c r="AC106" s="1" t="s">
        <v>63</v>
      </c>
      <c r="AD106" s="61">
        <v>44228</v>
      </c>
      <c r="AE106" s="61">
        <v>45275</v>
      </c>
      <c r="AF106" s="61"/>
      <c r="AG106" s="1">
        <v>44287</v>
      </c>
      <c r="AH106" s="537" t="s">
        <v>148</v>
      </c>
      <c r="AI106" s="537" t="s">
        <v>86</v>
      </c>
      <c r="AJ106" s="1">
        <v>208</v>
      </c>
      <c r="AK106" s="537" t="s">
        <v>151</v>
      </c>
      <c r="AL106" s="1" t="s">
        <v>1032</v>
      </c>
      <c r="AM106" s="537" t="s">
        <v>64</v>
      </c>
      <c r="AN106" s="537"/>
    </row>
    <row r="107" spans="1:40" hidden="1">
      <c r="A107" s="537" t="s">
        <v>179</v>
      </c>
      <c r="B107" s="1">
        <v>210206</v>
      </c>
      <c r="C107" s="1">
        <v>222011</v>
      </c>
      <c r="D107" s="537" t="s">
        <v>159</v>
      </c>
      <c r="E107" s="537" t="s">
        <v>671</v>
      </c>
      <c r="F107" t="s">
        <v>2580</v>
      </c>
      <c r="G107"/>
      <c r="H107" s="537" t="s">
        <v>161</v>
      </c>
      <c r="I107" s="537" t="s">
        <v>162</v>
      </c>
      <c r="J107" s="537" t="s">
        <v>18</v>
      </c>
      <c r="K107" s="537" t="s">
        <v>57</v>
      </c>
      <c r="L107" s="61">
        <v>35024</v>
      </c>
      <c r="M107" s="1">
        <v>28</v>
      </c>
      <c r="N107" s="1">
        <v>1400</v>
      </c>
      <c r="O107" s="1" t="s">
        <v>91</v>
      </c>
      <c r="P107" s="1">
        <v>1770</v>
      </c>
      <c r="Q107" s="537" t="s">
        <v>92</v>
      </c>
      <c r="R107" s="1">
        <v>370</v>
      </c>
      <c r="S107">
        <v>300000</v>
      </c>
      <c r="T107">
        <v>15014.999999999998</v>
      </c>
      <c r="U107" t="s">
        <v>2639</v>
      </c>
      <c r="V107">
        <v>27450</v>
      </c>
      <c r="W107" s="1">
        <v>45227</v>
      </c>
      <c r="X107" s="537" t="s">
        <v>59</v>
      </c>
      <c r="Y107" s="537" t="s">
        <v>60</v>
      </c>
      <c r="Z107" s="1" t="s">
        <v>136</v>
      </c>
      <c r="AA107" s="537" t="s">
        <v>163</v>
      </c>
      <c r="AB107" s="537" t="s">
        <v>164</v>
      </c>
      <c r="AC107" s="1">
        <v>44233</v>
      </c>
      <c r="AD107" s="61">
        <v>44235</v>
      </c>
      <c r="AE107" s="61">
        <v>45042</v>
      </c>
      <c r="AF107" s="61"/>
      <c r="AG107" s="1">
        <v>44287</v>
      </c>
      <c r="AH107" s="537" t="s">
        <v>162</v>
      </c>
      <c r="AI107" s="537" t="s">
        <v>86</v>
      </c>
      <c r="AJ107" s="1">
        <v>458</v>
      </c>
      <c r="AK107" s="537" t="s">
        <v>165</v>
      </c>
      <c r="AL107" s="1" t="s">
        <v>1035</v>
      </c>
      <c r="AM107" s="537" t="s">
        <v>64</v>
      </c>
      <c r="AN107" s="537"/>
    </row>
    <row r="108" spans="1:40">
      <c r="A108" s="537" t="s">
        <v>54</v>
      </c>
      <c r="B108" s="1">
        <v>210205</v>
      </c>
      <c r="C108" s="1">
        <v>222012</v>
      </c>
      <c r="D108" s="537" t="s">
        <v>79</v>
      </c>
      <c r="E108" s="537" t="s">
        <v>667</v>
      </c>
      <c r="F108" s="1" t="s">
        <v>2569</v>
      </c>
      <c r="G108" s="1" t="s">
        <v>883</v>
      </c>
      <c r="H108" s="537" t="s">
        <v>156</v>
      </c>
      <c r="I108" s="537" t="s">
        <v>157</v>
      </c>
      <c r="J108" s="537" t="s">
        <v>18</v>
      </c>
      <c r="K108" s="537" t="s">
        <v>57</v>
      </c>
      <c r="L108" s="61">
        <v>34482</v>
      </c>
      <c r="M108" s="1">
        <v>29</v>
      </c>
      <c r="N108" s="1">
        <v>1400</v>
      </c>
      <c r="O108" s="1" t="s">
        <v>91</v>
      </c>
      <c r="P108" s="1">
        <v>1780</v>
      </c>
      <c r="Q108" s="537" t="s">
        <v>92</v>
      </c>
      <c r="R108" s="1">
        <v>380</v>
      </c>
      <c r="S108" s="1">
        <v>260000</v>
      </c>
      <c r="T108" s="1">
        <v>13013</v>
      </c>
      <c r="U108" s="1" t="s">
        <v>2639</v>
      </c>
      <c r="V108" s="1">
        <v>23790</v>
      </c>
      <c r="W108" s="1">
        <v>45598</v>
      </c>
      <c r="X108" s="537" t="s">
        <v>65</v>
      </c>
      <c r="Y108" s="537" t="s">
        <v>60</v>
      </c>
      <c r="Z108" s="1" t="s">
        <v>84</v>
      </c>
      <c r="AA108" s="537" t="s">
        <v>538</v>
      </c>
      <c r="AB108" s="537" t="s">
        <v>539</v>
      </c>
      <c r="AC108" s="1">
        <v>44226</v>
      </c>
      <c r="AD108" s="61">
        <v>44235</v>
      </c>
      <c r="AE108" s="61"/>
      <c r="AF108" s="61"/>
      <c r="AG108" s="1">
        <v>44287</v>
      </c>
      <c r="AH108" s="537" t="s">
        <v>157</v>
      </c>
      <c r="AI108" s="537" t="s">
        <v>86</v>
      </c>
      <c r="AJ108" s="1">
        <v>468</v>
      </c>
      <c r="AK108" s="537" t="s">
        <v>158</v>
      </c>
      <c r="AL108" s="1" t="s">
        <v>1034</v>
      </c>
      <c r="AM108" s="537" t="s">
        <v>64</v>
      </c>
      <c r="AN108" s="537"/>
    </row>
    <row r="109" spans="1:40">
      <c r="A109" s="537" t="s">
        <v>54</v>
      </c>
      <c r="B109" s="1">
        <v>210610</v>
      </c>
      <c r="C109" s="1">
        <v>222020</v>
      </c>
      <c r="D109" s="537" t="s">
        <v>79</v>
      </c>
      <c r="E109" s="537" t="s">
        <v>667</v>
      </c>
      <c r="F109" s="1" t="s">
        <v>2569</v>
      </c>
      <c r="G109" s="1" t="s">
        <v>883</v>
      </c>
      <c r="H109" s="537" t="s">
        <v>265</v>
      </c>
      <c r="I109" s="537" t="s">
        <v>266</v>
      </c>
      <c r="J109" s="537" t="s">
        <v>18</v>
      </c>
      <c r="K109" s="537" t="s">
        <v>57</v>
      </c>
      <c r="L109" s="61">
        <v>32979</v>
      </c>
      <c r="M109" s="1">
        <v>33</v>
      </c>
      <c r="N109" s="1">
        <v>1400</v>
      </c>
      <c r="O109" s="1" t="s">
        <v>91</v>
      </c>
      <c r="P109" s="1">
        <v>1780</v>
      </c>
      <c r="Q109" s="537" t="s">
        <v>92</v>
      </c>
      <c r="R109" s="1">
        <v>380</v>
      </c>
      <c r="S109" s="1">
        <v>240000</v>
      </c>
      <c r="T109" s="1">
        <v>12012</v>
      </c>
      <c r="U109" s="1" t="s">
        <v>2639</v>
      </c>
      <c r="V109" s="1">
        <v>21960</v>
      </c>
      <c r="W109" s="1">
        <v>45626</v>
      </c>
      <c r="X109" s="537" t="s">
        <v>65</v>
      </c>
      <c r="Y109" s="537" t="s">
        <v>60</v>
      </c>
      <c r="Z109" s="1" t="s">
        <v>84</v>
      </c>
      <c r="AA109" s="537" t="s">
        <v>2391</v>
      </c>
      <c r="AB109" s="537" t="s">
        <v>2511</v>
      </c>
      <c r="AC109" s="1">
        <v>44982</v>
      </c>
      <c r="AD109" s="61">
        <v>44363</v>
      </c>
      <c r="AE109" s="61"/>
      <c r="AF109" s="61"/>
      <c r="AG109" s="1">
        <v>44409</v>
      </c>
      <c r="AH109" s="537" t="s">
        <v>266</v>
      </c>
      <c r="AI109" s="537" t="s">
        <v>86</v>
      </c>
      <c r="AJ109" s="1">
        <v>748</v>
      </c>
      <c r="AK109" s="537" t="s">
        <v>96</v>
      </c>
      <c r="AL109" s="1" t="s">
        <v>1208</v>
      </c>
      <c r="AM109" s="537" t="s">
        <v>64</v>
      </c>
      <c r="AN109" s="537"/>
    </row>
    <row r="110" spans="1:40" hidden="1">
      <c r="A110" s="537" t="s">
        <v>179</v>
      </c>
      <c r="B110" s="1">
        <v>210711</v>
      </c>
      <c r="C110" s="1">
        <v>222022</v>
      </c>
      <c r="D110" s="537" t="s">
        <v>79</v>
      </c>
      <c r="E110" s="537" t="s">
        <v>672</v>
      </c>
      <c r="F110" s="1" t="s">
        <v>2598</v>
      </c>
      <c r="G110"/>
      <c r="H110" s="537" t="s">
        <v>275</v>
      </c>
      <c r="I110" s="537" t="s">
        <v>276</v>
      </c>
      <c r="J110" s="537" t="s">
        <v>17</v>
      </c>
      <c r="K110" s="537" t="s">
        <v>277</v>
      </c>
      <c r="L110" s="61">
        <v>27134</v>
      </c>
      <c r="M110" s="1">
        <v>49</v>
      </c>
      <c r="N110" s="1">
        <v>1200</v>
      </c>
      <c r="O110" s="1" t="s">
        <v>278</v>
      </c>
      <c r="P110" s="1">
        <v>1770</v>
      </c>
      <c r="Q110" s="537" t="s">
        <v>279</v>
      </c>
      <c r="R110" s="1">
        <v>570</v>
      </c>
      <c r="S110">
        <v>200000</v>
      </c>
      <c r="T110">
        <v>10010</v>
      </c>
      <c r="U110">
        <v>1819.9999999999984</v>
      </c>
      <c r="V110">
        <v>18300</v>
      </c>
      <c r="X110" s="537" t="s">
        <v>65</v>
      </c>
      <c r="Y110" s="537"/>
      <c r="Z110" s="1" t="s">
        <v>280</v>
      </c>
      <c r="AA110" s="537" t="s">
        <v>281</v>
      </c>
      <c r="AB110" s="537"/>
      <c r="AC110" s="1" t="s">
        <v>63</v>
      </c>
      <c r="AD110" s="61">
        <v>44396</v>
      </c>
      <c r="AE110" s="61">
        <v>45036</v>
      </c>
      <c r="AF110" s="61"/>
      <c r="AG110" s="1">
        <v>44470</v>
      </c>
      <c r="AH110" s="537" t="s">
        <v>276</v>
      </c>
      <c r="AI110" s="537" t="s">
        <v>86</v>
      </c>
      <c r="AJ110" s="1">
        <v>218</v>
      </c>
      <c r="AK110" s="537" t="s">
        <v>282</v>
      </c>
      <c r="AL110" s="1" t="s">
        <v>1241</v>
      </c>
      <c r="AM110" s="537" t="s">
        <v>64</v>
      </c>
      <c r="AN110" s="537"/>
    </row>
    <row r="111" spans="1:40">
      <c r="A111" s="537" t="s">
        <v>54</v>
      </c>
      <c r="B111" s="1">
        <v>210712</v>
      </c>
      <c r="C111" s="1">
        <v>222023</v>
      </c>
      <c r="D111" s="537" t="s">
        <v>159</v>
      </c>
      <c r="E111" s="537" t="s">
        <v>673</v>
      </c>
      <c r="F111" s="1" t="s">
        <v>2581</v>
      </c>
      <c r="G111" s="1" t="s">
        <v>3062</v>
      </c>
      <c r="H111" s="537" t="s">
        <v>283</v>
      </c>
      <c r="I111" s="537" t="s">
        <v>284</v>
      </c>
      <c r="J111" s="537" t="s">
        <v>18</v>
      </c>
      <c r="K111" s="537" t="s">
        <v>57</v>
      </c>
      <c r="L111" s="61">
        <v>32467</v>
      </c>
      <c r="M111" s="1">
        <v>35</v>
      </c>
      <c r="N111" s="1">
        <v>1400</v>
      </c>
      <c r="O111" s="1" t="s">
        <v>285</v>
      </c>
      <c r="P111" s="1">
        <v>1810</v>
      </c>
      <c r="Q111" s="537" t="s">
        <v>92</v>
      </c>
      <c r="R111" s="1">
        <v>410</v>
      </c>
      <c r="S111" s="1">
        <v>280000</v>
      </c>
      <c r="T111" s="1">
        <v>14014</v>
      </c>
      <c r="U111" s="1" t="s">
        <v>2639</v>
      </c>
      <c r="V111" s="1">
        <v>25620</v>
      </c>
      <c r="W111" s="1">
        <v>45318</v>
      </c>
      <c r="X111" s="537" t="s">
        <v>59</v>
      </c>
      <c r="Y111" s="537" t="s">
        <v>60</v>
      </c>
      <c r="Z111" s="1" t="s">
        <v>84</v>
      </c>
      <c r="AA111" s="537" t="s">
        <v>85</v>
      </c>
      <c r="AB111" s="537" t="s">
        <v>286</v>
      </c>
      <c r="AC111" s="1">
        <v>44396</v>
      </c>
      <c r="AD111" s="61">
        <v>44397</v>
      </c>
      <c r="AE111" s="61"/>
      <c r="AF111" s="61"/>
      <c r="AG111" s="1">
        <v>44470</v>
      </c>
      <c r="AH111" s="537" t="s">
        <v>287</v>
      </c>
      <c r="AI111" s="537" t="s">
        <v>288</v>
      </c>
      <c r="AJ111" s="1">
        <v>735</v>
      </c>
      <c r="AK111" s="537" t="s">
        <v>289</v>
      </c>
      <c r="AL111" s="1" t="s">
        <v>1242</v>
      </c>
      <c r="AM111" s="537" t="s">
        <v>64</v>
      </c>
      <c r="AN111" s="537"/>
    </row>
    <row r="112" spans="1:40">
      <c r="A112" s="537" t="s">
        <v>54</v>
      </c>
      <c r="B112" s="1">
        <v>210904</v>
      </c>
      <c r="C112" s="1">
        <v>222025</v>
      </c>
      <c r="D112" s="537" t="s">
        <v>79</v>
      </c>
      <c r="E112" s="537" t="s">
        <v>667</v>
      </c>
      <c r="F112" s="1" t="s">
        <v>2569</v>
      </c>
      <c r="G112" s="1" t="s">
        <v>883</v>
      </c>
      <c r="H112" s="537" t="s">
        <v>334</v>
      </c>
      <c r="I112" s="537" t="s">
        <v>335</v>
      </c>
      <c r="J112" s="537" t="s">
        <v>18</v>
      </c>
      <c r="K112" s="537" t="s">
        <v>57</v>
      </c>
      <c r="L112" s="61">
        <v>35235</v>
      </c>
      <c r="M112" s="1">
        <v>27</v>
      </c>
      <c r="N112" s="1">
        <v>1420</v>
      </c>
      <c r="P112" s="1">
        <v>1790</v>
      </c>
      <c r="Q112" s="537" t="s">
        <v>336</v>
      </c>
      <c r="R112" s="1">
        <v>370</v>
      </c>
      <c r="S112" s="1">
        <v>240000</v>
      </c>
      <c r="T112" s="1">
        <v>12012</v>
      </c>
      <c r="U112" s="1" t="s">
        <v>2639</v>
      </c>
      <c r="V112" s="1">
        <v>21960</v>
      </c>
      <c r="W112" s="1">
        <v>46370</v>
      </c>
      <c r="X112" s="537" t="s">
        <v>65</v>
      </c>
      <c r="Y112" s="537" t="s">
        <v>60</v>
      </c>
      <c r="Z112" s="1" t="s">
        <v>114</v>
      </c>
      <c r="AA112" s="537" t="s">
        <v>115</v>
      </c>
      <c r="AB112" s="537" t="s">
        <v>116</v>
      </c>
      <c r="AC112" s="1">
        <v>44444</v>
      </c>
      <c r="AD112" s="61">
        <v>44446</v>
      </c>
      <c r="AE112" s="61">
        <v>45303</v>
      </c>
      <c r="AF112" s="61"/>
      <c r="AG112" s="1">
        <v>44501</v>
      </c>
      <c r="AH112" s="537" t="s">
        <v>337</v>
      </c>
      <c r="AI112" s="537" t="s">
        <v>86</v>
      </c>
      <c r="AJ112" s="1">
        <v>248</v>
      </c>
      <c r="AK112" s="537" t="s">
        <v>224</v>
      </c>
      <c r="AL112" s="1" t="s">
        <v>1301</v>
      </c>
      <c r="AM112" s="537" t="s">
        <v>64</v>
      </c>
      <c r="AN112" s="537"/>
    </row>
    <row r="113" spans="1:40">
      <c r="A113" s="537" t="s">
        <v>54</v>
      </c>
      <c r="B113" s="1">
        <v>210910</v>
      </c>
      <c r="C113" s="1">
        <v>222027</v>
      </c>
      <c r="D113" s="537" t="s">
        <v>79</v>
      </c>
      <c r="E113" s="537" t="s">
        <v>667</v>
      </c>
      <c r="F113" s="1" t="s">
        <v>2569</v>
      </c>
      <c r="G113" s="1" t="s">
        <v>883</v>
      </c>
      <c r="H113" s="537" t="s">
        <v>338</v>
      </c>
      <c r="I113" s="537" t="s">
        <v>339</v>
      </c>
      <c r="J113" s="537" t="s">
        <v>18</v>
      </c>
      <c r="K113" s="537" t="s">
        <v>57</v>
      </c>
      <c r="L113" s="61">
        <v>32792</v>
      </c>
      <c r="M113" s="1">
        <v>34</v>
      </c>
      <c r="N113" s="1">
        <v>1400</v>
      </c>
      <c r="P113" s="1">
        <v>1770</v>
      </c>
      <c r="Q113" s="537" t="s">
        <v>92</v>
      </c>
      <c r="R113" s="1">
        <v>370</v>
      </c>
      <c r="S113" s="1">
        <v>260000</v>
      </c>
      <c r="T113" s="1">
        <v>13013</v>
      </c>
      <c r="U113" s="1" t="s">
        <v>2639</v>
      </c>
      <c r="V113" s="1">
        <v>23790</v>
      </c>
      <c r="W113" s="1">
        <v>45429</v>
      </c>
      <c r="X113" s="537" t="s">
        <v>65</v>
      </c>
      <c r="Y113" s="537" t="s">
        <v>60</v>
      </c>
      <c r="Z113" s="1" t="s">
        <v>114</v>
      </c>
      <c r="AA113" s="537" t="s">
        <v>115</v>
      </c>
      <c r="AB113" s="537" t="s">
        <v>116</v>
      </c>
      <c r="AC113" s="1">
        <v>44458</v>
      </c>
      <c r="AD113" s="61">
        <v>44460</v>
      </c>
      <c r="AE113" s="61"/>
      <c r="AF113" s="61"/>
      <c r="AG113" s="1">
        <v>44531</v>
      </c>
      <c r="AH113" s="537" t="s">
        <v>340</v>
      </c>
      <c r="AI113" s="537" t="s">
        <v>86</v>
      </c>
      <c r="AJ113" s="1">
        <v>408</v>
      </c>
      <c r="AK113" s="537" t="s">
        <v>87</v>
      </c>
      <c r="AL113" s="1" t="s">
        <v>1330</v>
      </c>
      <c r="AM113" s="537" t="s">
        <v>64</v>
      </c>
      <c r="AN113" s="537"/>
    </row>
    <row r="114" spans="1:40">
      <c r="A114" s="537" t="s">
        <v>54</v>
      </c>
      <c r="B114" s="1">
        <v>210911</v>
      </c>
      <c r="C114" s="1">
        <v>222028</v>
      </c>
      <c r="D114" s="537" t="s">
        <v>79</v>
      </c>
      <c r="E114" s="537" t="s">
        <v>667</v>
      </c>
      <c r="F114" s="1" t="s">
        <v>2568</v>
      </c>
      <c r="G114" s="1" t="s">
        <v>694</v>
      </c>
      <c r="H114" s="537" t="s">
        <v>345</v>
      </c>
      <c r="I114" s="537" t="s">
        <v>346</v>
      </c>
      <c r="J114" s="537" t="s">
        <v>18</v>
      </c>
      <c r="K114" s="537" t="s">
        <v>57</v>
      </c>
      <c r="L114" s="61">
        <v>33282</v>
      </c>
      <c r="M114" s="1">
        <v>32</v>
      </c>
      <c r="N114" s="1">
        <v>1400</v>
      </c>
      <c r="P114" s="1">
        <v>1780</v>
      </c>
      <c r="Q114" s="537" t="s">
        <v>92</v>
      </c>
      <c r="R114" s="1">
        <v>380</v>
      </c>
      <c r="S114" s="1">
        <v>240000</v>
      </c>
      <c r="T114" s="1">
        <v>12012</v>
      </c>
      <c r="U114" s="1" t="s">
        <v>2639</v>
      </c>
      <c r="V114" s="1">
        <v>21960</v>
      </c>
      <c r="W114" s="1">
        <v>45469</v>
      </c>
      <c r="X114" s="537" t="s">
        <v>65</v>
      </c>
      <c r="Y114" s="537" t="s">
        <v>60</v>
      </c>
      <c r="Z114" s="1" t="s">
        <v>136</v>
      </c>
      <c r="AA114" s="537" t="s">
        <v>352</v>
      </c>
      <c r="AB114" s="537" t="s">
        <v>3064</v>
      </c>
      <c r="AC114" s="1">
        <v>44864</v>
      </c>
      <c r="AD114" s="61">
        <v>44466</v>
      </c>
      <c r="AE114" s="61"/>
      <c r="AF114" s="61"/>
      <c r="AG114" s="1">
        <v>44531</v>
      </c>
      <c r="AH114" s="537" t="s">
        <v>349</v>
      </c>
      <c r="AI114" s="537" t="s">
        <v>86</v>
      </c>
      <c r="AJ114" s="1">
        <v>208</v>
      </c>
      <c r="AK114" s="537" t="s">
        <v>151</v>
      </c>
      <c r="AL114" s="1" t="s">
        <v>1331</v>
      </c>
      <c r="AM114" s="537" t="s">
        <v>64</v>
      </c>
      <c r="AN114" s="537"/>
    </row>
    <row r="115" spans="1:40">
      <c r="A115" s="537" t="s">
        <v>54</v>
      </c>
      <c r="B115" s="1">
        <v>210914</v>
      </c>
      <c r="C115" s="1">
        <v>222029</v>
      </c>
      <c r="D115" s="537" t="s">
        <v>79</v>
      </c>
      <c r="E115" s="537" t="s">
        <v>667</v>
      </c>
      <c r="F115" s="1" t="s">
        <v>2569</v>
      </c>
      <c r="G115" s="1" t="s">
        <v>883</v>
      </c>
      <c r="H115" s="537" t="s">
        <v>350</v>
      </c>
      <c r="I115" s="537" t="s">
        <v>351</v>
      </c>
      <c r="J115" s="537" t="s">
        <v>18</v>
      </c>
      <c r="K115" s="537" t="s">
        <v>57</v>
      </c>
      <c r="L115" s="61">
        <v>34689</v>
      </c>
      <c r="M115" s="1">
        <v>28</v>
      </c>
      <c r="N115" s="1">
        <v>1400</v>
      </c>
      <c r="P115" s="1">
        <v>1780</v>
      </c>
      <c r="Q115" s="537" t="s">
        <v>92</v>
      </c>
      <c r="R115" s="1">
        <v>380</v>
      </c>
      <c r="S115" s="1">
        <v>240000</v>
      </c>
      <c r="T115" s="1">
        <v>12012</v>
      </c>
      <c r="U115" s="1" t="s">
        <v>2639</v>
      </c>
      <c r="V115" s="1">
        <v>21960</v>
      </c>
      <c r="W115" s="1">
        <v>45437</v>
      </c>
      <c r="X115" s="537" t="s">
        <v>65</v>
      </c>
      <c r="Y115" s="537" t="s">
        <v>60</v>
      </c>
      <c r="Z115" s="1" t="s">
        <v>136</v>
      </c>
      <c r="AA115" s="537" t="s">
        <v>3065</v>
      </c>
      <c r="AB115" s="537" t="s">
        <v>353</v>
      </c>
      <c r="AC115" s="1">
        <v>44473</v>
      </c>
      <c r="AD115" s="61">
        <v>44469</v>
      </c>
      <c r="AE115" s="61">
        <v>45275</v>
      </c>
      <c r="AF115" s="61"/>
      <c r="AG115" s="1">
        <v>44531</v>
      </c>
      <c r="AH115" s="537" t="s">
        <v>354</v>
      </c>
      <c r="AI115" s="537" t="s">
        <v>86</v>
      </c>
      <c r="AJ115" s="1">
        <v>458</v>
      </c>
      <c r="AK115" s="537" t="s">
        <v>165</v>
      </c>
      <c r="AL115" s="1" t="s">
        <v>1338</v>
      </c>
      <c r="AM115" s="537" t="s">
        <v>64</v>
      </c>
      <c r="AN115" s="537"/>
    </row>
    <row r="116" spans="1:40">
      <c r="A116" s="537" t="s">
        <v>54</v>
      </c>
      <c r="B116" s="1">
        <v>211010</v>
      </c>
      <c r="C116" s="1">
        <v>222030</v>
      </c>
      <c r="D116" s="537" t="s">
        <v>79</v>
      </c>
      <c r="E116" s="537" t="s">
        <v>667</v>
      </c>
      <c r="F116" s="1" t="s">
        <v>2382</v>
      </c>
      <c r="G116" s="1" t="s">
        <v>3066</v>
      </c>
      <c r="H116" s="537" t="s">
        <v>2666</v>
      </c>
      <c r="I116" s="537" t="s">
        <v>2667</v>
      </c>
      <c r="J116" s="537" t="s">
        <v>18</v>
      </c>
      <c r="K116" s="537" t="s">
        <v>939</v>
      </c>
      <c r="L116" s="61">
        <v>28551</v>
      </c>
      <c r="M116" s="1">
        <v>45</v>
      </c>
      <c r="N116" s="1">
        <v>1400</v>
      </c>
      <c r="P116" s="1">
        <v>1810</v>
      </c>
      <c r="Q116" s="537" t="s">
        <v>92</v>
      </c>
      <c r="R116" s="1">
        <v>410</v>
      </c>
      <c r="S116" s="1">
        <v>300000</v>
      </c>
      <c r="T116" s="1">
        <v>15014.999999999998</v>
      </c>
      <c r="U116" s="1">
        <v>2730</v>
      </c>
      <c r="V116" s="1">
        <v>27450</v>
      </c>
      <c r="W116" s="1">
        <v>45216</v>
      </c>
      <c r="X116" s="537" t="s">
        <v>59</v>
      </c>
      <c r="Y116" s="537" t="s">
        <v>1568</v>
      </c>
      <c r="Z116" s="1" t="s">
        <v>84</v>
      </c>
      <c r="AA116" s="537" t="s">
        <v>109</v>
      </c>
      <c r="AB116" s="537" t="s">
        <v>377</v>
      </c>
      <c r="AC116" s="1">
        <v>44593</v>
      </c>
      <c r="AD116" s="61">
        <v>44476</v>
      </c>
      <c r="AE116" s="61"/>
      <c r="AF116" s="61"/>
      <c r="AG116" s="1">
        <v>44531</v>
      </c>
      <c r="AH116" s="537" t="s">
        <v>378</v>
      </c>
      <c r="AI116" s="537" t="s">
        <v>379</v>
      </c>
      <c r="AJ116" s="1">
        <v>234</v>
      </c>
      <c r="AK116" s="537" t="s">
        <v>380</v>
      </c>
      <c r="AL116" s="1" t="s">
        <v>1367</v>
      </c>
      <c r="AM116" s="537" t="s">
        <v>64</v>
      </c>
      <c r="AN116" s="537"/>
    </row>
    <row r="117" spans="1:40">
      <c r="A117" s="537" t="s">
        <v>54</v>
      </c>
      <c r="B117" s="1">
        <v>211011</v>
      </c>
      <c r="C117" s="1">
        <v>222031</v>
      </c>
      <c r="D117" s="537" t="s">
        <v>79</v>
      </c>
      <c r="E117" s="537" t="s">
        <v>667</v>
      </c>
      <c r="F117" s="1" t="s">
        <v>2569</v>
      </c>
      <c r="G117" s="1" t="s">
        <v>883</v>
      </c>
      <c r="H117" s="537" t="s">
        <v>381</v>
      </c>
      <c r="I117" s="537" t="s">
        <v>382</v>
      </c>
      <c r="J117" s="537" t="s">
        <v>18</v>
      </c>
      <c r="K117" s="537" t="s">
        <v>57</v>
      </c>
      <c r="L117" s="61">
        <v>35351</v>
      </c>
      <c r="M117" s="1">
        <v>27</v>
      </c>
      <c r="N117" s="1">
        <v>1410</v>
      </c>
      <c r="P117" s="1">
        <v>1790</v>
      </c>
      <c r="Q117" s="537" t="s">
        <v>83</v>
      </c>
      <c r="R117" s="1">
        <v>380</v>
      </c>
      <c r="S117" s="1">
        <v>260000</v>
      </c>
      <c r="T117" s="1">
        <v>13013</v>
      </c>
      <c r="U117" s="1" t="s">
        <v>2639</v>
      </c>
      <c r="V117" s="1">
        <v>23790</v>
      </c>
      <c r="W117" s="1">
        <v>45380</v>
      </c>
      <c r="X117" s="537" t="s">
        <v>65</v>
      </c>
      <c r="Y117" s="537" t="s">
        <v>60</v>
      </c>
      <c r="Z117" s="1" t="s">
        <v>136</v>
      </c>
      <c r="AA117" s="537" t="s">
        <v>383</v>
      </c>
      <c r="AB117" s="537" t="s">
        <v>353</v>
      </c>
      <c r="AC117" s="1">
        <v>44475</v>
      </c>
      <c r="AD117" s="61">
        <v>44477</v>
      </c>
      <c r="AE117" s="61"/>
      <c r="AF117" s="61"/>
      <c r="AG117" s="1">
        <v>44531</v>
      </c>
      <c r="AH117" s="537" t="s">
        <v>382</v>
      </c>
      <c r="AI117" s="537" t="s">
        <v>86</v>
      </c>
      <c r="AJ117" s="1">
        <v>528</v>
      </c>
      <c r="AK117" s="537" t="s">
        <v>384</v>
      </c>
      <c r="AL117" s="1" t="s">
        <v>1368</v>
      </c>
      <c r="AM117" s="537" t="s">
        <v>64</v>
      </c>
      <c r="AN117" s="537"/>
    </row>
    <row r="118" spans="1:40">
      <c r="A118" s="537" t="s">
        <v>54</v>
      </c>
      <c r="B118" s="1">
        <v>211020</v>
      </c>
      <c r="C118" s="1">
        <v>222032</v>
      </c>
      <c r="D118" s="537" t="s">
        <v>79</v>
      </c>
      <c r="E118" s="537" t="s">
        <v>667</v>
      </c>
      <c r="F118" s="1" t="s">
        <v>2568</v>
      </c>
      <c r="G118" s="1" t="s">
        <v>694</v>
      </c>
      <c r="H118" s="537" t="s">
        <v>400</v>
      </c>
      <c r="I118" s="537" t="s">
        <v>401</v>
      </c>
      <c r="J118" s="537" t="s">
        <v>18</v>
      </c>
      <c r="K118" s="537" t="s">
        <v>57</v>
      </c>
      <c r="L118" s="61">
        <v>33832</v>
      </c>
      <c r="M118" s="1">
        <v>31</v>
      </c>
      <c r="N118" s="1">
        <v>1400</v>
      </c>
      <c r="P118" s="1">
        <v>1770</v>
      </c>
      <c r="Q118" s="537" t="s">
        <v>92</v>
      </c>
      <c r="R118" s="1">
        <v>370</v>
      </c>
      <c r="S118" s="1">
        <v>240000</v>
      </c>
      <c r="T118" s="1">
        <v>12012</v>
      </c>
      <c r="U118" s="1" t="s">
        <v>2639</v>
      </c>
      <c r="V118" s="1">
        <v>21960</v>
      </c>
      <c r="W118" s="1">
        <v>45459</v>
      </c>
      <c r="X118" s="537" t="s">
        <v>65</v>
      </c>
      <c r="Y118" s="537" t="s">
        <v>60</v>
      </c>
      <c r="Z118" s="1" t="s">
        <v>424</v>
      </c>
      <c r="AA118" s="537" t="s">
        <v>402</v>
      </c>
      <c r="AB118" s="537" t="s">
        <v>403</v>
      </c>
      <c r="AC118" s="1">
        <v>44476</v>
      </c>
      <c r="AD118" s="61">
        <v>44487</v>
      </c>
      <c r="AE118" s="61"/>
      <c r="AF118" s="61"/>
      <c r="AG118" s="1">
        <v>22.01</v>
      </c>
      <c r="AH118" s="537" t="s">
        <v>401</v>
      </c>
      <c r="AI118" s="537" t="s">
        <v>86</v>
      </c>
      <c r="AJ118" s="1">
        <v>78</v>
      </c>
      <c r="AK118" s="537" t="s">
        <v>404</v>
      </c>
      <c r="AL118" s="1" t="s">
        <v>1395</v>
      </c>
      <c r="AM118" s="537" t="s">
        <v>64</v>
      </c>
      <c r="AN118" s="537"/>
    </row>
    <row r="119" spans="1:40" hidden="1">
      <c r="A119" s="537" t="s">
        <v>179</v>
      </c>
      <c r="B119" s="1">
        <v>211021</v>
      </c>
      <c r="C119" s="1">
        <v>222033</v>
      </c>
      <c r="D119" s="537" t="s">
        <v>79</v>
      </c>
      <c r="E119" s="537" t="s">
        <v>667</v>
      </c>
      <c r="F119" t="s">
        <v>2568</v>
      </c>
      <c r="G119"/>
      <c r="H119" s="537" t="s">
        <v>405</v>
      </c>
      <c r="I119" s="537" t="s">
        <v>406</v>
      </c>
      <c r="J119" s="537" t="s">
        <v>18</v>
      </c>
      <c r="K119" s="537" t="s">
        <v>57</v>
      </c>
      <c r="L119" s="61">
        <v>34506</v>
      </c>
      <c r="M119" s="1">
        <v>29</v>
      </c>
      <c r="N119" s="1">
        <v>1400</v>
      </c>
      <c r="P119" s="1">
        <v>1780</v>
      </c>
      <c r="Q119" s="537" t="s">
        <v>92</v>
      </c>
      <c r="R119" s="1">
        <v>380</v>
      </c>
      <c r="S119"/>
      <c r="T119" t="s">
        <v>65</v>
      </c>
      <c r="U119" t="s">
        <v>2639</v>
      </c>
      <c r="V119" t="s">
        <v>65</v>
      </c>
      <c r="W119" s="1">
        <v>45474</v>
      </c>
      <c r="X119" s="537" t="s">
        <v>65</v>
      </c>
      <c r="Y119" s="537" t="s">
        <v>60</v>
      </c>
      <c r="Z119" s="1" t="s">
        <v>84</v>
      </c>
      <c r="AA119" s="537" t="s">
        <v>109</v>
      </c>
      <c r="AB119" s="537" t="s">
        <v>407</v>
      </c>
      <c r="AC119" s="1">
        <v>44484</v>
      </c>
      <c r="AD119" s="61">
        <v>44487</v>
      </c>
      <c r="AE119" s="61">
        <v>44923</v>
      </c>
      <c r="AF119" s="61"/>
      <c r="AG119" s="1">
        <v>22.01</v>
      </c>
      <c r="AH119" s="537" t="s">
        <v>406</v>
      </c>
      <c r="AI119" s="537" t="s">
        <v>86</v>
      </c>
      <c r="AJ119" s="1">
        <v>18</v>
      </c>
      <c r="AK119" s="537" t="s">
        <v>294</v>
      </c>
      <c r="AL119" s="1" t="s">
        <v>1396</v>
      </c>
      <c r="AM119" s="537" t="s">
        <v>64</v>
      </c>
      <c r="AN119" s="537"/>
    </row>
    <row r="120" spans="1:40">
      <c r="A120" s="537" t="s">
        <v>54</v>
      </c>
      <c r="B120" s="1">
        <v>211028</v>
      </c>
      <c r="C120" s="1">
        <v>222034</v>
      </c>
      <c r="D120" s="537" t="s">
        <v>79</v>
      </c>
      <c r="E120" s="537" t="s">
        <v>667</v>
      </c>
      <c r="F120" s="1" t="s">
        <v>2569</v>
      </c>
      <c r="G120" s="1" t="s">
        <v>883</v>
      </c>
      <c r="H120" s="537" t="s">
        <v>422</v>
      </c>
      <c r="I120" s="537" t="s">
        <v>423</v>
      </c>
      <c r="J120" s="537" t="s">
        <v>18</v>
      </c>
      <c r="K120" s="537" t="s">
        <v>57</v>
      </c>
      <c r="L120" s="61">
        <v>35038</v>
      </c>
      <c r="M120" s="1">
        <v>28</v>
      </c>
      <c r="N120" s="1">
        <v>1400</v>
      </c>
      <c r="P120" s="1">
        <v>1780</v>
      </c>
      <c r="Q120" s="537" t="s">
        <v>92</v>
      </c>
      <c r="R120" s="1">
        <v>380</v>
      </c>
      <c r="S120" s="1">
        <v>260000</v>
      </c>
      <c r="T120" s="1">
        <v>13013</v>
      </c>
      <c r="U120" s="1" t="s">
        <v>2639</v>
      </c>
      <c r="V120" s="1">
        <v>23790</v>
      </c>
      <c r="W120" s="1">
        <v>45429</v>
      </c>
      <c r="X120" s="537" t="s">
        <v>65</v>
      </c>
      <c r="Y120" s="537" t="s">
        <v>60</v>
      </c>
      <c r="Z120" s="1" t="s">
        <v>424</v>
      </c>
      <c r="AA120" s="537" t="s">
        <v>402</v>
      </c>
      <c r="AB120" s="537" t="s">
        <v>403</v>
      </c>
      <c r="AC120" s="1">
        <v>44492</v>
      </c>
      <c r="AD120" s="61">
        <v>44496</v>
      </c>
      <c r="AE120" s="61"/>
      <c r="AF120" s="61"/>
      <c r="AG120" s="1">
        <v>22.01</v>
      </c>
      <c r="AH120" s="537" t="s">
        <v>423</v>
      </c>
      <c r="AI120" s="537" t="s">
        <v>86</v>
      </c>
      <c r="AJ120" s="1">
        <v>248</v>
      </c>
      <c r="AK120" s="537" t="s">
        <v>224</v>
      </c>
      <c r="AL120" s="1" t="s">
        <v>1428</v>
      </c>
      <c r="AM120" s="537" t="s">
        <v>64</v>
      </c>
      <c r="AN120" s="537"/>
    </row>
    <row r="121" spans="1:40" hidden="1">
      <c r="A121" s="537" t="s">
        <v>179</v>
      </c>
      <c r="B121" s="1">
        <v>211029</v>
      </c>
      <c r="C121" s="1">
        <v>222035</v>
      </c>
      <c r="D121" s="537" t="s">
        <v>79</v>
      </c>
      <c r="E121" s="537" t="s">
        <v>667</v>
      </c>
      <c r="F121"/>
      <c r="G121"/>
      <c r="H121" s="537" t="s">
        <v>425</v>
      </c>
      <c r="I121" s="537" t="s">
        <v>426</v>
      </c>
      <c r="J121" s="537" t="s">
        <v>18</v>
      </c>
      <c r="K121" s="537" t="s">
        <v>57</v>
      </c>
      <c r="L121" s="61">
        <v>35306</v>
      </c>
      <c r="M121" s="1">
        <v>27</v>
      </c>
      <c r="N121" s="1">
        <v>1400</v>
      </c>
      <c r="P121" s="1">
        <v>1770</v>
      </c>
      <c r="Q121" s="537" t="s">
        <v>92</v>
      </c>
      <c r="R121" s="1">
        <v>370</v>
      </c>
      <c r="S121"/>
      <c r="T121" t="s">
        <v>65</v>
      </c>
      <c r="U121" t="s">
        <v>2639</v>
      </c>
      <c r="V121" t="s">
        <v>65</v>
      </c>
      <c r="W121" s="1">
        <v>45311</v>
      </c>
      <c r="X121" s="537" t="s">
        <v>59</v>
      </c>
      <c r="Y121" s="537" t="s">
        <v>60</v>
      </c>
      <c r="Z121" s="1" t="s">
        <v>427</v>
      </c>
      <c r="AA121" s="537" t="s">
        <v>428</v>
      </c>
      <c r="AB121" s="537" t="s">
        <v>429</v>
      </c>
      <c r="AC121" s="1">
        <v>44489</v>
      </c>
      <c r="AD121" s="61">
        <v>44496</v>
      </c>
      <c r="AE121" s="61">
        <v>44844</v>
      </c>
      <c r="AF121" s="61"/>
      <c r="AG121" s="1">
        <v>22.01</v>
      </c>
      <c r="AH121" s="537" t="s">
        <v>430</v>
      </c>
      <c r="AI121" s="537" t="s">
        <v>145</v>
      </c>
      <c r="AJ121" s="1">
        <v>894</v>
      </c>
      <c r="AK121" s="537" t="s">
        <v>431</v>
      </c>
      <c r="AL121" s="1" t="s">
        <v>1429</v>
      </c>
      <c r="AM121" s="537" t="s">
        <v>64</v>
      </c>
      <c r="AN121" s="537"/>
    </row>
    <row r="122" spans="1:40" hidden="1">
      <c r="A122" s="537" t="s">
        <v>179</v>
      </c>
      <c r="B122" s="1">
        <v>211107</v>
      </c>
      <c r="C122" s="1">
        <v>222036</v>
      </c>
      <c r="D122" s="537" t="s">
        <v>79</v>
      </c>
      <c r="E122" s="537" t="s">
        <v>667</v>
      </c>
      <c r="F122" t="s">
        <v>2568</v>
      </c>
      <c r="G122"/>
      <c r="H122" s="537" t="s">
        <v>444</v>
      </c>
      <c r="I122" s="537" t="s">
        <v>445</v>
      </c>
      <c r="J122" s="537" t="s">
        <v>18</v>
      </c>
      <c r="K122" s="537" t="s">
        <v>57</v>
      </c>
      <c r="L122" s="61">
        <v>35128</v>
      </c>
      <c r="M122" s="1">
        <v>27</v>
      </c>
      <c r="N122" s="1">
        <v>1410</v>
      </c>
      <c r="P122" s="1">
        <v>1780</v>
      </c>
      <c r="Q122" s="537" t="s">
        <v>92</v>
      </c>
      <c r="R122" s="1">
        <v>370</v>
      </c>
      <c r="S122"/>
      <c r="T122" t="s">
        <v>65</v>
      </c>
      <c r="U122" t="s">
        <v>2639</v>
      </c>
      <c r="V122" t="s">
        <v>65</v>
      </c>
      <c r="W122" s="1">
        <v>45391</v>
      </c>
      <c r="X122" s="537" t="s">
        <v>65</v>
      </c>
      <c r="Y122" s="537" t="s">
        <v>60</v>
      </c>
      <c r="Z122" s="1" t="s">
        <v>427</v>
      </c>
      <c r="AA122" s="537" t="s">
        <v>428</v>
      </c>
      <c r="AB122" s="537" t="s">
        <v>429</v>
      </c>
      <c r="AC122" s="1">
        <v>44506</v>
      </c>
      <c r="AD122" s="61">
        <v>44508</v>
      </c>
      <c r="AE122" s="61">
        <v>44874</v>
      </c>
      <c r="AF122" s="61"/>
      <c r="AG122" s="1">
        <v>21.12</v>
      </c>
      <c r="AH122" s="537" t="s">
        <v>445</v>
      </c>
      <c r="AI122" s="537" t="s">
        <v>86</v>
      </c>
      <c r="AJ122" s="1">
        <v>208</v>
      </c>
      <c r="AK122" s="537" t="s">
        <v>151</v>
      </c>
      <c r="AL122" s="1" t="s">
        <v>1446</v>
      </c>
      <c r="AM122" s="537" t="s">
        <v>64</v>
      </c>
      <c r="AN122" s="537"/>
    </row>
    <row r="123" spans="1:40">
      <c r="A123" s="537" t="s">
        <v>54</v>
      </c>
      <c r="B123" s="1">
        <v>211201</v>
      </c>
      <c r="C123" s="1">
        <v>222037</v>
      </c>
      <c r="D123" s="537" t="s">
        <v>159</v>
      </c>
      <c r="E123" s="537" t="s">
        <v>671</v>
      </c>
      <c r="F123" s="1" t="s">
        <v>2582</v>
      </c>
      <c r="G123" s="1" t="s">
        <v>3071</v>
      </c>
      <c r="H123" s="537" t="s">
        <v>450</v>
      </c>
      <c r="I123" s="537" t="s">
        <v>451</v>
      </c>
      <c r="J123" s="537" t="s">
        <v>18</v>
      </c>
      <c r="K123" s="537" t="s">
        <v>57</v>
      </c>
      <c r="L123" s="61">
        <v>33100</v>
      </c>
      <c r="M123" s="1">
        <v>33</v>
      </c>
      <c r="N123" s="1">
        <v>1400</v>
      </c>
      <c r="P123" s="1">
        <v>1780</v>
      </c>
      <c r="Q123" s="537"/>
      <c r="R123" s="1">
        <v>380</v>
      </c>
      <c r="S123" s="1">
        <v>280000</v>
      </c>
      <c r="T123" s="1">
        <v>14014</v>
      </c>
      <c r="U123" s="1" t="s">
        <v>2639</v>
      </c>
      <c r="V123" s="1">
        <v>25620</v>
      </c>
      <c r="W123" s="1">
        <v>45581</v>
      </c>
      <c r="X123" s="537" t="s">
        <v>65</v>
      </c>
      <c r="Y123" s="537" t="s">
        <v>60</v>
      </c>
      <c r="Z123" s="1" t="s">
        <v>84</v>
      </c>
      <c r="AA123" s="537" t="s">
        <v>490</v>
      </c>
      <c r="AB123" s="537" t="s">
        <v>1969</v>
      </c>
      <c r="AC123" s="1" t="s">
        <v>63</v>
      </c>
      <c r="AD123" s="61">
        <v>44531</v>
      </c>
      <c r="AE123" s="61"/>
      <c r="AF123" s="61"/>
      <c r="AG123" s="1">
        <v>22.02</v>
      </c>
      <c r="AH123" s="537" t="s">
        <v>453</v>
      </c>
      <c r="AI123" s="537" t="s">
        <v>86</v>
      </c>
      <c r="AJ123" s="1">
        <v>208</v>
      </c>
      <c r="AK123" s="537" t="s">
        <v>151</v>
      </c>
      <c r="AL123" s="1" t="s">
        <v>1480</v>
      </c>
      <c r="AM123" s="537" t="s">
        <v>64</v>
      </c>
      <c r="AN123" s="537"/>
    </row>
    <row r="124" spans="1:40">
      <c r="A124" s="537" t="s">
        <v>54</v>
      </c>
      <c r="B124" s="1">
        <v>220116</v>
      </c>
      <c r="C124" s="1">
        <v>222038</v>
      </c>
      <c r="D124" s="537" t="s">
        <v>79</v>
      </c>
      <c r="E124" s="537" t="s">
        <v>667</v>
      </c>
      <c r="F124" s="1" t="s">
        <v>2569</v>
      </c>
      <c r="G124" s="1" t="s">
        <v>883</v>
      </c>
      <c r="H124" s="537" t="s">
        <v>480</v>
      </c>
      <c r="I124" s="537" t="s">
        <v>481</v>
      </c>
      <c r="J124" s="537" t="s">
        <v>18</v>
      </c>
      <c r="K124" s="537" t="s">
        <v>57</v>
      </c>
      <c r="L124" s="61">
        <v>34773</v>
      </c>
      <c r="M124" s="1">
        <v>28</v>
      </c>
      <c r="N124" s="1">
        <v>1400</v>
      </c>
      <c r="P124" s="1">
        <v>1780</v>
      </c>
      <c r="Q124" s="537"/>
      <c r="R124" s="1">
        <v>380</v>
      </c>
      <c r="S124" s="1">
        <v>240000</v>
      </c>
      <c r="T124" s="1">
        <v>12012</v>
      </c>
      <c r="U124" s="1" t="s">
        <v>2639</v>
      </c>
      <c r="V124" s="1">
        <v>21960</v>
      </c>
      <c r="W124" s="1">
        <v>45625</v>
      </c>
      <c r="X124" s="537" t="s">
        <v>65</v>
      </c>
      <c r="Y124" s="537" t="s">
        <v>60</v>
      </c>
      <c r="Z124" s="1" t="s">
        <v>482</v>
      </c>
      <c r="AA124" s="537" t="s">
        <v>483</v>
      </c>
      <c r="AB124" s="537" t="s">
        <v>484</v>
      </c>
      <c r="AC124" s="1">
        <v>44589</v>
      </c>
      <c r="AD124" s="61">
        <v>44578</v>
      </c>
      <c r="AE124" s="61"/>
      <c r="AF124" s="61"/>
      <c r="AG124" s="1">
        <v>22.04</v>
      </c>
      <c r="AH124" s="537"/>
      <c r="AI124" s="537"/>
      <c r="AK124" s="537"/>
      <c r="AM124" s="537" t="s">
        <v>64</v>
      </c>
      <c r="AN124" s="537" t="s">
        <v>485</v>
      </c>
    </row>
    <row r="125" spans="1:40" hidden="1">
      <c r="A125" s="537" t="s">
        <v>179</v>
      </c>
      <c r="B125" s="1">
        <v>220207</v>
      </c>
      <c r="C125" s="1">
        <v>222039</v>
      </c>
      <c r="D125" s="537" t="s">
        <v>159</v>
      </c>
      <c r="E125" s="537" t="s">
        <v>160</v>
      </c>
      <c r="F125"/>
      <c r="G125"/>
      <c r="H125" s="537" t="s">
        <v>529</v>
      </c>
      <c r="I125" s="537" t="s">
        <v>530</v>
      </c>
      <c r="J125" s="537" t="s">
        <v>18</v>
      </c>
      <c r="K125" s="537" t="s">
        <v>57</v>
      </c>
      <c r="L125" s="61">
        <v>35681</v>
      </c>
      <c r="M125" s="1">
        <v>26</v>
      </c>
      <c r="N125" s="1">
        <v>1360</v>
      </c>
      <c r="P125" s="1">
        <v>1760</v>
      </c>
      <c r="Q125" s="537"/>
      <c r="R125" s="1">
        <v>400</v>
      </c>
      <c r="S125"/>
      <c r="T125" t="s">
        <v>65</v>
      </c>
      <c r="U125" t="s">
        <v>2639</v>
      </c>
      <c r="V125" t="s">
        <v>65</v>
      </c>
      <c r="W125" s="1">
        <v>44916</v>
      </c>
      <c r="X125" s="537" t="s">
        <v>59</v>
      </c>
      <c r="Y125" s="537" t="s">
        <v>60</v>
      </c>
      <c r="Z125" s="1" t="s">
        <v>136</v>
      </c>
      <c r="AA125" s="537" t="s">
        <v>347</v>
      </c>
      <c r="AB125" s="537" t="s">
        <v>531</v>
      </c>
      <c r="AC125" s="1">
        <v>44595</v>
      </c>
      <c r="AD125" s="61">
        <v>44599</v>
      </c>
      <c r="AE125" s="61">
        <v>44709</v>
      </c>
      <c r="AF125" s="61"/>
      <c r="AG125" s="1">
        <v>22.04</v>
      </c>
      <c r="AH125" s="537" t="s">
        <v>1612</v>
      </c>
      <c r="AI125" s="537" t="s">
        <v>145</v>
      </c>
      <c r="AJ125" s="1">
        <v>180</v>
      </c>
      <c r="AK125" s="537" t="s">
        <v>1613</v>
      </c>
      <c r="AL125" s="1" t="s">
        <v>1614</v>
      </c>
      <c r="AM125" s="537" t="s">
        <v>64</v>
      </c>
      <c r="AN125" s="537"/>
    </row>
    <row r="126" spans="1:40" hidden="1">
      <c r="A126" s="537" t="s">
        <v>179</v>
      </c>
      <c r="B126" s="1">
        <v>220216</v>
      </c>
      <c r="C126" s="1">
        <v>222040</v>
      </c>
      <c r="D126" s="537" t="s">
        <v>79</v>
      </c>
      <c r="E126" s="537" t="s">
        <v>667</v>
      </c>
      <c r="F126" t="s">
        <v>2569</v>
      </c>
      <c r="G126"/>
      <c r="H126" s="537" t="s">
        <v>543</v>
      </c>
      <c r="I126" s="537" t="s">
        <v>544</v>
      </c>
      <c r="J126" s="537" t="s">
        <v>18</v>
      </c>
      <c r="K126" s="537" t="s">
        <v>57</v>
      </c>
      <c r="L126" s="61">
        <v>32553</v>
      </c>
      <c r="M126" s="1">
        <v>34</v>
      </c>
      <c r="N126" s="1">
        <v>1400</v>
      </c>
      <c r="P126" s="1">
        <v>1770</v>
      </c>
      <c r="Q126" s="537"/>
      <c r="R126" s="1">
        <v>370</v>
      </c>
      <c r="S126"/>
      <c r="T126" t="s">
        <v>65</v>
      </c>
      <c r="U126" t="s">
        <v>2639</v>
      </c>
      <c r="V126" t="s">
        <v>65</v>
      </c>
      <c r="W126" s="1">
        <v>45185</v>
      </c>
      <c r="X126" s="537" t="s">
        <v>59</v>
      </c>
      <c r="Y126" s="537" t="s">
        <v>60</v>
      </c>
      <c r="Z126" s="1" t="s">
        <v>136</v>
      </c>
      <c r="AA126" s="537" t="s">
        <v>163</v>
      </c>
      <c r="AB126" s="537" t="s">
        <v>267</v>
      </c>
      <c r="AC126" s="1">
        <v>44608</v>
      </c>
      <c r="AD126" s="61">
        <v>44613</v>
      </c>
      <c r="AE126" s="61">
        <v>44923</v>
      </c>
      <c r="AF126" s="61"/>
      <c r="AG126" s="1">
        <v>22.04</v>
      </c>
      <c r="AH126" s="537"/>
      <c r="AI126" s="537"/>
      <c r="AK126" s="537"/>
      <c r="AM126" s="537" t="s">
        <v>64</v>
      </c>
      <c r="AN126" s="537"/>
    </row>
    <row r="127" spans="1:40" hidden="1">
      <c r="A127" s="537" t="s">
        <v>54</v>
      </c>
      <c r="B127" s="1">
        <v>220314</v>
      </c>
      <c r="C127" s="1">
        <v>222042</v>
      </c>
      <c r="D127" s="537" t="s">
        <v>2638</v>
      </c>
      <c r="E127" s="537" t="s">
        <v>3038</v>
      </c>
      <c r="F127" t="s">
        <v>3039</v>
      </c>
      <c r="G127" t="s">
        <v>3040</v>
      </c>
      <c r="H127" s="537" t="s">
        <v>553</v>
      </c>
      <c r="I127" s="537" t="s">
        <v>554</v>
      </c>
      <c r="J127" s="537" t="s">
        <v>18</v>
      </c>
      <c r="K127" s="537" t="s">
        <v>57</v>
      </c>
      <c r="L127" s="61">
        <v>34424</v>
      </c>
      <c r="M127" s="1">
        <v>29</v>
      </c>
      <c r="N127" s="1">
        <v>1300</v>
      </c>
      <c r="P127" s="1">
        <v>1800</v>
      </c>
      <c r="Q127" s="537"/>
      <c r="R127" s="1">
        <v>500</v>
      </c>
      <c r="S127">
        <v>280000</v>
      </c>
      <c r="T127">
        <v>14014</v>
      </c>
      <c r="U127" t="s">
        <v>2639</v>
      </c>
      <c r="V127">
        <v>25620</v>
      </c>
      <c r="W127" s="1">
        <v>45281</v>
      </c>
      <c r="X127" s="537" t="s">
        <v>59</v>
      </c>
      <c r="Y127" s="537" t="s">
        <v>60</v>
      </c>
      <c r="Z127" s="1" t="s">
        <v>61</v>
      </c>
      <c r="AA127" s="537" t="s">
        <v>2641</v>
      </c>
      <c r="AB127" s="537" t="s">
        <v>3116</v>
      </c>
      <c r="AC127" s="1">
        <v>44835</v>
      </c>
      <c r="AD127" s="61">
        <v>44837</v>
      </c>
      <c r="AE127" s="61"/>
      <c r="AF127" s="61"/>
      <c r="AG127" s="1">
        <v>22.05</v>
      </c>
      <c r="AH127" s="537"/>
      <c r="AI127" s="537"/>
      <c r="AK127" s="537"/>
      <c r="AM127" s="537" t="s">
        <v>64</v>
      </c>
      <c r="AN127" s="537" t="s">
        <v>3117</v>
      </c>
    </row>
    <row r="128" spans="1:40" hidden="1">
      <c r="A128" s="537" t="s">
        <v>179</v>
      </c>
      <c r="B128" s="1">
        <v>220322</v>
      </c>
      <c r="C128" s="1">
        <v>222043</v>
      </c>
      <c r="D128" s="537" t="s">
        <v>159</v>
      </c>
      <c r="E128" s="537" t="s">
        <v>671</v>
      </c>
      <c r="F128" t="s">
        <v>900</v>
      </c>
      <c r="G128"/>
      <c r="H128" s="537" t="s">
        <v>563</v>
      </c>
      <c r="I128" s="537" t="s">
        <v>564</v>
      </c>
      <c r="J128" s="537" t="s">
        <v>18</v>
      </c>
      <c r="K128" s="537" t="s">
        <v>57</v>
      </c>
      <c r="L128" s="61">
        <v>35247</v>
      </c>
      <c r="M128" s="1">
        <v>27</v>
      </c>
      <c r="N128" s="1">
        <v>1370</v>
      </c>
      <c r="P128" s="1">
        <v>1770</v>
      </c>
      <c r="Q128" s="537"/>
      <c r="R128" s="1">
        <v>400</v>
      </c>
      <c r="S128"/>
      <c r="T128" t="s">
        <v>65</v>
      </c>
      <c r="U128" t="s">
        <v>2639</v>
      </c>
      <c r="V128" t="s">
        <v>65</v>
      </c>
      <c r="W128" s="1">
        <v>45226</v>
      </c>
      <c r="X128" s="537" t="s">
        <v>59</v>
      </c>
      <c r="Y128" s="537" t="s">
        <v>60</v>
      </c>
      <c r="Z128" s="1" t="s">
        <v>136</v>
      </c>
      <c r="AA128" s="537" t="s">
        <v>347</v>
      </c>
      <c r="AB128" s="537" t="s">
        <v>531</v>
      </c>
      <c r="AC128" s="1">
        <v>44637</v>
      </c>
      <c r="AD128" s="61">
        <v>44643</v>
      </c>
      <c r="AE128" s="61">
        <v>44862</v>
      </c>
      <c r="AF128" s="61"/>
      <c r="AG128" s="1">
        <v>44682</v>
      </c>
      <c r="AH128" s="537" t="s">
        <v>564</v>
      </c>
      <c r="AI128" s="537" t="s">
        <v>86</v>
      </c>
      <c r="AJ128" s="1">
        <v>208</v>
      </c>
      <c r="AK128" s="537" t="s">
        <v>151</v>
      </c>
      <c r="AL128" s="1" t="s">
        <v>1717</v>
      </c>
      <c r="AM128" s="537" t="s">
        <v>565</v>
      </c>
      <c r="AN128" s="537"/>
    </row>
    <row r="129" spans="1:40">
      <c r="A129" s="537" t="s">
        <v>54</v>
      </c>
      <c r="B129" s="1">
        <v>220515</v>
      </c>
      <c r="C129" s="1">
        <v>222045</v>
      </c>
      <c r="D129" s="537" t="s">
        <v>79</v>
      </c>
      <c r="E129" s="537" t="s">
        <v>667</v>
      </c>
      <c r="F129" s="1" t="s">
        <v>2569</v>
      </c>
      <c r="G129" s="1" t="s">
        <v>883</v>
      </c>
      <c r="H129" s="537" t="s">
        <v>613</v>
      </c>
      <c r="I129" s="537" t="s">
        <v>614</v>
      </c>
      <c r="J129" s="537" t="s">
        <v>18</v>
      </c>
      <c r="K129" s="537" t="s">
        <v>57</v>
      </c>
      <c r="L129" s="61">
        <v>36160</v>
      </c>
      <c r="M129" s="1">
        <v>24</v>
      </c>
      <c r="N129" s="1">
        <v>1300</v>
      </c>
      <c r="P129" s="1">
        <v>1660</v>
      </c>
      <c r="Q129" s="537"/>
      <c r="R129" s="1">
        <v>360</v>
      </c>
      <c r="S129" s="1">
        <v>280000</v>
      </c>
      <c r="T129" s="1">
        <v>14014</v>
      </c>
      <c r="U129" s="1" t="s">
        <v>2639</v>
      </c>
      <c r="V129" s="1">
        <v>25620</v>
      </c>
      <c r="W129" s="1">
        <v>45408</v>
      </c>
      <c r="X129" s="537" t="s">
        <v>65</v>
      </c>
      <c r="Y129" s="537" t="s">
        <v>60</v>
      </c>
      <c r="Z129" s="1" t="s">
        <v>136</v>
      </c>
      <c r="AA129" s="537" t="s">
        <v>347</v>
      </c>
      <c r="AB129" s="537" t="s">
        <v>531</v>
      </c>
      <c r="AC129" s="1">
        <v>44677</v>
      </c>
      <c r="AD129" s="61">
        <v>44693</v>
      </c>
      <c r="AE129" s="61"/>
      <c r="AF129" s="61"/>
      <c r="AG129" s="1" t="s">
        <v>589</v>
      </c>
      <c r="AH129" s="537" t="s">
        <v>1791</v>
      </c>
      <c r="AI129" s="537" t="s">
        <v>86</v>
      </c>
      <c r="AJ129" s="1">
        <v>408</v>
      </c>
      <c r="AK129" s="537" t="s">
        <v>87</v>
      </c>
      <c r="AL129" s="1" t="s">
        <v>1792</v>
      </c>
      <c r="AM129" s="537" t="s">
        <v>601</v>
      </c>
      <c r="AN129" s="537"/>
    </row>
    <row r="130" spans="1:40" hidden="1">
      <c r="A130" s="537" t="s">
        <v>179</v>
      </c>
      <c r="B130" s="1">
        <v>220516</v>
      </c>
      <c r="C130" s="1">
        <v>222046</v>
      </c>
      <c r="D130" s="537" t="s">
        <v>79</v>
      </c>
      <c r="E130" s="537" t="s">
        <v>667</v>
      </c>
      <c r="F130" t="s">
        <v>2569</v>
      </c>
      <c r="G130" t="s">
        <v>883</v>
      </c>
      <c r="H130" s="537" t="s">
        <v>615</v>
      </c>
      <c r="I130" s="537" t="s">
        <v>616</v>
      </c>
      <c r="J130" s="537" t="s">
        <v>18</v>
      </c>
      <c r="K130" s="537" t="s">
        <v>57</v>
      </c>
      <c r="L130" s="61">
        <v>36111</v>
      </c>
      <c r="M130" s="1">
        <v>25</v>
      </c>
      <c r="N130" s="1">
        <v>1220</v>
      </c>
      <c r="P130" s="1">
        <v>1660</v>
      </c>
      <c r="Q130" s="537"/>
      <c r="R130" s="1">
        <v>440</v>
      </c>
      <c r="S130">
        <v>180000</v>
      </c>
      <c r="T130">
        <v>9009</v>
      </c>
      <c r="U130" t="s">
        <v>2639</v>
      </c>
      <c r="V130">
        <v>16470</v>
      </c>
      <c r="W130" s="1">
        <v>45408</v>
      </c>
      <c r="X130" s="537" t="s">
        <v>65</v>
      </c>
      <c r="Y130" s="537" t="s">
        <v>60</v>
      </c>
      <c r="Z130" s="1" t="s">
        <v>526</v>
      </c>
      <c r="AA130" s="537" t="s">
        <v>347</v>
      </c>
      <c r="AB130" s="537" t="s">
        <v>531</v>
      </c>
      <c r="AC130" s="1">
        <v>44864</v>
      </c>
      <c r="AD130" s="61">
        <v>44693</v>
      </c>
      <c r="AE130" s="61">
        <v>45106</v>
      </c>
      <c r="AF130" s="61"/>
      <c r="AG130" s="1" t="s">
        <v>589</v>
      </c>
      <c r="AH130" s="537" t="s">
        <v>1793</v>
      </c>
      <c r="AI130" s="537" t="s">
        <v>86</v>
      </c>
      <c r="AJ130" s="1">
        <v>98</v>
      </c>
      <c r="AK130" s="537" t="s">
        <v>1794</v>
      </c>
      <c r="AL130" s="1" t="s">
        <v>1795</v>
      </c>
      <c r="AM130" s="537" t="s">
        <v>601</v>
      </c>
      <c r="AN130" s="537"/>
    </row>
    <row r="131" spans="1:40" hidden="1">
      <c r="A131" s="537" t="s">
        <v>179</v>
      </c>
      <c r="B131" s="1">
        <v>220520</v>
      </c>
      <c r="C131" s="1">
        <v>222047</v>
      </c>
      <c r="D131" s="537" t="s">
        <v>159</v>
      </c>
      <c r="E131" s="537" t="s">
        <v>671</v>
      </c>
      <c r="F131" t="s">
        <v>900</v>
      </c>
      <c r="G131"/>
      <c r="H131" s="537" t="s">
        <v>620</v>
      </c>
      <c r="I131" s="537" t="s">
        <v>621</v>
      </c>
      <c r="J131" s="537" t="s">
        <v>18</v>
      </c>
      <c r="K131" s="537" t="s">
        <v>57</v>
      </c>
      <c r="L131" s="61">
        <v>34352</v>
      </c>
      <c r="M131" s="1">
        <v>29</v>
      </c>
      <c r="N131" s="1">
        <v>1200</v>
      </c>
      <c r="P131" s="1">
        <v>1650</v>
      </c>
      <c r="Q131" s="537"/>
      <c r="R131" s="1">
        <v>450</v>
      </c>
      <c r="S131"/>
      <c r="T131" t="s">
        <v>65</v>
      </c>
      <c r="U131" t="s">
        <v>2639</v>
      </c>
      <c r="V131" t="s">
        <v>65</v>
      </c>
      <c r="W131" s="1">
        <v>45062</v>
      </c>
      <c r="X131" s="537" t="s">
        <v>59</v>
      </c>
      <c r="Y131" s="537" t="s">
        <v>60</v>
      </c>
      <c r="Z131" s="1" t="s">
        <v>136</v>
      </c>
      <c r="AA131" s="537" t="s">
        <v>347</v>
      </c>
      <c r="AB131" s="537" t="s">
        <v>348</v>
      </c>
      <c r="AC131" s="1">
        <v>44704</v>
      </c>
      <c r="AD131" s="61">
        <v>44705</v>
      </c>
      <c r="AE131" s="61">
        <v>44923</v>
      </c>
      <c r="AF131" s="61"/>
      <c r="AG131" s="1" t="s">
        <v>589</v>
      </c>
      <c r="AH131" s="537" t="s">
        <v>2082</v>
      </c>
      <c r="AI131" s="537" t="s">
        <v>86</v>
      </c>
      <c r="AJ131" s="1">
        <v>208</v>
      </c>
      <c r="AK131" s="537" t="s">
        <v>151</v>
      </c>
      <c r="AL131" s="1" t="s">
        <v>2083</v>
      </c>
      <c r="AM131" s="537" t="s">
        <v>619</v>
      </c>
      <c r="AN131" s="537"/>
    </row>
    <row r="132" spans="1:40">
      <c r="A132" s="537" t="s">
        <v>54</v>
      </c>
      <c r="B132" s="1">
        <v>220602</v>
      </c>
      <c r="C132" s="1">
        <v>222048</v>
      </c>
      <c r="D132" s="537" t="s">
        <v>79</v>
      </c>
      <c r="E132" s="537" t="s">
        <v>667</v>
      </c>
      <c r="F132" s="1" t="s">
        <v>2569</v>
      </c>
      <c r="G132" s="1" t="s">
        <v>883</v>
      </c>
      <c r="H132" s="537" t="s">
        <v>624</v>
      </c>
      <c r="I132" s="537" t="s">
        <v>625</v>
      </c>
      <c r="J132" s="537" t="s">
        <v>18</v>
      </c>
      <c r="K132" s="537" t="s">
        <v>57</v>
      </c>
      <c r="L132" s="61">
        <v>36623</v>
      </c>
      <c r="M132" s="1">
        <v>23</v>
      </c>
      <c r="N132" s="1">
        <v>1300</v>
      </c>
      <c r="P132" s="1">
        <v>1660</v>
      </c>
      <c r="Q132" s="537"/>
      <c r="R132" s="1">
        <v>360</v>
      </c>
      <c r="S132" s="1">
        <v>300000</v>
      </c>
      <c r="T132" s="1">
        <v>15014.999999999998</v>
      </c>
      <c r="U132" s="1" t="s">
        <v>2639</v>
      </c>
      <c r="V132" s="1">
        <v>27450</v>
      </c>
      <c r="W132" s="1">
        <v>45459</v>
      </c>
      <c r="X132" s="537" t="s">
        <v>65</v>
      </c>
      <c r="Y132" s="537" t="s">
        <v>60</v>
      </c>
      <c r="Z132" s="1" t="s">
        <v>84</v>
      </c>
      <c r="AA132" s="537" t="s">
        <v>538</v>
      </c>
      <c r="AB132" s="537" t="s">
        <v>539</v>
      </c>
      <c r="AC132" s="1">
        <v>44713</v>
      </c>
      <c r="AD132" s="61">
        <v>44713</v>
      </c>
      <c r="AE132" s="61"/>
      <c r="AF132" s="61"/>
      <c r="AG132" s="1">
        <v>44774</v>
      </c>
      <c r="AH132" s="537"/>
      <c r="AI132" s="537"/>
      <c r="AK132" s="537"/>
      <c r="AM132" s="537" t="s">
        <v>619</v>
      </c>
      <c r="AN132" s="537"/>
    </row>
    <row r="133" spans="1:40">
      <c r="A133" s="537" t="s">
        <v>54</v>
      </c>
      <c r="B133" s="1">
        <v>220601</v>
      </c>
      <c r="C133" s="1">
        <v>222049</v>
      </c>
      <c r="D133" s="537" t="s">
        <v>79</v>
      </c>
      <c r="E133" s="537" t="s">
        <v>667</v>
      </c>
      <c r="F133" s="1" t="s">
        <v>2568</v>
      </c>
      <c r="G133" s="1" t="s">
        <v>694</v>
      </c>
      <c r="H133" s="537" t="s">
        <v>622</v>
      </c>
      <c r="I133" s="537" t="s">
        <v>623</v>
      </c>
      <c r="J133" s="537" t="s">
        <v>18</v>
      </c>
      <c r="K133" s="537" t="s">
        <v>57</v>
      </c>
      <c r="L133" s="61">
        <v>35954</v>
      </c>
      <c r="M133" s="1">
        <v>25</v>
      </c>
      <c r="N133" s="1">
        <v>1300</v>
      </c>
      <c r="P133" s="1">
        <v>1660</v>
      </c>
      <c r="Q133" s="537"/>
      <c r="R133" s="1">
        <v>360</v>
      </c>
      <c r="S133" s="1">
        <v>300000</v>
      </c>
      <c r="T133" s="1">
        <v>15014.999999999998</v>
      </c>
      <c r="U133" s="1" t="s">
        <v>2639</v>
      </c>
      <c r="V133" s="1">
        <v>27450</v>
      </c>
      <c r="W133" s="1">
        <v>45459</v>
      </c>
      <c r="X133" s="537" t="s">
        <v>65</v>
      </c>
      <c r="Y133" s="537" t="s">
        <v>60</v>
      </c>
      <c r="Z133" s="1" t="s">
        <v>427</v>
      </c>
      <c r="AA133" s="537" t="s">
        <v>428</v>
      </c>
      <c r="AB133" s="537" t="s">
        <v>429</v>
      </c>
      <c r="AC133" s="1">
        <v>45032</v>
      </c>
      <c r="AD133" s="61">
        <v>44713</v>
      </c>
      <c r="AE133" s="61"/>
      <c r="AF133" s="61"/>
      <c r="AG133" s="1">
        <v>44774</v>
      </c>
      <c r="AH133" s="537"/>
      <c r="AI133" s="537"/>
      <c r="AK133" s="537"/>
      <c r="AM133" s="537" t="s">
        <v>619</v>
      </c>
      <c r="AN133" s="537"/>
    </row>
    <row r="134" spans="1:40">
      <c r="A134" s="537" t="s">
        <v>54</v>
      </c>
      <c r="B134" s="1">
        <v>220603</v>
      </c>
      <c r="C134" s="1">
        <v>222050</v>
      </c>
      <c r="D134" s="537" t="s">
        <v>79</v>
      </c>
      <c r="E134" s="537" t="s">
        <v>667</v>
      </c>
      <c r="F134" s="1" t="s">
        <v>2568</v>
      </c>
      <c r="G134" s="1" t="s">
        <v>694</v>
      </c>
      <c r="H134" s="537" t="s">
        <v>626</v>
      </c>
      <c r="I134" s="537" t="s">
        <v>627</v>
      </c>
      <c r="J134" s="537" t="s">
        <v>18</v>
      </c>
      <c r="K134" s="537" t="s">
        <v>57</v>
      </c>
      <c r="L134" s="61">
        <v>36788</v>
      </c>
      <c r="M134" s="1">
        <v>23</v>
      </c>
      <c r="N134" s="1">
        <v>1300</v>
      </c>
      <c r="P134" s="1">
        <v>1660</v>
      </c>
      <c r="Q134" s="537"/>
      <c r="R134" s="1">
        <v>360</v>
      </c>
      <c r="S134" s="1">
        <v>300000</v>
      </c>
      <c r="T134" s="1">
        <v>15014.999999999998</v>
      </c>
      <c r="U134" s="1" t="s">
        <v>2639</v>
      </c>
      <c r="V134" s="1">
        <v>27450</v>
      </c>
      <c r="W134" s="1">
        <v>45459</v>
      </c>
      <c r="X134" s="537" t="s">
        <v>65</v>
      </c>
      <c r="Y134" s="537" t="s">
        <v>60</v>
      </c>
      <c r="Z134" s="1" t="s">
        <v>482</v>
      </c>
      <c r="AA134" s="537" t="s">
        <v>483</v>
      </c>
      <c r="AB134" s="537" t="s">
        <v>484</v>
      </c>
      <c r="AC134" s="1">
        <v>44713</v>
      </c>
      <c r="AD134" s="61">
        <v>44713</v>
      </c>
      <c r="AE134" s="61"/>
      <c r="AF134" s="61"/>
      <c r="AG134" s="1">
        <v>44774</v>
      </c>
      <c r="AH134" s="537"/>
      <c r="AI134" s="537"/>
      <c r="AK134" s="537"/>
      <c r="AM134" s="537" t="s">
        <v>619</v>
      </c>
      <c r="AN134" s="537"/>
    </row>
    <row r="135" spans="1:40">
      <c r="A135" s="537" t="s">
        <v>54</v>
      </c>
      <c r="B135" s="1">
        <v>220609</v>
      </c>
      <c r="C135" s="1">
        <v>222051</v>
      </c>
      <c r="D135" s="537" t="s">
        <v>159</v>
      </c>
      <c r="E135" s="537" t="s">
        <v>671</v>
      </c>
      <c r="F135" s="1" t="s">
        <v>900</v>
      </c>
      <c r="G135" s="1" t="s">
        <v>902</v>
      </c>
      <c r="H135" s="537" t="s">
        <v>405</v>
      </c>
      <c r="I135" s="537" t="s">
        <v>640</v>
      </c>
      <c r="J135" s="537" t="s">
        <v>18</v>
      </c>
      <c r="K135" s="537" t="s">
        <v>57</v>
      </c>
      <c r="L135" s="61">
        <v>36016</v>
      </c>
      <c r="M135" s="1">
        <v>25</v>
      </c>
      <c r="N135" s="1">
        <v>1300</v>
      </c>
      <c r="P135" s="1">
        <v>1670</v>
      </c>
      <c r="Q135" s="537"/>
      <c r="R135" s="1">
        <v>370</v>
      </c>
      <c r="S135" s="1">
        <v>320000</v>
      </c>
      <c r="T135" s="1">
        <v>16015.999999999998</v>
      </c>
      <c r="U135" s="1" t="s">
        <v>2639</v>
      </c>
      <c r="V135" s="1">
        <v>29280</v>
      </c>
      <c r="W135" s="1">
        <v>45459</v>
      </c>
      <c r="X135" s="537" t="s">
        <v>65</v>
      </c>
      <c r="Y135" s="537" t="s">
        <v>60</v>
      </c>
      <c r="Z135" s="1" t="s">
        <v>84</v>
      </c>
      <c r="AA135" s="537" t="s">
        <v>490</v>
      </c>
      <c r="AB135" s="537" t="s">
        <v>641</v>
      </c>
      <c r="AC135" s="1">
        <v>44716</v>
      </c>
      <c r="AD135" s="61">
        <v>44725</v>
      </c>
      <c r="AE135" s="61"/>
      <c r="AF135" s="61"/>
      <c r="AG135" s="1" t="s">
        <v>638</v>
      </c>
      <c r="AH135" s="537" t="s">
        <v>640</v>
      </c>
      <c r="AI135" s="537" t="s">
        <v>86</v>
      </c>
      <c r="AJ135" s="1">
        <v>208</v>
      </c>
      <c r="AK135" s="537" t="s">
        <v>151</v>
      </c>
      <c r="AL135" s="1" t="s">
        <v>2111</v>
      </c>
      <c r="AM135" s="537" t="s">
        <v>639</v>
      </c>
      <c r="AN135" s="537"/>
    </row>
    <row r="136" spans="1:40">
      <c r="A136" s="537" t="s">
        <v>54</v>
      </c>
      <c r="B136" s="1">
        <v>220706</v>
      </c>
      <c r="C136" s="1">
        <v>222052</v>
      </c>
      <c r="D136" s="537" t="s">
        <v>79</v>
      </c>
      <c r="E136" s="537" t="s">
        <v>2417</v>
      </c>
      <c r="F136" s="1" t="s">
        <v>2418</v>
      </c>
      <c r="G136" s="1" t="s">
        <v>865</v>
      </c>
      <c r="H136" s="537" t="s">
        <v>2141</v>
      </c>
      <c r="I136" s="537" t="s">
        <v>2692</v>
      </c>
      <c r="J136" s="537" t="s">
        <v>18</v>
      </c>
      <c r="K136" s="537" t="s">
        <v>939</v>
      </c>
      <c r="L136" s="61">
        <v>28323</v>
      </c>
      <c r="M136" s="1">
        <v>46</v>
      </c>
      <c r="N136" s="1">
        <v>1400</v>
      </c>
      <c r="P136" s="1">
        <v>1760</v>
      </c>
      <c r="Q136" s="537"/>
      <c r="R136" s="1">
        <v>360</v>
      </c>
      <c r="S136" s="1">
        <v>260000</v>
      </c>
      <c r="T136" s="1">
        <v>13013</v>
      </c>
      <c r="U136" s="1">
        <v>2365.9999999999982</v>
      </c>
      <c r="V136" s="1">
        <v>23790</v>
      </c>
      <c r="W136" s="1">
        <v>45541</v>
      </c>
      <c r="X136" s="537" t="s">
        <v>65</v>
      </c>
      <c r="Y136" s="537" t="s">
        <v>1568</v>
      </c>
      <c r="Z136" s="1" t="s">
        <v>114</v>
      </c>
      <c r="AA136" s="537" t="s">
        <v>2142</v>
      </c>
      <c r="AB136" s="537" t="s">
        <v>2143</v>
      </c>
      <c r="AC136" s="1" t="s">
        <v>63</v>
      </c>
      <c r="AD136" s="61">
        <v>44760</v>
      </c>
      <c r="AE136" s="61"/>
      <c r="AF136" s="61"/>
      <c r="AG136" s="1" t="s">
        <v>638</v>
      </c>
      <c r="AH136" s="537"/>
      <c r="AI136" s="537"/>
      <c r="AK136" s="537"/>
      <c r="AM136" s="537" t="s">
        <v>678</v>
      </c>
      <c r="AN136" s="537"/>
    </row>
    <row r="137" spans="1:40">
      <c r="A137" s="537" t="s">
        <v>54</v>
      </c>
      <c r="B137" s="1">
        <v>220907</v>
      </c>
      <c r="C137" s="1">
        <v>222053</v>
      </c>
      <c r="D137" s="537" t="s">
        <v>79</v>
      </c>
      <c r="E137" s="537" t="s">
        <v>2417</v>
      </c>
      <c r="F137" s="1" t="s">
        <v>2418</v>
      </c>
      <c r="G137" s="1" t="s">
        <v>865</v>
      </c>
      <c r="H137" s="537" t="s">
        <v>2230</v>
      </c>
      <c r="I137" s="537" t="s">
        <v>2231</v>
      </c>
      <c r="J137" s="537" t="s">
        <v>18</v>
      </c>
      <c r="K137" s="537" t="s">
        <v>939</v>
      </c>
      <c r="L137" s="61">
        <v>26057</v>
      </c>
      <c r="M137" s="1">
        <v>52</v>
      </c>
      <c r="N137" s="1">
        <v>1400</v>
      </c>
      <c r="P137" s="1">
        <v>1750</v>
      </c>
      <c r="Q137" s="537"/>
      <c r="R137" s="1">
        <v>350</v>
      </c>
      <c r="S137" s="1">
        <v>260000</v>
      </c>
      <c r="T137" s="1">
        <v>13013</v>
      </c>
      <c r="U137" s="1">
        <v>2365.9999999999982</v>
      </c>
      <c r="V137" s="1">
        <v>23790</v>
      </c>
      <c r="W137" s="1">
        <v>47404</v>
      </c>
      <c r="X137" s="537" t="s">
        <v>65</v>
      </c>
      <c r="Y137" s="537" t="s">
        <v>71</v>
      </c>
      <c r="Z137" s="1" t="s">
        <v>2232</v>
      </c>
      <c r="AA137" s="537" t="s">
        <v>2233</v>
      </c>
      <c r="AB137" s="537"/>
      <c r="AC137" s="1" t="s">
        <v>63</v>
      </c>
      <c r="AD137" s="61">
        <v>44816</v>
      </c>
      <c r="AE137" s="61"/>
      <c r="AF137" s="61"/>
      <c r="AG137" s="1" t="s">
        <v>766</v>
      </c>
      <c r="AH137" s="537"/>
      <c r="AI137" s="537"/>
      <c r="AK137" s="537"/>
      <c r="AM137" s="537" t="s">
        <v>2442</v>
      </c>
      <c r="AN137" s="537"/>
    </row>
    <row r="138" spans="1:40">
      <c r="A138" s="537" t="s">
        <v>54</v>
      </c>
      <c r="B138" s="1">
        <v>230814</v>
      </c>
      <c r="C138" s="1">
        <v>222054</v>
      </c>
      <c r="D138" s="537" t="s">
        <v>159</v>
      </c>
      <c r="E138" s="537" t="s">
        <v>671</v>
      </c>
      <c r="F138" s="1" t="s">
        <v>2582</v>
      </c>
      <c r="G138" s="1" t="s">
        <v>3071</v>
      </c>
      <c r="H138" s="537" t="s">
        <v>3339</v>
      </c>
      <c r="I138" s="537" t="s">
        <v>3340</v>
      </c>
      <c r="J138" s="537" t="s">
        <v>18</v>
      </c>
      <c r="K138" s="537" t="s">
        <v>57</v>
      </c>
      <c r="L138" s="61">
        <v>32096</v>
      </c>
      <c r="M138" s="1">
        <v>36</v>
      </c>
      <c r="N138" s="1">
        <v>1200</v>
      </c>
      <c r="P138" s="1">
        <v>1650</v>
      </c>
      <c r="Q138" s="537"/>
      <c r="R138" s="1">
        <v>450</v>
      </c>
      <c r="S138" s="1">
        <v>190000</v>
      </c>
      <c r="T138" s="1">
        <v>9509.5</v>
      </c>
      <c r="U138" s="1" t="s">
        <v>2639</v>
      </c>
      <c r="V138" s="1">
        <v>17385</v>
      </c>
      <c r="W138" s="1">
        <v>45499</v>
      </c>
      <c r="X138" s="537" t="s">
        <v>65</v>
      </c>
      <c r="Y138" s="537" t="s">
        <v>60</v>
      </c>
      <c r="Z138" s="1" t="s">
        <v>2642</v>
      </c>
      <c r="AA138" s="537" t="s">
        <v>3329</v>
      </c>
      <c r="AB138" s="537" t="s">
        <v>3333</v>
      </c>
      <c r="AC138" s="1">
        <v>45133</v>
      </c>
      <c r="AD138" s="61">
        <v>45140</v>
      </c>
      <c r="AE138" s="61"/>
      <c r="AF138" s="61"/>
      <c r="AG138" s="1" t="s">
        <v>3338</v>
      </c>
      <c r="AH138" s="537"/>
      <c r="AI138" s="537"/>
      <c r="AK138" s="537"/>
      <c r="AM138" s="537" t="s">
        <v>3304</v>
      </c>
      <c r="AN138" s="537"/>
    </row>
    <row r="139" spans="1:40">
      <c r="A139" s="537" t="s">
        <v>54</v>
      </c>
      <c r="B139" s="1">
        <v>230821</v>
      </c>
      <c r="C139" s="1">
        <v>222055</v>
      </c>
      <c r="D139" s="537" t="s">
        <v>79</v>
      </c>
      <c r="E139" s="537" t="s">
        <v>2417</v>
      </c>
      <c r="F139" s="1" t="s">
        <v>2418</v>
      </c>
      <c r="G139" s="1" t="s">
        <v>865</v>
      </c>
      <c r="H139" s="537" t="s">
        <v>3358</v>
      </c>
      <c r="I139" s="537" t="s">
        <v>3359</v>
      </c>
      <c r="J139" s="537" t="s">
        <v>18</v>
      </c>
      <c r="K139" s="537" t="s">
        <v>939</v>
      </c>
      <c r="L139" s="61">
        <v>22150</v>
      </c>
      <c r="M139" s="1">
        <v>63</v>
      </c>
      <c r="N139" s="1">
        <v>1400</v>
      </c>
      <c r="P139" s="1">
        <v>1750</v>
      </c>
      <c r="Q139" s="537"/>
      <c r="R139" s="1">
        <v>350</v>
      </c>
      <c r="S139" s="1">
        <v>200000</v>
      </c>
      <c r="T139" s="1">
        <v>10010</v>
      </c>
      <c r="U139" s="1">
        <v>1819.9999999999984</v>
      </c>
      <c r="V139" s="1">
        <v>18300</v>
      </c>
      <c r="W139" s="1">
        <v>46918</v>
      </c>
      <c r="X139" s="537" t="s">
        <v>65</v>
      </c>
      <c r="Y139" s="537" t="s">
        <v>71</v>
      </c>
      <c r="Z139" s="1" t="s">
        <v>3360</v>
      </c>
      <c r="AA139" s="537" t="s">
        <v>3361</v>
      </c>
      <c r="AB139" s="537" t="s">
        <v>3362</v>
      </c>
      <c r="AC139" s="1" t="s">
        <v>63</v>
      </c>
      <c r="AD139" s="61">
        <v>45159</v>
      </c>
      <c r="AE139" s="61"/>
      <c r="AF139" s="61"/>
      <c r="AG139" s="1" t="s">
        <v>3348</v>
      </c>
      <c r="AH139" s="537"/>
      <c r="AI139" s="537"/>
      <c r="AK139" s="537"/>
      <c r="AM139" s="537" t="s">
        <v>828</v>
      </c>
      <c r="AN139" s="537"/>
    </row>
    <row r="140" spans="1:40" hidden="1">
      <c r="A140" s="537" t="s">
        <v>54</v>
      </c>
      <c r="B140" s="1">
        <v>210117</v>
      </c>
      <c r="C140" s="1">
        <v>232002</v>
      </c>
      <c r="D140" s="537" t="s">
        <v>118</v>
      </c>
      <c r="E140" s="537" t="s">
        <v>670</v>
      </c>
      <c r="F140" s="1" t="s">
        <v>2604</v>
      </c>
      <c r="G140" t="s">
        <v>3019</v>
      </c>
      <c r="H140" s="537" t="s">
        <v>119</v>
      </c>
      <c r="I140" s="537" t="s">
        <v>120</v>
      </c>
      <c r="J140" s="537" t="s">
        <v>18</v>
      </c>
      <c r="K140" s="537" t="s">
        <v>57</v>
      </c>
      <c r="L140" s="61">
        <v>33588</v>
      </c>
      <c r="M140" s="1">
        <v>31</v>
      </c>
      <c r="N140" s="1">
        <v>1400</v>
      </c>
      <c r="O140" s="1" t="s">
        <v>91</v>
      </c>
      <c r="P140" s="1">
        <v>1800</v>
      </c>
      <c r="Q140" s="537" t="s">
        <v>92</v>
      </c>
      <c r="R140" s="1">
        <v>400</v>
      </c>
      <c r="S140">
        <v>320000</v>
      </c>
      <c r="T140">
        <v>16015.999999999998</v>
      </c>
      <c r="U140" t="s">
        <v>2639</v>
      </c>
      <c r="V140">
        <v>29280</v>
      </c>
      <c r="W140" s="1">
        <v>45297</v>
      </c>
      <c r="X140" s="537" t="s">
        <v>59</v>
      </c>
      <c r="Y140" s="537" t="s">
        <v>60</v>
      </c>
      <c r="Z140" s="1" t="s">
        <v>121</v>
      </c>
      <c r="AA140" s="537" t="s">
        <v>122</v>
      </c>
      <c r="AB140" s="537" t="s">
        <v>123</v>
      </c>
      <c r="AC140" s="1">
        <v>44212</v>
      </c>
      <c r="AD140" s="61">
        <v>44221</v>
      </c>
      <c r="AE140" s="61"/>
      <c r="AF140" s="61"/>
      <c r="AG140" s="1">
        <v>44287</v>
      </c>
      <c r="AH140" s="537" t="s">
        <v>124</v>
      </c>
      <c r="AI140" s="537" t="s">
        <v>86</v>
      </c>
      <c r="AJ140" s="1">
        <v>548</v>
      </c>
      <c r="AK140" s="537" t="s">
        <v>125</v>
      </c>
      <c r="AL140" s="1" t="s">
        <v>126</v>
      </c>
      <c r="AM140" s="537" t="s">
        <v>64</v>
      </c>
      <c r="AN140" s="537"/>
    </row>
    <row r="141" spans="1:40" hidden="1">
      <c r="A141" s="537" t="s">
        <v>54</v>
      </c>
      <c r="B141" s="1">
        <v>210118</v>
      </c>
      <c r="C141" s="1">
        <v>232003</v>
      </c>
      <c r="D141" s="537" t="s">
        <v>118</v>
      </c>
      <c r="E141" s="537" t="s">
        <v>670</v>
      </c>
      <c r="F141" t="s">
        <v>2604</v>
      </c>
      <c r="G141" t="s">
        <v>3019</v>
      </c>
      <c r="H141" s="537" t="s">
        <v>127</v>
      </c>
      <c r="I141" s="537" t="s">
        <v>128</v>
      </c>
      <c r="J141" s="537" t="s">
        <v>18</v>
      </c>
      <c r="K141" s="537" t="s">
        <v>57</v>
      </c>
      <c r="L141" s="61">
        <v>33963</v>
      </c>
      <c r="M141" s="1">
        <v>30</v>
      </c>
      <c r="N141" s="1">
        <v>1400</v>
      </c>
      <c r="O141" s="1" t="s">
        <v>91</v>
      </c>
      <c r="P141" s="1">
        <v>1800</v>
      </c>
      <c r="Q141" s="537" t="s">
        <v>92</v>
      </c>
      <c r="R141" s="1">
        <v>400</v>
      </c>
      <c r="S141">
        <v>280000</v>
      </c>
      <c r="T141">
        <v>14014</v>
      </c>
      <c r="U141" t="s">
        <v>2639</v>
      </c>
      <c r="V141">
        <v>25620</v>
      </c>
      <c r="W141" s="1">
        <v>45303</v>
      </c>
      <c r="X141" s="537" t="s">
        <v>59</v>
      </c>
      <c r="Y141" s="537" t="s">
        <v>60</v>
      </c>
      <c r="Z141" s="1" t="s">
        <v>121</v>
      </c>
      <c r="AA141" s="537" t="s">
        <v>122</v>
      </c>
      <c r="AB141" s="537" t="s">
        <v>123</v>
      </c>
      <c r="AC141" s="1">
        <v>44212</v>
      </c>
      <c r="AD141" s="61">
        <v>44221</v>
      </c>
      <c r="AE141" s="61"/>
      <c r="AF141" s="61"/>
      <c r="AG141" s="1">
        <v>44287</v>
      </c>
      <c r="AH141" s="537" t="s">
        <v>128</v>
      </c>
      <c r="AI141" s="537" t="s">
        <v>86</v>
      </c>
      <c r="AJ141" s="1">
        <v>548</v>
      </c>
      <c r="AK141" s="537" t="s">
        <v>125</v>
      </c>
      <c r="AL141" s="1" t="s">
        <v>1028</v>
      </c>
      <c r="AM141" s="537" t="s">
        <v>64</v>
      </c>
      <c r="AN141" s="537"/>
    </row>
    <row r="142" spans="1:40" hidden="1">
      <c r="A142" s="537" t="s">
        <v>179</v>
      </c>
      <c r="B142" s="1">
        <v>210120</v>
      </c>
      <c r="C142" s="1">
        <v>232004</v>
      </c>
      <c r="D142" s="537" t="s">
        <v>118</v>
      </c>
      <c r="E142" s="537" t="s">
        <v>670</v>
      </c>
      <c r="F142" s="1" t="s">
        <v>2604</v>
      </c>
      <c r="G142" t="s">
        <v>3019</v>
      </c>
      <c r="H142" s="537" t="s">
        <v>129</v>
      </c>
      <c r="I142" s="537" t="s">
        <v>130</v>
      </c>
      <c r="J142" s="537" t="s">
        <v>18</v>
      </c>
      <c r="K142" s="537" t="s">
        <v>57</v>
      </c>
      <c r="L142" s="61">
        <v>34065</v>
      </c>
      <c r="M142" s="1">
        <v>30</v>
      </c>
      <c r="N142" s="1">
        <v>1410</v>
      </c>
      <c r="O142" s="1" t="s">
        <v>91</v>
      </c>
      <c r="P142" s="1">
        <v>1810</v>
      </c>
      <c r="Q142" s="537" t="s">
        <v>92</v>
      </c>
      <c r="R142" s="1">
        <v>400</v>
      </c>
      <c r="S142">
        <v>300000</v>
      </c>
      <c r="T142">
        <v>15014.999999999998</v>
      </c>
      <c r="U142" t="s">
        <v>2639</v>
      </c>
      <c r="V142">
        <v>27450</v>
      </c>
      <c r="W142" s="1">
        <v>46062</v>
      </c>
      <c r="X142" s="537" t="s">
        <v>65</v>
      </c>
      <c r="Y142" s="537" t="s">
        <v>60</v>
      </c>
      <c r="Z142" s="1" t="s">
        <v>199</v>
      </c>
      <c r="AA142" s="537" t="s">
        <v>204</v>
      </c>
      <c r="AB142" s="537" t="s">
        <v>823</v>
      </c>
      <c r="AC142" s="1">
        <v>45012</v>
      </c>
      <c r="AD142" s="61">
        <v>44221</v>
      </c>
      <c r="AE142" s="61">
        <v>45257</v>
      </c>
      <c r="AF142" s="61"/>
      <c r="AG142" s="1">
        <v>44287</v>
      </c>
      <c r="AH142" s="537" t="s">
        <v>132</v>
      </c>
      <c r="AI142" s="537" t="s">
        <v>86</v>
      </c>
      <c r="AJ142" s="1">
        <v>778</v>
      </c>
      <c r="AK142" s="537" t="s">
        <v>133</v>
      </c>
      <c r="AL142" s="1" t="s">
        <v>1029</v>
      </c>
      <c r="AM142" s="537" t="s">
        <v>64</v>
      </c>
      <c r="AN142" s="537"/>
    </row>
    <row r="143" spans="1:40" hidden="1">
      <c r="A143" s="537" t="s">
        <v>179</v>
      </c>
      <c r="B143" s="1">
        <v>210306</v>
      </c>
      <c r="C143" s="1">
        <v>232005</v>
      </c>
      <c r="D143" s="537" t="s">
        <v>118</v>
      </c>
      <c r="E143" s="537" t="s">
        <v>670</v>
      </c>
      <c r="F143" t="s">
        <v>808</v>
      </c>
      <c r="G143"/>
      <c r="H143" s="537" t="s">
        <v>197</v>
      </c>
      <c r="I143" s="537" t="s">
        <v>198</v>
      </c>
      <c r="J143" s="537" t="s">
        <v>18</v>
      </c>
      <c r="K143" s="537" t="s">
        <v>57</v>
      </c>
      <c r="L143" s="61">
        <v>33294</v>
      </c>
      <c r="M143" s="1">
        <v>32</v>
      </c>
      <c r="N143" s="1">
        <v>1400</v>
      </c>
      <c r="O143" s="1" t="s">
        <v>91</v>
      </c>
      <c r="P143" s="1">
        <v>1770</v>
      </c>
      <c r="Q143" s="537" t="s">
        <v>92</v>
      </c>
      <c r="R143" s="1">
        <v>370</v>
      </c>
      <c r="S143"/>
      <c r="T143" t="s">
        <v>65</v>
      </c>
      <c r="U143" t="s">
        <v>2639</v>
      </c>
      <c r="V143" t="s">
        <v>65</v>
      </c>
      <c r="W143" s="1">
        <v>45850</v>
      </c>
      <c r="X143" s="537" t="s">
        <v>65</v>
      </c>
      <c r="Y143" s="537" t="s">
        <v>60</v>
      </c>
      <c r="Z143" s="1" t="s">
        <v>199</v>
      </c>
      <c r="AA143" s="537" t="s">
        <v>200</v>
      </c>
      <c r="AB143" s="537" t="s">
        <v>201</v>
      </c>
      <c r="AC143" s="1">
        <v>44260</v>
      </c>
      <c r="AD143" s="61">
        <v>44263</v>
      </c>
      <c r="AE143" s="61">
        <v>44762</v>
      </c>
      <c r="AF143" s="61"/>
      <c r="AG143" s="1">
        <v>44317</v>
      </c>
      <c r="AH143" s="537" t="s">
        <v>198</v>
      </c>
      <c r="AI143" s="537" t="s">
        <v>86</v>
      </c>
      <c r="AJ143" s="1">
        <v>408</v>
      </c>
      <c r="AK143" s="537" t="s">
        <v>87</v>
      </c>
      <c r="AL143" s="1" t="s">
        <v>1053</v>
      </c>
      <c r="AM143" s="537" t="s">
        <v>64</v>
      </c>
      <c r="AN143" s="537"/>
    </row>
    <row r="144" spans="1:40" hidden="1">
      <c r="A144" s="537" t="s">
        <v>179</v>
      </c>
      <c r="B144" s="1">
        <v>210308</v>
      </c>
      <c r="C144" s="1">
        <v>232006</v>
      </c>
      <c r="D144" s="537" t="s">
        <v>118</v>
      </c>
      <c r="E144" s="537" t="s">
        <v>670</v>
      </c>
      <c r="F144" t="s">
        <v>2604</v>
      </c>
      <c r="G144"/>
      <c r="H144" s="537" t="s">
        <v>202</v>
      </c>
      <c r="I144" s="537" t="s">
        <v>203</v>
      </c>
      <c r="J144" s="537" t="s">
        <v>18</v>
      </c>
      <c r="K144" s="537" t="s">
        <v>57</v>
      </c>
      <c r="L144" s="61">
        <v>35195</v>
      </c>
      <c r="M144" s="1">
        <v>27</v>
      </c>
      <c r="N144" s="1">
        <v>1400</v>
      </c>
      <c r="O144" s="1" t="s">
        <v>91</v>
      </c>
      <c r="P144" s="1">
        <v>1770</v>
      </c>
      <c r="Q144" s="537" t="s">
        <v>92</v>
      </c>
      <c r="R144" s="1">
        <v>370</v>
      </c>
      <c r="S144"/>
      <c r="T144" t="s">
        <v>65</v>
      </c>
      <c r="U144" t="s">
        <v>2639</v>
      </c>
      <c r="V144" t="s">
        <v>65</v>
      </c>
      <c r="W144" s="1">
        <v>45217</v>
      </c>
      <c r="X144" s="537" t="s">
        <v>59</v>
      </c>
      <c r="Y144" s="537" t="s">
        <v>60</v>
      </c>
      <c r="Z144" s="1" t="s">
        <v>199</v>
      </c>
      <c r="AA144" s="537" t="s">
        <v>204</v>
      </c>
      <c r="AB144" s="537" t="s">
        <v>205</v>
      </c>
      <c r="AC144" s="1">
        <v>44409</v>
      </c>
      <c r="AD144" s="61">
        <v>44263</v>
      </c>
      <c r="AE144" s="61">
        <v>44951</v>
      </c>
      <c r="AF144" s="61">
        <v>44923</v>
      </c>
      <c r="AG144" s="1">
        <v>44317</v>
      </c>
      <c r="AH144" s="537" t="s">
        <v>203</v>
      </c>
      <c r="AI144" s="537" t="s">
        <v>86</v>
      </c>
      <c r="AJ144" s="1">
        <v>328</v>
      </c>
      <c r="AK144" s="537" t="s">
        <v>206</v>
      </c>
      <c r="AL144" s="1" t="s">
        <v>1054</v>
      </c>
      <c r="AM144" s="537" t="s">
        <v>64</v>
      </c>
      <c r="AN144" s="537"/>
    </row>
    <row r="145" spans="1:40" hidden="1">
      <c r="A145" s="537" t="s">
        <v>54</v>
      </c>
      <c r="B145" s="1">
        <v>210411</v>
      </c>
      <c r="C145" s="1">
        <v>232010</v>
      </c>
      <c r="D145" s="537" t="s">
        <v>118</v>
      </c>
      <c r="E145" s="537" t="s">
        <v>676</v>
      </c>
      <c r="F145" t="s">
        <v>2659</v>
      </c>
      <c r="G145" t="s">
        <v>800</v>
      </c>
      <c r="H145" s="537" t="s">
        <v>229</v>
      </c>
      <c r="I145" s="537" t="s">
        <v>230</v>
      </c>
      <c r="J145" s="537" t="s">
        <v>17</v>
      </c>
      <c r="K145" s="537" t="s">
        <v>57</v>
      </c>
      <c r="L145" s="61">
        <v>33193</v>
      </c>
      <c r="M145" s="1">
        <v>33</v>
      </c>
      <c r="N145" s="1">
        <v>1110</v>
      </c>
      <c r="P145" s="1">
        <v>1630</v>
      </c>
      <c r="Q145" s="537" t="s">
        <v>231</v>
      </c>
      <c r="R145" s="1">
        <v>520</v>
      </c>
      <c r="S145">
        <v>98000</v>
      </c>
      <c r="T145">
        <v>4904.8999999999996</v>
      </c>
      <c r="U145" t="s">
        <v>2639</v>
      </c>
      <c r="V145">
        <v>8967</v>
      </c>
      <c r="W145" s="1">
        <v>46552</v>
      </c>
      <c r="X145" s="537" t="s">
        <v>65</v>
      </c>
      <c r="Y145" s="537" t="s">
        <v>232</v>
      </c>
      <c r="Z145" s="1" t="s">
        <v>3055</v>
      </c>
      <c r="AA145" s="537" t="s">
        <v>3056</v>
      </c>
      <c r="AB145" s="537"/>
      <c r="AC145" s="1" t="s">
        <v>63</v>
      </c>
      <c r="AD145" s="61">
        <v>44298</v>
      </c>
      <c r="AE145" s="61"/>
      <c r="AF145" s="61"/>
      <c r="AG145" s="1">
        <v>44348</v>
      </c>
      <c r="AH145" s="537" t="s">
        <v>234</v>
      </c>
      <c r="AI145" s="537" t="s">
        <v>117</v>
      </c>
      <c r="AJ145" s="1">
        <v>257</v>
      </c>
      <c r="AK145" s="537"/>
      <c r="AL145" s="1" t="s">
        <v>1121</v>
      </c>
      <c r="AM145" s="537" t="s">
        <v>64</v>
      </c>
      <c r="AN145" s="537" t="s">
        <v>3057</v>
      </c>
    </row>
    <row r="146" spans="1:40" hidden="1">
      <c r="A146" s="537" t="s">
        <v>179</v>
      </c>
      <c r="B146" s="1">
        <v>210502</v>
      </c>
      <c r="C146" s="1">
        <v>232011</v>
      </c>
      <c r="D146" s="537" t="s">
        <v>118</v>
      </c>
      <c r="E146" s="537" t="s">
        <v>676</v>
      </c>
      <c r="F146" t="s">
        <v>2604</v>
      </c>
      <c r="G146"/>
      <c r="H146" s="537" t="s">
        <v>248</v>
      </c>
      <c r="I146" s="537" t="s">
        <v>249</v>
      </c>
      <c r="J146" s="537" t="s">
        <v>17</v>
      </c>
      <c r="K146" s="537" t="s">
        <v>57</v>
      </c>
      <c r="L146" s="61">
        <v>34304</v>
      </c>
      <c r="M146" s="1">
        <v>30</v>
      </c>
      <c r="N146" s="1">
        <v>1150</v>
      </c>
      <c r="P146" s="1">
        <v>1640</v>
      </c>
      <c r="Q146" s="537" t="s">
        <v>250</v>
      </c>
      <c r="R146" s="1">
        <v>490</v>
      </c>
      <c r="S146"/>
      <c r="T146" t="s">
        <v>65</v>
      </c>
      <c r="U146" t="s">
        <v>2639</v>
      </c>
      <c r="V146" t="s">
        <v>65</v>
      </c>
      <c r="W146" s="1">
        <v>45710</v>
      </c>
      <c r="X146" s="537" t="s">
        <v>65</v>
      </c>
      <c r="Y146" s="537" t="s">
        <v>232</v>
      </c>
      <c r="Z146" s="1" t="s">
        <v>199</v>
      </c>
      <c r="AA146" s="537" t="s">
        <v>251</v>
      </c>
      <c r="AB146" s="537" t="s">
        <v>252</v>
      </c>
      <c r="AD146" s="61">
        <v>44326</v>
      </c>
      <c r="AE146" s="61">
        <v>44786</v>
      </c>
      <c r="AF146" s="61"/>
      <c r="AG146" s="1">
        <v>44378</v>
      </c>
      <c r="AH146" s="537" t="s">
        <v>249</v>
      </c>
      <c r="AI146" s="537" t="s">
        <v>253</v>
      </c>
      <c r="AJ146" s="1">
        <v>7</v>
      </c>
      <c r="AK146" s="537"/>
      <c r="AL146" s="1" t="s">
        <v>1180</v>
      </c>
      <c r="AM146" s="537" t="s">
        <v>64</v>
      </c>
      <c r="AN146" s="537"/>
    </row>
    <row r="147" spans="1:40" hidden="1">
      <c r="A147" s="537" t="s">
        <v>54</v>
      </c>
      <c r="B147" s="1">
        <v>210501</v>
      </c>
      <c r="C147" s="1">
        <v>232012</v>
      </c>
      <c r="D147" s="537" t="s">
        <v>118</v>
      </c>
      <c r="E147" s="537" t="s">
        <v>670</v>
      </c>
      <c r="F147" t="s">
        <v>2604</v>
      </c>
      <c r="G147" t="s">
        <v>3019</v>
      </c>
      <c r="H147" s="537" t="s">
        <v>245</v>
      </c>
      <c r="I147" s="537" t="s">
        <v>246</v>
      </c>
      <c r="J147" s="537" t="s">
        <v>18</v>
      </c>
      <c r="K147" s="537" t="s">
        <v>57</v>
      </c>
      <c r="L147" s="61">
        <v>34148</v>
      </c>
      <c r="M147" s="1">
        <v>30</v>
      </c>
      <c r="N147" s="1">
        <v>1410</v>
      </c>
      <c r="P147" s="1">
        <v>1810</v>
      </c>
      <c r="Q147" s="537" t="s">
        <v>83</v>
      </c>
      <c r="R147" s="1">
        <v>400</v>
      </c>
      <c r="S147">
        <v>320000</v>
      </c>
      <c r="T147">
        <v>16015.999999999998</v>
      </c>
      <c r="U147" t="s">
        <v>2639</v>
      </c>
      <c r="V147">
        <v>29280</v>
      </c>
      <c r="W147" s="1">
        <v>46276</v>
      </c>
      <c r="X147" s="537" t="s">
        <v>65</v>
      </c>
      <c r="Y147" s="537" t="s">
        <v>60</v>
      </c>
      <c r="Z147" s="1" t="s">
        <v>199</v>
      </c>
      <c r="AA147" s="537" t="s">
        <v>204</v>
      </c>
      <c r="AB147" s="537" t="s">
        <v>3061</v>
      </c>
      <c r="AC147" s="1">
        <v>44318</v>
      </c>
      <c r="AD147" s="61">
        <v>44326</v>
      </c>
      <c r="AE147" s="61"/>
      <c r="AF147" s="61"/>
      <c r="AG147" s="1">
        <v>44378</v>
      </c>
      <c r="AH147" s="537" t="s">
        <v>246</v>
      </c>
      <c r="AI147" s="537" t="s">
        <v>86</v>
      </c>
      <c r="AJ147" s="1">
        <v>518</v>
      </c>
      <c r="AK147" s="537" t="s">
        <v>247</v>
      </c>
      <c r="AL147" s="1" t="s">
        <v>2379</v>
      </c>
      <c r="AM147" s="537" t="s">
        <v>64</v>
      </c>
      <c r="AN147" s="537"/>
    </row>
    <row r="148" spans="1:40" hidden="1">
      <c r="A148" s="537" t="s">
        <v>54</v>
      </c>
      <c r="B148" s="1">
        <v>210602</v>
      </c>
      <c r="C148" s="1">
        <v>232013</v>
      </c>
      <c r="D148" s="537" t="s">
        <v>118</v>
      </c>
      <c r="E148" s="537" t="s">
        <v>674</v>
      </c>
      <c r="F148" t="s">
        <v>803</v>
      </c>
      <c r="G148" t="s">
        <v>3017</v>
      </c>
      <c r="H148" s="537" t="s">
        <v>255</v>
      </c>
      <c r="I148" s="537" t="s">
        <v>256</v>
      </c>
      <c r="J148" s="537" t="s">
        <v>18</v>
      </c>
      <c r="K148" s="537" t="s">
        <v>57</v>
      </c>
      <c r="L148" s="61">
        <v>35031</v>
      </c>
      <c r="M148" s="1">
        <v>28</v>
      </c>
      <c r="N148" s="1">
        <v>1200</v>
      </c>
      <c r="O148" s="1" t="s">
        <v>91</v>
      </c>
      <c r="P148" s="1">
        <v>1790</v>
      </c>
      <c r="Q148" s="537" t="s">
        <v>92</v>
      </c>
      <c r="R148" s="1">
        <v>590</v>
      </c>
      <c r="S148">
        <v>300000</v>
      </c>
      <c r="T148">
        <v>15014.999999999998</v>
      </c>
      <c r="U148" t="s">
        <v>2639</v>
      </c>
      <c r="V148">
        <v>27450</v>
      </c>
      <c r="W148" s="1">
        <v>45895</v>
      </c>
      <c r="X148" s="537" t="s">
        <v>65</v>
      </c>
      <c r="Y148" s="537" t="s">
        <v>60</v>
      </c>
      <c r="Z148" s="1" t="s">
        <v>199</v>
      </c>
      <c r="AA148" s="537" t="s">
        <v>270</v>
      </c>
      <c r="AB148" s="537" t="s">
        <v>824</v>
      </c>
      <c r="AC148" s="1">
        <v>44864</v>
      </c>
      <c r="AD148" s="61">
        <v>44348</v>
      </c>
      <c r="AE148" s="61"/>
      <c r="AF148" s="61"/>
      <c r="AG148" s="1">
        <v>44409</v>
      </c>
      <c r="AH148" s="537" t="s">
        <v>258</v>
      </c>
      <c r="AI148" s="537" t="s">
        <v>86</v>
      </c>
      <c r="AJ148" s="1">
        <v>438</v>
      </c>
      <c r="AK148" s="537" t="s">
        <v>223</v>
      </c>
      <c r="AL148" s="1" t="s">
        <v>1187</v>
      </c>
      <c r="AM148" s="537" t="s">
        <v>64</v>
      </c>
      <c r="AN148" s="537"/>
    </row>
    <row r="149" spans="1:40" hidden="1">
      <c r="A149" s="537" t="s">
        <v>54</v>
      </c>
      <c r="B149" s="1">
        <v>210708</v>
      </c>
      <c r="C149" s="1">
        <v>232017</v>
      </c>
      <c r="D149" s="537" t="s">
        <v>118</v>
      </c>
      <c r="E149" s="537" t="s">
        <v>674</v>
      </c>
      <c r="F149" t="s">
        <v>803</v>
      </c>
      <c r="G149" t="s">
        <v>3017</v>
      </c>
      <c r="H149" s="537" t="s">
        <v>272</v>
      </c>
      <c r="I149" s="537" t="s">
        <v>273</v>
      </c>
      <c r="J149" s="537" t="s">
        <v>18</v>
      </c>
      <c r="K149" s="537" t="s">
        <v>57</v>
      </c>
      <c r="L149" s="61">
        <v>33944</v>
      </c>
      <c r="M149" s="1">
        <v>31</v>
      </c>
      <c r="N149" s="1">
        <v>1400</v>
      </c>
      <c r="P149" s="1">
        <v>1790</v>
      </c>
      <c r="Q149" s="537" t="s">
        <v>92</v>
      </c>
      <c r="R149" s="1">
        <v>390</v>
      </c>
      <c r="S149">
        <v>280000</v>
      </c>
      <c r="T149">
        <v>14014</v>
      </c>
      <c r="U149" t="s">
        <v>2639</v>
      </c>
      <c r="V149">
        <v>25620</v>
      </c>
      <c r="W149" s="1">
        <v>46198</v>
      </c>
      <c r="X149" s="537" t="s">
        <v>65</v>
      </c>
      <c r="Y149" s="537" t="s">
        <v>60</v>
      </c>
      <c r="Z149" s="1" t="s">
        <v>199</v>
      </c>
      <c r="AA149" s="537" t="s">
        <v>233</v>
      </c>
      <c r="AB149" s="537" t="s">
        <v>274</v>
      </c>
      <c r="AC149" s="1">
        <v>44652</v>
      </c>
      <c r="AD149" s="61">
        <v>44392</v>
      </c>
      <c r="AE149" s="61"/>
      <c r="AF149" s="61"/>
      <c r="AH149" s="537" t="s">
        <v>273</v>
      </c>
      <c r="AI149" s="537" t="s">
        <v>86</v>
      </c>
      <c r="AJ149" s="1">
        <v>548</v>
      </c>
      <c r="AK149" s="537" t="s">
        <v>125</v>
      </c>
      <c r="AL149" s="1" t="s">
        <v>1237</v>
      </c>
      <c r="AM149" s="537" t="s">
        <v>64</v>
      </c>
      <c r="AN149" s="537"/>
    </row>
    <row r="150" spans="1:40" hidden="1">
      <c r="A150" s="537" t="s">
        <v>54</v>
      </c>
      <c r="B150" s="1">
        <v>210706</v>
      </c>
      <c r="C150" s="1">
        <v>232018</v>
      </c>
      <c r="D150" s="537" t="s">
        <v>118</v>
      </c>
      <c r="E150" s="537" t="s">
        <v>670</v>
      </c>
      <c r="F150" t="s">
        <v>2604</v>
      </c>
      <c r="G150" t="s">
        <v>3019</v>
      </c>
      <c r="H150" s="537" t="s">
        <v>268</v>
      </c>
      <c r="I150" s="537" t="s">
        <v>269</v>
      </c>
      <c r="J150" s="537" t="s">
        <v>18</v>
      </c>
      <c r="K150" s="537" t="s">
        <v>57</v>
      </c>
      <c r="L150" s="61">
        <v>33966</v>
      </c>
      <c r="M150" s="1">
        <v>30</v>
      </c>
      <c r="N150" s="1">
        <v>1410</v>
      </c>
      <c r="P150" s="1">
        <v>1810</v>
      </c>
      <c r="Q150" s="537" t="s">
        <v>92</v>
      </c>
      <c r="R150" s="1">
        <v>400</v>
      </c>
      <c r="S150">
        <v>220000</v>
      </c>
      <c r="T150">
        <v>11011</v>
      </c>
      <c r="U150" t="s">
        <v>2639</v>
      </c>
      <c r="V150">
        <v>20130</v>
      </c>
      <c r="W150" s="1">
        <v>46078</v>
      </c>
      <c r="X150" s="537" t="s">
        <v>65</v>
      </c>
      <c r="Y150" s="537" t="s">
        <v>60</v>
      </c>
      <c r="Z150" s="1" t="s">
        <v>199</v>
      </c>
      <c r="AA150" s="537" t="s">
        <v>270</v>
      </c>
      <c r="AB150" s="537" t="s">
        <v>271</v>
      </c>
      <c r="AC150" s="1">
        <v>44743</v>
      </c>
      <c r="AD150" s="61">
        <v>44385</v>
      </c>
      <c r="AE150" s="61"/>
      <c r="AF150" s="61"/>
      <c r="AH150" s="537" t="s">
        <v>269</v>
      </c>
      <c r="AI150" s="537" t="s">
        <v>86</v>
      </c>
      <c r="AJ150" s="1">
        <v>518</v>
      </c>
      <c r="AK150" s="537" t="s">
        <v>247</v>
      </c>
      <c r="AL150" s="1" t="s">
        <v>1231</v>
      </c>
      <c r="AM150" s="537" t="s">
        <v>64</v>
      </c>
      <c r="AN150" s="537"/>
    </row>
    <row r="151" spans="1:40" hidden="1">
      <c r="A151" s="537" t="s">
        <v>54</v>
      </c>
      <c r="B151" s="1">
        <v>210816</v>
      </c>
      <c r="C151" s="1">
        <v>232019</v>
      </c>
      <c r="D151" s="537" t="s">
        <v>118</v>
      </c>
      <c r="E151" s="537" t="s">
        <v>676</v>
      </c>
      <c r="F151" t="s">
        <v>2659</v>
      </c>
      <c r="G151" t="s">
        <v>800</v>
      </c>
      <c r="H151" s="537" t="s">
        <v>314</v>
      </c>
      <c r="I151" s="537" t="s">
        <v>3063</v>
      </c>
      <c r="J151" s="537" t="s">
        <v>17</v>
      </c>
      <c r="K151" s="537" t="s">
        <v>57</v>
      </c>
      <c r="L151" s="61">
        <v>35010</v>
      </c>
      <c r="M151" s="1">
        <v>28</v>
      </c>
      <c r="N151" s="1">
        <v>1160</v>
      </c>
      <c r="P151" s="1">
        <v>1660</v>
      </c>
      <c r="Q151" s="537" t="s">
        <v>315</v>
      </c>
      <c r="R151" s="1">
        <v>500</v>
      </c>
      <c r="S151">
        <v>118000</v>
      </c>
      <c r="T151">
        <v>5905.9</v>
      </c>
      <c r="U151" t="s">
        <v>2639</v>
      </c>
      <c r="V151">
        <v>10797</v>
      </c>
      <c r="W151" s="1">
        <v>46205</v>
      </c>
      <c r="X151" s="537" t="s">
        <v>65</v>
      </c>
      <c r="Y151" s="537" t="s">
        <v>232</v>
      </c>
      <c r="Z151" s="1" t="s">
        <v>199</v>
      </c>
      <c r="AA151" s="537" t="s">
        <v>233</v>
      </c>
      <c r="AB151" s="537" t="s">
        <v>274</v>
      </c>
      <c r="AC151" s="1" t="s">
        <v>63</v>
      </c>
      <c r="AD151" s="61">
        <v>44431</v>
      </c>
      <c r="AE151" s="61"/>
      <c r="AF151" s="61"/>
      <c r="AH151" s="537" t="s">
        <v>317</v>
      </c>
      <c r="AI151" s="537" t="s">
        <v>318</v>
      </c>
      <c r="AJ151" s="1">
        <v>138</v>
      </c>
      <c r="AK151" s="537" t="s">
        <v>319</v>
      </c>
      <c r="AL151" s="1" t="s">
        <v>1284</v>
      </c>
      <c r="AM151" s="537" t="s">
        <v>64</v>
      </c>
      <c r="AN151" s="537"/>
    </row>
    <row r="152" spans="1:40" hidden="1">
      <c r="A152" s="537" t="s">
        <v>54</v>
      </c>
      <c r="B152" s="1">
        <v>211003</v>
      </c>
      <c r="C152" s="1">
        <v>232020</v>
      </c>
      <c r="D152" s="537" t="s">
        <v>118</v>
      </c>
      <c r="E152" s="537" t="s">
        <v>670</v>
      </c>
      <c r="F152" t="s">
        <v>2604</v>
      </c>
      <c r="G152" t="s">
        <v>3019</v>
      </c>
      <c r="H152" s="537" t="s">
        <v>364</v>
      </c>
      <c r="I152" s="537" t="s">
        <v>365</v>
      </c>
      <c r="J152" s="537" t="s">
        <v>18</v>
      </c>
      <c r="K152" s="537" t="s">
        <v>277</v>
      </c>
      <c r="L152" s="61">
        <v>24511</v>
      </c>
      <c r="M152" s="1">
        <v>56</v>
      </c>
      <c r="N152" s="1">
        <v>1290</v>
      </c>
      <c r="P152" s="1">
        <v>1800</v>
      </c>
      <c r="Q152" s="537"/>
      <c r="R152" s="1">
        <v>510</v>
      </c>
      <c r="S152">
        <v>300000</v>
      </c>
      <c r="T152">
        <v>15014.999999999998</v>
      </c>
      <c r="U152">
        <v>2730</v>
      </c>
      <c r="V152">
        <v>27450</v>
      </c>
      <c r="X152" s="537" t="s">
        <v>65</v>
      </c>
      <c r="Y152" s="537"/>
      <c r="Z152" s="1" t="s">
        <v>366</v>
      </c>
      <c r="AA152" s="537" t="s">
        <v>367</v>
      </c>
      <c r="AB152" s="537"/>
      <c r="AC152" s="1" t="s">
        <v>63</v>
      </c>
      <c r="AD152" s="61">
        <v>44470</v>
      </c>
      <c r="AE152" s="61"/>
      <c r="AF152" s="61"/>
      <c r="AG152" s="1">
        <v>44531</v>
      </c>
      <c r="AH152" s="537" t="s">
        <v>365</v>
      </c>
      <c r="AI152" s="537" t="s">
        <v>117</v>
      </c>
      <c r="AJ152" s="1">
        <v>146</v>
      </c>
      <c r="AK152" s="537" t="s">
        <v>368</v>
      </c>
      <c r="AL152" s="1" t="s">
        <v>1339</v>
      </c>
      <c r="AM152" s="537" t="s">
        <v>64</v>
      </c>
      <c r="AN152" s="537"/>
    </row>
    <row r="153" spans="1:40" hidden="1">
      <c r="A153" s="537" t="s">
        <v>179</v>
      </c>
      <c r="B153" s="1">
        <v>211001</v>
      </c>
      <c r="C153" s="1">
        <v>232021</v>
      </c>
      <c r="D153" s="537" t="s">
        <v>118</v>
      </c>
      <c r="E153" s="537" t="s">
        <v>670</v>
      </c>
      <c r="F153" t="s">
        <v>2604</v>
      </c>
      <c r="G153"/>
      <c r="H153" s="537" t="s">
        <v>355</v>
      </c>
      <c r="I153" s="537" t="s">
        <v>356</v>
      </c>
      <c r="J153" s="537" t="s">
        <v>18</v>
      </c>
      <c r="K153" s="537" t="s">
        <v>277</v>
      </c>
      <c r="L153" s="61">
        <v>25188</v>
      </c>
      <c r="M153" s="1">
        <v>54</v>
      </c>
      <c r="N153" s="1">
        <v>1350</v>
      </c>
      <c r="P153" s="1">
        <v>1770</v>
      </c>
      <c r="Q153" s="537"/>
      <c r="R153" s="1">
        <v>420</v>
      </c>
      <c r="S153"/>
      <c r="T153" t="s">
        <v>65</v>
      </c>
      <c r="U153" t="s">
        <v>65</v>
      </c>
      <c r="V153" t="s">
        <v>65</v>
      </c>
      <c r="X153" s="537" t="s">
        <v>65</v>
      </c>
      <c r="Y153" s="537"/>
      <c r="Z153" s="1" t="s">
        <v>357</v>
      </c>
      <c r="AA153" s="537" t="s">
        <v>358</v>
      </c>
      <c r="AB153" s="537"/>
      <c r="AC153" s="1" t="s">
        <v>63</v>
      </c>
      <c r="AD153" s="61">
        <v>44470</v>
      </c>
      <c r="AE153" s="61">
        <v>44834</v>
      </c>
      <c r="AF153" s="61"/>
      <c r="AG153" s="1">
        <v>44531</v>
      </c>
      <c r="AH153" s="537" t="s">
        <v>356</v>
      </c>
      <c r="AI153" s="537" t="s">
        <v>117</v>
      </c>
      <c r="AJ153" s="1">
        <v>251</v>
      </c>
      <c r="AK153" s="537" t="s">
        <v>359</v>
      </c>
      <c r="AL153" s="1" t="s">
        <v>1340</v>
      </c>
      <c r="AM153" s="537" t="s">
        <v>64</v>
      </c>
      <c r="AN153" s="537"/>
    </row>
    <row r="154" spans="1:40" hidden="1">
      <c r="A154" s="537" t="s">
        <v>54</v>
      </c>
      <c r="B154" s="1">
        <v>211006</v>
      </c>
      <c r="C154" s="1">
        <v>232022</v>
      </c>
      <c r="D154" s="537" t="s">
        <v>118</v>
      </c>
      <c r="E154" s="537" t="s">
        <v>674</v>
      </c>
      <c r="F154" t="s">
        <v>806</v>
      </c>
      <c r="G154" t="s">
        <v>3022</v>
      </c>
      <c r="H154" s="537" t="s">
        <v>1341</v>
      </c>
      <c r="I154" s="537" t="s">
        <v>1342</v>
      </c>
      <c r="J154" s="537" t="s">
        <v>18</v>
      </c>
      <c r="K154" s="537" t="s">
        <v>277</v>
      </c>
      <c r="L154" s="61">
        <v>22913</v>
      </c>
      <c r="M154" s="1">
        <v>61</v>
      </c>
      <c r="N154" s="1">
        <v>1350</v>
      </c>
      <c r="P154" s="1">
        <v>1870</v>
      </c>
      <c r="Q154" s="537"/>
      <c r="R154" s="1">
        <v>520</v>
      </c>
      <c r="S154">
        <v>300000</v>
      </c>
      <c r="T154">
        <v>15014.999999999998</v>
      </c>
      <c r="U154">
        <v>2730</v>
      </c>
      <c r="V154">
        <v>27450</v>
      </c>
      <c r="X154" s="537" t="s">
        <v>65</v>
      </c>
      <c r="Y154" s="537"/>
      <c r="Z154" s="1" t="s">
        <v>1343</v>
      </c>
      <c r="AA154" s="537" t="s">
        <v>1344</v>
      </c>
      <c r="AB154" s="537"/>
      <c r="AC154" s="1" t="s">
        <v>63</v>
      </c>
      <c r="AD154" s="61">
        <v>44470</v>
      </c>
      <c r="AE154" s="61"/>
      <c r="AF154" s="61"/>
      <c r="AG154" s="1">
        <v>44531</v>
      </c>
      <c r="AH154" s="537" t="s">
        <v>1342</v>
      </c>
      <c r="AI154" s="537" t="s">
        <v>253</v>
      </c>
      <c r="AJ154" s="1">
        <v>19</v>
      </c>
      <c r="AK154" s="537" t="s">
        <v>1345</v>
      </c>
      <c r="AL154" s="1" t="s">
        <v>1346</v>
      </c>
      <c r="AM154" s="537" t="s">
        <v>64</v>
      </c>
      <c r="AN154" s="537"/>
    </row>
    <row r="155" spans="1:40" hidden="1">
      <c r="A155" s="537" t="s">
        <v>179</v>
      </c>
      <c r="B155" s="1">
        <v>211005</v>
      </c>
      <c r="C155" s="1">
        <v>232023</v>
      </c>
      <c r="D155" s="537" t="s">
        <v>118</v>
      </c>
      <c r="E155" s="537" t="s">
        <v>674</v>
      </c>
      <c r="F155" t="s">
        <v>808</v>
      </c>
      <c r="G155" t="s">
        <v>809</v>
      </c>
      <c r="H155" s="537" t="s">
        <v>369</v>
      </c>
      <c r="I155" s="537" t="s">
        <v>370</v>
      </c>
      <c r="J155" s="537" t="s">
        <v>18</v>
      </c>
      <c r="K155" s="537" t="s">
        <v>371</v>
      </c>
      <c r="L155" s="61">
        <v>25246</v>
      </c>
      <c r="M155" s="1">
        <v>54</v>
      </c>
      <c r="N155" s="1">
        <v>1250</v>
      </c>
      <c r="P155" s="1">
        <v>1800</v>
      </c>
      <c r="Q155" s="537"/>
      <c r="R155" s="1">
        <v>550</v>
      </c>
      <c r="S155">
        <v>240000</v>
      </c>
      <c r="T155">
        <v>12012</v>
      </c>
      <c r="U155">
        <v>2183.9999999999982</v>
      </c>
      <c r="V155">
        <v>21960</v>
      </c>
      <c r="W155" s="1">
        <v>46190</v>
      </c>
      <c r="X155" s="537" t="s">
        <v>65</v>
      </c>
      <c r="Y155" s="537" t="s">
        <v>71</v>
      </c>
      <c r="Z155" s="1" t="s">
        <v>372</v>
      </c>
      <c r="AA155" s="537" t="s">
        <v>373</v>
      </c>
      <c r="AB155" s="537"/>
      <c r="AC155" s="1" t="s">
        <v>63</v>
      </c>
      <c r="AD155" s="61">
        <v>44470</v>
      </c>
      <c r="AE155" s="61">
        <v>45167</v>
      </c>
      <c r="AF155" s="61"/>
      <c r="AG155" s="1">
        <v>44531</v>
      </c>
      <c r="AH155" s="537" t="s">
        <v>374</v>
      </c>
      <c r="AI155" s="537" t="s">
        <v>117</v>
      </c>
      <c r="AJ155" s="1">
        <v>117</v>
      </c>
      <c r="AK155" s="537" t="s">
        <v>375</v>
      </c>
      <c r="AL155" s="1" t="s">
        <v>376</v>
      </c>
      <c r="AM155" s="537" t="s">
        <v>64</v>
      </c>
      <c r="AN155" s="537"/>
    </row>
    <row r="156" spans="1:40" hidden="1">
      <c r="A156" s="537" t="s">
        <v>54</v>
      </c>
      <c r="B156" s="1">
        <v>211002</v>
      </c>
      <c r="C156" s="1">
        <v>232024</v>
      </c>
      <c r="D156" s="537" t="s">
        <v>118</v>
      </c>
      <c r="E156" s="537" t="s">
        <v>674</v>
      </c>
      <c r="F156" t="s">
        <v>810</v>
      </c>
      <c r="G156" t="s">
        <v>811</v>
      </c>
      <c r="H156" s="537" t="s">
        <v>360</v>
      </c>
      <c r="I156" s="537" t="s">
        <v>361</v>
      </c>
      <c r="J156" s="537" t="s">
        <v>18</v>
      </c>
      <c r="K156" s="537" t="s">
        <v>277</v>
      </c>
      <c r="L156" s="61">
        <v>23064</v>
      </c>
      <c r="M156" s="1">
        <v>60</v>
      </c>
      <c r="N156" s="1">
        <v>1250</v>
      </c>
      <c r="P156" s="1">
        <v>1790</v>
      </c>
      <c r="Q156" s="537"/>
      <c r="R156" s="1">
        <v>540</v>
      </c>
      <c r="S156">
        <v>220000</v>
      </c>
      <c r="T156">
        <v>11011</v>
      </c>
      <c r="U156">
        <v>2001.9999999999984</v>
      </c>
      <c r="V156">
        <v>20130</v>
      </c>
      <c r="X156" s="537" t="s">
        <v>65</v>
      </c>
      <c r="Y156" s="537"/>
      <c r="Z156" s="1" t="s">
        <v>199</v>
      </c>
      <c r="AA156" s="537" t="s">
        <v>257</v>
      </c>
      <c r="AB156" s="537" t="s">
        <v>362</v>
      </c>
      <c r="AC156" s="1">
        <v>44409</v>
      </c>
      <c r="AD156" s="61">
        <v>44470</v>
      </c>
      <c r="AE156" s="61"/>
      <c r="AF156" s="61"/>
      <c r="AG156" s="1">
        <v>44531</v>
      </c>
      <c r="AH156" s="537" t="s">
        <v>361</v>
      </c>
      <c r="AI156" s="537" t="s">
        <v>117</v>
      </c>
      <c r="AJ156" s="1">
        <v>252</v>
      </c>
      <c r="AK156" s="537" t="s">
        <v>363</v>
      </c>
      <c r="AL156" s="1" t="s">
        <v>1347</v>
      </c>
      <c r="AM156" s="537" t="s">
        <v>64</v>
      </c>
      <c r="AN156" s="537"/>
    </row>
    <row r="157" spans="1:40" hidden="1">
      <c r="A157" s="537" t="s">
        <v>54</v>
      </c>
      <c r="B157" s="1">
        <v>211004</v>
      </c>
      <c r="C157" s="1">
        <v>232025</v>
      </c>
      <c r="D157" s="537" t="s">
        <v>118</v>
      </c>
      <c r="E157" s="537" t="s">
        <v>674</v>
      </c>
      <c r="F157" t="s">
        <v>2381</v>
      </c>
      <c r="G157" t="s">
        <v>813</v>
      </c>
      <c r="H157" s="537" t="s">
        <v>1348</v>
      </c>
      <c r="I157" s="537" t="s">
        <v>1349</v>
      </c>
      <c r="J157" s="537" t="s">
        <v>18</v>
      </c>
      <c r="K157" s="537" t="s">
        <v>277</v>
      </c>
      <c r="L157" s="61">
        <v>31792</v>
      </c>
      <c r="M157" s="1">
        <v>36</v>
      </c>
      <c r="N157" s="1">
        <v>1150</v>
      </c>
      <c r="P157" s="1">
        <v>1790</v>
      </c>
      <c r="Q157" s="537"/>
      <c r="R157" s="1">
        <v>640</v>
      </c>
      <c r="S157">
        <v>190000</v>
      </c>
      <c r="T157">
        <v>9509.5</v>
      </c>
      <c r="U157" t="s">
        <v>2639</v>
      </c>
      <c r="V157">
        <v>17385</v>
      </c>
      <c r="X157" s="537" t="s">
        <v>65</v>
      </c>
      <c r="Y157" s="537"/>
      <c r="Z157" s="1" t="s">
        <v>1350</v>
      </c>
      <c r="AA157" s="537" t="s">
        <v>1351</v>
      </c>
      <c r="AB157" s="537"/>
      <c r="AC157" s="1" t="s">
        <v>63</v>
      </c>
      <c r="AD157" s="61">
        <v>44470</v>
      </c>
      <c r="AE157" s="61"/>
      <c r="AF157" s="61"/>
      <c r="AG157" s="1">
        <v>44531</v>
      </c>
      <c r="AH157" s="537" t="s">
        <v>1349</v>
      </c>
      <c r="AI157" s="537" t="s">
        <v>117</v>
      </c>
      <c r="AJ157" s="1">
        <v>106</v>
      </c>
      <c r="AK157" s="537" t="s">
        <v>1352</v>
      </c>
      <c r="AL157" s="1" t="s">
        <v>1353</v>
      </c>
      <c r="AM157" s="537" t="s">
        <v>64</v>
      </c>
      <c r="AN157" s="537"/>
    </row>
    <row r="158" spans="1:40" hidden="1">
      <c r="A158" s="537" t="s">
        <v>179</v>
      </c>
      <c r="B158" s="1">
        <v>211007</v>
      </c>
      <c r="C158" s="1">
        <v>232026</v>
      </c>
      <c r="D158" s="537" t="s">
        <v>118</v>
      </c>
      <c r="E158" s="537" t="s">
        <v>674</v>
      </c>
      <c r="F158" t="s">
        <v>808</v>
      </c>
      <c r="G158" t="s">
        <v>809</v>
      </c>
      <c r="H158" s="537" t="s">
        <v>1354</v>
      </c>
      <c r="I158" s="537" t="s">
        <v>1355</v>
      </c>
      <c r="J158" s="537" t="s">
        <v>17</v>
      </c>
      <c r="K158" s="537" t="s">
        <v>277</v>
      </c>
      <c r="L158" s="61">
        <v>25068</v>
      </c>
      <c r="M158" s="1">
        <v>55</v>
      </c>
      <c r="N158" s="1">
        <v>1250</v>
      </c>
      <c r="P158" s="1">
        <v>1790</v>
      </c>
      <c r="Q158" s="537"/>
      <c r="R158" s="1">
        <v>540</v>
      </c>
      <c r="S158">
        <v>280000</v>
      </c>
      <c r="T158">
        <v>14014</v>
      </c>
      <c r="U158">
        <v>2548</v>
      </c>
      <c r="V158">
        <v>25620</v>
      </c>
      <c r="X158" s="537" t="s">
        <v>65</v>
      </c>
      <c r="Y158" s="537"/>
      <c r="Z158" s="1" t="s">
        <v>199</v>
      </c>
      <c r="AA158" s="537" t="s">
        <v>1356</v>
      </c>
      <c r="AB158" s="537" t="s">
        <v>1357</v>
      </c>
      <c r="AC158" s="1" t="s">
        <v>63</v>
      </c>
      <c r="AD158" s="61">
        <v>44470</v>
      </c>
      <c r="AE158" s="61">
        <v>45229</v>
      </c>
      <c r="AF158" s="61"/>
      <c r="AG158" s="1">
        <v>44531</v>
      </c>
      <c r="AH158" s="537" t="s">
        <v>1355</v>
      </c>
      <c r="AI158" s="537" t="s">
        <v>1358</v>
      </c>
      <c r="AK158" s="537" t="s">
        <v>1359</v>
      </c>
      <c r="AL158" s="1" t="s">
        <v>1360</v>
      </c>
      <c r="AM158" s="537" t="s">
        <v>64</v>
      </c>
      <c r="AN158" s="537"/>
    </row>
    <row r="159" spans="1:40" hidden="1">
      <c r="A159" s="537" t="s">
        <v>179</v>
      </c>
      <c r="B159" s="1">
        <v>211104</v>
      </c>
      <c r="C159" s="1">
        <v>232029</v>
      </c>
      <c r="D159" s="537" t="s">
        <v>118</v>
      </c>
      <c r="E159" s="537" t="s">
        <v>670</v>
      </c>
      <c r="F159" t="s">
        <v>2604</v>
      </c>
      <c r="G159"/>
      <c r="H159" s="537" t="s">
        <v>432</v>
      </c>
      <c r="I159" s="537" t="s">
        <v>433</v>
      </c>
      <c r="J159" s="537" t="s">
        <v>18</v>
      </c>
      <c r="K159" s="537" t="s">
        <v>57</v>
      </c>
      <c r="L159" s="61">
        <v>33254</v>
      </c>
      <c r="M159" s="1">
        <v>32</v>
      </c>
      <c r="N159" s="1">
        <v>1400</v>
      </c>
      <c r="P159" s="1">
        <v>1770</v>
      </c>
      <c r="Q159" s="537" t="s">
        <v>92</v>
      </c>
      <c r="R159" s="1">
        <v>370</v>
      </c>
      <c r="S159"/>
      <c r="T159" t="s">
        <v>65</v>
      </c>
      <c r="U159" t="s">
        <v>2639</v>
      </c>
      <c r="V159" t="s">
        <v>65</v>
      </c>
      <c r="W159" s="1">
        <v>45211</v>
      </c>
      <c r="X159" s="537" t="s">
        <v>59</v>
      </c>
      <c r="Y159" s="537" t="s">
        <v>60</v>
      </c>
      <c r="Z159" s="1" t="s">
        <v>199</v>
      </c>
      <c r="AA159" s="537" t="s">
        <v>434</v>
      </c>
      <c r="AB159" s="537" t="s">
        <v>820</v>
      </c>
      <c r="AC159" s="1" t="s">
        <v>63</v>
      </c>
      <c r="AD159" s="61">
        <v>44501</v>
      </c>
      <c r="AE159" s="61">
        <v>44894</v>
      </c>
      <c r="AF159" s="61"/>
      <c r="AG159" s="1">
        <v>22.01</v>
      </c>
      <c r="AH159" s="537" t="s">
        <v>435</v>
      </c>
      <c r="AI159" s="537" t="s">
        <v>436</v>
      </c>
      <c r="AJ159" s="1">
        <v>651</v>
      </c>
      <c r="AK159" s="537" t="s">
        <v>437</v>
      </c>
      <c r="AL159" s="1" t="s">
        <v>1430</v>
      </c>
      <c r="AM159" s="537" t="s">
        <v>64</v>
      </c>
      <c r="AN159" s="537" t="s">
        <v>438</v>
      </c>
    </row>
    <row r="160" spans="1:40" hidden="1">
      <c r="A160" s="537" t="s">
        <v>54</v>
      </c>
      <c r="B160" s="1">
        <v>211116</v>
      </c>
      <c r="C160" s="1">
        <v>232030</v>
      </c>
      <c r="D160" s="537" t="s">
        <v>118</v>
      </c>
      <c r="E160" s="537" t="s">
        <v>674</v>
      </c>
      <c r="F160" t="s">
        <v>803</v>
      </c>
      <c r="G160" t="s">
        <v>3017</v>
      </c>
      <c r="H160" s="537" t="s">
        <v>290</v>
      </c>
      <c r="I160" s="537" t="s">
        <v>291</v>
      </c>
      <c r="J160" s="537" t="s">
        <v>18</v>
      </c>
      <c r="K160" s="537" t="s">
        <v>57</v>
      </c>
      <c r="L160" s="61">
        <v>32957</v>
      </c>
      <c r="M160" s="1">
        <v>33</v>
      </c>
      <c r="N160" s="1">
        <v>1400</v>
      </c>
      <c r="P160" s="1">
        <v>1760</v>
      </c>
      <c r="Q160" s="537"/>
      <c r="R160" s="1">
        <v>360</v>
      </c>
      <c r="S160">
        <v>260000</v>
      </c>
      <c r="T160">
        <v>13013</v>
      </c>
      <c r="U160" t="s">
        <v>2639</v>
      </c>
      <c r="V160">
        <v>23790</v>
      </c>
      <c r="W160" s="1">
        <v>45237</v>
      </c>
      <c r="X160" s="537" t="s">
        <v>59</v>
      </c>
      <c r="Y160" s="537" t="s">
        <v>60</v>
      </c>
      <c r="Z160" s="1" t="s">
        <v>199</v>
      </c>
      <c r="AA160" s="537" t="s">
        <v>251</v>
      </c>
      <c r="AB160" s="537" t="s">
        <v>292</v>
      </c>
      <c r="AC160" s="1">
        <v>44409</v>
      </c>
      <c r="AD160" s="61">
        <v>44409</v>
      </c>
      <c r="AE160" s="61"/>
      <c r="AF160" s="61"/>
      <c r="AG160" s="1">
        <v>22.01</v>
      </c>
      <c r="AH160" s="537" t="s">
        <v>293</v>
      </c>
      <c r="AI160" s="537" t="s">
        <v>86</v>
      </c>
      <c r="AJ160" s="1">
        <v>18</v>
      </c>
      <c r="AK160" s="537" t="s">
        <v>294</v>
      </c>
      <c r="AL160" s="1" t="s">
        <v>1250</v>
      </c>
      <c r="AM160" s="537" t="s">
        <v>64</v>
      </c>
      <c r="AN160" s="537" t="s">
        <v>295</v>
      </c>
    </row>
    <row r="161" spans="1:40" hidden="1">
      <c r="A161" s="537" t="s">
        <v>54</v>
      </c>
      <c r="B161" s="1">
        <v>211114</v>
      </c>
      <c r="C161" s="1">
        <v>232031</v>
      </c>
      <c r="D161" s="537" t="s">
        <v>118</v>
      </c>
      <c r="E161" s="537" t="s">
        <v>674</v>
      </c>
      <c r="F161" t="s">
        <v>803</v>
      </c>
      <c r="G161" t="s">
        <v>3017</v>
      </c>
      <c r="H161" s="537" t="s">
        <v>446</v>
      </c>
      <c r="I161" s="537" t="s">
        <v>447</v>
      </c>
      <c r="J161" s="537" t="s">
        <v>18</v>
      </c>
      <c r="K161" s="537" t="s">
        <v>57</v>
      </c>
      <c r="L161" s="61">
        <v>31100</v>
      </c>
      <c r="M161" s="1">
        <v>38</v>
      </c>
      <c r="N161" s="1">
        <v>1400</v>
      </c>
      <c r="P161" s="1">
        <v>1760</v>
      </c>
      <c r="Q161" s="537"/>
      <c r="R161" s="1">
        <v>360</v>
      </c>
      <c r="S161">
        <v>280000</v>
      </c>
      <c r="T161">
        <v>14014</v>
      </c>
      <c r="U161" t="s">
        <v>2639</v>
      </c>
      <c r="V161">
        <v>25620</v>
      </c>
      <c r="W161" s="1">
        <v>45351</v>
      </c>
      <c r="X161" s="537" t="s">
        <v>59</v>
      </c>
      <c r="Y161" s="537" t="s">
        <v>60</v>
      </c>
      <c r="Z161" s="1" t="s">
        <v>199</v>
      </c>
      <c r="AA161" s="537" t="s">
        <v>204</v>
      </c>
      <c r="AB161" s="537" t="s">
        <v>448</v>
      </c>
      <c r="AC161" s="1">
        <v>44519</v>
      </c>
      <c r="AD161" s="61">
        <v>44524</v>
      </c>
      <c r="AE161" s="61"/>
      <c r="AF161" s="61"/>
      <c r="AG161" s="1">
        <v>22.02</v>
      </c>
      <c r="AH161" s="537" t="s">
        <v>449</v>
      </c>
      <c r="AI161" s="537" t="s">
        <v>86</v>
      </c>
      <c r="AJ161" s="1">
        <v>228</v>
      </c>
      <c r="AK161" s="537" t="s">
        <v>443</v>
      </c>
      <c r="AL161" s="1" t="s">
        <v>1471</v>
      </c>
      <c r="AM161" s="537" t="s">
        <v>64</v>
      </c>
      <c r="AN161" s="537"/>
    </row>
    <row r="162" spans="1:40" hidden="1">
      <c r="A162" s="537" t="s">
        <v>54</v>
      </c>
      <c r="B162" s="1">
        <v>211203</v>
      </c>
      <c r="C162" s="1">
        <v>232033</v>
      </c>
      <c r="D162" s="537" t="s">
        <v>118</v>
      </c>
      <c r="E162" s="537" t="s">
        <v>670</v>
      </c>
      <c r="F162" t="s">
        <v>2604</v>
      </c>
      <c r="G162" t="s">
        <v>3019</v>
      </c>
      <c r="H162" s="537" t="s">
        <v>454</v>
      </c>
      <c r="I162" s="537" t="s">
        <v>455</v>
      </c>
      <c r="J162" s="537" t="s">
        <v>18</v>
      </c>
      <c r="K162" s="537" t="s">
        <v>57</v>
      </c>
      <c r="L162" s="61">
        <v>34986</v>
      </c>
      <c r="M162" s="1">
        <v>28</v>
      </c>
      <c r="N162" s="1">
        <v>1400</v>
      </c>
      <c r="P162" s="1">
        <v>1780</v>
      </c>
      <c r="Q162" s="537"/>
      <c r="R162" s="1">
        <v>380</v>
      </c>
      <c r="S162">
        <v>300000</v>
      </c>
      <c r="T162">
        <v>15014.999999999998</v>
      </c>
      <c r="U162" t="s">
        <v>2639</v>
      </c>
      <c r="V162">
        <v>27450</v>
      </c>
      <c r="W162" s="1">
        <v>45248</v>
      </c>
      <c r="X162" s="537" t="s">
        <v>59</v>
      </c>
      <c r="Y162" s="537" t="s">
        <v>60</v>
      </c>
      <c r="Z162" s="1" t="s">
        <v>199</v>
      </c>
      <c r="AA162" s="537" t="s">
        <v>251</v>
      </c>
      <c r="AB162" s="537" t="s">
        <v>578</v>
      </c>
      <c r="AC162" s="1">
        <v>44970</v>
      </c>
      <c r="AD162" s="61">
        <v>44532</v>
      </c>
      <c r="AE162" s="61"/>
      <c r="AF162" s="61"/>
      <c r="AG162" s="1">
        <v>22.02</v>
      </c>
      <c r="AH162" s="537" t="s">
        <v>456</v>
      </c>
      <c r="AI162" s="537" t="s">
        <v>86</v>
      </c>
      <c r="AJ162" s="1">
        <v>68</v>
      </c>
      <c r="AK162" s="537" t="s">
        <v>421</v>
      </c>
      <c r="AL162" s="1" t="s">
        <v>1485</v>
      </c>
      <c r="AM162" s="537" t="s">
        <v>64</v>
      </c>
      <c r="AN162" s="537"/>
    </row>
    <row r="163" spans="1:40" hidden="1">
      <c r="A163" s="537" t="s">
        <v>54</v>
      </c>
      <c r="B163" s="1">
        <v>211217</v>
      </c>
      <c r="C163" s="1">
        <v>232035</v>
      </c>
      <c r="D163" s="537" t="s">
        <v>118</v>
      </c>
      <c r="E163" s="537" t="s">
        <v>674</v>
      </c>
      <c r="F163" t="s">
        <v>803</v>
      </c>
      <c r="G163" t="s">
        <v>3017</v>
      </c>
      <c r="H163" s="537" t="s">
        <v>457</v>
      </c>
      <c r="I163" s="537" t="s">
        <v>458</v>
      </c>
      <c r="J163" s="537" t="s">
        <v>18</v>
      </c>
      <c r="K163" s="537" t="s">
        <v>57</v>
      </c>
      <c r="L163" s="61">
        <v>34750</v>
      </c>
      <c r="M163" s="1">
        <v>28</v>
      </c>
      <c r="N163" s="1">
        <v>1400</v>
      </c>
      <c r="P163" s="1">
        <v>1790</v>
      </c>
      <c r="Q163" s="537"/>
      <c r="R163" s="1">
        <v>390</v>
      </c>
      <c r="S163">
        <v>320000</v>
      </c>
      <c r="T163">
        <v>16015.999999999998</v>
      </c>
      <c r="U163" t="s">
        <v>2639</v>
      </c>
      <c r="V163">
        <v>29280</v>
      </c>
      <c r="W163" s="1">
        <v>45626</v>
      </c>
      <c r="X163" s="537" t="s">
        <v>65</v>
      </c>
      <c r="Y163" s="537" t="s">
        <v>60</v>
      </c>
      <c r="Z163" s="1" t="s">
        <v>513</v>
      </c>
      <c r="AA163" s="537" t="s">
        <v>2674</v>
      </c>
      <c r="AB163" s="537" t="s">
        <v>2675</v>
      </c>
      <c r="AC163" s="1" t="s">
        <v>63</v>
      </c>
      <c r="AD163" s="61">
        <v>44557</v>
      </c>
      <c r="AE163" s="61">
        <v>45310</v>
      </c>
      <c r="AF163" s="61"/>
      <c r="AG163" s="1">
        <v>22.03</v>
      </c>
      <c r="AH163" s="537" t="s">
        <v>459</v>
      </c>
      <c r="AI163" s="537" t="s">
        <v>86</v>
      </c>
      <c r="AJ163" s="1">
        <v>728</v>
      </c>
      <c r="AK163" s="537" t="s">
        <v>460</v>
      </c>
      <c r="AL163" s="1" t="s">
        <v>1539</v>
      </c>
      <c r="AM163" s="537" t="s">
        <v>64</v>
      </c>
      <c r="AN163" s="537"/>
    </row>
    <row r="164" spans="1:40" hidden="1">
      <c r="A164" s="537" t="s">
        <v>54</v>
      </c>
      <c r="B164" s="1">
        <v>220104</v>
      </c>
      <c r="C164" s="1">
        <v>232037</v>
      </c>
      <c r="D164" s="537" t="s">
        <v>118</v>
      </c>
      <c r="E164" s="537" t="s">
        <v>674</v>
      </c>
      <c r="F164" t="s">
        <v>803</v>
      </c>
      <c r="G164" t="s">
        <v>3017</v>
      </c>
      <c r="H164" s="537" t="s">
        <v>464</v>
      </c>
      <c r="I164" s="537" t="s">
        <v>465</v>
      </c>
      <c r="J164" s="537" t="s">
        <v>18</v>
      </c>
      <c r="K164" s="537" t="s">
        <v>57</v>
      </c>
      <c r="L164" s="61">
        <v>34597</v>
      </c>
      <c r="M164" s="1">
        <v>29</v>
      </c>
      <c r="N164" s="1">
        <v>1400</v>
      </c>
      <c r="P164" s="1">
        <v>1790</v>
      </c>
      <c r="Q164" s="537"/>
      <c r="R164" s="1">
        <v>390</v>
      </c>
      <c r="S164">
        <v>240000</v>
      </c>
      <c r="T164">
        <v>12012</v>
      </c>
      <c r="U164" t="s">
        <v>2639</v>
      </c>
      <c r="V164">
        <v>21960</v>
      </c>
      <c r="W164" s="1">
        <v>45543</v>
      </c>
      <c r="X164" s="537" t="s">
        <v>65</v>
      </c>
      <c r="Y164" s="537" t="s">
        <v>60</v>
      </c>
      <c r="Z164" s="1" t="s">
        <v>199</v>
      </c>
      <c r="AA164" s="537" t="s">
        <v>466</v>
      </c>
      <c r="AB164" s="537" t="s">
        <v>467</v>
      </c>
      <c r="AC164" s="1">
        <v>44558</v>
      </c>
      <c r="AD164" s="61">
        <v>44567</v>
      </c>
      <c r="AE164" s="61"/>
      <c r="AF164" s="61"/>
      <c r="AG164" s="1">
        <v>22.03</v>
      </c>
      <c r="AH164" s="537" t="s">
        <v>465</v>
      </c>
      <c r="AI164" s="537" t="s">
        <v>86</v>
      </c>
      <c r="AJ164" s="1">
        <v>408</v>
      </c>
      <c r="AK164" s="537" t="s">
        <v>87</v>
      </c>
      <c r="AL164" s="1" t="s">
        <v>1552</v>
      </c>
      <c r="AM164" s="537" t="s">
        <v>64</v>
      </c>
      <c r="AN164" s="537"/>
    </row>
    <row r="165" spans="1:40" hidden="1">
      <c r="A165" s="537" t="s">
        <v>179</v>
      </c>
      <c r="B165" s="1">
        <v>220112</v>
      </c>
      <c r="C165" s="1">
        <v>232038</v>
      </c>
      <c r="D165" s="537" t="s">
        <v>118</v>
      </c>
      <c r="E165" s="537" t="s">
        <v>674</v>
      </c>
      <c r="F165" t="s">
        <v>803</v>
      </c>
      <c r="G165"/>
      <c r="H165" s="537" t="s">
        <v>473</v>
      </c>
      <c r="I165" s="537" t="s">
        <v>474</v>
      </c>
      <c r="J165" s="537" t="s">
        <v>18</v>
      </c>
      <c r="K165" s="537" t="s">
        <v>57</v>
      </c>
      <c r="L165" s="61">
        <v>33912</v>
      </c>
      <c r="M165" s="1">
        <v>31</v>
      </c>
      <c r="N165" s="1">
        <v>1400</v>
      </c>
      <c r="P165" s="1">
        <v>1770</v>
      </c>
      <c r="Q165" s="537"/>
      <c r="R165" s="1">
        <v>370</v>
      </c>
      <c r="S165">
        <v>280000</v>
      </c>
      <c r="T165">
        <v>14014</v>
      </c>
      <c r="U165" t="s">
        <v>2639</v>
      </c>
      <c r="V165">
        <v>25620</v>
      </c>
      <c r="W165" s="1">
        <v>45258</v>
      </c>
      <c r="X165" s="537" t="s">
        <v>59</v>
      </c>
      <c r="Y165" s="537" t="s">
        <v>60</v>
      </c>
      <c r="Z165" s="1" t="s">
        <v>199</v>
      </c>
      <c r="AA165" s="537" t="s">
        <v>466</v>
      </c>
      <c r="AB165" s="537" t="s">
        <v>467</v>
      </c>
      <c r="AC165" s="1">
        <v>44568</v>
      </c>
      <c r="AD165" s="61">
        <v>44573</v>
      </c>
      <c r="AE165" s="61">
        <v>44943</v>
      </c>
      <c r="AF165" s="61">
        <v>44936</v>
      </c>
      <c r="AG165" s="1">
        <v>22.03</v>
      </c>
      <c r="AH165" s="537" t="s">
        <v>2389</v>
      </c>
      <c r="AI165" s="537" t="s">
        <v>86</v>
      </c>
      <c r="AJ165" s="1">
        <v>518</v>
      </c>
      <c r="AK165" s="537" t="s">
        <v>247</v>
      </c>
      <c r="AL165" s="1" t="s">
        <v>2390</v>
      </c>
      <c r="AM165" s="537" t="s">
        <v>64</v>
      </c>
      <c r="AN165" s="537"/>
    </row>
    <row r="166" spans="1:40" hidden="1">
      <c r="A166" s="537" t="s">
        <v>179</v>
      </c>
      <c r="B166" s="1">
        <v>220111</v>
      </c>
      <c r="C166" s="1">
        <v>232039</v>
      </c>
      <c r="D166" s="537" t="s">
        <v>118</v>
      </c>
      <c r="E166" s="537" t="s">
        <v>670</v>
      </c>
      <c r="F166" t="s">
        <v>2604</v>
      </c>
      <c r="G166" t="s">
        <v>3019</v>
      </c>
      <c r="H166" s="537" t="s">
        <v>470</v>
      </c>
      <c r="I166" s="537" t="s">
        <v>471</v>
      </c>
      <c r="J166" s="537" t="s">
        <v>18</v>
      </c>
      <c r="K166" s="537" t="s">
        <v>472</v>
      </c>
      <c r="L166" s="61">
        <v>34466</v>
      </c>
      <c r="M166" s="1">
        <v>29</v>
      </c>
      <c r="N166" s="1">
        <v>1400</v>
      </c>
      <c r="P166" s="1">
        <v>1790</v>
      </c>
      <c r="Q166" s="537"/>
      <c r="R166" s="1">
        <v>390</v>
      </c>
      <c r="S166">
        <v>300000</v>
      </c>
      <c r="T166">
        <v>15014.999999999998</v>
      </c>
      <c r="U166" t="s">
        <v>2639</v>
      </c>
      <c r="V166">
        <v>27450</v>
      </c>
      <c r="W166" s="1">
        <v>46078</v>
      </c>
      <c r="X166" s="537" t="s">
        <v>65</v>
      </c>
      <c r="Y166" s="537" t="s">
        <v>60</v>
      </c>
      <c r="Z166" s="1" t="s">
        <v>199</v>
      </c>
      <c r="AA166" s="537" t="s">
        <v>466</v>
      </c>
      <c r="AB166" s="537" t="s">
        <v>2427</v>
      </c>
      <c r="AC166" s="1">
        <v>44958</v>
      </c>
      <c r="AD166" s="61">
        <v>44573</v>
      </c>
      <c r="AE166" s="61">
        <v>45044</v>
      </c>
      <c r="AF166" s="61"/>
      <c r="AG166" s="1">
        <v>22.03</v>
      </c>
      <c r="AH166" s="537" t="s">
        <v>2387</v>
      </c>
      <c r="AI166" s="537" t="s">
        <v>86</v>
      </c>
      <c r="AJ166" s="1">
        <v>248</v>
      </c>
      <c r="AK166" s="537" t="s">
        <v>224</v>
      </c>
      <c r="AL166" s="1" t="s">
        <v>2388</v>
      </c>
      <c r="AM166" s="537" t="s">
        <v>64</v>
      </c>
      <c r="AN166" s="537"/>
    </row>
    <row r="167" spans="1:40" hidden="1">
      <c r="A167" s="537" t="s">
        <v>54</v>
      </c>
      <c r="B167" s="1">
        <v>220203</v>
      </c>
      <c r="C167" s="1">
        <v>232042</v>
      </c>
      <c r="D167" s="537" t="s">
        <v>118</v>
      </c>
      <c r="E167" s="537" t="s">
        <v>670</v>
      </c>
      <c r="F167" s="1" t="s">
        <v>2604</v>
      </c>
      <c r="G167" t="s">
        <v>3019</v>
      </c>
      <c r="H167" s="537" t="s">
        <v>511</v>
      </c>
      <c r="I167" s="537" t="s">
        <v>512</v>
      </c>
      <c r="J167" s="537" t="s">
        <v>18</v>
      </c>
      <c r="K167" s="537" t="s">
        <v>472</v>
      </c>
      <c r="L167" s="61">
        <v>33535</v>
      </c>
      <c r="M167" s="1">
        <v>32</v>
      </c>
      <c r="N167" s="1">
        <v>1400</v>
      </c>
      <c r="P167" s="1">
        <v>1800</v>
      </c>
      <c r="Q167" s="537"/>
      <c r="R167" s="1">
        <v>400</v>
      </c>
      <c r="S167">
        <v>280000</v>
      </c>
      <c r="T167">
        <v>14014</v>
      </c>
      <c r="U167" t="s">
        <v>2639</v>
      </c>
      <c r="V167">
        <v>25620</v>
      </c>
      <c r="W167" s="1">
        <v>46117</v>
      </c>
      <c r="X167" s="537" t="s">
        <v>65</v>
      </c>
      <c r="Y167" s="537" t="s">
        <v>60</v>
      </c>
      <c r="Z167" s="1" t="s">
        <v>513</v>
      </c>
      <c r="AA167" s="537" t="s">
        <v>514</v>
      </c>
      <c r="AB167" s="537" t="s">
        <v>515</v>
      </c>
      <c r="AC167" s="1" t="s">
        <v>63</v>
      </c>
      <c r="AD167" s="61">
        <v>44594</v>
      </c>
      <c r="AE167" s="61"/>
      <c r="AF167" s="61"/>
      <c r="AG167" s="1">
        <v>22.02</v>
      </c>
      <c r="AH167" s="537" t="s">
        <v>1612</v>
      </c>
      <c r="AI167" s="537" t="s">
        <v>145</v>
      </c>
      <c r="AJ167" s="1">
        <v>180</v>
      </c>
      <c r="AK167" s="537" t="s">
        <v>1613</v>
      </c>
      <c r="AL167" s="1" t="s">
        <v>1614</v>
      </c>
      <c r="AM167" s="537" t="s">
        <v>64</v>
      </c>
      <c r="AN167" s="537"/>
    </row>
    <row r="168" spans="1:40" hidden="1">
      <c r="A168" s="537" t="s">
        <v>179</v>
      </c>
      <c r="B168" s="1">
        <v>220202</v>
      </c>
      <c r="C168" s="1">
        <v>232043</v>
      </c>
      <c r="D168" s="537" t="s">
        <v>118</v>
      </c>
      <c r="E168" s="537" t="s">
        <v>254</v>
      </c>
      <c r="G168"/>
      <c r="H168" s="537" t="s">
        <v>516</v>
      </c>
      <c r="I168" s="537" t="s">
        <v>517</v>
      </c>
      <c r="J168" s="537" t="s">
        <v>18</v>
      </c>
      <c r="K168" s="537" t="s">
        <v>57</v>
      </c>
      <c r="L168" s="61">
        <v>34386</v>
      </c>
      <c r="M168" s="1">
        <v>29</v>
      </c>
      <c r="N168" s="1">
        <v>1350</v>
      </c>
      <c r="P168" s="1">
        <v>1760</v>
      </c>
      <c r="Q168" s="537"/>
      <c r="R168" s="1">
        <v>410</v>
      </c>
      <c r="S168"/>
      <c r="T168" t="s">
        <v>65</v>
      </c>
      <c r="U168" t="s">
        <v>2639</v>
      </c>
      <c r="V168" t="s">
        <v>65</v>
      </c>
      <c r="W168" s="1">
        <v>44938</v>
      </c>
      <c r="X168" s="537" t="s">
        <v>59</v>
      </c>
      <c r="Y168" s="537" t="s">
        <v>60</v>
      </c>
      <c r="Z168" s="1" t="s">
        <v>199</v>
      </c>
      <c r="AA168" s="537" t="s">
        <v>200</v>
      </c>
      <c r="AB168" s="537" t="s">
        <v>518</v>
      </c>
      <c r="AC168" s="1">
        <v>44589</v>
      </c>
      <c r="AD168" s="61">
        <v>44594</v>
      </c>
      <c r="AE168" s="61">
        <v>44719</v>
      </c>
      <c r="AF168" s="61"/>
      <c r="AG168" s="1" t="s">
        <v>519</v>
      </c>
      <c r="AH168" s="537" t="s">
        <v>1612</v>
      </c>
      <c r="AI168" s="537" t="s">
        <v>145</v>
      </c>
      <c r="AJ168" s="1">
        <v>180</v>
      </c>
      <c r="AK168" s="537" t="s">
        <v>1613</v>
      </c>
      <c r="AL168" s="1" t="s">
        <v>1614</v>
      </c>
      <c r="AM168" s="537" t="s">
        <v>64</v>
      </c>
      <c r="AN168" s="537"/>
    </row>
    <row r="169" spans="1:40" hidden="1">
      <c r="A169" s="537" t="s">
        <v>179</v>
      </c>
      <c r="B169" s="1">
        <v>220201</v>
      </c>
      <c r="C169" s="1">
        <v>232044</v>
      </c>
      <c r="D169" s="537" t="s">
        <v>118</v>
      </c>
      <c r="E169" s="537" t="s">
        <v>674</v>
      </c>
      <c r="F169" s="1" t="s">
        <v>803</v>
      </c>
      <c r="G169"/>
      <c r="H169" s="537" t="s">
        <v>507</v>
      </c>
      <c r="I169" s="537" t="s">
        <v>508</v>
      </c>
      <c r="J169" s="537" t="s">
        <v>18</v>
      </c>
      <c r="K169" s="537" t="s">
        <v>57</v>
      </c>
      <c r="L169" s="61">
        <v>31904</v>
      </c>
      <c r="M169" s="1">
        <v>36</v>
      </c>
      <c r="N169" s="1">
        <v>1400</v>
      </c>
      <c r="P169" s="1">
        <v>1760</v>
      </c>
      <c r="Q169" s="537"/>
      <c r="R169" s="1">
        <v>360</v>
      </c>
      <c r="S169"/>
      <c r="T169" t="s">
        <v>65</v>
      </c>
      <c r="U169" t="s">
        <v>2639</v>
      </c>
      <c r="V169" t="s">
        <v>65</v>
      </c>
      <c r="W169" s="1">
        <v>45595</v>
      </c>
      <c r="X169" s="537" t="s">
        <v>65</v>
      </c>
      <c r="Y169" s="537" t="s">
        <v>60</v>
      </c>
      <c r="Z169" s="1" t="s">
        <v>199</v>
      </c>
      <c r="AA169" s="537" t="s">
        <v>509</v>
      </c>
      <c r="AB169" s="537" t="s">
        <v>510</v>
      </c>
      <c r="AC169" s="1">
        <v>44588</v>
      </c>
      <c r="AD169" s="61">
        <v>44594</v>
      </c>
      <c r="AE169" s="61">
        <v>44933</v>
      </c>
      <c r="AF169" s="61"/>
      <c r="AG169" s="1">
        <v>22.04</v>
      </c>
      <c r="AH169" s="537" t="s">
        <v>1609</v>
      </c>
      <c r="AI169" s="537" t="s">
        <v>436</v>
      </c>
      <c r="AJ169" s="1">
        <v>779</v>
      </c>
      <c r="AK169" s="537" t="s">
        <v>1610</v>
      </c>
      <c r="AL169" s="1" t="s">
        <v>1611</v>
      </c>
      <c r="AM169" s="537" t="s">
        <v>64</v>
      </c>
      <c r="AN169" s="537"/>
    </row>
    <row r="170" spans="1:40" hidden="1">
      <c r="A170" s="537" t="s">
        <v>54</v>
      </c>
      <c r="B170" s="1">
        <v>220206</v>
      </c>
      <c r="C170" s="1">
        <v>232045</v>
      </c>
      <c r="D170" s="537" t="s">
        <v>118</v>
      </c>
      <c r="E170" s="537" t="s">
        <v>3077</v>
      </c>
      <c r="F170" s="1" t="s">
        <v>2604</v>
      </c>
      <c r="G170" t="s">
        <v>3019</v>
      </c>
      <c r="H170" s="537" t="s">
        <v>520</v>
      </c>
      <c r="I170" s="537" t="s">
        <v>521</v>
      </c>
      <c r="J170" s="537" t="s">
        <v>18</v>
      </c>
      <c r="K170" s="537" t="s">
        <v>57</v>
      </c>
      <c r="L170" s="61">
        <v>33746</v>
      </c>
      <c r="M170" s="1">
        <v>31</v>
      </c>
      <c r="N170" s="1">
        <v>1400</v>
      </c>
      <c r="P170" s="1">
        <v>1770</v>
      </c>
      <c r="Q170" s="537"/>
      <c r="R170" s="1">
        <v>370</v>
      </c>
      <c r="S170">
        <v>340000</v>
      </c>
      <c r="T170">
        <v>17017</v>
      </c>
      <c r="U170" t="s">
        <v>2639</v>
      </c>
      <c r="V170">
        <v>31110</v>
      </c>
      <c r="W170" s="1">
        <v>45505</v>
      </c>
      <c r="X170" s="537" t="s">
        <v>65</v>
      </c>
      <c r="Y170" s="537" t="s">
        <v>60</v>
      </c>
      <c r="Z170" s="1" t="s">
        <v>199</v>
      </c>
      <c r="AA170" s="537" t="s">
        <v>522</v>
      </c>
      <c r="AB170" s="537" t="s">
        <v>523</v>
      </c>
      <c r="AC170" s="1">
        <v>44594</v>
      </c>
      <c r="AD170" s="61">
        <v>44599</v>
      </c>
      <c r="AE170" s="61"/>
      <c r="AF170" s="61"/>
      <c r="AG170" s="1">
        <v>22.04</v>
      </c>
      <c r="AH170" s="537" t="s">
        <v>1609</v>
      </c>
      <c r="AI170" s="537" t="s">
        <v>436</v>
      </c>
      <c r="AJ170" s="1">
        <v>779</v>
      </c>
      <c r="AK170" s="537" t="s">
        <v>1610</v>
      </c>
      <c r="AL170" s="1" t="s">
        <v>1611</v>
      </c>
      <c r="AM170" s="537" t="s">
        <v>64</v>
      </c>
      <c r="AN170" s="537"/>
    </row>
    <row r="171" spans="1:40" hidden="1">
      <c r="A171" s="537" t="s">
        <v>54</v>
      </c>
      <c r="B171" s="1">
        <v>220221</v>
      </c>
      <c r="C171" s="1">
        <v>232046</v>
      </c>
      <c r="D171" s="537" t="s">
        <v>118</v>
      </c>
      <c r="E171" s="537" t="s">
        <v>3077</v>
      </c>
      <c r="F171" s="1" t="s">
        <v>2604</v>
      </c>
      <c r="G171" t="s">
        <v>3019</v>
      </c>
      <c r="H171" s="537" t="s">
        <v>549</v>
      </c>
      <c r="I171" s="537" t="s">
        <v>550</v>
      </c>
      <c r="J171" s="537" t="s">
        <v>18</v>
      </c>
      <c r="K171" s="537" t="s">
        <v>57</v>
      </c>
      <c r="L171" s="61">
        <v>35046</v>
      </c>
      <c r="M171" s="1">
        <v>27</v>
      </c>
      <c r="N171" s="1">
        <v>1410</v>
      </c>
      <c r="P171" s="1">
        <v>1790</v>
      </c>
      <c r="Q171" s="537"/>
      <c r="R171" s="1">
        <v>380</v>
      </c>
      <c r="S171">
        <v>340000</v>
      </c>
      <c r="T171">
        <v>17017</v>
      </c>
      <c r="U171" t="s">
        <v>2639</v>
      </c>
      <c r="V171">
        <v>31110</v>
      </c>
      <c r="W171" s="1">
        <v>46152</v>
      </c>
      <c r="X171" s="537" t="s">
        <v>65</v>
      </c>
      <c r="Y171" s="537" t="s">
        <v>60</v>
      </c>
      <c r="Z171" s="1" t="s">
        <v>199</v>
      </c>
      <c r="AA171" s="537" t="s">
        <v>551</v>
      </c>
      <c r="AB171" s="537" t="s">
        <v>552</v>
      </c>
      <c r="AC171" s="1">
        <v>44613</v>
      </c>
      <c r="AD171" s="61">
        <v>44620</v>
      </c>
      <c r="AE171" s="61"/>
      <c r="AF171" s="61"/>
      <c r="AG171" s="1">
        <v>22.05</v>
      </c>
      <c r="AH171" s="537" t="s">
        <v>550</v>
      </c>
      <c r="AI171" s="537" t="s">
        <v>86</v>
      </c>
      <c r="AJ171" s="1">
        <v>638</v>
      </c>
      <c r="AK171" s="537" t="s">
        <v>1217</v>
      </c>
      <c r="AL171" s="1" t="s">
        <v>2393</v>
      </c>
      <c r="AM171" s="537" t="s">
        <v>64</v>
      </c>
      <c r="AN171" s="537"/>
    </row>
    <row r="172" spans="1:40" hidden="1">
      <c r="A172" s="537" t="s">
        <v>54</v>
      </c>
      <c r="B172" s="1">
        <v>231201</v>
      </c>
      <c r="C172" s="1">
        <v>232046</v>
      </c>
      <c r="D172" s="537" t="s">
        <v>118</v>
      </c>
      <c r="E172" s="537" t="s">
        <v>3077</v>
      </c>
      <c r="F172" s="1" t="s">
        <v>2604</v>
      </c>
      <c r="G172" t="s">
        <v>3019</v>
      </c>
      <c r="H172" s="537" t="s">
        <v>3555</v>
      </c>
      <c r="I172" s="537" t="s">
        <v>3556</v>
      </c>
      <c r="J172" s="537" t="s">
        <v>17</v>
      </c>
      <c r="K172" s="537" t="s">
        <v>57</v>
      </c>
      <c r="L172" s="61">
        <v>34068</v>
      </c>
      <c r="M172" s="1">
        <v>30</v>
      </c>
      <c r="N172" s="1">
        <v>1110</v>
      </c>
      <c r="P172" s="1">
        <v>1610</v>
      </c>
      <c r="Q172" s="537"/>
      <c r="R172" s="1">
        <v>500</v>
      </c>
      <c r="S172">
        <v>0</v>
      </c>
      <c r="T172">
        <v>0</v>
      </c>
      <c r="U172" t="s">
        <v>2639</v>
      </c>
      <c r="V172">
        <v>0</v>
      </c>
      <c r="W172" s="1">
        <v>45670</v>
      </c>
      <c r="X172" s="537" t="s">
        <v>65</v>
      </c>
      <c r="Y172" s="537" t="s">
        <v>232</v>
      </c>
      <c r="AA172" s="537"/>
      <c r="AB172" s="537"/>
      <c r="AD172" s="61">
        <v>45261</v>
      </c>
      <c r="AE172" s="61"/>
      <c r="AF172" s="61"/>
      <c r="AH172" s="537"/>
      <c r="AI172" s="537"/>
      <c r="AK172" s="537"/>
      <c r="AM172" s="537"/>
      <c r="AN172" s="537"/>
    </row>
    <row r="173" spans="1:40" hidden="1">
      <c r="A173" s="537" t="s">
        <v>54</v>
      </c>
      <c r="B173" s="1">
        <v>220317</v>
      </c>
      <c r="C173" s="1">
        <v>232050</v>
      </c>
      <c r="D173" s="537" t="s">
        <v>118</v>
      </c>
      <c r="E173" s="537" t="s">
        <v>670</v>
      </c>
      <c r="F173" s="1" t="s">
        <v>2604</v>
      </c>
      <c r="G173" t="s">
        <v>3019</v>
      </c>
      <c r="H173" s="537" t="s">
        <v>555</v>
      </c>
      <c r="I173" s="537" t="s">
        <v>556</v>
      </c>
      <c r="J173" s="537" t="s">
        <v>18</v>
      </c>
      <c r="K173" s="537" t="s">
        <v>57</v>
      </c>
      <c r="L173" s="61">
        <v>34464</v>
      </c>
      <c r="M173" s="1">
        <v>29</v>
      </c>
      <c r="N173" s="1">
        <v>1400</v>
      </c>
      <c r="P173" s="1">
        <v>1780</v>
      </c>
      <c r="Q173" s="537"/>
      <c r="R173" s="1">
        <v>380</v>
      </c>
      <c r="S173">
        <v>340000</v>
      </c>
      <c r="T173">
        <v>17017</v>
      </c>
      <c r="U173" t="s">
        <v>2639</v>
      </c>
      <c r="V173">
        <v>31110</v>
      </c>
      <c r="W173" s="1">
        <v>45351</v>
      </c>
      <c r="X173" s="537" t="s">
        <v>59</v>
      </c>
      <c r="Y173" s="537" t="s">
        <v>60</v>
      </c>
      <c r="Z173" s="1" t="s">
        <v>199</v>
      </c>
      <c r="AA173" s="537" t="s">
        <v>204</v>
      </c>
      <c r="AB173" s="537" t="s">
        <v>823</v>
      </c>
      <c r="AD173" s="61">
        <v>44637</v>
      </c>
      <c r="AE173" s="61"/>
      <c r="AF173" s="61"/>
      <c r="AG173" s="1">
        <v>22.06</v>
      </c>
      <c r="AH173" s="537" t="s">
        <v>556</v>
      </c>
      <c r="AI173" s="537" t="s">
        <v>86</v>
      </c>
      <c r="AJ173" s="1">
        <v>518</v>
      </c>
      <c r="AK173" s="537" t="s">
        <v>247</v>
      </c>
      <c r="AL173" s="1" t="s">
        <v>2395</v>
      </c>
      <c r="AM173" s="537" t="s">
        <v>64</v>
      </c>
      <c r="AN173" s="537"/>
    </row>
    <row r="174" spans="1:40" hidden="1">
      <c r="A174" s="537" t="s">
        <v>179</v>
      </c>
      <c r="B174" s="1">
        <v>220318</v>
      </c>
      <c r="C174" s="1">
        <v>232051</v>
      </c>
      <c r="D174" s="537" t="s">
        <v>118</v>
      </c>
      <c r="E174" s="537" t="s">
        <v>670</v>
      </c>
      <c r="F174" s="1" t="s">
        <v>2604</v>
      </c>
      <c r="G174"/>
      <c r="H174" s="537" t="s">
        <v>557</v>
      </c>
      <c r="I174" s="537" t="s">
        <v>558</v>
      </c>
      <c r="J174" s="537" t="s">
        <v>18</v>
      </c>
      <c r="K174" s="537" t="s">
        <v>57</v>
      </c>
      <c r="L174" s="61">
        <v>34977</v>
      </c>
      <c r="M174" s="1">
        <v>28</v>
      </c>
      <c r="N174" s="1">
        <v>1400</v>
      </c>
      <c r="P174" s="1">
        <v>1750</v>
      </c>
      <c r="Q174" s="537"/>
      <c r="R174" s="1">
        <v>350</v>
      </c>
      <c r="S174">
        <v>180000</v>
      </c>
      <c r="T174">
        <v>9009</v>
      </c>
      <c r="U174" t="s">
        <v>2639</v>
      </c>
      <c r="V174">
        <v>16470</v>
      </c>
      <c r="W174" s="1">
        <v>45351</v>
      </c>
      <c r="X174" s="537" t="s">
        <v>59</v>
      </c>
      <c r="Y174" s="537" t="s">
        <v>60</v>
      </c>
      <c r="Z174" s="1" t="s">
        <v>199</v>
      </c>
      <c r="AA174" s="537" t="s">
        <v>204</v>
      </c>
      <c r="AB174" s="537" t="s">
        <v>823</v>
      </c>
      <c r="AD174" s="61">
        <v>44637</v>
      </c>
      <c r="AE174" s="61">
        <v>44999</v>
      </c>
      <c r="AF174" s="61"/>
      <c r="AG174" s="1">
        <v>22.06</v>
      </c>
      <c r="AH174" s="537" t="s">
        <v>558</v>
      </c>
      <c r="AI174" s="537" t="s">
        <v>86</v>
      </c>
      <c r="AJ174" s="1">
        <v>518</v>
      </c>
      <c r="AK174" s="537" t="s">
        <v>247</v>
      </c>
      <c r="AL174" s="1" t="s">
        <v>2396</v>
      </c>
      <c r="AM174" s="537" t="s">
        <v>64</v>
      </c>
      <c r="AN174" s="537"/>
    </row>
    <row r="175" spans="1:40" hidden="1">
      <c r="A175" s="537" t="s">
        <v>54</v>
      </c>
      <c r="B175" s="1">
        <v>220325</v>
      </c>
      <c r="C175" s="1">
        <v>232052</v>
      </c>
      <c r="D175" s="537" t="s">
        <v>118</v>
      </c>
      <c r="E175" s="537" t="s">
        <v>670</v>
      </c>
      <c r="F175" s="1" t="s">
        <v>2604</v>
      </c>
      <c r="G175" t="s">
        <v>3019</v>
      </c>
      <c r="H175" s="537" t="s">
        <v>568</v>
      </c>
      <c r="I175" s="537" t="s">
        <v>569</v>
      </c>
      <c r="J175" s="537" t="s">
        <v>18</v>
      </c>
      <c r="K175" s="537" t="s">
        <v>57</v>
      </c>
      <c r="L175" s="61">
        <v>32632</v>
      </c>
      <c r="M175" s="1">
        <v>34</v>
      </c>
      <c r="N175" s="1">
        <v>1400</v>
      </c>
      <c r="P175" s="1">
        <v>1780</v>
      </c>
      <c r="Q175" s="537"/>
      <c r="R175" s="1">
        <v>380</v>
      </c>
      <c r="S175">
        <v>300000</v>
      </c>
      <c r="T175">
        <v>15014.999999999998</v>
      </c>
      <c r="U175" t="s">
        <v>2639</v>
      </c>
      <c r="V175">
        <v>27450</v>
      </c>
      <c r="W175" s="1">
        <v>45369</v>
      </c>
      <c r="X175" s="537" t="s">
        <v>65</v>
      </c>
      <c r="Y175" s="537" t="s">
        <v>60</v>
      </c>
      <c r="Z175" s="1" t="s">
        <v>513</v>
      </c>
      <c r="AA175" s="537" t="s">
        <v>3089</v>
      </c>
      <c r="AB175" s="537" t="s">
        <v>3090</v>
      </c>
      <c r="AD175" s="61">
        <v>44649</v>
      </c>
      <c r="AE175" s="61"/>
      <c r="AF175" s="61"/>
      <c r="AG175" s="1" t="s">
        <v>570</v>
      </c>
      <c r="AH175" s="537" t="s">
        <v>569</v>
      </c>
      <c r="AI175" s="537" t="s">
        <v>86</v>
      </c>
      <c r="AJ175" s="1">
        <v>238</v>
      </c>
      <c r="AK175" s="537" t="s">
        <v>1109</v>
      </c>
      <c r="AL175" s="1" t="s">
        <v>2397</v>
      </c>
      <c r="AM175" s="537" t="s">
        <v>571</v>
      </c>
      <c r="AN175" s="537"/>
    </row>
    <row r="176" spans="1:40" hidden="1">
      <c r="A176" s="537" t="s">
        <v>179</v>
      </c>
      <c r="B176" s="1">
        <v>220327</v>
      </c>
      <c r="C176" s="1">
        <v>232053</v>
      </c>
      <c r="D176" s="537" t="s">
        <v>118</v>
      </c>
      <c r="E176" s="537" t="s">
        <v>670</v>
      </c>
      <c r="F176" t="s">
        <v>2604</v>
      </c>
      <c r="G176"/>
      <c r="H176" s="537" t="s">
        <v>574</v>
      </c>
      <c r="I176" s="537" t="s">
        <v>575</v>
      </c>
      <c r="J176" s="537" t="s">
        <v>18</v>
      </c>
      <c r="K176" s="537" t="s">
        <v>57</v>
      </c>
      <c r="L176" s="61">
        <v>34277</v>
      </c>
      <c r="M176" s="1">
        <v>30</v>
      </c>
      <c r="N176" s="1">
        <v>1350</v>
      </c>
      <c r="P176" s="1">
        <v>1750</v>
      </c>
      <c r="Q176" s="537"/>
      <c r="R176" s="1">
        <v>400</v>
      </c>
      <c r="S176"/>
      <c r="T176" t="s">
        <v>65</v>
      </c>
      <c r="U176" t="s">
        <v>2639</v>
      </c>
      <c r="V176" t="s">
        <v>65</v>
      </c>
      <c r="W176" s="1">
        <v>44940</v>
      </c>
      <c r="X176" s="537" t="s">
        <v>59</v>
      </c>
      <c r="Y176" s="537" t="s">
        <v>60</v>
      </c>
      <c r="Z176" s="1" t="s">
        <v>199</v>
      </c>
      <c r="AA176" s="537" t="s">
        <v>270</v>
      </c>
      <c r="AB176" s="537" t="s">
        <v>824</v>
      </c>
      <c r="AC176" s="1">
        <v>44647</v>
      </c>
      <c r="AD176" s="61">
        <v>44651</v>
      </c>
      <c r="AE176" s="61">
        <v>44831</v>
      </c>
      <c r="AF176" s="61">
        <v>44849</v>
      </c>
      <c r="AG176" s="1" t="s">
        <v>572</v>
      </c>
      <c r="AH176" s="537"/>
      <c r="AI176" s="537"/>
      <c r="AK176" s="537"/>
      <c r="AM176" s="537" t="s">
        <v>573</v>
      </c>
      <c r="AN176" s="537"/>
    </row>
    <row r="177" spans="1:40" hidden="1">
      <c r="A177" s="537" t="s">
        <v>179</v>
      </c>
      <c r="B177" s="1">
        <v>220401</v>
      </c>
      <c r="C177" s="1">
        <v>232054</v>
      </c>
      <c r="D177" s="537" t="s">
        <v>118</v>
      </c>
      <c r="E177" s="537" t="s">
        <v>669</v>
      </c>
      <c r="F177" t="s">
        <v>2398</v>
      </c>
      <c r="G177"/>
      <c r="H177" s="537" t="s">
        <v>576</v>
      </c>
      <c r="I177" s="537" t="s">
        <v>577</v>
      </c>
      <c r="J177" s="537" t="s">
        <v>17</v>
      </c>
      <c r="K177" s="537" t="s">
        <v>57</v>
      </c>
      <c r="L177" s="61">
        <v>35437</v>
      </c>
      <c r="M177" s="1">
        <v>26</v>
      </c>
      <c r="N177" s="1">
        <v>1250</v>
      </c>
      <c r="P177" s="1">
        <v>1660</v>
      </c>
      <c r="Q177" s="537"/>
      <c r="R177" s="1">
        <v>410</v>
      </c>
      <c r="S177">
        <v>180000</v>
      </c>
      <c r="T177">
        <v>9009</v>
      </c>
      <c r="U177" t="s">
        <v>2639</v>
      </c>
      <c r="V177">
        <v>16470</v>
      </c>
      <c r="W177" s="1">
        <v>45098</v>
      </c>
      <c r="X177" s="537" t="s">
        <v>59</v>
      </c>
      <c r="Y177" s="537" t="s">
        <v>60</v>
      </c>
      <c r="Z177" s="1" t="s">
        <v>199</v>
      </c>
      <c r="AA177" s="537" t="s">
        <v>122</v>
      </c>
      <c r="AB177" s="537" t="s">
        <v>2686</v>
      </c>
      <c r="AC177" s="1">
        <v>44963</v>
      </c>
      <c r="AD177" s="61">
        <v>44655</v>
      </c>
      <c r="AE177" s="61">
        <v>45040</v>
      </c>
      <c r="AF177" s="61"/>
      <c r="AG177" s="1" t="s">
        <v>572</v>
      </c>
      <c r="AH177" s="537" t="s">
        <v>2399</v>
      </c>
      <c r="AI177" s="537" t="s">
        <v>86</v>
      </c>
      <c r="AJ177" s="1">
        <v>548</v>
      </c>
      <c r="AK177" s="537" t="s">
        <v>125</v>
      </c>
      <c r="AL177" s="1" t="s">
        <v>2400</v>
      </c>
      <c r="AM177" s="537" t="s">
        <v>573</v>
      </c>
      <c r="AN177" s="537"/>
    </row>
    <row r="178" spans="1:40" hidden="1">
      <c r="A178" s="537" t="s">
        <v>54</v>
      </c>
      <c r="B178" s="1">
        <v>220406</v>
      </c>
      <c r="C178" s="1">
        <v>232055</v>
      </c>
      <c r="D178" s="537" t="s">
        <v>118</v>
      </c>
      <c r="E178" s="537" t="s">
        <v>670</v>
      </c>
      <c r="F178" t="s">
        <v>2604</v>
      </c>
      <c r="G178" t="s">
        <v>3019</v>
      </c>
      <c r="H178" s="537" t="s">
        <v>579</v>
      </c>
      <c r="I178" s="537" t="s">
        <v>580</v>
      </c>
      <c r="J178" s="537" t="s">
        <v>18</v>
      </c>
      <c r="K178" s="537" t="s">
        <v>472</v>
      </c>
      <c r="L178" s="61">
        <v>32908</v>
      </c>
      <c r="M178" s="1">
        <v>33</v>
      </c>
      <c r="N178" s="1">
        <v>1400</v>
      </c>
      <c r="P178" s="1">
        <v>1770</v>
      </c>
      <c r="Q178" s="537"/>
      <c r="R178" s="1">
        <v>370</v>
      </c>
      <c r="S178">
        <v>300000</v>
      </c>
      <c r="T178">
        <v>15014.999999999998</v>
      </c>
      <c r="U178" t="s">
        <v>2639</v>
      </c>
      <c r="V178">
        <v>27450</v>
      </c>
      <c r="W178" s="1">
        <v>46017</v>
      </c>
      <c r="X178" s="537" t="s">
        <v>65</v>
      </c>
      <c r="Y178" s="537" t="s">
        <v>60</v>
      </c>
      <c r="Z178" s="1" t="s">
        <v>199</v>
      </c>
      <c r="AA178" s="537" t="s">
        <v>270</v>
      </c>
      <c r="AB178" s="537" t="s">
        <v>581</v>
      </c>
      <c r="AC178" s="1">
        <v>44656</v>
      </c>
      <c r="AD178" s="61">
        <v>44659</v>
      </c>
      <c r="AE178" s="61"/>
      <c r="AF178" s="61"/>
      <c r="AG178" s="1" t="s">
        <v>572</v>
      </c>
      <c r="AH178" s="537" t="s">
        <v>580</v>
      </c>
      <c r="AI178" s="537" t="s">
        <v>86</v>
      </c>
      <c r="AJ178" s="1">
        <v>228</v>
      </c>
      <c r="AK178" s="537" t="s">
        <v>443</v>
      </c>
      <c r="AL178" s="1" t="s">
        <v>2402</v>
      </c>
      <c r="AM178" s="537" t="s">
        <v>582</v>
      </c>
      <c r="AN178" s="537"/>
    </row>
    <row r="179" spans="1:40" hidden="1">
      <c r="A179" s="537" t="s">
        <v>54</v>
      </c>
      <c r="B179" s="1">
        <v>220502</v>
      </c>
      <c r="C179" s="1">
        <v>232057</v>
      </c>
      <c r="D179" s="537" t="s">
        <v>118</v>
      </c>
      <c r="E179" s="537" t="s">
        <v>670</v>
      </c>
      <c r="F179" t="s">
        <v>2604</v>
      </c>
      <c r="G179" t="s">
        <v>3019</v>
      </c>
      <c r="H179" s="537" t="s">
        <v>591</v>
      </c>
      <c r="I179" s="537" t="s">
        <v>592</v>
      </c>
      <c r="J179" s="537" t="s">
        <v>18</v>
      </c>
      <c r="K179" s="537" t="s">
        <v>57</v>
      </c>
      <c r="L179" s="61">
        <v>34432</v>
      </c>
      <c r="M179" s="1">
        <v>29</v>
      </c>
      <c r="N179" s="1">
        <v>1400</v>
      </c>
      <c r="P179" s="1">
        <v>1760</v>
      </c>
      <c r="Q179" s="537"/>
      <c r="R179" s="1">
        <v>360</v>
      </c>
      <c r="S179">
        <v>300000</v>
      </c>
      <c r="T179">
        <v>15014.999999999998</v>
      </c>
      <c r="U179" t="s">
        <v>2639</v>
      </c>
      <c r="V179">
        <v>27450</v>
      </c>
      <c r="W179" s="1">
        <v>45340</v>
      </c>
      <c r="X179" s="537" t="s">
        <v>59</v>
      </c>
      <c r="Y179" s="537" t="s">
        <v>60</v>
      </c>
      <c r="Z179" s="1" t="s">
        <v>199</v>
      </c>
      <c r="AA179" s="537" t="s">
        <v>200</v>
      </c>
      <c r="AB179" s="537" t="s">
        <v>316</v>
      </c>
      <c r="AC179" s="1">
        <v>44687</v>
      </c>
      <c r="AD179" s="61">
        <v>44690</v>
      </c>
      <c r="AE179" s="61"/>
      <c r="AF179" s="61"/>
      <c r="AG179" s="1" t="s">
        <v>589</v>
      </c>
      <c r="AH179" s="537" t="s">
        <v>592</v>
      </c>
      <c r="AI179" s="537" t="s">
        <v>86</v>
      </c>
      <c r="AJ179" s="1">
        <v>448</v>
      </c>
      <c r="AK179" s="537" t="s">
        <v>1325</v>
      </c>
      <c r="AL179" s="1" t="s">
        <v>2403</v>
      </c>
      <c r="AM179" s="537" t="s">
        <v>590</v>
      </c>
      <c r="AN179" s="537"/>
    </row>
    <row r="180" spans="1:40" hidden="1">
      <c r="A180" s="537" t="s">
        <v>179</v>
      </c>
      <c r="B180" s="1">
        <v>220514</v>
      </c>
      <c r="C180" s="1">
        <v>232058</v>
      </c>
      <c r="D180" s="537" t="s">
        <v>118</v>
      </c>
      <c r="E180" s="537" t="s">
        <v>670</v>
      </c>
      <c r="F180" t="s">
        <v>2604</v>
      </c>
      <c r="G180"/>
      <c r="H180" s="537" t="s">
        <v>611</v>
      </c>
      <c r="I180" s="537" t="s">
        <v>612</v>
      </c>
      <c r="J180" s="537" t="s">
        <v>18</v>
      </c>
      <c r="K180" s="537" t="s">
        <v>57</v>
      </c>
      <c r="L180" s="61">
        <v>35113</v>
      </c>
      <c r="M180" s="1">
        <v>27</v>
      </c>
      <c r="N180" s="1">
        <v>1220</v>
      </c>
      <c r="P180" s="1">
        <v>1650</v>
      </c>
      <c r="Q180" s="537"/>
      <c r="R180" s="1">
        <v>430</v>
      </c>
      <c r="S180">
        <v>180000</v>
      </c>
      <c r="T180">
        <v>9009</v>
      </c>
      <c r="U180" t="s">
        <v>2639</v>
      </c>
      <c r="V180">
        <v>16470</v>
      </c>
      <c r="W180" s="1">
        <v>45042</v>
      </c>
      <c r="X180" s="537" t="s">
        <v>59</v>
      </c>
      <c r="Y180" s="537" t="s">
        <v>60</v>
      </c>
      <c r="Z180" s="1" t="s">
        <v>608</v>
      </c>
      <c r="AA180" s="537" t="s">
        <v>609</v>
      </c>
      <c r="AB180" s="537" t="s">
        <v>610</v>
      </c>
      <c r="AC180" s="1">
        <v>44690</v>
      </c>
      <c r="AD180" s="61">
        <v>44693</v>
      </c>
      <c r="AE180" s="61">
        <v>44985</v>
      </c>
      <c r="AF180" s="61"/>
      <c r="AG180" s="1" t="s">
        <v>589</v>
      </c>
      <c r="AH180" s="537" t="s">
        <v>612</v>
      </c>
      <c r="AI180" s="537" t="s">
        <v>86</v>
      </c>
      <c r="AJ180" s="1">
        <v>548</v>
      </c>
      <c r="AK180" s="537" t="s">
        <v>125</v>
      </c>
      <c r="AL180" s="1" t="s">
        <v>2408</v>
      </c>
      <c r="AM180" s="537" t="s">
        <v>601</v>
      </c>
      <c r="AN180" s="537"/>
    </row>
    <row r="181" spans="1:40" hidden="1">
      <c r="A181" s="537" t="s">
        <v>54</v>
      </c>
      <c r="B181" s="1">
        <v>220513</v>
      </c>
      <c r="C181" s="1">
        <v>232059</v>
      </c>
      <c r="D181" s="537" t="s">
        <v>118</v>
      </c>
      <c r="E181" s="537" t="s">
        <v>670</v>
      </c>
      <c r="F181" t="s">
        <v>2604</v>
      </c>
      <c r="G181" t="s">
        <v>3019</v>
      </c>
      <c r="H181" s="537" t="s">
        <v>606</v>
      </c>
      <c r="I181" s="537" t="s">
        <v>607</v>
      </c>
      <c r="J181" s="537" t="s">
        <v>18</v>
      </c>
      <c r="K181" s="537" t="s">
        <v>57</v>
      </c>
      <c r="L181" s="61">
        <v>35602</v>
      </c>
      <c r="M181" s="1">
        <v>26</v>
      </c>
      <c r="N181" s="1">
        <v>1300</v>
      </c>
      <c r="P181" s="1">
        <v>1660</v>
      </c>
      <c r="Q181" s="537"/>
      <c r="R181" s="1">
        <v>360</v>
      </c>
      <c r="S181">
        <v>280000</v>
      </c>
      <c r="T181">
        <v>14014</v>
      </c>
      <c r="U181" t="s">
        <v>2639</v>
      </c>
      <c r="V181">
        <v>25620</v>
      </c>
      <c r="W181" s="1">
        <v>45408</v>
      </c>
      <c r="X181" s="537" t="s">
        <v>65</v>
      </c>
      <c r="Y181" s="537" t="s">
        <v>60</v>
      </c>
      <c r="Z181" s="1" t="s">
        <v>608</v>
      </c>
      <c r="AA181" s="537" t="s">
        <v>609</v>
      </c>
      <c r="AB181" s="537" t="s">
        <v>610</v>
      </c>
      <c r="AC181" s="1">
        <v>44690</v>
      </c>
      <c r="AD181" s="61">
        <v>44693</v>
      </c>
      <c r="AE181" s="61"/>
      <c r="AF181" s="61"/>
      <c r="AG181" s="1" t="s">
        <v>589</v>
      </c>
      <c r="AH181" s="537" t="s">
        <v>607</v>
      </c>
      <c r="AI181" s="537" t="s">
        <v>86</v>
      </c>
      <c r="AJ181" s="1">
        <v>548</v>
      </c>
      <c r="AK181" s="537" t="s">
        <v>125</v>
      </c>
      <c r="AL181" s="1" t="s">
        <v>2407</v>
      </c>
      <c r="AM181" s="537" t="s">
        <v>601</v>
      </c>
      <c r="AN181" s="537"/>
    </row>
    <row r="182" spans="1:40" hidden="1">
      <c r="A182" s="537" t="s">
        <v>179</v>
      </c>
      <c r="B182" s="1">
        <v>220512</v>
      </c>
      <c r="C182" s="1">
        <v>232060</v>
      </c>
      <c r="D182" s="537" t="s">
        <v>118</v>
      </c>
      <c r="E182" s="537" t="s">
        <v>670</v>
      </c>
      <c r="F182" t="s">
        <v>2604</v>
      </c>
      <c r="G182" t="s">
        <v>3019</v>
      </c>
      <c r="H182" s="537" t="s">
        <v>617</v>
      </c>
      <c r="I182" s="537" t="s">
        <v>618</v>
      </c>
      <c r="J182" s="537" t="s">
        <v>18</v>
      </c>
      <c r="K182" s="537" t="s">
        <v>57</v>
      </c>
      <c r="L182" s="61">
        <v>35685</v>
      </c>
      <c r="M182" s="1">
        <v>26</v>
      </c>
      <c r="N182" s="1">
        <v>1300</v>
      </c>
      <c r="P182" s="1">
        <v>1670</v>
      </c>
      <c r="Q182" s="537"/>
      <c r="R182" s="1">
        <v>370</v>
      </c>
      <c r="S182">
        <v>180000</v>
      </c>
      <c r="T182">
        <v>9009</v>
      </c>
      <c r="U182" t="s">
        <v>2639</v>
      </c>
      <c r="V182">
        <v>16470</v>
      </c>
      <c r="W182" s="1">
        <v>45408</v>
      </c>
      <c r="X182" s="537" t="s">
        <v>65</v>
      </c>
      <c r="Y182" s="537" t="s">
        <v>60</v>
      </c>
      <c r="Z182" s="1" t="s">
        <v>608</v>
      </c>
      <c r="AA182" s="537" t="s">
        <v>609</v>
      </c>
      <c r="AB182" s="537" t="s">
        <v>610</v>
      </c>
      <c r="AC182" s="1">
        <v>44690</v>
      </c>
      <c r="AD182" s="61">
        <v>44693</v>
      </c>
      <c r="AE182" s="61">
        <v>45168</v>
      </c>
      <c r="AF182" s="61"/>
      <c r="AG182" s="1" t="s">
        <v>589</v>
      </c>
      <c r="AH182" s="537" t="s">
        <v>618</v>
      </c>
      <c r="AI182" s="537" t="s">
        <v>86</v>
      </c>
      <c r="AJ182" s="1">
        <v>548</v>
      </c>
      <c r="AK182" s="537" t="s">
        <v>125</v>
      </c>
      <c r="AL182" s="1" t="s">
        <v>2406</v>
      </c>
      <c r="AM182" s="537" t="s">
        <v>601</v>
      </c>
      <c r="AN182" s="537"/>
    </row>
    <row r="183" spans="1:40" hidden="1">
      <c r="A183" s="537" t="s">
        <v>54</v>
      </c>
      <c r="B183" s="1">
        <v>220605</v>
      </c>
      <c r="C183" s="1">
        <v>232061</v>
      </c>
      <c r="D183" s="537" t="s">
        <v>118</v>
      </c>
      <c r="E183" s="537" t="s">
        <v>670</v>
      </c>
      <c r="F183" t="s">
        <v>2604</v>
      </c>
      <c r="G183" t="s">
        <v>3019</v>
      </c>
      <c r="H183" s="537" t="s">
        <v>628</v>
      </c>
      <c r="I183" s="537" t="s">
        <v>629</v>
      </c>
      <c r="J183" s="537" t="s">
        <v>18</v>
      </c>
      <c r="K183" s="537" t="s">
        <v>472</v>
      </c>
      <c r="L183" s="61">
        <v>35115</v>
      </c>
      <c r="M183" s="1">
        <v>27</v>
      </c>
      <c r="N183" s="1">
        <v>1400</v>
      </c>
      <c r="P183" s="1">
        <v>1770</v>
      </c>
      <c r="Q183" s="537"/>
      <c r="R183" s="1">
        <v>370</v>
      </c>
      <c r="S183">
        <v>320000</v>
      </c>
      <c r="T183">
        <v>16015.999999999998</v>
      </c>
      <c r="U183" t="s">
        <v>2639</v>
      </c>
      <c r="V183">
        <v>29280</v>
      </c>
      <c r="W183" s="1">
        <v>46115</v>
      </c>
      <c r="X183" s="537" t="s">
        <v>65</v>
      </c>
      <c r="Y183" s="537" t="s">
        <v>60</v>
      </c>
      <c r="Z183" s="1" t="s">
        <v>199</v>
      </c>
      <c r="AA183" s="537" t="s">
        <v>630</v>
      </c>
      <c r="AB183" s="537" t="s">
        <v>631</v>
      </c>
      <c r="AC183" s="1">
        <v>44717</v>
      </c>
      <c r="AD183" s="61">
        <v>44718</v>
      </c>
      <c r="AE183" s="61"/>
      <c r="AF183" s="61"/>
      <c r="AH183" s="537" t="s">
        <v>2411</v>
      </c>
      <c r="AI183" s="537" t="s">
        <v>86</v>
      </c>
      <c r="AJ183" s="1">
        <v>728</v>
      </c>
      <c r="AK183" s="537" t="s">
        <v>460</v>
      </c>
      <c r="AL183" s="1" t="s">
        <v>2412</v>
      </c>
      <c r="AM183" s="537" t="s">
        <v>632</v>
      </c>
      <c r="AN183" s="537" t="s">
        <v>633</v>
      </c>
    </row>
    <row r="184" spans="1:40" hidden="1">
      <c r="A184" s="537" t="s">
        <v>54</v>
      </c>
      <c r="B184" s="1">
        <v>220607</v>
      </c>
      <c r="C184" s="1">
        <v>232062</v>
      </c>
      <c r="D184" s="537" t="s">
        <v>118</v>
      </c>
      <c r="E184" s="537" t="s">
        <v>670</v>
      </c>
      <c r="F184" t="s">
        <v>2604</v>
      </c>
      <c r="G184" t="s">
        <v>3019</v>
      </c>
      <c r="H184" s="537" t="s">
        <v>637</v>
      </c>
      <c r="I184" s="537" t="s">
        <v>2414</v>
      </c>
      <c r="J184" s="537" t="s">
        <v>18</v>
      </c>
      <c r="K184" s="537" t="s">
        <v>472</v>
      </c>
      <c r="L184" s="61">
        <v>34784</v>
      </c>
      <c r="M184" s="1">
        <v>28</v>
      </c>
      <c r="N184" s="1">
        <v>1400</v>
      </c>
      <c r="P184" s="1">
        <v>1770</v>
      </c>
      <c r="Q184" s="537"/>
      <c r="R184" s="1">
        <v>370</v>
      </c>
      <c r="S184">
        <v>320000</v>
      </c>
      <c r="T184">
        <v>16015.999999999998</v>
      </c>
      <c r="U184" t="s">
        <v>2639</v>
      </c>
      <c r="V184">
        <v>29280</v>
      </c>
      <c r="W184" s="1">
        <v>46112</v>
      </c>
      <c r="X184" s="537" t="s">
        <v>65</v>
      </c>
      <c r="Y184" s="537" t="s">
        <v>60</v>
      </c>
      <c r="Z184" s="1" t="s">
        <v>199</v>
      </c>
      <c r="AA184" s="537" t="s">
        <v>630</v>
      </c>
      <c r="AB184" s="537" t="s">
        <v>2413</v>
      </c>
      <c r="AC184" s="1">
        <v>44737</v>
      </c>
      <c r="AD184" s="61">
        <v>44718</v>
      </c>
      <c r="AE184" s="61"/>
      <c r="AF184" s="61"/>
      <c r="AH184" s="537" t="s">
        <v>2414</v>
      </c>
      <c r="AI184" s="537" t="s">
        <v>86</v>
      </c>
      <c r="AJ184" s="1">
        <v>558</v>
      </c>
      <c r="AK184" s="537" t="s">
        <v>1592</v>
      </c>
      <c r="AL184" s="1" t="s">
        <v>2415</v>
      </c>
      <c r="AM184" s="537" t="s">
        <v>632</v>
      </c>
      <c r="AN184" s="537" t="s">
        <v>633</v>
      </c>
    </row>
    <row r="185" spans="1:40" hidden="1">
      <c r="A185" s="537" t="s">
        <v>54</v>
      </c>
      <c r="B185" s="1">
        <v>220606</v>
      </c>
      <c r="C185" s="1">
        <v>232063</v>
      </c>
      <c r="D185" s="537" t="s">
        <v>118</v>
      </c>
      <c r="E185" s="537" t="s">
        <v>670</v>
      </c>
      <c r="F185" t="s">
        <v>2604</v>
      </c>
      <c r="G185" t="s">
        <v>3019</v>
      </c>
      <c r="H185" s="537" t="s">
        <v>634</v>
      </c>
      <c r="I185" s="537" t="s">
        <v>635</v>
      </c>
      <c r="J185" s="537" t="s">
        <v>18</v>
      </c>
      <c r="K185" s="537" t="s">
        <v>472</v>
      </c>
      <c r="L185" s="61">
        <v>32955</v>
      </c>
      <c r="M185" s="1">
        <v>33</v>
      </c>
      <c r="N185" s="1">
        <v>1400</v>
      </c>
      <c r="P185" s="1">
        <v>1770</v>
      </c>
      <c r="Q185" s="537"/>
      <c r="R185" s="1">
        <v>370</v>
      </c>
      <c r="S185">
        <v>320000</v>
      </c>
      <c r="T185">
        <v>16015.999999999998</v>
      </c>
      <c r="U185" t="s">
        <v>2639</v>
      </c>
      <c r="V185">
        <v>29280</v>
      </c>
      <c r="W185" s="1">
        <v>46112</v>
      </c>
      <c r="X185" s="537" t="s">
        <v>65</v>
      </c>
      <c r="Y185" s="537" t="s">
        <v>60</v>
      </c>
      <c r="Z185" s="1" t="s">
        <v>199</v>
      </c>
      <c r="AA185" s="537" t="s">
        <v>204</v>
      </c>
      <c r="AB185" s="537" t="s">
        <v>636</v>
      </c>
      <c r="AC185" s="1">
        <v>44583</v>
      </c>
      <c r="AD185" s="61">
        <v>44718</v>
      </c>
      <c r="AE185" s="61"/>
      <c r="AF185" s="61"/>
      <c r="AH185" s="537" t="s">
        <v>635</v>
      </c>
      <c r="AI185" s="537" t="s">
        <v>86</v>
      </c>
      <c r="AJ185" s="1">
        <v>408</v>
      </c>
      <c r="AK185" s="537" t="s">
        <v>87</v>
      </c>
      <c r="AL185" s="1" t="s">
        <v>1792</v>
      </c>
      <c r="AM185" s="537" t="s">
        <v>632</v>
      </c>
      <c r="AN185" s="537" t="s">
        <v>633</v>
      </c>
    </row>
    <row r="186" spans="1:40" hidden="1">
      <c r="A186" s="537" t="s">
        <v>54</v>
      </c>
      <c r="B186" s="1">
        <v>220710</v>
      </c>
      <c r="C186" s="1">
        <v>232064</v>
      </c>
      <c r="D186" s="537" t="s">
        <v>118</v>
      </c>
      <c r="E186" s="537" t="s">
        <v>670</v>
      </c>
      <c r="F186" t="s">
        <v>2604</v>
      </c>
      <c r="G186" t="s">
        <v>3019</v>
      </c>
      <c r="H186" s="537" t="s">
        <v>648</v>
      </c>
      <c r="I186" s="537" t="s">
        <v>649</v>
      </c>
      <c r="J186" s="537" t="s">
        <v>18</v>
      </c>
      <c r="K186" s="537" t="s">
        <v>472</v>
      </c>
      <c r="L186" s="61">
        <v>34769</v>
      </c>
      <c r="M186" s="1">
        <v>28</v>
      </c>
      <c r="N186" s="1">
        <v>1400</v>
      </c>
      <c r="P186" s="1">
        <v>1770</v>
      </c>
      <c r="Q186" s="537"/>
      <c r="R186" s="1">
        <v>370</v>
      </c>
      <c r="S186">
        <v>300000</v>
      </c>
      <c r="T186">
        <v>15014.999999999998</v>
      </c>
      <c r="U186" t="s">
        <v>2639</v>
      </c>
      <c r="V186">
        <v>27450</v>
      </c>
      <c r="W186" s="1">
        <v>45278</v>
      </c>
      <c r="X186" s="537" t="s">
        <v>59</v>
      </c>
      <c r="Y186" s="537" t="s">
        <v>60</v>
      </c>
      <c r="Z186" s="1" t="s">
        <v>199</v>
      </c>
      <c r="AA186" s="537" t="s">
        <v>233</v>
      </c>
      <c r="AB186" s="537" t="s">
        <v>2660</v>
      </c>
      <c r="AC186" s="1">
        <v>45024</v>
      </c>
      <c r="AD186" s="61">
        <v>44762</v>
      </c>
      <c r="AE186" s="61"/>
      <c r="AF186" s="61"/>
      <c r="AG186" s="1" t="s">
        <v>677</v>
      </c>
      <c r="AH186" s="537" t="s">
        <v>649</v>
      </c>
      <c r="AI186" s="537" t="s">
        <v>86</v>
      </c>
      <c r="AJ186" s="1">
        <v>728</v>
      </c>
      <c r="AK186" s="537" t="s">
        <v>460</v>
      </c>
      <c r="AL186" s="1" t="s">
        <v>2424</v>
      </c>
      <c r="AM186" s="537" t="s">
        <v>768</v>
      </c>
      <c r="AN186" s="537" t="s">
        <v>767</v>
      </c>
    </row>
    <row r="187" spans="1:40" hidden="1">
      <c r="A187" s="537" t="s">
        <v>54</v>
      </c>
      <c r="B187" s="1">
        <v>220708</v>
      </c>
      <c r="C187" s="1">
        <v>232065</v>
      </c>
      <c r="D187" s="537" t="s">
        <v>118</v>
      </c>
      <c r="E187" s="537" t="s">
        <v>670</v>
      </c>
      <c r="F187" t="s">
        <v>2604</v>
      </c>
      <c r="G187" t="s">
        <v>3019</v>
      </c>
      <c r="H187" s="537" t="s">
        <v>644</v>
      </c>
      <c r="I187" s="537" t="s">
        <v>645</v>
      </c>
      <c r="J187" s="537" t="s">
        <v>18</v>
      </c>
      <c r="K187" s="537" t="s">
        <v>472</v>
      </c>
      <c r="L187" s="61">
        <v>34409</v>
      </c>
      <c r="M187" s="1">
        <v>29</v>
      </c>
      <c r="N187" s="1">
        <v>1400</v>
      </c>
      <c r="P187" s="1">
        <v>1770</v>
      </c>
      <c r="Q187" s="537"/>
      <c r="R187" s="1">
        <v>370</v>
      </c>
      <c r="S187">
        <v>300000</v>
      </c>
      <c r="T187">
        <v>15014.999999999998</v>
      </c>
      <c r="U187" t="s">
        <v>2639</v>
      </c>
      <c r="V187">
        <v>27450</v>
      </c>
      <c r="W187" s="1">
        <v>45278</v>
      </c>
      <c r="X187" s="537" t="s">
        <v>59</v>
      </c>
      <c r="Y187" s="537" t="s">
        <v>60</v>
      </c>
      <c r="Z187" s="1" t="s">
        <v>199</v>
      </c>
      <c r="AA187" s="537" t="s">
        <v>257</v>
      </c>
      <c r="AB187" s="537" t="s">
        <v>2419</v>
      </c>
      <c r="AC187" s="1">
        <v>44849</v>
      </c>
      <c r="AD187" s="61">
        <v>44762</v>
      </c>
      <c r="AE187" s="61"/>
      <c r="AF187" s="61"/>
      <c r="AG187" s="1" t="s">
        <v>677</v>
      </c>
      <c r="AH187" s="537" t="s">
        <v>645</v>
      </c>
      <c r="AI187" s="537" t="s">
        <v>86</v>
      </c>
      <c r="AJ187" s="1">
        <v>728</v>
      </c>
      <c r="AK187" s="537" t="s">
        <v>460</v>
      </c>
      <c r="AL187" s="1" t="s">
        <v>2420</v>
      </c>
      <c r="AM187" s="537" t="s">
        <v>765</v>
      </c>
      <c r="AN187" s="537" t="s">
        <v>767</v>
      </c>
    </row>
    <row r="188" spans="1:40" hidden="1">
      <c r="A188" s="537" t="s">
        <v>54</v>
      </c>
      <c r="B188" s="1">
        <v>220711</v>
      </c>
      <c r="C188" s="1">
        <v>232066</v>
      </c>
      <c r="D188" s="537" t="s">
        <v>118</v>
      </c>
      <c r="E188" s="537" t="s">
        <v>670</v>
      </c>
      <c r="F188" t="s">
        <v>2604</v>
      </c>
      <c r="G188" t="s">
        <v>3019</v>
      </c>
      <c r="H188" s="537" t="s">
        <v>650</v>
      </c>
      <c r="I188" s="537" t="s">
        <v>651</v>
      </c>
      <c r="J188" s="537" t="s">
        <v>18</v>
      </c>
      <c r="K188" s="537" t="s">
        <v>472</v>
      </c>
      <c r="L188" s="61">
        <v>34900</v>
      </c>
      <c r="M188" s="1">
        <v>28</v>
      </c>
      <c r="N188" s="1">
        <v>1400</v>
      </c>
      <c r="P188" s="1">
        <v>1770</v>
      </c>
      <c r="Q188" s="537"/>
      <c r="R188" s="1">
        <v>370</v>
      </c>
      <c r="S188">
        <v>300000</v>
      </c>
      <c r="T188">
        <v>15014.999999999998</v>
      </c>
      <c r="U188" t="s">
        <v>2639</v>
      </c>
      <c r="V188">
        <v>27450</v>
      </c>
      <c r="W188" s="1">
        <v>45278</v>
      </c>
      <c r="X188" s="537" t="s">
        <v>59</v>
      </c>
      <c r="Y188" s="537" t="s">
        <v>60</v>
      </c>
      <c r="Z188" s="1" t="s">
        <v>199</v>
      </c>
      <c r="AA188" s="537" t="s">
        <v>233</v>
      </c>
      <c r="AB188" s="537" t="s">
        <v>3101</v>
      </c>
      <c r="AC188" s="1">
        <v>45087</v>
      </c>
      <c r="AD188" s="61">
        <v>44762</v>
      </c>
      <c r="AE188" s="61"/>
      <c r="AF188" s="61"/>
      <c r="AG188" s="1" t="s">
        <v>677</v>
      </c>
      <c r="AH188" s="537" t="s">
        <v>651</v>
      </c>
      <c r="AI188" s="537" t="s">
        <v>86</v>
      </c>
      <c r="AJ188" s="1">
        <v>728</v>
      </c>
      <c r="AK188" s="537" t="s">
        <v>460</v>
      </c>
      <c r="AL188" s="1" t="s">
        <v>2425</v>
      </c>
      <c r="AM188" s="537" t="s">
        <v>765</v>
      </c>
      <c r="AN188" s="537" t="s">
        <v>767</v>
      </c>
    </row>
    <row r="189" spans="1:40" hidden="1">
      <c r="A189" s="537" t="s">
        <v>54</v>
      </c>
      <c r="B189" s="1">
        <v>220709</v>
      </c>
      <c r="C189" s="1">
        <v>232067</v>
      </c>
      <c r="D189" s="537" t="s">
        <v>118</v>
      </c>
      <c r="E189" s="537" t="s">
        <v>670</v>
      </c>
      <c r="F189" t="s">
        <v>2604</v>
      </c>
      <c r="G189" t="s">
        <v>3019</v>
      </c>
      <c r="H189" s="537" t="s">
        <v>646</v>
      </c>
      <c r="I189" s="537" t="s">
        <v>647</v>
      </c>
      <c r="J189" s="537" t="s">
        <v>18</v>
      </c>
      <c r="K189" s="537" t="s">
        <v>472</v>
      </c>
      <c r="L189" s="61">
        <v>35149</v>
      </c>
      <c r="M189" s="1">
        <v>27</v>
      </c>
      <c r="N189" s="1">
        <v>1400</v>
      </c>
      <c r="P189" s="1">
        <v>1770</v>
      </c>
      <c r="Q189" s="537"/>
      <c r="R189" s="1">
        <v>370</v>
      </c>
      <c r="S189">
        <v>320000</v>
      </c>
      <c r="T189">
        <v>16015.999999999998</v>
      </c>
      <c r="U189" t="s">
        <v>2639</v>
      </c>
      <c r="V189">
        <v>29280</v>
      </c>
      <c r="W189" s="1">
        <v>45278</v>
      </c>
      <c r="X189" s="537" t="s">
        <v>59</v>
      </c>
      <c r="Y189" s="537" t="s">
        <v>60</v>
      </c>
      <c r="Z189" s="1" t="s">
        <v>199</v>
      </c>
      <c r="AA189" s="537" t="s">
        <v>630</v>
      </c>
      <c r="AB189" s="537" t="s">
        <v>2421</v>
      </c>
      <c r="AC189" s="1">
        <v>44849</v>
      </c>
      <c r="AD189" s="61">
        <v>44762</v>
      </c>
      <c r="AE189" s="61"/>
      <c r="AF189" s="61"/>
      <c r="AG189" s="1" t="s">
        <v>677</v>
      </c>
      <c r="AH189" s="537" t="s">
        <v>647</v>
      </c>
      <c r="AI189" s="537" t="s">
        <v>86</v>
      </c>
      <c r="AJ189" s="1">
        <v>728</v>
      </c>
      <c r="AK189" s="537" t="s">
        <v>460</v>
      </c>
      <c r="AL189" s="1" t="s">
        <v>2422</v>
      </c>
      <c r="AM189" s="537" t="s">
        <v>765</v>
      </c>
      <c r="AN189" s="537" t="s">
        <v>767</v>
      </c>
    </row>
    <row r="190" spans="1:40" hidden="1">
      <c r="A190" s="537" t="s">
        <v>54</v>
      </c>
      <c r="B190" s="1">
        <v>220712</v>
      </c>
      <c r="C190" s="1">
        <v>232068</v>
      </c>
      <c r="D190" s="537" t="s">
        <v>118</v>
      </c>
      <c r="E190" s="537" t="s">
        <v>674</v>
      </c>
      <c r="F190" t="s">
        <v>814</v>
      </c>
      <c r="G190" t="s">
        <v>3047</v>
      </c>
      <c r="H190" s="537" t="s">
        <v>652</v>
      </c>
      <c r="I190" s="537" t="s">
        <v>653</v>
      </c>
      <c r="J190" s="537" t="s">
        <v>18</v>
      </c>
      <c r="K190" s="537" t="s">
        <v>472</v>
      </c>
      <c r="L190" s="61">
        <v>33796</v>
      </c>
      <c r="M190" s="1">
        <v>31</v>
      </c>
      <c r="N190" s="1">
        <v>1400</v>
      </c>
      <c r="P190" s="1">
        <v>1780</v>
      </c>
      <c r="Q190" s="537"/>
      <c r="R190" s="1">
        <v>380</v>
      </c>
      <c r="S190">
        <v>260000</v>
      </c>
      <c r="T190">
        <v>13013</v>
      </c>
      <c r="U190" t="s">
        <v>2639</v>
      </c>
      <c r="V190">
        <v>23790</v>
      </c>
      <c r="W190" s="1">
        <v>46217</v>
      </c>
      <c r="X190" s="537" t="s">
        <v>65</v>
      </c>
      <c r="Y190" s="537" t="s">
        <v>60</v>
      </c>
      <c r="Z190" s="1" t="s">
        <v>199</v>
      </c>
      <c r="AA190" s="537" t="s">
        <v>630</v>
      </c>
      <c r="AB190" s="537" t="s">
        <v>2421</v>
      </c>
      <c r="AC190" s="1">
        <v>44750</v>
      </c>
      <c r="AD190" s="61">
        <v>44762</v>
      </c>
      <c r="AE190" s="61"/>
      <c r="AF190" s="61"/>
      <c r="AG190" s="1" t="s">
        <v>677</v>
      </c>
      <c r="AH190" s="537" t="s">
        <v>653</v>
      </c>
      <c r="AI190" s="537" t="s">
        <v>86</v>
      </c>
      <c r="AJ190" s="1">
        <v>558</v>
      </c>
      <c r="AK190" s="537" t="s">
        <v>1592</v>
      </c>
      <c r="AL190" s="1" t="s">
        <v>2426</v>
      </c>
      <c r="AM190" s="537" t="s">
        <v>769</v>
      </c>
      <c r="AN190" s="537"/>
    </row>
    <row r="191" spans="1:40" hidden="1">
      <c r="A191" s="537" t="s">
        <v>179</v>
      </c>
      <c r="B191" s="1">
        <v>220713</v>
      </c>
      <c r="C191" s="1">
        <v>232069</v>
      </c>
      <c r="D191" s="537" t="s">
        <v>118</v>
      </c>
      <c r="E191" s="537" t="s">
        <v>674</v>
      </c>
      <c r="F191" t="s">
        <v>814</v>
      </c>
      <c r="G191" t="s">
        <v>3047</v>
      </c>
      <c r="H191" s="537" t="s">
        <v>654</v>
      </c>
      <c r="I191" s="537" t="s">
        <v>655</v>
      </c>
      <c r="J191" s="537" t="s">
        <v>18</v>
      </c>
      <c r="K191" s="537" t="s">
        <v>472</v>
      </c>
      <c r="L191" s="61">
        <v>35012</v>
      </c>
      <c r="M191" s="1">
        <v>28</v>
      </c>
      <c r="N191" s="1">
        <v>1400</v>
      </c>
      <c r="P191" s="1">
        <v>1770</v>
      </c>
      <c r="Q191" s="537"/>
      <c r="R191" s="1">
        <v>370</v>
      </c>
      <c r="S191">
        <v>180000</v>
      </c>
      <c r="T191">
        <v>9009</v>
      </c>
      <c r="U191" t="s">
        <v>2639</v>
      </c>
      <c r="V191">
        <v>16470</v>
      </c>
      <c r="W191" s="1">
        <v>46217</v>
      </c>
      <c r="X191" s="537" t="s">
        <v>65</v>
      </c>
      <c r="Y191" s="537" t="s">
        <v>60</v>
      </c>
      <c r="Z191" s="1" t="s">
        <v>199</v>
      </c>
      <c r="AA191" s="537" t="s">
        <v>251</v>
      </c>
      <c r="AB191" s="537" t="s">
        <v>3102</v>
      </c>
      <c r="AC191" s="1">
        <v>45080</v>
      </c>
      <c r="AD191" s="61">
        <v>44762</v>
      </c>
      <c r="AE191" s="61">
        <v>45184</v>
      </c>
      <c r="AF191" s="61"/>
      <c r="AG191" s="1" t="s">
        <v>677</v>
      </c>
      <c r="AH191" s="537" t="s">
        <v>2428</v>
      </c>
      <c r="AI191" s="537" t="s">
        <v>86</v>
      </c>
      <c r="AJ191" s="1">
        <v>558</v>
      </c>
      <c r="AK191" s="537" t="s">
        <v>1592</v>
      </c>
      <c r="AL191" s="1" t="s">
        <v>2429</v>
      </c>
      <c r="AM191" s="537" t="s">
        <v>769</v>
      </c>
      <c r="AN191" s="537"/>
    </row>
    <row r="192" spans="1:40" hidden="1">
      <c r="A192" s="537" t="s">
        <v>54</v>
      </c>
      <c r="B192" s="1">
        <v>220714</v>
      </c>
      <c r="C192" s="1">
        <v>232070</v>
      </c>
      <c r="D192" s="537" t="s">
        <v>118</v>
      </c>
      <c r="E192" s="537" t="s">
        <v>674</v>
      </c>
      <c r="F192" t="s">
        <v>814</v>
      </c>
      <c r="G192" t="s">
        <v>3047</v>
      </c>
      <c r="H192" s="537" t="s">
        <v>656</v>
      </c>
      <c r="I192" s="537" t="s">
        <v>657</v>
      </c>
      <c r="J192" s="537" t="s">
        <v>18</v>
      </c>
      <c r="K192" s="537" t="s">
        <v>472</v>
      </c>
      <c r="L192" s="61">
        <v>34412</v>
      </c>
      <c r="M192" s="1">
        <v>29</v>
      </c>
      <c r="N192" s="1">
        <v>1400</v>
      </c>
      <c r="P192" s="1">
        <v>1770</v>
      </c>
      <c r="Q192" s="537"/>
      <c r="R192" s="1">
        <v>370</v>
      </c>
      <c r="S192">
        <v>320000</v>
      </c>
      <c r="T192">
        <v>16015.999999999998</v>
      </c>
      <c r="U192" t="s">
        <v>2639</v>
      </c>
      <c r="V192">
        <v>29280</v>
      </c>
      <c r="W192" s="1">
        <v>46217</v>
      </c>
      <c r="X192" s="537" t="s">
        <v>65</v>
      </c>
      <c r="Y192" s="537" t="s">
        <v>60</v>
      </c>
      <c r="Z192" s="1" t="s">
        <v>199</v>
      </c>
      <c r="AA192" s="537" t="s">
        <v>251</v>
      </c>
      <c r="AB192" s="537" t="s">
        <v>2693</v>
      </c>
      <c r="AC192" s="1">
        <v>44750</v>
      </c>
      <c r="AD192" s="61">
        <v>44762</v>
      </c>
      <c r="AE192" s="61"/>
      <c r="AF192" s="61"/>
      <c r="AG192" s="1" t="s">
        <v>677</v>
      </c>
      <c r="AH192" s="537" t="s">
        <v>2430</v>
      </c>
      <c r="AI192" s="537" t="s">
        <v>86</v>
      </c>
      <c r="AJ192" s="1">
        <v>558</v>
      </c>
      <c r="AK192" s="537" t="s">
        <v>1592</v>
      </c>
      <c r="AL192" s="1" t="s">
        <v>2431</v>
      </c>
      <c r="AM192" s="537" t="s">
        <v>769</v>
      </c>
      <c r="AN192" s="537"/>
    </row>
    <row r="193" spans="1:40" hidden="1">
      <c r="A193" s="537" t="s">
        <v>54</v>
      </c>
      <c r="B193" s="1">
        <v>220715</v>
      </c>
      <c r="C193" s="1">
        <v>232071</v>
      </c>
      <c r="D193" s="537" t="s">
        <v>118</v>
      </c>
      <c r="E193" s="537" t="s">
        <v>674</v>
      </c>
      <c r="F193" t="s">
        <v>814</v>
      </c>
      <c r="G193" t="s">
        <v>3047</v>
      </c>
      <c r="H193" s="537" t="s">
        <v>658</v>
      </c>
      <c r="I193" s="537" t="s">
        <v>659</v>
      </c>
      <c r="J193" s="537" t="s">
        <v>18</v>
      </c>
      <c r="K193" s="537" t="s">
        <v>472</v>
      </c>
      <c r="L193" s="61">
        <v>34951</v>
      </c>
      <c r="M193" s="1">
        <v>28</v>
      </c>
      <c r="N193" s="1">
        <v>1400</v>
      </c>
      <c r="P193" s="1">
        <v>1780</v>
      </c>
      <c r="Q193" s="537"/>
      <c r="R193" s="1">
        <v>380</v>
      </c>
      <c r="S193">
        <v>300000</v>
      </c>
      <c r="T193">
        <v>15014.999999999998</v>
      </c>
      <c r="U193" t="s">
        <v>2639</v>
      </c>
      <c r="V193">
        <v>27450</v>
      </c>
      <c r="W193" s="1">
        <v>46112</v>
      </c>
      <c r="X193" s="537" t="s">
        <v>65</v>
      </c>
      <c r="Y193" s="537" t="s">
        <v>60</v>
      </c>
      <c r="Z193" s="1" t="s">
        <v>199</v>
      </c>
      <c r="AA193" s="537" t="s">
        <v>200</v>
      </c>
      <c r="AB193" s="537" t="s">
        <v>201</v>
      </c>
      <c r="AC193" s="1">
        <v>44760</v>
      </c>
      <c r="AD193" s="61">
        <v>44762</v>
      </c>
      <c r="AE193" s="61"/>
      <c r="AF193" s="61"/>
      <c r="AG193" s="1" t="s">
        <v>677</v>
      </c>
      <c r="AH193" s="537" t="s">
        <v>659</v>
      </c>
      <c r="AI193" s="537" t="s">
        <v>86</v>
      </c>
      <c r="AJ193" s="1">
        <v>208</v>
      </c>
      <c r="AK193" s="537" t="s">
        <v>151</v>
      </c>
      <c r="AL193" s="1" t="s">
        <v>2432</v>
      </c>
      <c r="AM193" s="537" t="s">
        <v>678</v>
      </c>
      <c r="AN193" s="537" t="s">
        <v>633</v>
      </c>
    </row>
    <row r="194" spans="1:40" hidden="1">
      <c r="A194" s="537" t="s">
        <v>54</v>
      </c>
      <c r="B194" s="1">
        <v>220716</v>
      </c>
      <c r="C194" s="1">
        <v>232072</v>
      </c>
      <c r="D194" s="537" t="s">
        <v>118</v>
      </c>
      <c r="E194" s="537" t="s">
        <v>674</v>
      </c>
      <c r="F194" t="s">
        <v>814</v>
      </c>
      <c r="G194" t="s">
        <v>3047</v>
      </c>
      <c r="H194" s="537" t="s">
        <v>660</v>
      </c>
      <c r="I194" s="537" t="s">
        <v>661</v>
      </c>
      <c r="J194" s="537" t="s">
        <v>18</v>
      </c>
      <c r="K194" s="537" t="s">
        <v>57</v>
      </c>
      <c r="L194" s="61">
        <v>34495</v>
      </c>
      <c r="M194" s="1">
        <v>29</v>
      </c>
      <c r="N194" s="1">
        <v>1430</v>
      </c>
      <c r="P194" s="1">
        <v>1790</v>
      </c>
      <c r="Q194" s="537"/>
      <c r="R194" s="1">
        <v>360</v>
      </c>
      <c r="S194">
        <v>300000</v>
      </c>
      <c r="T194">
        <v>15014.999999999998</v>
      </c>
      <c r="U194" t="s">
        <v>2639</v>
      </c>
      <c r="V194">
        <v>27450</v>
      </c>
      <c r="W194" s="1">
        <v>46118</v>
      </c>
      <c r="X194" s="537" t="s">
        <v>65</v>
      </c>
      <c r="Y194" s="537" t="s">
        <v>60</v>
      </c>
      <c r="Z194" s="1" t="s">
        <v>199</v>
      </c>
      <c r="AA194" s="537" t="s">
        <v>551</v>
      </c>
      <c r="AB194" s="537" t="s">
        <v>518</v>
      </c>
      <c r="AC194" s="1">
        <v>44620</v>
      </c>
      <c r="AD194" s="61">
        <v>44767</v>
      </c>
      <c r="AE194" s="61"/>
      <c r="AF194" s="61"/>
      <c r="AG194" s="1" t="s">
        <v>638</v>
      </c>
      <c r="AH194" s="537" t="s">
        <v>661</v>
      </c>
      <c r="AI194" s="537" t="s">
        <v>86</v>
      </c>
      <c r="AJ194" s="1">
        <v>718</v>
      </c>
      <c r="AK194" s="537" t="s">
        <v>1628</v>
      </c>
      <c r="AL194" s="1" t="s">
        <v>2433</v>
      </c>
      <c r="AM194" s="537" t="s">
        <v>678</v>
      </c>
      <c r="AN194" s="537" t="s">
        <v>633</v>
      </c>
    </row>
    <row r="195" spans="1:40" hidden="1">
      <c r="A195" s="537" t="s">
        <v>179</v>
      </c>
      <c r="B195" s="1">
        <v>220717</v>
      </c>
      <c r="C195" s="1">
        <v>232073</v>
      </c>
      <c r="D195" s="537" t="s">
        <v>118</v>
      </c>
      <c r="E195" s="537" t="s">
        <v>674</v>
      </c>
      <c r="F195" t="s">
        <v>806</v>
      </c>
      <c r="G195" t="s">
        <v>3021</v>
      </c>
      <c r="H195" s="537" t="s">
        <v>662</v>
      </c>
      <c r="I195" s="537" t="s">
        <v>663</v>
      </c>
      <c r="J195" s="537" t="s">
        <v>18</v>
      </c>
      <c r="K195" s="537" t="s">
        <v>57</v>
      </c>
      <c r="L195" s="61">
        <v>33364</v>
      </c>
      <c r="M195" s="1">
        <v>32</v>
      </c>
      <c r="N195" s="1">
        <v>1250</v>
      </c>
      <c r="P195" s="1">
        <v>1670</v>
      </c>
      <c r="Q195" s="537"/>
      <c r="R195" s="1">
        <v>420</v>
      </c>
      <c r="S195">
        <v>180000</v>
      </c>
      <c r="T195">
        <v>9009</v>
      </c>
      <c r="U195" t="s">
        <v>2639</v>
      </c>
      <c r="V195">
        <v>16470</v>
      </c>
      <c r="W195" s="1">
        <v>45456</v>
      </c>
      <c r="X195" s="537" t="s">
        <v>65</v>
      </c>
      <c r="Y195" s="537" t="s">
        <v>60</v>
      </c>
      <c r="Z195" s="1" t="s">
        <v>199</v>
      </c>
      <c r="AA195" s="537" t="s">
        <v>509</v>
      </c>
      <c r="AB195" s="537" t="s">
        <v>510</v>
      </c>
      <c r="AC195" s="1">
        <v>44774</v>
      </c>
      <c r="AD195" s="61">
        <v>44727</v>
      </c>
      <c r="AE195" s="61">
        <v>45180</v>
      </c>
      <c r="AF195" s="61"/>
      <c r="AG195" s="1" t="s">
        <v>638</v>
      </c>
      <c r="AH195" s="537" t="s">
        <v>2434</v>
      </c>
      <c r="AI195" s="537" t="s">
        <v>86</v>
      </c>
      <c r="AJ195" s="1">
        <v>548</v>
      </c>
      <c r="AK195" s="537" t="s">
        <v>125</v>
      </c>
      <c r="AL195" s="1" t="s">
        <v>2435</v>
      </c>
      <c r="AM195" s="537" t="s">
        <v>678</v>
      </c>
      <c r="AN195" s="537" t="s">
        <v>633</v>
      </c>
    </row>
    <row r="196" spans="1:40" hidden="1">
      <c r="A196" s="537" t="s">
        <v>54</v>
      </c>
      <c r="B196" s="1">
        <v>220812</v>
      </c>
      <c r="C196" s="1">
        <v>232074</v>
      </c>
      <c r="D196" s="537" t="s">
        <v>118</v>
      </c>
      <c r="E196" s="537" t="s">
        <v>674</v>
      </c>
      <c r="F196" s="1" t="s">
        <v>814</v>
      </c>
      <c r="G196" t="s">
        <v>3047</v>
      </c>
      <c r="H196" s="537" t="s">
        <v>825</v>
      </c>
      <c r="I196" s="537" t="s">
        <v>826</v>
      </c>
      <c r="J196" s="537" t="s">
        <v>18</v>
      </c>
      <c r="K196" s="537" t="s">
        <v>57</v>
      </c>
      <c r="L196" s="61">
        <v>35659</v>
      </c>
      <c r="M196" s="1">
        <v>26</v>
      </c>
      <c r="N196" s="1">
        <v>1300</v>
      </c>
      <c r="P196" s="1">
        <v>1650</v>
      </c>
      <c r="Q196" s="537"/>
      <c r="R196" s="1">
        <v>350</v>
      </c>
      <c r="S196">
        <v>280000</v>
      </c>
      <c r="T196">
        <v>14014</v>
      </c>
      <c r="U196" t="s">
        <v>2639</v>
      </c>
      <c r="V196">
        <v>25620</v>
      </c>
      <c r="W196" s="1">
        <v>46230</v>
      </c>
      <c r="X196" s="537" t="s">
        <v>65</v>
      </c>
      <c r="Y196" s="537" t="s">
        <v>60</v>
      </c>
      <c r="Z196" s="1" t="s">
        <v>199</v>
      </c>
      <c r="AA196" s="537" t="s">
        <v>270</v>
      </c>
      <c r="AB196" s="537" t="s">
        <v>664</v>
      </c>
      <c r="AC196" s="1">
        <v>44770</v>
      </c>
      <c r="AD196" s="61">
        <v>44776</v>
      </c>
      <c r="AE196" s="61"/>
      <c r="AF196" s="61"/>
      <c r="AG196" s="1" t="s">
        <v>766</v>
      </c>
      <c r="AH196" s="537" t="s">
        <v>827</v>
      </c>
      <c r="AI196" s="537" t="s">
        <v>86</v>
      </c>
      <c r="AJ196" s="1">
        <v>548</v>
      </c>
      <c r="AK196" s="537" t="s">
        <v>125</v>
      </c>
      <c r="AL196" s="1" t="s">
        <v>2172</v>
      </c>
      <c r="AM196" s="537" t="s">
        <v>828</v>
      </c>
      <c r="AN196" s="537"/>
    </row>
    <row r="197" spans="1:40" hidden="1">
      <c r="A197" s="537" t="s">
        <v>54</v>
      </c>
      <c r="B197" s="1">
        <v>220813</v>
      </c>
      <c r="C197" s="1">
        <v>232075</v>
      </c>
      <c r="D197" s="537" t="s">
        <v>118</v>
      </c>
      <c r="E197" s="537" t="s">
        <v>674</v>
      </c>
      <c r="F197" t="s">
        <v>814</v>
      </c>
      <c r="G197" t="s">
        <v>3047</v>
      </c>
      <c r="H197" s="537" t="s">
        <v>829</v>
      </c>
      <c r="I197" s="537" t="s">
        <v>830</v>
      </c>
      <c r="J197" s="537" t="s">
        <v>18</v>
      </c>
      <c r="K197" s="537" t="s">
        <v>57</v>
      </c>
      <c r="L197" s="61">
        <v>35528</v>
      </c>
      <c r="M197" s="1">
        <v>26</v>
      </c>
      <c r="N197" s="1">
        <v>1250</v>
      </c>
      <c r="P197" s="1">
        <v>1680</v>
      </c>
      <c r="Q197" s="537"/>
      <c r="R197" s="1">
        <v>430</v>
      </c>
      <c r="S197">
        <v>240000</v>
      </c>
      <c r="T197">
        <v>12012</v>
      </c>
      <c r="U197" t="s">
        <v>2639</v>
      </c>
      <c r="V197">
        <v>21960</v>
      </c>
      <c r="W197" s="1">
        <v>46230</v>
      </c>
      <c r="X197" s="537" t="s">
        <v>65</v>
      </c>
      <c r="Y197" s="537" t="s">
        <v>60</v>
      </c>
      <c r="Z197" s="1" t="s">
        <v>199</v>
      </c>
      <c r="AA197" s="537" t="s">
        <v>270</v>
      </c>
      <c r="AB197" s="537" t="s">
        <v>664</v>
      </c>
      <c r="AC197" s="1">
        <v>44770</v>
      </c>
      <c r="AD197" s="61">
        <v>44776</v>
      </c>
      <c r="AE197" s="61"/>
      <c r="AF197" s="61"/>
      <c r="AG197" s="1" t="s">
        <v>766</v>
      </c>
      <c r="AH197" s="537" t="s">
        <v>830</v>
      </c>
      <c r="AI197" s="537" t="s">
        <v>86</v>
      </c>
      <c r="AJ197" s="1">
        <v>548</v>
      </c>
      <c r="AK197" s="537" t="s">
        <v>125</v>
      </c>
      <c r="AL197" s="1" t="s">
        <v>2173</v>
      </c>
      <c r="AM197" s="537" t="s">
        <v>828</v>
      </c>
      <c r="AN197" s="537"/>
    </row>
    <row r="198" spans="1:40" hidden="1">
      <c r="A198" s="537" t="s">
        <v>54</v>
      </c>
      <c r="B198" s="1">
        <v>220806</v>
      </c>
      <c r="C198" s="1">
        <v>232076</v>
      </c>
      <c r="D198" s="537" t="s">
        <v>118</v>
      </c>
      <c r="E198" s="537" t="s">
        <v>670</v>
      </c>
      <c r="F198" t="s">
        <v>2604</v>
      </c>
      <c r="G198" t="s">
        <v>3019</v>
      </c>
      <c r="H198" s="537" t="s">
        <v>831</v>
      </c>
      <c r="I198" s="537" t="s">
        <v>770</v>
      </c>
      <c r="J198" s="537" t="s">
        <v>18</v>
      </c>
      <c r="K198" s="537" t="s">
        <v>57</v>
      </c>
      <c r="L198" s="61">
        <v>31723</v>
      </c>
      <c r="M198" s="1">
        <v>37</v>
      </c>
      <c r="N198" s="1">
        <v>1400</v>
      </c>
      <c r="O198" s="1" t="s">
        <v>2198</v>
      </c>
      <c r="P198" s="1">
        <v>1770</v>
      </c>
      <c r="Q198" s="537"/>
      <c r="R198" s="1">
        <v>370</v>
      </c>
      <c r="S198">
        <v>320000</v>
      </c>
      <c r="T198">
        <v>16015.999999999998</v>
      </c>
      <c r="U198" t="s">
        <v>2639</v>
      </c>
      <c r="V198">
        <v>29280</v>
      </c>
      <c r="W198" s="1">
        <v>46291</v>
      </c>
      <c r="X198" s="537" t="s">
        <v>65</v>
      </c>
      <c r="Y198" s="537" t="s">
        <v>60</v>
      </c>
      <c r="Z198" s="1" t="s">
        <v>199</v>
      </c>
      <c r="AA198" s="537" t="s">
        <v>204</v>
      </c>
      <c r="AB198" s="537" t="s">
        <v>771</v>
      </c>
      <c r="AC198" s="1">
        <v>44409</v>
      </c>
      <c r="AD198" s="61">
        <v>44798</v>
      </c>
      <c r="AE198" s="61"/>
      <c r="AF198" s="61"/>
      <c r="AG198" s="1" t="s">
        <v>832</v>
      </c>
      <c r="AH198" s="537" t="s">
        <v>770</v>
      </c>
      <c r="AI198" s="537" t="s">
        <v>86</v>
      </c>
      <c r="AJ198" s="1">
        <v>438</v>
      </c>
      <c r="AK198" s="537" t="s">
        <v>223</v>
      </c>
      <c r="AL198" s="1" t="s">
        <v>2436</v>
      </c>
      <c r="AM198" s="537" t="s">
        <v>772</v>
      </c>
      <c r="AN198" s="537" t="s">
        <v>633</v>
      </c>
    </row>
    <row r="199" spans="1:40" hidden="1">
      <c r="A199" s="537" t="s">
        <v>54</v>
      </c>
      <c r="B199" s="1">
        <v>220807</v>
      </c>
      <c r="C199" s="1">
        <v>232077</v>
      </c>
      <c r="D199" s="537" t="s">
        <v>118</v>
      </c>
      <c r="E199" s="537" t="s">
        <v>670</v>
      </c>
      <c r="F199" t="s">
        <v>2604</v>
      </c>
      <c r="G199" t="s">
        <v>3019</v>
      </c>
      <c r="H199" s="537" t="s">
        <v>773</v>
      </c>
      <c r="I199" s="537" t="s">
        <v>774</v>
      </c>
      <c r="J199" s="537" t="s">
        <v>18</v>
      </c>
      <c r="K199" s="537" t="s">
        <v>57</v>
      </c>
      <c r="L199" s="61">
        <v>33771</v>
      </c>
      <c r="M199" s="1">
        <v>31</v>
      </c>
      <c r="N199" s="1">
        <v>1410</v>
      </c>
      <c r="O199" s="1" t="s">
        <v>2701</v>
      </c>
      <c r="P199" s="1">
        <v>1780</v>
      </c>
      <c r="Q199" s="537"/>
      <c r="R199" s="1">
        <v>370</v>
      </c>
      <c r="S199">
        <v>320000</v>
      </c>
      <c r="T199">
        <v>16015.999999999998</v>
      </c>
      <c r="U199" t="s">
        <v>2639</v>
      </c>
      <c r="V199">
        <v>29280</v>
      </c>
      <c r="W199" s="1">
        <v>45007</v>
      </c>
      <c r="X199" s="537"/>
      <c r="Y199" s="537" t="s">
        <v>60</v>
      </c>
      <c r="Z199" s="1" t="s">
        <v>199</v>
      </c>
      <c r="AA199" s="537" t="s">
        <v>833</v>
      </c>
      <c r="AB199" s="537" t="s">
        <v>593</v>
      </c>
      <c r="AC199" s="1">
        <v>44541</v>
      </c>
      <c r="AD199" s="61">
        <v>44798</v>
      </c>
      <c r="AE199" s="61"/>
      <c r="AF199" s="61"/>
      <c r="AG199" s="1" t="s">
        <v>834</v>
      </c>
      <c r="AH199" s="537" t="s">
        <v>774</v>
      </c>
      <c r="AI199" s="537" t="s">
        <v>86</v>
      </c>
      <c r="AJ199" s="1">
        <v>248</v>
      </c>
      <c r="AK199" s="537" t="s">
        <v>224</v>
      </c>
      <c r="AL199" s="1" t="s">
        <v>2437</v>
      </c>
      <c r="AM199" s="537" t="s">
        <v>772</v>
      </c>
      <c r="AN199" s="537" t="s">
        <v>633</v>
      </c>
    </row>
    <row r="200" spans="1:40" hidden="1">
      <c r="A200" s="537" t="s">
        <v>54</v>
      </c>
      <c r="B200" s="1">
        <v>220904</v>
      </c>
      <c r="C200" s="1">
        <v>232078</v>
      </c>
      <c r="D200" s="537" t="s">
        <v>118</v>
      </c>
      <c r="E200" s="537" t="s">
        <v>674</v>
      </c>
      <c r="F200" t="s">
        <v>2981</v>
      </c>
      <c r="G200" t="s">
        <v>3047</v>
      </c>
      <c r="H200" s="537" t="s">
        <v>181</v>
      </c>
      <c r="I200" s="537" t="s">
        <v>835</v>
      </c>
      <c r="J200" s="537" t="s">
        <v>18</v>
      </c>
      <c r="K200" s="537" t="s">
        <v>57</v>
      </c>
      <c r="L200" s="61">
        <v>36251</v>
      </c>
      <c r="M200" s="1">
        <v>24</v>
      </c>
      <c r="N200" s="1">
        <v>1300</v>
      </c>
      <c r="P200" s="1">
        <v>1670</v>
      </c>
      <c r="Q200" s="537"/>
      <c r="R200" s="1">
        <v>370</v>
      </c>
      <c r="S200">
        <v>260000</v>
      </c>
      <c r="T200">
        <v>13013</v>
      </c>
      <c r="U200" t="s">
        <v>2639</v>
      </c>
      <c r="V200">
        <v>23790</v>
      </c>
      <c r="W200" s="1">
        <v>46278</v>
      </c>
      <c r="X200" s="537" t="s">
        <v>65</v>
      </c>
      <c r="Y200" s="537" t="s">
        <v>60</v>
      </c>
      <c r="Z200" s="1" t="s">
        <v>199</v>
      </c>
      <c r="AA200" s="537" t="s">
        <v>251</v>
      </c>
      <c r="AB200" s="537" t="s">
        <v>2228</v>
      </c>
      <c r="AC200" s="1">
        <v>44805</v>
      </c>
      <c r="AD200" s="61">
        <v>44812</v>
      </c>
      <c r="AE200" s="61"/>
      <c r="AF200" s="61"/>
      <c r="AG200" s="1" t="s">
        <v>766</v>
      </c>
      <c r="AH200" s="537" t="s">
        <v>835</v>
      </c>
      <c r="AI200" s="537" t="s">
        <v>86</v>
      </c>
      <c r="AJ200" s="1">
        <v>548</v>
      </c>
      <c r="AK200" s="537" t="s">
        <v>125</v>
      </c>
      <c r="AL200" s="1" t="s">
        <v>2439</v>
      </c>
      <c r="AM200" s="537" t="s">
        <v>2219</v>
      </c>
      <c r="AN200" s="537"/>
    </row>
    <row r="201" spans="1:40" hidden="1">
      <c r="A201" s="537" t="s">
        <v>54</v>
      </c>
      <c r="B201" s="1">
        <v>220905</v>
      </c>
      <c r="C201" s="1">
        <v>232079</v>
      </c>
      <c r="D201" s="537" t="s">
        <v>118</v>
      </c>
      <c r="E201" s="537" t="s">
        <v>674</v>
      </c>
      <c r="F201" t="s">
        <v>2981</v>
      </c>
      <c r="G201" t="s">
        <v>3047</v>
      </c>
      <c r="H201" s="537" t="s">
        <v>836</v>
      </c>
      <c r="I201" s="537" t="s">
        <v>837</v>
      </c>
      <c r="J201" s="537" t="s">
        <v>18</v>
      </c>
      <c r="K201" s="537" t="s">
        <v>57</v>
      </c>
      <c r="L201" s="61">
        <v>36426</v>
      </c>
      <c r="M201" s="1">
        <v>24</v>
      </c>
      <c r="N201" s="1">
        <v>1300</v>
      </c>
      <c r="P201" s="1">
        <v>1660</v>
      </c>
      <c r="Q201" s="537"/>
      <c r="R201" s="1">
        <v>360</v>
      </c>
      <c r="S201">
        <v>240000</v>
      </c>
      <c r="T201">
        <v>12012</v>
      </c>
      <c r="U201" t="s">
        <v>2639</v>
      </c>
      <c r="V201">
        <v>21960</v>
      </c>
      <c r="W201" s="1">
        <v>46278</v>
      </c>
      <c r="X201" s="537" t="s">
        <v>65</v>
      </c>
      <c r="Y201" s="537" t="s">
        <v>60</v>
      </c>
      <c r="Z201" s="1" t="s">
        <v>199</v>
      </c>
      <c r="AA201" s="537" t="s">
        <v>257</v>
      </c>
      <c r="AB201" s="537" t="s">
        <v>2703</v>
      </c>
      <c r="AC201" s="1">
        <v>44864</v>
      </c>
      <c r="AD201" s="61">
        <v>44812</v>
      </c>
      <c r="AE201" s="61"/>
      <c r="AF201" s="61"/>
      <c r="AG201" s="1" t="s">
        <v>766</v>
      </c>
      <c r="AH201" s="537" t="s">
        <v>837</v>
      </c>
      <c r="AI201" s="537" t="s">
        <v>86</v>
      </c>
      <c r="AJ201" s="1">
        <v>548</v>
      </c>
      <c r="AK201" s="537" t="s">
        <v>125</v>
      </c>
      <c r="AL201" s="1" t="s">
        <v>2440</v>
      </c>
      <c r="AM201" s="537" t="s">
        <v>2219</v>
      </c>
      <c r="AN201" s="537"/>
    </row>
    <row r="202" spans="1:40" hidden="1">
      <c r="A202" s="537" t="s">
        <v>179</v>
      </c>
      <c r="B202" s="1">
        <v>220906</v>
      </c>
      <c r="C202" s="1">
        <v>232080</v>
      </c>
      <c r="D202" s="537" t="s">
        <v>118</v>
      </c>
      <c r="E202" s="537" t="s">
        <v>670</v>
      </c>
      <c r="F202" t="s">
        <v>2604</v>
      </c>
      <c r="G202" t="s">
        <v>3019</v>
      </c>
      <c r="H202" s="537" t="s">
        <v>838</v>
      </c>
      <c r="I202" s="537" t="s">
        <v>839</v>
      </c>
      <c r="J202" s="537" t="s">
        <v>18</v>
      </c>
      <c r="K202" s="537" t="s">
        <v>57</v>
      </c>
      <c r="L202" s="61">
        <v>35399</v>
      </c>
      <c r="M202" s="1">
        <v>27</v>
      </c>
      <c r="N202" s="1">
        <v>1400</v>
      </c>
      <c r="O202" s="1" t="s">
        <v>2229</v>
      </c>
      <c r="P202" s="1">
        <v>1760</v>
      </c>
      <c r="Q202" s="537"/>
      <c r="R202" s="1">
        <v>360</v>
      </c>
      <c r="S202">
        <v>300000</v>
      </c>
      <c r="T202">
        <v>15014.999999999998</v>
      </c>
      <c r="U202" t="s">
        <v>2639</v>
      </c>
      <c r="V202">
        <v>27450</v>
      </c>
      <c r="W202" s="1">
        <v>46242</v>
      </c>
      <c r="X202" s="537" t="s">
        <v>65</v>
      </c>
      <c r="Y202" s="537" t="s">
        <v>60</v>
      </c>
      <c r="Z202" s="1" t="s">
        <v>199</v>
      </c>
      <c r="AA202" s="537" t="s">
        <v>204</v>
      </c>
      <c r="AB202" s="537" t="s">
        <v>771</v>
      </c>
      <c r="AC202" s="1">
        <v>44409</v>
      </c>
      <c r="AD202" s="61">
        <v>44812</v>
      </c>
      <c r="AE202" s="61">
        <v>45232</v>
      </c>
      <c r="AF202" s="61"/>
      <c r="AH202" s="537" t="s">
        <v>839</v>
      </c>
      <c r="AI202" s="537" t="s">
        <v>86</v>
      </c>
      <c r="AJ202" s="1">
        <v>468</v>
      </c>
      <c r="AK202" s="537" t="s">
        <v>158</v>
      </c>
      <c r="AL202" s="1" t="s">
        <v>2441</v>
      </c>
      <c r="AM202" s="537" t="s">
        <v>2219</v>
      </c>
      <c r="AN202" s="537" t="s">
        <v>633</v>
      </c>
    </row>
    <row r="203" spans="1:40" hidden="1">
      <c r="A203" s="537" t="s">
        <v>54</v>
      </c>
      <c r="B203" s="1">
        <v>220920</v>
      </c>
      <c r="C203" s="1">
        <v>232081</v>
      </c>
      <c r="D203" s="537" t="s">
        <v>118</v>
      </c>
      <c r="E203" s="537" t="s">
        <v>670</v>
      </c>
      <c r="F203" t="s">
        <v>2604</v>
      </c>
      <c r="G203" t="s">
        <v>3019</v>
      </c>
      <c r="H203" s="537" t="s">
        <v>2266</v>
      </c>
      <c r="I203" s="537" t="s">
        <v>2267</v>
      </c>
      <c r="J203" s="537" t="s">
        <v>18</v>
      </c>
      <c r="K203" s="537" t="s">
        <v>57</v>
      </c>
      <c r="L203" s="61">
        <v>36859</v>
      </c>
      <c r="M203" s="1">
        <v>23</v>
      </c>
      <c r="N203" s="1">
        <v>1250</v>
      </c>
      <c r="P203" s="1">
        <v>1660</v>
      </c>
      <c r="Q203" s="537"/>
      <c r="R203" s="1">
        <v>410</v>
      </c>
      <c r="S203">
        <v>280000</v>
      </c>
      <c r="T203">
        <v>14014</v>
      </c>
      <c r="U203" t="s">
        <v>2639</v>
      </c>
      <c r="V203">
        <v>25620</v>
      </c>
      <c r="W203" s="1">
        <v>46281</v>
      </c>
      <c r="X203" s="537" t="s">
        <v>65</v>
      </c>
      <c r="Y203" s="537" t="s">
        <v>60</v>
      </c>
      <c r="Z203" s="1" t="s">
        <v>608</v>
      </c>
      <c r="AA203" s="537" t="s">
        <v>609</v>
      </c>
      <c r="AB203" s="537" t="s">
        <v>610</v>
      </c>
      <c r="AC203" s="1">
        <v>44820</v>
      </c>
      <c r="AD203" s="61">
        <v>44827</v>
      </c>
      <c r="AE203" s="61">
        <v>45275</v>
      </c>
      <c r="AF203" s="61"/>
      <c r="AG203" s="1" t="s">
        <v>766</v>
      </c>
      <c r="AH203" s="537" t="s">
        <v>2267</v>
      </c>
      <c r="AI203" s="537" t="s">
        <v>86</v>
      </c>
      <c r="AJ203" s="1">
        <v>548</v>
      </c>
      <c r="AK203" s="537" t="s">
        <v>125</v>
      </c>
      <c r="AL203" s="1" t="s">
        <v>2447</v>
      </c>
      <c r="AM203" s="537" t="s">
        <v>2259</v>
      </c>
      <c r="AN203" s="537"/>
    </row>
    <row r="204" spans="1:40" hidden="1">
      <c r="A204" s="537" t="s">
        <v>54</v>
      </c>
      <c r="B204" s="1">
        <v>220918</v>
      </c>
      <c r="C204" s="1">
        <v>232082</v>
      </c>
      <c r="D204" s="537" t="s">
        <v>118</v>
      </c>
      <c r="E204" s="537" t="s">
        <v>670</v>
      </c>
      <c r="F204" t="s">
        <v>2604</v>
      </c>
      <c r="G204" t="s">
        <v>3019</v>
      </c>
      <c r="H204" s="537" t="s">
        <v>2262</v>
      </c>
      <c r="I204" s="537" t="s">
        <v>2263</v>
      </c>
      <c r="J204" s="537" t="s">
        <v>18</v>
      </c>
      <c r="K204" s="537" t="s">
        <v>57</v>
      </c>
      <c r="L204" s="61">
        <v>36871</v>
      </c>
      <c r="M204" s="1">
        <v>23</v>
      </c>
      <c r="N204" s="1">
        <v>1250</v>
      </c>
      <c r="P204" s="1">
        <v>1660</v>
      </c>
      <c r="Q204" s="537"/>
      <c r="R204" s="1">
        <v>410</v>
      </c>
      <c r="S204">
        <v>280000</v>
      </c>
      <c r="T204">
        <v>14014</v>
      </c>
      <c r="U204" t="s">
        <v>2639</v>
      </c>
      <c r="V204">
        <v>25620</v>
      </c>
      <c r="W204" s="1">
        <v>46281</v>
      </c>
      <c r="X204" s="537" t="s">
        <v>65</v>
      </c>
      <c r="Y204" s="537" t="s">
        <v>60</v>
      </c>
      <c r="Z204" s="1" t="s">
        <v>608</v>
      </c>
      <c r="AA204" s="537" t="s">
        <v>2443</v>
      </c>
      <c r="AB204" s="537" t="s">
        <v>2444</v>
      </c>
      <c r="AC204" s="1">
        <v>44849</v>
      </c>
      <c r="AD204" s="61">
        <v>44827</v>
      </c>
      <c r="AE204" s="61"/>
      <c r="AF204" s="61"/>
      <c r="AG204" s="1" t="s">
        <v>766</v>
      </c>
      <c r="AH204" s="537" t="s">
        <v>2263</v>
      </c>
      <c r="AI204" s="537" t="s">
        <v>86</v>
      </c>
      <c r="AJ204" s="1">
        <v>548</v>
      </c>
      <c r="AK204" s="537" t="s">
        <v>125</v>
      </c>
      <c r="AL204" s="1" t="s">
        <v>2445</v>
      </c>
      <c r="AM204" s="537" t="s">
        <v>2259</v>
      </c>
      <c r="AN204" s="537"/>
    </row>
    <row r="205" spans="1:40" hidden="1">
      <c r="A205" s="537" t="s">
        <v>54</v>
      </c>
      <c r="B205" s="1">
        <v>220919</v>
      </c>
      <c r="C205" s="1">
        <v>232083</v>
      </c>
      <c r="D205" s="537" t="s">
        <v>118</v>
      </c>
      <c r="E205" s="537" t="s">
        <v>670</v>
      </c>
      <c r="F205" t="s">
        <v>2604</v>
      </c>
      <c r="G205" t="s">
        <v>3019</v>
      </c>
      <c r="H205" s="537" t="s">
        <v>2264</v>
      </c>
      <c r="I205" s="537" t="s">
        <v>2265</v>
      </c>
      <c r="J205" s="537" t="s">
        <v>18</v>
      </c>
      <c r="K205" s="537" t="s">
        <v>57</v>
      </c>
      <c r="L205" s="61">
        <v>36871</v>
      </c>
      <c r="M205" s="1">
        <v>23</v>
      </c>
      <c r="N205" s="1">
        <v>1250</v>
      </c>
      <c r="P205" s="1">
        <v>1660</v>
      </c>
      <c r="Q205" s="537"/>
      <c r="R205" s="1">
        <v>410</v>
      </c>
      <c r="S205">
        <v>280000</v>
      </c>
      <c r="T205">
        <v>14014</v>
      </c>
      <c r="U205" t="s">
        <v>2639</v>
      </c>
      <c r="V205">
        <v>25620</v>
      </c>
      <c r="W205" s="1">
        <v>46281</v>
      </c>
      <c r="X205" s="537" t="s">
        <v>65</v>
      </c>
      <c r="Y205" s="537" t="s">
        <v>60</v>
      </c>
      <c r="Z205" s="1" t="s">
        <v>608</v>
      </c>
      <c r="AA205" s="537" t="s">
        <v>2443</v>
      </c>
      <c r="AB205" s="537" t="s">
        <v>2444</v>
      </c>
      <c r="AC205" s="1">
        <v>44849</v>
      </c>
      <c r="AD205" s="61">
        <v>44827</v>
      </c>
      <c r="AE205" s="61"/>
      <c r="AF205" s="61"/>
      <c r="AG205" s="1" t="s">
        <v>766</v>
      </c>
      <c r="AH205" s="537" t="s">
        <v>2265</v>
      </c>
      <c r="AI205" s="537" t="s">
        <v>86</v>
      </c>
      <c r="AJ205" s="1">
        <v>548</v>
      </c>
      <c r="AK205" s="537" t="s">
        <v>125</v>
      </c>
      <c r="AL205" s="1" t="s">
        <v>2446</v>
      </c>
      <c r="AM205" s="537" t="s">
        <v>2259</v>
      </c>
      <c r="AN205" s="537"/>
    </row>
    <row r="206" spans="1:40" hidden="1">
      <c r="A206" s="537" t="s">
        <v>54</v>
      </c>
      <c r="B206" s="1">
        <v>221108</v>
      </c>
      <c r="C206" s="1">
        <v>232085</v>
      </c>
      <c r="D206" s="537" t="s">
        <v>118</v>
      </c>
      <c r="E206" s="537" t="s">
        <v>670</v>
      </c>
      <c r="F206" t="s">
        <v>2604</v>
      </c>
      <c r="G206" t="s">
        <v>3019</v>
      </c>
      <c r="H206" s="537" t="s">
        <v>2578</v>
      </c>
      <c r="I206" s="537" t="s">
        <v>2579</v>
      </c>
      <c r="J206" s="537" t="s">
        <v>18</v>
      </c>
      <c r="K206" s="537" t="s">
        <v>57</v>
      </c>
      <c r="L206" s="61">
        <v>35831</v>
      </c>
      <c r="M206" s="1">
        <v>25</v>
      </c>
      <c r="N206" s="1">
        <v>1250</v>
      </c>
      <c r="P206" s="1">
        <v>1660</v>
      </c>
      <c r="Q206" s="537"/>
      <c r="R206" s="1">
        <v>410</v>
      </c>
      <c r="S206">
        <v>300000</v>
      </c>
      <c r="T206">
        <v>15014.999999999998</v>
      </c>
      <c r="U206" t="s">
        <v>2639</v>
      </c>
      <c r="V206">
        <v>27450</v>
      </c>
      <c r="W206" s="1">
        <v>46340</v>
      </c>
      <c r="X206" s="537" t="s">
        <v>65</v>
      </c>
      <c r="Y206" s="537" t="s">
        <v>60</v>
      </c>
      <c r="Z206" s="1" t="s">
        <v>199</v>
      </c>
      <c r="AA206" s="537" t="s">
        <v>257</v>
      </c>
      <c r="AB206" s="537" t="s">
        <v>2703</v>
      </c>
      <c r="AC206" s="1">
        <v>44891</v>
      </c>
      <c r="AD206" s="61">
        <v>44886</v>
      </c>
      <c r="AE206" s="61"/>
      <c r="AF206" s="61"/>
      <c r="AG206" s="1" t="s">
        <v>2516</v>
      </c>
      <c r="AH206" s="537"/>
      <c r="AI206" s="537"/>
      <c r="AK206" s="537"/>
      <c r="AM206" s="537" t="s">
        <v>2608</v>
      </c>
      <c r="AN206" s="537"/>
    </row>
    <row r="207" spans="1:40" hidden="1">
      <c r="A207" s="537" t="s">
        <v>54</v>
      </c>
      <c r="B207" s="1">
        <v>230108</v>
      </c>
      <c r="C207" s="1">
        <v>232086</v>
      </c>
      <c r="D207" s="537" t="s">
        <v>118</v>
      </c>
      <c r="E207" s="537" t="s">
        <v>674</v>
      </c>
      <c r="F207" t="s">
        <v>814</v>
      </c>
      <c r="G207" t="s">
        <v>3047</v>
      </c>
      <c r="H207" s="537" t="s">
        <v>2801</v>
      </c>
      <c r="I207" s="537" t="s">
        <v>2802</v>
      </c>
      <c r="J207" s="537" t="s">
        <v>18</v>
      </c>
      <c r="K207" s="537" t="s">
        <v>57</v>
      </c>
      <c r="L207" s="61">
        <v>36949</v>
      </c>
      <c r="M207" s="1">
        <v>22</v>
      </c>
      <c r="N207" s="1">
        <v>1250</v>
      </c>
      <c r="P207" s="1">
        <v>1650</v>
      </c>
      <c r="Q207" s="537"/>
      <c r="R207" s="1">
        <v>400</v>
      </c>
      <c r="S207">
        <v>220000</v>
      </c>
      <c r="T207">
        <v>11011</v>
      </c>
      <c r="U207" t="s">
        <v>2639</v>
      </c>
      <c r="V207">
        <v>20130</v>
      </c>
      <c r="W207" s="1">
        <v>45304</v>
      </c>
      <c r="X207" s="537" t="s">
        <v>59</v>
      </c>
      <c r="Y207" s="537" t="s">
        <v>60</v>
      </c>
      <c r="Z207" s="1" t="s">
        <v>199</v>
      </c>
      <c r="AA207" s="537" t="s">
        <v>466</v>
      </c>
      <c r="AB207" s="537" t="s">
        <v>3124</v>
      </c>
      <c r="AC207" s="1">
        <v>44939</v>
      </c>
      <c r="AD207" s="61">
        <v>44945</v>
      </c>
      <c r="AE207" s="61"/>
      <c r="AF207" s="61"/>
      <c r="AG207" s="1" t="s">
        <v>2786</v>
      </c>
      <c r="AH207" s="537"/>
      <c r="AI207" s="537"/>
      <c r="AK207" s="537"/>
      <c r="AM207" s="537" t="s">
        <v>2800</v>
      </c>
      <c r="AN207" s="537"/>
    </row>
    <row r="208" spans="1:40" hidden="1">
      <c r="A208" s="537" t="s">
        <v>54</v>
      </c>
      <c r="B208" s="1">
        <v>230107</v>
      </c>
      <c r="C208" s="1">
        <v>232087</v>
      </c>
      <c r="D208" s="537" t="s">
        <v>118</v>
      </c>
      <c r="E208" s="537" t="s">
        <v>674</v>
      </c>
      <c r="F208" t="s">
        <v>814</v>
      </c>
      <c r="G208" t="s">
        <v>3047</v>
      </c>
      <c r="H208" s="537" t="s">
        <v>2797</v>
      </c>
      <c r="I208" s="537" t="s">
        <v>2798</v>
      </c>
      <c r="J208" s="537" t="s">
        <v>18</v>
      </c>
      <c r="K208" s="537" t="s">
        <v>57</v>
      </c>
      <c r="L208" s="61">
        <v>36846</v>
      </c>
      <c r="M208" s="1">
        <v>23</v>
      </c>
      <c r="N208" s="1">
        <v>1250</v>
      </c>
      <c r="P208" s="1">
        <v>1650</v>
      </c>
      <c r="Q208" s="537"/>
      <c r="R208" s="1">
        <v>400</v>
      </c>
      <c r="S208">
        <v>220000</v>
      </c>
      <c r="T208">
        <v>11011</v>
      </c>
      <c r="U208" t="s">
        <v>2639</v>
      </c>
      <c r="V208">
        <v>20130</v>
      </c>
      <c r="W208" s="1">
        <v>45304</v>
      </c>
      <c r="X208" s="537" t="s">
        <v>59</v>
      </c>
      <c r="Y208" s="537" t="s">
        <v>60</v>
      </c>
      <c r="Z208" s="1" t="s">
        <v>199</v>
      </c>
      <c r="AA208" s="537" t="s">
        <v>2799</v>
      </c>
      <c r="AB208" s="537" t="s">
        <v>510</v>
      </c>
      <c r="AC208" s="1">
        <v>44939</v>
      </c>
      <c r="AD208" s="61">
        <v>44945</v>
      </c>
      <c r="AE208" s="61"/>
      <c r="AF208" s="61"/>
      <c r="AG208" s="1" t="s">
        <v>2786</v>
      </c>
      <c r="AH208" s="537"/>
      <c r="AI208" s="537"/>
      <c r="AK208" s="537"/>
      <c r="AM208" s="537" t="s">
        <v>2800</v>
      </c>
      <c r="AN208" s="537"/>
    </row>
    <row r="209" spans="1:40" hidden="1">
      <c r="A209" s="537" t="s">
        <v>179</v>
      </c>
      <c r="B209" s="1">
        <v>230201</v>
      </c>
      <c r="C209" s="1">
        <v>232088</v>
      </c>
      <c r="D209" s="537" t="s">
        <v>118</v>
      </c>
      <c r="E209" s="537" t="s">
        <v>676</v>
      </c>
      <c r="F209" t="s">
        <v>3125</v>
      </c>
      <c r="G209" t="s">
        <v>800</v>
      </c>
      <c r="H209" s="537" t="s">
        <v>2815</v>
      </c>
      <c r="I209" s="537" t="s">
        <v>2816</v>
      </c>
      <c r="J209" s="537" t="s">
        <v>17</v>
      </c>
      <c r="K209" s="537" t="s">
        <v>57</v>
      </c>
      <c r="L209" s="61">
        <v>36357</v>
      </c>
      <c r="M209" s="1">
        <v>24</v>
      </c>
      <c r="N209" s="1">
        <v>1300</v>
      </c>
      <c r="P209" s="1">
        <v>1660</v>
      </c>
      <c r="Q209" s="537"/>
      <c r="R209" s="1">
        <v>360</v>
      </c>
      <c r="S209">
        <v>180000</v>
      </c>
      <c r="T209">
        <v>9009</v>
      </c>
      <c r="U209" t="s">
        <v>2639</v>
      </c>
      <c r="V209">
        <v>16470</v>
      </c>
      <c r="W209" s="1">
        <v>45382</v>
      </c>
      <c r="X209" s="537" t="s">
        <v>65</v>
      </c>
      <c r="Y209" s="537" t="s">
        <v>60</v>
      </c>
      <c r="Z209" s="1" t="s">
        <v>2848</v>
      </c>
      <c r="AA209" s="537" t="s">
        <v>204</v>
      </c>
      <c r="AB209" s="537" t="s">
        <v>3061</v>
      </c>
      <c r="AC209" s="1">
        <v>45087</v>
      </c>
      <c r="AD209" s="61">
        <v>44959</v>
      </c>
      <c r="AE209" s="61">
        <v>45135</v>
      </c>
      <c r="AF209" s="61"/>
      <c r="AG209" s="1" t="s">
        <v>2817</v>
      </c>
      <c r="AH209" s="537"/>
      <c r="AI209" s="537"/>
      <c r="AK209" s="537"/>
      <c r="AM209" s="537" t="s">
        <v>2818</v>
      </c>
      <c r="AN209" s="537"/>
    </row>
    <row r="210" spans="1:40" hidden="1">
      <c r="A210" s="537" t="s">
        <v>54</v>
      </c>
      <c r="B210" s="1">
        <v>230214</v>
      </c>
      <c r="C210" s="1">
        <v>232089</v>
      </c>
      <c r="D210" s="537" t="s">
        <v>118</v>
      </c>
      <c r="E210" s="537" t="s">
        <v>3077</v>
      </c>
      <c r="F210" t="s">
        <v>2604</v>
      </c>
      <c r="G210" t="s">
        <v>3019</v>
      </c>
      <c r="H210" s="537" t="s">
        <v>2852</v>
      </c>
      <c r="I210" s="537" t="s">
        <v>2853</v>
      </c>
      <c r="J210" s="537" t="s">
        <v>18</v>
      </c>
      <c r="K210" s="537" t="s">
        <v>57</v>
      </c>
      <c r="L210" s="61">
        <v>36846</v>
      </c>
      <c r="M210" s="1">
        <v>23</v>
      </c>
      <c r="N210" s="1">
        <v>1250</v>
      </c>
      <c r="P210" s="1">
        <v>1660</v>
      </c>
      <c r="Q210" s="537"/>
      <c r="R210" s="1">
        <v>410</v>
      </c>
      <c r="S210">
        <v>300000</v>
      </c>
      <c r="T210">
        <v>15014.999999999998</v>
      </c>
      <c r="U210" t="s">
        <v>2639</v>
      </c>
      <c r="V210">
        <v>27450</v>
      </c>
      <c r="W210" s="1">
        <v>45337</v>
      </c>
      <c r="X210" s="537" t="s">
        <v>59</v>
      </c>
      <c r="Y210" s="537" t="s">
        <v>60</v>
      </c>
      <c r="Z210" s="1" t="s">
        <v>2848</v>
      </c>
      <c r="AA210" s="537" t="s">
        <v>270</v>
      </c>
      <c r="AB210" s="537" t="s">
        <v>2849</v>
      </c>
      <c r="AC210" s="1">
        <v>44972</v>
      </c>
      <c r="AD210" s="61">
        <v>44979</v>
      </c>
      <c r="AE210" s="61"/>
      <c r="AF210" s="61"/>
      <c r="AG210" s="1" t="s">
        <v>2814</v>
      </c>
      <c r="AH210" s="537"/>
      <c r="AI210" s="537"/>
      <c r="AK210" s="537"/>
      <c r="AM210" s="537" t="s">
        <v>2843</v>
      </c>
      <c r="AN210" s="537"/>
    </row>
    <row r="211" spans="1:40" hidden="1">
      <c r="A211" s="537" t="s">
        <v>54</v>
      </c>
      <c r="B211" s="1">
        <v>230216</v>
      </c>
      <c r="C211" s="1">
        <v>232090</v>
      </c>
      <c r="D211" s="537" t="s">
        <v>118</v>
      </c>
      <c r="E211" s="537" t="s">
        <v>670</v>
      </c>
      <c r="F211" t="s">
        <v>2604</v>
      </c>
      <c r="G211" t="s">
        <v>3019</v>
      </c>
      <c r="H211" s="537" t="s">
        <v>2857</v>
      </c>
      <c r="I211" s="537" t="s">
        <v>2858</v>
      </c>
      <c r="J211" s="537" t="s">
        <v>18</v>
      </c>
      <c r="K211" s="537" t="s">
        <v>57</v>
      </c>
      <c r="L211" s="61">
        <v>36543</v>
      </c>
      <c r="M211" s="1">
        <v>23</v>
      </c>
      <c r="N211" s="1">
        <v>1250</v>
      </c>
      <c r="P211" s="1">
        <v>1660</v>
      </c>
      <c r="Q211" s="537"/>
      <c r="R211" s="1">
        <v>410</v>
      </c>
      <c r="S211">
        <v>260000</v>
      </c>
      <c r="T211">
        <v>13013</v>
      </c>
      <c r="U211" t="s">
        <v>2639</v>
      </c>
      <c r="V211">
        <v>23790</v>
      </c>
      <c r="W211" s="1">
        <v>45337</v>
      </c>
      <c r="X211" s="537" t="s">
        <v>59</v>
      </c>
      <c r="Y211" s="537" t="s">
        <v>60</v>
      </c>
      <c r="Z211" s="1" t="s">
        <v>2848</v>
      </c>
      <c r="AA211" s="537" t="s">
        <v>257</v>
      </c>
      <c r="AB211" s="537" t="s">
        <v>2856</v>
      </c>
      <c r="AC211" s="1">
        <v>44972</v>
      </c>
      <c r="AD211" s="61">
        <v>44979</v>
      </c>
      <c r="AE211" s="61"/>
      <c r="AF211" s="61"/>
      <c r="AG211" s="1" t="s">
        <v>2814</v>
      </c>
      <c r="AH211" s="537"/>
      <c r="AI211" s="537"/>
      <c r="AK211" s="537"/>
      <c r="AM211" s="537" t="s">
        <v>2843</v>
      </c>
      <c r="AN211" s="537"/>
    </row>
    <row r="212" spans="1:40" hidden="1">
      <c r="A212" s="537" t="s">
        <v>54</v>
      </c>
      <c r="B212" s="1">
        <v>230213</v>
      </c>
      <c r="C212" s="1">
        <v>232091</v>
      </c>
      <c r="D212" s="537" t="s">
        <v>118</v>
      </c>
      <c r="E212" s="537" t="s">
        <v>670</v>
      </c>
      <c r="F212" t="s">
        <v>2604</v>
      </c>
      <c r="G212" t="s">
        <v>3019</v>
      </c>
      <c r="H212" s="537" t="s">
        <v>2850</v>
      </c>
      <c r="I212" s="537" t="s">
        <v>2851</v>
      </c>
      <c r="J212" s="537" t="s">
        <v>18</v>
      </c>
      <c r="K212" s="537" t="s">
        <v>57</v>
      </c>
      <c r="L212" s="61">
        <v>36137</v>
      </c>
      <c r="M212" s="1">
        <v>25</v>
      </c>
      <c r="N212" s="1">
        <v>1250</v>
      </c>
      <c r="P212" s="1">
        <v>1660</v>
      </c>
      <c r="Q212" s="537"/>
      <c r="R212" s="1">
        <v>410</v>
      </c>
      <c r="S212">
        <v>240000</v>
      </c>
      <c r="T212">
        <v>12012</v>
      </c>
      <c r="U212" t="s">
        <v>2639</v>
      </c>
      <c r="V212">
        <v>21960</v>
      </c>
      <c r="W212" s="1">
        <v>45337</v>
      </c>
      <c r="X212" s="537" t="s">
        <v>59</v>
      </c>
      <c r="Y212" s="537" t="s">
        <v>60</v>
      </c>
      <c r="Z212" s="1" t="s">
        <v>608</v>
      </c>
      <c r="AA212" s="537" t="s">
        <v>609</v>
      </c>
      <c r="AB212" s="537" t="s">
        <v>610</v>
      </c>
      <c r="AC212" s="1">
        <v>44972</v>
      </c>
      <c r="AD212" s="61">
        <v>44979</v>
      </c>
      <c r="AE212" s="61"/>
      <c r="AF212" s="61"/>
      <c r="AG212" s="1" t="s">
        <v>2814</v>
      </c>
      <c r="AH212" s="537"/>
      <c r="AI212" s="537"/>
      <c r="AK212" s="537"/>
      <c r="AM212" s="537" t="s">
        <v>2843</v>
      </c>
      <c r="AN212" s="537"/>
    </row>
    <row r="213" spans="1:40" hidden="1">
      <c r="A213" s="537" t="s">
        <v>54</v>
      </c>
      <c r="B213" s="1">
        <v>230215</v>
      </c>
      <c r="C213" s="1">
        <v>232092</v>
      </c>
      <c r="D213" s="537" t="s">
        <v>118</v>
      </c>
      <c r="E213" s="537" t="s">
        <v>3077</v>
      </c>
      <c r="F213" t="s">
        <v>2604</v>
      </c>
      <c r="G213" t="s">
        <v>3019</v>
      </c>
      <c r="H213" s="537" t="s">
        <v>2854</v>
      </c>
      <c r="I213" s="537" t="s">
        <v>2855</v>
      </c>
      <c r="J213" s="537" t="s">
        <v>18</v>
      </c>
      <c r="K213" s="537" t="s">
        <v>57</v>
      </c>
      <c r="L213" s="61">
        <v>35718</v>
      </c>
      <c r="M213" s="1">
        <v>26</v>
      </c>
      <c r="N213" s="1">
        <v>1250</v>
      </c>
      <c r="P213" s="1">
        <v>1660</v>
      </c>
      <c r="Q213" s="537"/>
      <c r="R213" s="1">
        <v>410</v>
      </c>
      <c r="S213">
        <v>260000</v>
      </c>
      <c r="T213">
        <v>13013</v>
      </c>
      <c r="U213" t="s">
        <v>2639</v>
      </c>
      <c r="V213">
        <v>23790</v>
      </c>
      <c r="W213" s="1">
        <v>45337</v>
      </c>
      <c r="X213" s="537" t="s">
        <v>59</v>
      </c>
      <c r="Y213" s="537" t="s">
        <v>60</v>
      </c>
      <c r="Z213" s="1" t="s">
        <v>2848</v>
      </c>
      <c r="AA213" s="537" t="s">
        <v>257</v>
      </c>
      <c r="AB213" s="537" t="s">
        <v>2856</v>
      </c>
      <c r="AC213" s="1">
        <v>44972</v>
      </c>
      <c r="AD213" s="61">
        <v>44979</v>
      </c>
      <c r="AE213" s="61"/>
      <c r="AF213" s="61"/>
      <c r="AG213" s="1" t="s">
        <v>2814</v>
      </c>
      <c r="AH213" s="537"/>
      <c r="AI213" s="537"/>
      <c r="AK213" s="537"/>
      <c r="AM213" s="537" t="s">
        <v>2843</v>
      </c>
      <c r="AN213" s="537"/>
    </row>
    <row r="214" spans="1:40" hidden="1">
      <c r="A214" s="537" t="s">
        <v>54</v>
      </c>
      <c r="B214" s="1">
        <v>230212</v>
      </c>
      <c r="C214" s="1">
        <v>232093</v>
      </c>
      <c r="D214" s="537" t="s">
        <v>118</v>
      </c>
      <c r="E214" s="537" t="s">
        <v>670</v>
      </c>
      <c r="F214" t="s">
        <v>2604</v>
      </c>
      <c r="G214" t="s">
        <v>3019</v>
      </c>
      <c r="H214" s="537" t="s">
        <v>2846</v>
      </c>
      <c r="I214" s="537" t="s">
        <v>2847</v>
      </c>
      <c r="J214" s="537" t="s">
        <v>18</v>
      </c>
      <c r="K214" s="537" t="s">
        <v>57</v>
      </c>
      <c r="L214" s="61">
        <v>36892</v>
      </c>
      <c r="M214" s="1">
        <v>22</v>
      </c>
      <c r="N214" s="1">
        <v>1260</v>
      </c>
      <c r="P214" s="1">
        <v>1670</v>
      </c>
      <c r="Q214" s="537"/>
      <c r="R214" s="1">
        <v>410</v>
      </c>
      <c r="S214">
        <v>260000</v>
      </c>
      <c r="T214">
        <v>13013</v>
      </c>
      <c r="U214" t="s">
        <v>2639</v>
      </c>
      <c r="V214">
        <v>23790</v>
      </c>
      <c r="W214" s="1">
        <v>45337</v>
      </c>
      <c r="X214" s="537" t="s">
        <v>59</v>
      </c>
      <c r="Y214" s="537" t="s">
        <v>60</v>
      </c>
      <c r="Z214" s="1" t="s">
        <v>2848</v>
      </c>
      <c r="AA214" s="537" t="s">
        <v>270</v>
      </c>
      <c r="AB214" s="537" t="s">
        <v>2849</v>
      </c>
      <c r="AC214" s="1">
        <v>44972</v>
      </c>
      <c r="AD214" s="61">
        <v>44979</v>
      </c>
      <c r="AE214" s="61"/>
      <c r="AF214" s="61"/>
      <c r="AG214" s="1" t="s">
        <v>2814</v>
      </c>
      <c r="AH214" s="537"/>
      <c r="AI214" s="537"/>
      <c r="AK214" s="537"/>
      <c r="AM214" s="537" t="s">
        <v>2843</v>
      </c>
      <c r="AN214" s="537"/>
    </row>
    <row r="215" spans="1:40" hidden="1">
      <c r="A215" s="537" t="s">
        <v>54</v>
      </c>
      <c r="B215" s="1">
        <v>230306</v>
      </c>
      <c r="C215" s="1">
        <v>232094</v>
      </c>
      <c r="D215" s="537" t="s">
        <v>118</v>
      </c>
      <c r="E215" s="537" t="s">
        <v>670</v>
      </c>
      <c r="F215" t="s">
        <v>2604</v>
      </c>
      <c r="G215" t="s">
        <v>3019</v>
      </c>
      <c r="H215" s="537" t="s">
        <v>2890</v>
      </c>
      <c r="I215" s="537" t="s">
        <v>2891</v>
      </c>
      <c r="J215" s="537" t="s">
        <v>18</v>
      </c>
      <c r="K215" s="537" t="s">
        <v>57</v>
      </c>
      <c r="L215" s="61">
        <v>35709</v>
      </c>
      <c r="M215" s="1">
        <v>26</v>
      </c>
      <c r="N215" s="1">
        <v>1250</v>
      </c>
      <c r="P215" s="1">
        <v>1660</v>
      </c>
      <c r="Q215" s="537"/>
      <c r="R215" s="1">
        <v>410</v>
      </c>
      <c r="S215">
        <v>240000</v>
      </c>
      <c r="T215">
        <v>12012</v>
      </c>
      <c r="U215" t="s">
        <v>2639</v>
      </c>
      <c r="V215">
        <v>21960</v>
      </c>
      <c r="W215" s="1">
        <v>45344</v>
      </c>
      <c r="X215" s="537" t="s">
        <v>59</v>
      </c>
      <c r="Y215" s="537" t="s">
        <v>60</v>
      </c>
      <c r="Z215" s="1" t="s">
        <v>2848</v>
      </c>
      <c r="AA215" s="537" t="s">
        <v>204</v>
      </c>
      <c r="AB215" s="537" t="s">
        <v>822</v>
      </c>
      <c r="AC215" s="1">
        <v>44979</v>
      </c>
      <c r="AD215" s="61">
        <v>44986</v>
      </c>
      <c r="AE215" s="61"/>
      <c r="AF215" s="61"/>
      <c r="AG215" s="1" t="s">
        <v>2877</v>
      </c>
      <c r="AH215" s="537"/>
      <c r="AI215" s="537"/>
      <c r="AK215" s="537"/>
      <c r="AM215" s="537" t="s">
        <v>2843</v>
      </c>
      <c r="AN215" s="537"/>
    </row>
    <row r="216" spans="1:40" hidden="1">
      <c r="A216" s="537" t="s">
        <v>54</v>
      </c>
      <c r="B216" s="1">
        <v>230307</v>
      </c>
      <c r="C216" s="1">
        <v>232095</v>
      </c>
      <c r="D216" s="537" t="s">
        <v>118</v>
      </c>
      <c r="E216" s="537" t="s">
        <v>3077</v>
      </c>
      <c r="F216" t="s">
        <v>2604</v>
      </c>
      <c r="G216" t="s">
        <v>3019</v>
      </c>
      <c r="H216" s="537" t="s">
        <v>2220</v>
      </c>
      <c r="I216" s="537" t="s">
        <v>2221</v>
      </c>
      <c r="J216" s="537" t="s">
        <v>18</v>
      </c>
      <c r="K216" s="537" t="s">
        <v>57</v>
      </c>
      <c r="L216" s="61">
        <v>36865</v>
      </c>
      <c r="M216" s="1">
        <v>23</v>
      </c>
      <c r="N216" s="1">
        <v>1250</v>
      </c>
      <c r="P216" s="1">
        <v>1660</v>
      </c>
      <c r="Q216" s="537"/>
      <c r="R216" s="1">
        <v>410</v>
      </c>
      <c r="S216">
        <v>240000</v>
      </c>
      <c r="T216">
        <v>12012</v>
      </c>
      <c r="U216" t="s">
        <v>2639</v>
      </c>
      <c r="V216">
        <v>21960</v>
      </c>
      <c r="W216" s="1">
        <v>45344</v>
      </c>
      <c r="X216" s="537" t="s">
        <v>59</v>
      </c>
      <c r="Y216" s="537" t="s">
        <v>60</v>
      </c>
      <c r="Z216" s="1" t="s">
        <v>2848</v>
      </c>
      <c r="AA216" s="537" t="s">
        <v>204</v>
      </c>
      <c r="AB216" s="537" t="s">
        <v>3133</v>
      </c>
      <c r="AC216" s="1">
        <v>45087</v>
      </c>
      <c r="AD216" s="61">
        <v>44986</v>
      </c>
      <c r="AE216" s="61"/>
      <c r="AF216" s="61"/>
      <c r="AG216" s="1" t="s">
        <v>2877</v>
      </c>
      <c r="AH216" s="537"/>
      <c r="AI216" s="537"/>
      <c r="AK216" s="537"/>
      <c r="AM216" s="537" t="s">
        <v>2843</v>
      </c>
      <c r="AN216" s="537"/>
    </row>
    <row r="217" spans="1:40" hidden="1">
      <c r="A217" s="537" t="s">
        <v>54</v>
      </c>
      <c r="B217" s="1">
        <v>230304</v>
      </c>
      <c r="C217" s="1">
        <v>232096</v>
      </c>
      <c r="D217" s="537" t="s">
        <v>118</v>
      </c>
      <c r="E217" s="537" t="s">
        <v>674</v>
      </c>
      <c r="F217" t="s">
        <v>2981</v>
      </c>
      <c r="G217" t="s">
        <v>3047</v>
      </c>
      <c r="H217" s="537" t="s">
        <v>2886</v>
      </c>
      <c r="I217" s="537" t="s">
        <v>2887</v>
      </c>
      <c r="J217" s="537" t="s">
        <v>18</v>
      </c>
      <c r="K217" s="537" t="s">
        <v>57</v>
      </c>
      <c r="L217" s="61">
        <v>36153</v>
      </c>
      <c r="M217" s="1">
        <v>24</v>
      </c>
      <c r="N217" s="1">
        <v>1250</v>
      </c>
      <c r="P217" s="1">
        <v>1670</v>
      </c>
      <c r="Q217" s="537"/>
      <c r="R217" s="1">
        <v>420</v>
      </c>
      <c r="S217">
        <v>200000</v>
      </c>
      <c r="T217">
        <v>10010</v>
      </c>
      <c r="U217" t="s">
        <v>2639</v>
      </c>
      <c r="V217">
        <v>18300</v>
      </c>
      <c r="W217" s="1">
        <v>45344</v>
      </c>
      <c r="X217" s="537" t="s">
        <v>59</v>
      </c>
      <c r="Y217" s="537" t="s">
        <v>60</v>
      </c>
      <c r="Z217" s="1" t="s">
        <v>2848</v>
      </c>
      <c r="AA217" s="537" t="s">
        <v>204</v>
      </c>
      <c r="AB217" s="537" t="s">
        <v>822</v>
      </c>
      <c r="AC217" s="1">
        <v>44979</v>
      </c>
      <c r="AD217" s="61">
        <v>44986</v>
      </c>
      <c r="AE217" s="61"/>
      <c r="AF217" s="61"/>
      <c r="AG217" s="1" t="s">
        <v>2877</v>
      </c>
      <c r="AH217" s="537"/>
      <c r="AI217" s="537"/>
      <c r="AK217" s="537"/>
      <c r="AM217" s="537" t="s">
        <v>2843</v>
      </c>
      <c r="AN217" s="537"/>
    </row>
    <row r="218" spans="1:40" hidden="1">
      <c r="A218" s="537" t="s">
        <v>54</v>
      </c>
      <c r="B218" s="1">
        <v>230305</v>
      </c>
      <c r="C218" s="1">
        <v>232097</v>
      </c>
      <c r="D218" s="537" t="s">
        <v>118</v>
      </c>
      <c r="E218" s="537" t="s">
        <v>670</v>
      </c>
      <c r="F218" t="s">
        <v>2604</v>
      </c>
      <c r="G218" t="s">
        <v>3019</v>
      </c>
      <c r="H218" s="537" t="s">
        <v>2888</v>
      </c>
      <c r="I218" s="537" t="s">
        <v>2889</v>
      </c>
      <c r="J218" s="537" t="s">
        <v>18</v>
      </c>
      <c r="K218" s="537" t="s">
        <v>57</v>
      </c>
      <c r="L218" s="61">
        <v>35908</v>
      </c>
      <c r="M218" s="1">
        <v>25</v>
      </c>
      <c r="N218" s="1">
        <v>1250</v>
      </c>
      <c r="P218" s="1">
        <v>1660</v>
      </c>
      <c r="Q218" s="537"/>
      <c r="R218" s="1">
        <v>410</v>
      </c>
      <c r="S218">
        <v>240000</v>
      </c>
      <c r="T218">
        <v>12012</v>
      </c>
      <c r="U218" t="s">
        <v>2639</v>
      </c>
      <c r="V218">
        <v>21960</v>
      </c>
      <c r="W218" s="1">
        <v>45344</v>
      </c>
      <c r="X218" s="537" t="s">
        <v>59</v>
      </c>
      <c r="Y218" s="537" t="s">
        <v>60</v>
      </c>
      <c r="Z218" s="1" t="s">
        <v>121</v>
      </c>
      <c r="AA218" s="537" t="s">
        <v>3132</v>
      </c>
      <c r="AB218" s="537" t="s">
        <v>63</v>
      </c>
      <c r="AC218" s="1">
        <v>45108</v>
      </c>
      <c r="AD218" s="61">
        <v>44986</v>
      </c>
      <c r="AE218" s="61"/>
      <c r="AF218" s="61"/>
      <c r="AG218" s="1" t="s">
        <v>2877</v>
      </c>
      <c r="AH218" s="537"/>
      <c r="AI218" s="537"/>
      <c r="AK218" s="537"/>
      <c r="AM218" s="537" t="s">
        <v>2843</v>
      </c>
      <c r="AN218" s="537"/>
    </row>
    <row r="219" spans="1:40" hidden="1">
      <c r="A219" s="537" t="s">
        <v>54</v>
      </c>
      <c r="B219" s="1">
        <v>230303</v>
      </c>
      <c r="C219" s="1">
        <v>232098</v>
      </c>
      <c r="D219" s="537" t="s">
        <v>118</v>
      </c>
      <c r="E219" s="537" t="s">
        <v>670</v>
      </c>
      <c r="F219" t="s">
        <v>2604</v>
      </c>
      <c r="G219" t="s">
        <v>3019</v>
      </c>
      <c r="H219" s="537" t="s">
        <v>2884</v>
      </c>
      <c r="I219" s="537" t="s">
        <v>2885</v>
      </c>
      <c r="J219" s="537" t="s">
        <v>18</v>
      </c>
      <c r="K219" s="537" t="s">
        <v>57</v>
      </c>
      <c r="L219" s="61">
        <v>35340</v>
      </c>
      <c r="M219" s="1">
        <v>27</v>
      </c>
      <c r="N219" s="1">
        <v>1250</v>
      </c>
      <c r="P219" s="1">
        <v>1660</v>
      </c>
      <c r="Q219" s="537"/>
      <c r="R219" s="1">
        <v>410</v>
      </c>
      <c r="S219">
        <v>240000</v>
      </c>
      <c r="T219">
        <v>12012</v>
      </c>
      <c r="U219" t="s">
        <v>2639</v>
      </c>
      <c r="V219">
        <v>21960</v>
      </c>
      <c r="W219" s="1">
        <v>45344</v>
      </c>
      <c r="X219" s="537" t="s">
        <v>59</v>
      </c>
      <c r="Y219" s="537" t="s">
        <v>60</v>
      </c>
      <c r="Z219" s="1" t="s">
        <v>121</v>
      </c>
      <c r="AA219" s="537" t="s">
        <v>3132</v>
      </c>
      <c r="AB219" s="537" t="s">
        <v>63</v>
      </c>
      <c r="AC219" s="1">
        <v>45108</v>
      </c>
      <c r="AD219" s="61">
        <v>44986</v>
      </c>
      <c r="AE219" s="61"/>
      <c r="AF219" s="61"/>
      <c r="AG219" s="1" t="s">
        <v>2877</v>
      </c>
      <c r="AH219" s="537"/>
      <c r="AI219" s="537"/>
      <c r="AK219" s="537"/>
      <c r="AM219" s="537" t="s">
        <v>2843</v>
      </c>
      <c r="AN219" s="537"/>
    </row>
    <row r="220" spans="1:40" hidden="1">
      <c r="A220" s="537" t="s">
        <v>54</v>
      </c>
      <c r="B220" s="1">
        <v>230322</v>
      </c>
      <c r="C220" s="1">
        <v>232099</v>
      </c>
      <c r="D220" s="537" t="s">
        <v>118</v>
      </c>
      <c r="E220" s="537" t="s">
        <v>3077</v>
      </c>
      <c r="F220" t="s">
        <v>2604</v>
      </c>
      <c r="G220" t="s">
        <v>3019</v>
      </c>
      <c r="H220" s="537" t="s">
        <v>2930</v>
      </c>
      <c r="I220" s="537" t="s">
        <v>2931</v>
      </c>
      <c r="J220" s="537" t="s">
        <v>18</v>
      </c>
      <c r="K220" s="537" t="s">
        <v>57</v>
      </c>
      <c r="L220" s="61">
        <v>36793</v>
      </c>
      <c r="M220" s="1">
        <v>23</v>
      </c>
      <c r="N220" s="1">
        <v>1200</v>
      </c>
      <c r="P220" s="1">
        <v>1660</v>
      </c>
      <c r="Q220" s="537"/>
      <c r="R220" s="1">
        <v>460</v>
      </c>
      <c r="S220">
        <v>220000</v>
      </c>
      <c r="T220">
        <v>11011</v>
      </c>
      <c r="U220" t="s">
        <v>2639</v>
      </c>
      <c r="V220">
        <v>20130</v>
      </c>
      <c r="W220" s="1">
        <v>45373</v>
      </c>
      <c r="X220" s="537" t="s">
        <v>65</v>
      </c>
      <c r="Y220" s="537" t="s">
        <v>60</v>
      </c>
      <c r="Z220" s="1" t="s">
        <v>199</v>
      </c>
      <c r="AA220" s="537" t="s">
        <v>204</v>
      </c>
      <c r="AB220" s="537" t="s">
        <v>205</v>
      </c>
      <c r="AC220" s="1">
        <v>45009</v>
      </c>
      <c r="AD220" s="61">
        <v>45013</v>
      </c>
      <c r="AE220" s="61"/>
      <c r="AF220" s="61"/>
      <c r="AG220" s="1" t="s">
        <v>2877</v>
      </c>
      <c r="AH220" s="537"/>
      <c r="AI220" s="537"/>
      <c r="AK220" s="537"/>
      <c r="AM220" s="537" t="s">
        <v>3139</v>
      </c>
      <c r="AN220" s="537"/>
    </row>
    <row r="221" spans="1:40" hidden="1">
      <c r="A221" s="537" t="s">
        <v>54</v>
      </c>
      <c r="B221" s="1">
        <v>230325</v>
      </c>
      <c r="C221" s="1">
        <v>232100</v>
      </c>
      <c r="D221" s="537" t="s">
        <v>118</v>
      </c>
      <c r="E221" s="537" t="s">
        <v>3077</v>
      </c>
      <c r="F221" t="s">
        <v>2604</v>
      </c>
      <c r="G221" t="s">
        <v>3019</v>
      </c>
      <c r="H221" s="537" t="s">
        <v>2936</v>
      </c>
      <c r="I221" s="537" t="s">
        <v>2937</v>
      </c>
      <c r="J221" s="537" t="s">
        <v>18</v>
      </c>
      <c r="K221" s="537" t="s">
        <v>57</v>
      </c>
      <c r="L221" s="61">
        <v>36800</v>
      </c>
      <c r="M221" s="1">
        <v>23</v>
      </c>
      <c r="N221" s="1">
        <v>1200</v>
      </c>
      <c r="P221" s="1">
        <v>1660</v>
      </c>
      <c r="Q221" s="537"/>
      <c r="R221" s="1">
        <v>460</v>
      </c>
      <c r="S221">
        <v>220000</v>
      </c>
      <c r="T221">
        <v>11011</v>
      </c>
      <c r="U221" t="s">
        <v>2639</v>
      </c>
      <c r="V221">
        <v>20130</v>
      </c>
      <c r="W221" s="1">
        <v>45373</v>
      </c>
      <c r="X221" s="537" t="s">
        <v>65</v>
      </c>
      <c r="Y221" s="537" t="s">
        <v>60</v>
      </c>
      <c r="Z221" s="1" t="s">
        <v>199</v>
      </c>
      <c r="AA221" s="537" t="s">
        <v>3140</v>
      </c>
      <c r="AB221" s="537" t="s">
        <v>3141</v>
      </c>
      <c r="AC221" s="1">
        <v>45009</v>
      </c>
      <c r="AD221" s="61">
        <v>45013</v>
      </c>
      <c r="AE221" s="61"/>
      <c r="AF221" s="61"/>
      <c r="AG221" s="1" t="s">
        <v>2877</v>
      </c>
      <c r="AH221" s="537"/>
      <c r="AI221" s="537"/>
      <c r="AK221" s="537"/>
      <c r="AM221" s="537" t="s">
        <v>3139</v>
      </c>
      <c r="AN221" s="537"/>
    </row>
    <row r="222" spans="1:40" hidden="1">
      <c r="A222" s="537" t="s">
        <v>179</v>
      </c>
      <c r="B222" s="1">
        <v>230324</v>
      </c>
      <c r="C222" s="1">
        <v>232101</v>
      </c>
      <c r="D222" s="537" t="s">
        <v>118</v>
      </c>
      <c r="E222" s="537" t="s">
        <v>670</v>
      </c>
      <c r="F222" t="s">
        <v>2604</v>
      </c>
      <c r="G222" t="s">
        <v>3019</v>
      </c>
      <c r="H222" s="537" t="s">
        <v>2934</v>
      </c>
      <c r="I222" s="537" t="s">
        <v>2935</v>
      </c>
      <c r="J222" s="537" t="s">
        <v>18</v>
      </c>
      <c r="K222" s="537" t="s">
        <v>57</v>
      </c>
      <c r="L222" s="61">
        <v>36221</v>
      </c>
      <c r="M222" s="1">
        <v>24</v>
      </c>
      <c r="N222" s="1">
        <v>1200</v>
      </c>
      <c r="P222" s="1">
        <v>1660</v>
      </c>
      <c r="Q222" s="537"/>
      <c r="R222" s="1">
        <v>460</v>
      </c>
      <c r="S222">
        <v>180000</v>
      </c>
      <c r="T222">
        <v>9009</v>
      </c>
      <c r="U222" t="s">
        <v>2639</v>
      </c>
      <c r="V222">
        <v>16470</v>
      </c>
      <c r="W222" s="1">
        <v>45373</v>
      </c>
      <c r="X222" s="537" t="s">
        <v>65</v>
      </c>
      <c r="Y222" s="537" t="s">
        <v>60</v>
      </c>
      <c r="Z222" s="1" t="s">
        <v>199</v>
      </c>
      <c r="AA222" s="537" t="s">
        <v>3140</v>
      </c>
      <c r="AB222" s="537" t="s">
        <v>3142</v>
      </c>
      <c r="AC222" s="1">
        <v>45009</v>
      </c>
      <c r="AD222" s="61">
        <v>45013</v>
      </c>
      <c r="AE222" s="61">
        <v>45173</v>
      </c>
      <c r="AF222" s="61"/>
      <c r="AG222" s="1" t="s">
        <v>2877</v>
      </c>
      <c r="AH222" s="537"/>
      <c r="AI222" s="537"/>
      <c r="AK222" s="537"/>
      <c r="AM222" s="537" t="s">
        <v>3139</v>
      </c>
      <c r="AN222" s="537"/>
    </row>
    <row r="223" spans="1:40" hidden="1">
      <c r="A223" s="537" t="s">
        <v>54</v>
      </c>
      <c r="B223" s="1">
        <v>230609</v>
      </c>
      <c r="C223" s="1">
        <v>232101</v>
      </c>
      <c r="D223" s="537" t="s">
        <v>118</v>
      </c>
      <c r="E223" s="537" t="s">
        <v>3077</v>
      </c>
      <c r="F223" t="s">
        <v>2604</v>
      </c>
      <c r="G223" t="s">
        <v>3019</v>
      </c>
      <c r="H223" s="537" t="s">
        <v>3230</v>
      </c>
      <c r="I223" s="537" t="s">
        <v>3231</v>
      </c>
      <c r="J223" s="537" t="s">
        <v>18</v>
      </c>
      <c r="K223" s="537" t="s">
        <v>57</v>
      </c>
      <c r="L223" s="61">
        <v>33830</v>
      </c>
      <c r="M223" s="1">
        <v>31</v>
      </c>
      <c r="N223" s="1">
        <v>1200</v>
      </c>
      <c r="P223" s="1">
        <v>1650</v>
      </c>
      <c r="Q223" s="537"/>
      <c r="R223" s="1">
        <v>450</v>
      </c>
      <c r="S223">
        <v>190000</v>
      </c>
      <c r="T223">
        <v>9509.5</v>
      </c>
      <c r="U223" t="s">
        <v>2639</v>
      </c>
      <c r="V223">
        <v>17385</v>
      </c>
      <c r="W223" s="1">
        <v>45455</v>
      </c>
      <c r="X223" s="537" t="s">
        <v>65</v>
      </c>
      <c r="Y223" s="537" t="s">
        <v>60</v>
      </c>
      <c r="Z223" s="1" t="s">
        <v>121</v>
      </c>
      <c r="AA223" s="537" t="s">
        <v>122</v>
      </c>
      <c r="AB223" s="537" t="s">
        <v>2686</v>
      </c>
      <c r="AC223" s="1">
        <v>45089</v>
      </c>
      <c r="AD223" s="61">
        <v>45093</v>
      </c>
      <c r="AE223" s="61"/>
      <c r="AF223" s="61"/>
      <c r="AG223" s="1" t="s">
        <v>3216</v>
      </c>
      <c r="AH223" s="537"/>
      <c r="AI223" s="537"/>
      <c r="AK223" s="537"/>
      <c r="AM223" s="537" t="s">
        <v>3217</v>
      </c>
      <c r="AN223" s="537"/>
    </row>
    <row r="224" spans="1:40" hidden="1">
      <c r="A224" s="537" t="s">
        <v>54</v>
      </c>
      <c r="B224" s="1">
        <v>230320</v>
      </c>
      <c r="C224" s="1">
        <v>232102</v>
      </c>
      <c r="D224" s="537" t="s">
        <v>118</v>
      </c>
      <c r="E224" s="537" t="s">
        <v>670</v>
      </c>
      <c r="F224" t="s">
        <v>2604</v>
      </c>
      <c r="G224" t="s">
        <v>3019</v>
      </c>
      <c r="H224" s="537" t="s">
        <v>2926</v>
      </c>
      <c r="I224" s="537" t="s">
        <v>2927</v>
      </c>
      <c r="J224" s="537" t="s">
        <v>18</v>
      </c>
      <c r="K224" s="537" t="s">
        <v>57</v>
      </c>
      <c r="L224" s="61">
        <v>35746</v>
      </c>
      <c r="M224" s="1">
        <v>26</v>
      </c>
      <c r="N224" s="1">
        <v>1200</v>
      </c>
      <c r="P224" s="1">
        <v>1660</v>
      </c>
      <c r="Q224" s="537"/>
      <c r="R224" s="1">
        <v>460</v>
      </c>
      <c r="S224">
        <v>180000</v>
      </c>
      <c r="T224">
        <v>9009</v>
      </c>
      <c r="U224" t="s">
        <v>2639</v>
      </c>
      <c r="V224">
        <v>16470</v>
      </c>
      <c r="W224" s="1">
        <v>45373</v>
      </c>
      <c r="X224" s="537" t="s">
        <v>65</v>
      </c>
      <c r="Y224" s="537" t="s">
        <v>60</v>
      </c>
      <c r="Z224" s="1" t="s">
        <v>199</v>
      </c>
      <c r="AA224" s="537" t="s">
        <v>3140</v>
      </c>
      <c r="AB224" s="537" t="s">
        <v>3141</v>
      </c>
      <c r="AC224" s="1">
        <v>45009</v>
      </c>
      <c r="AD224" s="61">
        <v>45013</v>
      </c>
      <c r="AE224" s="61"/>
      <c r="AF224" s="61"/>
      <c r="AG224" s="1" t="s">
        <v>2877</v>
      </c>
      <c r="AH224" s="537"/>
      <c r="AI224" s="537"/>
      <c r="AK224" s="537"/>
      <c r="AM224" s="537" t="s">
        <v>3139</v>
      </c>
      <c r="AN224" s="537"/>
    </row>
    <row r="225" spans="1:40" hidden="1">
      <c r="A225" s="537" t="s">
        <v>54</v>
      </c>
      <c r="B225" s="1">
        <v>230321</v>
      </c>
      <c r="C225" s="1">
        <v>232103</v>
      </c>
      <c r="D225" s="537" t="s">
        <v>118</v>
      </c>
      <c r="E225" s="537" t="s">
        <v>3077</v>
      </c>
      <c r="F225" t="s">
        <v>2604</v>
      </c>
      <c r="G225" t="s">
        <v>3019</v>
      </c>
      <c r="H225" s="537" t="s">
        <v>2928</v>
      </c>
      <c r="I225" s="537" t="s">
        <v>2929</v>
      </c>
      <c r="J225" s="537" t="s">
        <v>18</v>
      </c>
      <c r="K225" s="537" t="s">
        <v>57</v>
      </c>
      <c r="L225" s="61">
        <v>35956</v>
      </c>
      <c r="M225" s="1">
        <v>25</v>
      </c>
      <c r="N225" s="1">
        <v>1200</v>
      </c>
      <c r="P225" s="1">
        <v>1660</v>
      </c>
      <c r="Q225" s="537"/>
      <c r="R225" s="1">
        <v>460</v>
      </c>
      <c r="S225">
        <v>180000</v>
      </c>
      <c r="T225">
        <v>9009</v>
      </c>
      <c r="U225" t="s">
        <v>2639</v>
      </c>
      <c r="V225">
        <v>16470</v>
      </c>
      <c r="W225" s="1">
        <v>45373</v>
      </c>
      <c r="X225" s="537" t="s">
        <v>65</v>
      </c>
      <c r="Y225" s="537" t="s">
        <v>60</v>
      </c>
      <c r="Z225" s="1" t="s">
        <v>199</v>
      </c>
      <c r="AA225" s="537" t="s">
        <v>204</v>
      </c>
      <c r="AB225" s="537" t="s">
        <v>205</v>
      </c>
      <c r="AC225" s="1">
        <v>45009</v>
      </c>
      <c r="AD225" s="61">
        <v>45013</v>
      </c>
      <c r="AE225" s="61"/>
      <c r="AF225" s="61"/>
      <c r="AG225" s="1" t="s">
        <v>2877</v>
      </c>
      <c r="AH225" s="537"/>
      <c r="AI225" s="537"/>
      <c r="AK225" s="537"/>
      <c r="AM225" s="537" t="s">
        <v>3139</v>
      </c>
      <c r="AN225" s="537"/>
    </row>
    <row r="226" spans="1:40" hidden="1">
      <c r="A226" s="537" t="s">
        <v>54</v>
      </c>
      <c r="B226" s="1">
        <v>230323</v>
      </c>
      <c r="C226" s="1">
        <v>232104</v>
      </c>
      <c r="D226" s="537" t="s">
        <v>118</v>
      </c>
      <c r="E226" s="537" t="s">
        <v>3077</v>
      </c>
      <c r="F226" t="s">
        <v>2604</v>
      </c>
      <c r="G226" t="s">
        <v>3019</v>
      </c>
      <c r="H226" s="537" t="s">
        <v>2932</v>
      </c>
      <c r="I226" s="537" t="s">
        <v>2933</v>
      </c>
      <c r="J226" s="537" t="s">
        <v>18</v>
      </c>
      <c r="K226" s="537" t="s">
        <v>57</v>
      </c>
      <c r="L226" s="61">
        <v>35548</v>
      </c>
      <c r="M226" s="1">
        <v>26</v>
      </c>
      <c r="N226" s="1">
        <v>1200</v>
      </c>
      <c r="P226" s="1">
        <v>1660</v>
      </c>
      <c r="Q226" s="537"/>
      <c r="R226" s="1">
        <v>460</v>
      </c>
      <c r="S226">
        <v>180000</v>
      </c>
      <c r="T226">
        <v>9009</v>
      </c>
      <c r="U226" t="s">
        <v>2639</v>
      </c>
      <c r="V226">
        <v>16470</v>
      </c>
      <c r="W226" s="1">
        <v>45373</v>
      </c>
      <c r="X226" s="537" t="s">
        <v>65</v>
      </c>
      <c r="Y226" s="537" t="s">
        <v>60</v>
      </c>
      <c r="Z226" s="1" t="s">
        <v>199</v>
      </c>
      <c r="AA226" s="537" t="s">
        <v>3140</v>
      </c>
      <c r="AB226" s="537" t="s">
        <v>3142</v>
      </c>
      <c r="AC226" s="1">
        <v>45009</v>
      </c>
      <c r="AD226" s="61">
        <v>45013</v>
      </c>
      <c r="AE226" s="61"/>
      <c r="AF226" s="61"/>
      <c r="AG226" s="1" t="s">
        <v>2877</v>
      </c>
      <c r="AH226" s="537"/>
      <c r="AI226" s="537"/>
      <c r="AK226" s="537"/>
      <c r="AM226" s="537" t="s">
        <v>3139</v>
      </c>
      <c r="AN226" s="537"/>
    </row>
    <row r="227" spans="1:40" hidden="1">
      <c r="A227" s="537" t="s">
        <v>54</v>
      </c>
      <c r="B227" s="1">
        <v>230506</v>
      </c>
      <c r="C227" s="1">
        <v>232105</v>
      </c>
      <c r="D227" s="537" t="s">
        <v>118</v>
      </c>
      <c r="E227" s="537" t="s">
        <v>3077</v>
      </c>
      <c r="F227" t="s">
        <v>2604</v>
      </c>
      <c r="G227" t="s">
        <v>3019</v>
      </c>
      <c r="H227" s="537" t="s">
        <v>3173</v>
      </c>
      <c r="I227" s="537" t="s">
        <v>3174</v>
      </c>
      <c r="J227" s="537" t="s">
        <v>18</v>
      </c>
      <c r="K227" s="537" t="s">
        <v>57</v>
      </c>
      <c r="L227" s="61">
        <v>37030</v>
      </c>
      <c r="M227" s="1">
        <v>22</v>
      </c>
      <c r="N227" s="1">
        <v>1200</v>
      </c>
      <c r="P227" s="1">
        <v>1650</v>
      </c>
      <c r="Q227" s="537"/>
      <c r="R227" s="1">
        <v>450</v>
      </c>
      <c r="S227">
        <v>180000</v>
      </c>
      <c r="T227">
        <v>9009</v>
      </c>
      <c r="U227" t="s">
        <v>2639</v>
      </c>
      <c r="V227">
        <v>16470</v>
      </c>
      <c r="W227" s="1">
        <v>45422</v>
      </c>
      <c r="X227" s="537" t="s">
        <v>65</v>
      </c>
      <c r="Y227" s="537" t="s">
        <v>60</v>
      </c>
      <c r="Z227" s="1" t="s">
        <v>608</v>
      </c>
      <c r="AA227" s="537" t="s">
        <v>609</v>
      </c>
      <c r="AB227" s="537" t="s">
        <v>610</v>
      </c>
      <c r="AC227" s="1">
        <v>45056</v>
      </c>
      <c r="AD227" s="61">
        <v>45061</v>
      </c>
      <c r="AE227" s="61"/>
      <c r="AF227" s="61"/>
      <c r="AG227" s="1" t="s">
        <v>3171</v>
      </c>
      <c r="AH227" s="537"/>
      <c r="AI227" s="537"/>
      <c r="AK227" s="537"/>
      <c r="AM227" s="537" t="s">
        <v>3175</v>
      </c>
      <c r="AN227" s="537"/>
    </row>
    <row r="228" spans="1:40" hidden="1">
      <c r="A228" s="537" t="s">
        <v>54</v>
      </c>
      <c r="B228" s="1">
        <v>230610</v>
      </c>
      <c r="C228" s="1">
        <v>232106</v>
      </c>
      <c r="D228" s="537" t="s">
        <v>118</v>
      </c>
      <c r="E228" s="537" t="s">
        <v>3077</v>
      </c>
      <c r="F228" t="s">
        <v>2604</v>
      </c>
      <c r="G228" t="s">
        <v>3019</v>
      </c>
      <c r="H228" s="537" t="s">
        <v>3232</v>
      </c>
      <c r="I228" s="537" t="s">
        <v>3233</v>
      </c>
      <c r="J228" s="537" t="s">
        <v>18</v>
      </c>
      <c r="K228" s="537" t="s">
        <v>57</v>
      </c>
      <c r="L228" s="61">
        <v>37030</v>
      </c>
      <c r="M228" s="1">
        <v>22</v>
      </c>
      <c r="N228" s="1">
        <v>1200</v>
      </c>
      <c r="P228" s="1">
        <v>1650</v>
      </c>
      <c r="Q228" s="537"/>
      <c r="R228" s="1">
        <v>450</v>
      </c>
      <c r="S228">
        <v>190000</v>
      </c>
      <c r="T228">
        <v>9509.5</v>
      </c>
      <c r="U228" t="s">
        <v>2639</v>
      </c>
      <c r="V228">
        <v>17385</v>
      </c>
      <c r="W228" s="1">
        <v>45455</v>
      </c>
      <c r="X228" s="537" t="s">
        <v>65</v>
      </c>
      <c r="Y228" s="537" t="s">
        <v>60</v>
      </c>
      <c r="Z228" s="1" t="s">
        <v>199</v>
      </c>
      <c r="AA228" s="537" t="s">
        <v>522</v>
      </c>
      <c r="AB228" s="537" t="s">
        <v>523</v>
      </c>
      <c r="AC228" s="1">
        <v>45089</v>
      </c>
      <c r="AD228" s="61">
        <v>45093</v>
      </c>
      <c r="AE228" s="61"/>
      <c r="AF228" s="61"/>
      <c r="AG228" s="1" t="s">
        <v>3216</v>
      </c>
      <c r="AH228" s="537"/>
      <c r="AI228" s="537"/>
      <c r="AK228" s="537"/>
      <c r="AM228" s="537" t="s">
        <v>3217</v>
      </c>
      <c r="AN228" s="537"/>
    </row>
    <row r="229" spans="1:40" hidden="1">
      <c r="A229" s="537" t="s">
        <v>54</v>
      </c>
      <c r="B229" s="1">
        <v>230608</v>
      </c>
      <c r="C229" s="1">
        <v>232108</v>
      </c>
      <c r="D229" s="537" t="s">
        <v>118</v>
      </c>
      <c r="E229" s="537" t="s">
        <v>3077</v>
      </c>
      <c r="F229" t="s">
        <v>2604</v>
      </c>
      <c r="G229" t="s">
        <v>3019</v>
      </c>
      <c r="H229" s="537" t="s">
        <v>3228</v>
      </c>
      <c r="I229" s="537" t="s">
        <v>3229</v>
      </c>
      <c r="J229" s="537" t="s">
        <v>18</v>
      </c>
      <c r="K229" s="537" t="s">
        <v>57</v>
      </c>
      <c r="L229" s="61">
        <v>36244</v>
      </c>
      <c r="M229" s="1">
        <v>24</v>
      </c>
      <c r="N229" s="1">
        <v>1200</v>
      </c>
      <c r="P229" s="1">
        <v>1650</v>
      </c>
      <c r="Q229" s="537"/>
      <c r="R229" s="1">
        <v>450</v>
      </c>
      <c r="S229">
        <v>190000</v>
      </c>
      <c r="T229">
        <v>9509.5</v>
      </c>
      <c r="U229" t="s">
        <v>2639</v>
      </c>
      <c r="V229">
        <v>17385</v>
      </c>
      <c r="W229" s="1">
        <v>45455</v>
      </c>
      <c r="X229" s="537" t="s">
        <v>65</v>
      </c>
      <c r="Y229" s="537" t="s">
        <v>60</v>
      </c>
      <c r="Z229" s="1" t="s">
        <v>199</v>
      </c>
      <c r="AA229" s="537" t="s">
        <v>3221</v>
      </c>
      <c r="AB229" s="537" t="s">
        <v>2427</v>
      </c>
      <c r="AC229" s="1">
        <v>45089</v>
      </c>
      <c r="AD229" s="61">
        <v>45093</v>
      </c>
      <c r="AE229" s="61"/>
      <c r="AF229" s="61"/>
      <c r="AG229" s="1" t="s">
        <v>3216</v>
      </c>
      <c r="AH229" s="537"/>
      <c r="AI229" s="537"/>
      <c r="AK229" s="537"/>
      <c r="AM229" s="537" t="s">
        <v>3217</v>
      </c>
      <c r="AN229" s="537"/>
    </row>
    <row r="230" spans="1:40" hidden="1">
      <c r="A230" s="537" t="s">
        <v>54</v>
      </c>
      <c r="B230" s="1">
        <v>230611</v>
      </c>
      <c r="C230" s="1">
        <v>232109</v>
      </c>
      <c r="D230" s="537" t="s">
        <v>118</v>
      </c>
      <c r="E230" s="537" t="s">
        <v>3077</v>
      </c>
      <c r="F230" t="s">
        <v>2604</v>
      </c>
      <c r="G230" t="s">
        <v>3019</v>
      </c>
      <c r="H230" s="537" t="s">
        <v>555</v>
      </c>
      <c r="I230" s="537" t="s">
        <v>2085</v>
      </c>
      <c r="J230" s="537" t="s">
        <v>18</v>
      </c>
      <c r="K230" s="537" t="s">
        <v>57</v>
      </c>
      <c r="L230" s="61">
        <v>36586</v>
      </c>
      <c r="M230" s="1">
        <v>23</v>
      </c>
      <c r="N230" s="1">
        <v>1200</v>
      </c>
      <c r="P230" s="1">
        <v>1650</v>
      </c>
      <c r="Q230" s="537"/>
      <c r="R230" s="1">
        <v>450</v>
      </c>
      <c r="S230">
        <v>190000</v>
      </c>
      <c r="T230">
        <v>9509.5</v>
      </c>
      <c r="U230" t="s">
        <v>2639</v>
      </c>
      <c r="V230">
        <v>17385</v>
      </c>
      <c r="W230" s="1">
        <v>45455</v>
      </c>
      <c r="X230" s="537" t="s">
        <v>65</v>
      </c>
      <c r="Y230" s="537" t="s">
        <v>60</v>
      </c>
      <c r="Z230" s="1" t="s">
        <v>199</v>
      </c>
      <c r="AA230" s="537" t="s">
        <v>3221</v>
      </c>
      <c r="AB230" s="537" t="s">
        <v>2423</v>
      </c>
      <c r="AC230" s="1">
        <v>45089</v>
      </c>
      <c r="AD230" s="61">
        <v>45093</v>
      </c>
      <c r="AE230" s="61"/>
      <c r="AF230" s="61"/>
      <c r="AG230" s="1" t="s">
        <v>3216</v>
      </c>
      <c r="AH230" s="537"/>
      <c r="AI230" s="537"/>
      <c r="AK230" s="537"/>
      <c r="AM230" s="537" t="s">
        <v>3217</v>
      </c>
      <c r="AN230" s="537"/>
    </row>
    <row r="231" spans="1:40" hidden="1">
      <c r="A231" s="537" t="s">
        <v>54</v>
      </c>
      <c r="B231" s="1">
        <v>230604</v>
      </c>
      <c r="C231" s="1">
        <v>232110</v>
      </c>
      <c r="D231" s="537" t="s">
        <v>118</v>
      </c>
      <c r="E231" s="537" t="s">
        <v>670</v>
      </c>
      <c r="F231" t="s">
        <v>2604</v>
      </c>
      <c r="G231" t="s">
        <v>3019</v>
      </c>
      <c r="H231" s="537" t="s">
        <v>3219</v>
      </c>
      <c r="I231" s="537" t="s">
        <v>3220</v>
      </c>
      <c r="J231" s="537" t="s">
        <v>18</v>
      </c>
      <c r="K231" s="537" t="s">
        <v>57</v>
      </c>
      <c r="L231" s="61">
        <v>33756</v>
      </c>
      <c r="M231" s="1">
        <v>31</v>
      </c>
      <c r="N231" s="1">
        <v>1200</v>
      </c>
      <c r="P231" s="1">
        <v>1650</v>
      </c>
      <c r="Q231" s="537"/>
      <c r="R231" s="1">
        <v>450</v>
      </c>
      <c r="S231">
        <v>190000</v>
      </c>
      <c r="T231">
        <v>9509.5</v>
      </c>
      <c r="U231" t="s">
        <v>2639</v>
      </c>
      <c r="V231">
        <v>17385</v>
      </c>
      <c r="W231" s="1">
        <v>45455</v>
      </c>
      <c r="X231" s="537" t="s">
        <v>65</v>
      </c>
      <c r="Y231" s="537" t="s">
        <v>60</v>
      </c>
      <c r="Z231" s="1" t="s">
        <v>199</v>
      </c>
      <c r="AA231" s="537" t="s">
        <v>3221</v>
      </c>
      <c r="AB231" s="537" t="s">
        <v>2427</v>
      </c>
      <c r="AC231" s="1">
        <v>45089</v>
      </c>
      <c r="AD231" s="61">
        <v>45093</v>
      </c>
      <c r="AE231" s="61"/>
      <c r="AF231" s="61"/>
      <c r="AG231" s="1" t="s">
        <v>3216</v>
      </c>
      <c r="AH231" s="537"/>
      <c r="AI231" s="537"/>
      <c r="AK231" s="537"/>
      <c r="AM231" s="537" t="s">
        <v>3217</v>
      </c>
      <c r="AN231" s="537"/>
    </row>
    <row r="232" spans="1:40" hidden="1">
      <c r="A232" s="537" t="s">
        <v>54</v>
      </c>
      <c r="B232" s="1">
        <v>230607</v>
      </c>
      <c r="C232" s="1">
        <v>232111</v>
      </c>
      <c r="D232" s="537" t="s">
        <v>118</v>
      </c>
      <c r="E232" s="537" t="s">
        <v>3077</v>
      </c>
      <c r="F232" t="s">
        <v>2604</v>
      </c>
      <c r="G232" t="s">
        <v>3019</v>
      </c>
      <c r="H232" s="537" t="s">
        <v>3226</v>
      </c>
      <c r="I232" s="537" t="s">
        <v>3227</v>
      </c>
      <c r="J232" s="537" t="s">
        <v>18</v>
      </c>
      <c r="K232" s="537" t="s">
        <v>57</v>
      </c>
      <c r="L232" s="61">
        <v>34445</v>
      </c>
      <c r="M232" s="1">
        <v>29</v>
      </c>
      <c r="N232" s="1">
        <v>1200</v>
      </c>
      <c r="P232" s="1">
        <v>1650</v>
      </c>
      <c r="Q232" s="537"/>
      <c r="R232" s="1">
        <v>450</v>
      </c>
      <c r="S232">
        <v>190000</v>
      </c>
      <c r="T232">
        <v>9509.5</v>
      </c>
      <c r="U232" t="s">
        <v>2639</v>
      </c>
      <c r="V232">
        <v>17385</v>
      </c>
      <c r="W232" s="1">
        <v>45455</v>
      </c>
      <c r="X232" s="537" t="s">
        <v>65</v>
      </c>
      <c r="Y232" s="537" t="s">
        <v>60</v>
      </c>
      <c r="Z232" s="1" t="s">
        <v>199</v>
      </c>
      <c r="AA232" s="537" t="s">
        <v>3221</v>
      </c>
      <c r="AB232" s="537" t="s">
        <v>2423</v>
      </c>
      <c r="AC232" s="1">
        <v>45089</v>
      </c>
      <c r="AD232" s="61">
        <v>45093</v>
      </c>
      <c r="AE232" s="61"/>
      <c r="AF232" s="61"/>
      <c r="AG232" s="1" t="s">
        <v>3216</v>
      </c>
      <c r="AH232" s="537"/>
      <c r="AI232" s="537"/>
      <c r="AK232" s="537"/>
      <c r="AM232" s="537" t="s">
        <v>3217</v>
      </c>
      <c r="AN232" s="537"/>
    </row>
    <row r="233" spans="1:40" hidden="1">
      <c r="A233" s="537" t="s">
        <v>54</v>
      </c>
      <c r="B233" s="1">
        <v>230606</v>
      </c>
      <c r="C233" s="1">
        <v>232112</v>
      </c>
      <c r="D233" s="537" t="s">
        <v>118</v>
      </c>
      <c r="E233" s="537" t="s">
        <v>3077</v>
      </c>
      <c r="F233" t="s">
        <v>2604</v>
      </c>
      <c r="G233" t="s">
        <v>3019</v>
      </c>
      <c r="H233" s="537" t="s">
        <v>3224</v>
      </c>
      <c r="I233" s="537" t="s">
        <v>3225</v>
      </c>
      <c r="J233" s="537" t="s">
        <v>18</v>
      </c>
      <c r="K233" s="537" t="s">
        <v>57</v>
      </c>
      <c r="L233" s="61">
        <v>36426</v>
      </c>
      <c r="M233" s="1">
        <v>24</v>
      </c>
      <c r="N233" s="1">
        <v>1200</v>
      </c>
      <c r="P233" s="1">
        <v>1650</v>
      </c>
      <c r="Q233" s="537"/>
      <c r="R233" s="1">
        <v>450</v>
      </c>
      <c r="S233">
        <v>190000</v>
      </c>
      <c r="T233">
        <v>9509.5</v>
      </c>
      <c r="U233" t="s">
        <v>2639</v>
      </c>
      <c r="V233">
        <v>17385</v>
      </c>
      <c r="W233" s="1">
        <v>45455</v>
      </c>
      <c r="X233" s="537" t="s">
        <v>65</v>
      </c>
      <c r="Y233" s="537" t="s">
        <v>60</v>
      </c>
      <c r="Z233" s="1" t="s">
        <v>121</v>
      </c>
      <c r="AA233" s="537" t="s">
        <v>122</v>
      </c>
      <c r="AB233" s="537" t="s">
        <v>2686</v>
      </c>
      <c r="AC233" s="1">
        <v>45089</v>
      </c>
      <c r="AD233" s="61">
        <v>45093</v>
      </c>
      <c r="AE233" s="61"/>
      <c r="AF233" s="61"/>
      <c r="AG233" s="1" t="s">
        <v>3216</v>
      </c>
      <c r="AH233" s="537"/>
      <c r="AI233" s="537"/>
      <c r="AK233" s="537"/>
      <c r="AM233" s="537" t="s">
        <v>3217</v>
      </c>
      <c r="AN233" s="537"/>
    </row>
    <row r="234" spans="1:40" hidden="1">
      <c r="A234" s="537" t="s">
        <v>54</v>
      </c>
      <c r="B234" s="1">
        <v>230605</v>
      </c>
      <c r="C234" s="1">
        <v>232113</v>
      </c>
      <c r="D234" s="537" t="s">
        <v>118</v>
      </c>
      <c r="E234" s="537" t="s">
        <v>3077</v>
      </c>
      <c r="F234" t="s">
        <v>2604</v>
      </c>
      <c r="G234" t="s">
        <v>3019</v>
      </c>
      <c r="H234" s="537" t="s">
        <v>3222</v>
      </c>
      <c r="I234" s="537" t="s">
        <v>3223</v>
      </c>
      <c r="J234" s="537" t="s">
        <v>18</v>
      </c>
      <c r="K234" s="537" t="s">
        <v>57</v>
      </c>
      <c r="L234" s="61">
        <v>36477</v>
      </c>
      <c r="M234" s="1">
        <v>24</v>
      </c>
      <c r="N234" s="1">
        <v>1200</v>
      </c>
      <c r="P234" s="1">
        <v>1650</v>
      </c>
      <c r="Q234" s="537"/>
      <c r="R234" s="1">
        <v>450</v>
      </c>
      <c r="S234">
        <v>190000</v>
      </c>
      <c r="T234">
        <v>9509.5</v>
      </c>
      <c r="U234" t="s">
        <v>2639</v>
      </c>
      <c r="V234">
        <v>17385</v>
      </c>
      <c r="W234" s="1">
        <v>45455</v>
      </c>
      <c r="X234" s="537" t="s">
        <v>65</v>
      </c>
      <c r="Y234" s="537" t="s">
        <v>60</v>
      </c>
      <c r="Z234" s="1" t="s">
        <v>199</v>
      </c>
      <c r="AA234" s="537" t="s">
        <v>251</v>
      </c>
      <c r="AB234" s="537" t="s">
        <v>2228</v>
      </c>
      <c r="AC234" s="1">
        <v>45089</v>
      </c>
      <c r="AD234" s="61">
        <v>45093</v>
      </c>
      <c r="AE234" s="61"/>
      <c r="AF234" s="61"/>
      <c r="AG234" s="1" t="s">
        <v>3216</v>
      </c>
      <c r="AH234" s="537"/>
      <c r="AI234" s="537"/>
      <c r="AK234" s="537"/>
      <c r="AM234" s="537" t="s">
        <v>3217</v>
      </c>
      <c r="AN234" s="537"/>
    </row>
    <row r="235" spans="1:40" hidden="1">
      <c r="A235" s="537" t="s">
        <v>54</v>
      </c>
      <c r="B235" s="1">
        <v>230706</v>
      </c>
      <c r="C235" s="1">
        <v>232114</v>
      </c>
      <c r="D235" s="537" t="s">
        <v>118</v>
      </c>
      <c r="E235" s="537" t="s">
        <v>3264</v>
      </c>
      <c r="F235"/>
      <c r="G235"/>
      <c r="H235" s="537" t="s">
        <v>3265</v>
      </c>
      <c r="I235" s="537" t="s">
        <v>3266</v>
      </c>
      <c r="J235" s="537" t="s">
        <v>17</v>
      </c>
      <c r="K235" s="537" t="s">
        <v>57</v>
      </c>
      <c r="L235" s="61">
        <v>33757</v>
      </c>
      <c r="M235" s="1">
        <v>31</v>
      </c>
      <c r="N235" s="1">
        <v>1200</v>
      </c>
      <c r="P235" s="1">
        <v>1600</v>
      </c>
      <c r="Q235" s="537"/>
      <c r="R235" s="1">
        <v>400</v>
      </c>
      <c r="S235">
        <v>0</v>
      </c>
      <c r="T235">
        <v>0</v>
      </c>
      <c r="U235" t="s">
        <v>2639</v>
      </c>
      <c r="V235">
        <v>0</v>
      </c>
      <c r="W235" s="1">
        <v>46152</v>
      </c>
      <c r="X235" s="537" t="s">
        <v>65</v>
      </c>
      <c r="Y235" s="537" t="s">
        <v>232</v>
      </c>
      <c r="Z235" s="1" t="s">
        <v>199</v>
      </c>
      <c r="AA235" s="537" t="s">
        <v>257</v>
      </c>
      <c r="AB235" s="537" t="s">
        <v>3267</v>
      </c>
      <c r="AC235" s="1" t="s">
        <v>63</v>
      </c>
      <c r="AD235" s="61">
        <v>45117</v>
      </c>
      <c r="AE235" s="61"/>
      <c r="AF235" s="61"/>
      <c r="AG235" s="1" t="s">
        <v>3268</v>
      </c>
      <c r="AH235" s="537"/>
      <c r="AI235" s="537"/>
      <c r="AK235" s="537"/>
      <c r="AM235" s="537" t="s">
        <v>2155</v>
      </c>
      <c r="AN235" s="537"/>
    </row>
    <row r="236" spans="1:40" hidden="1">
      <c r="A236" s="537" t="s">
        <v>179</v>
      </c>
      <c r="B236" s="1">
        <v>230707</v>
      </c>
      <c r="C236" s="1">
        <v>232115</v>
      </c>
      <c r="D236" s="537" t="s">
        <v>118</v>
      </c>
      <c r="E236" s="537" t="s">
        <v>676</v>
      </c>
      <c r="F236" t="s">
        <v>3125</v>
      </c>
      <c r="G236" t="s">
        <v>800</v>
      </c>
      <c r="H236" s="537" t="s">
        <v>3269</v>
      </c>
      <c r="I236" s="537" t="s">
        <v>3270</v>
      </c>
      <c r="J236" s="537" t="s">
        <v>17</v>
      </c>
      <c r="K236" s="537" t="s">
        <v>57</v>
      </c>
      <c r="L236" s="61">
        <v>34232</v>
      </c>
      <c r="M236" s="1">
        <v>30</v>
      </c>
      <c r="N236" s="1">
        <v>1100</v>
      </c>
      <c r="P236" s="1">
        <v>1600</v>
      </c>
      <c r="Q236" s="537"/>
      <c r="R236" s="1">
        <v>500</v>
      </c>
      <c r="S236">
        <v>126000</v>
      </c>
      <c r="T236">
        <v>6306.2999999999993</v>
      </c>
      <c r="U236" t="s">
        <v>2639</v>
      </c>
      <c r="V236">
        <v>11529</v>
      </c>
      <c r="W236" s="1">
        <v>45630</v>
      </c>
      <c r="X236" s="537" t="s">
        <v>65</v>
      </c>
      <c r="Y236" s="537" t="s">
        <v>232</v>
      </c>
      <c r="Z236" s="1" t="s">
        <v>2848</v>
      </c>
      <c r="AA236" s="537" t="s">
        <v>204</v>
      </c>
      <c r="AB236" s="537" t="s">
        <v>3271</v>
      </c>
      <c r="AC236" s="1">
        <v>45118</v>
      </c>
      <c r="AD236" s="61">
        <v>45125</v>
      </c>
      <c r="AE236" s="61">
        <v>45180</v>
      </c>
      <c r="AF236" s="61"/>
      <c r="AG236" s="1" t="s">
        <v>3272</v>
      </c>
      <c r="AH236" s="537"/>
      <c r="AI236" s="537"/>
      <c r="AK236" s="537"/>
      <c r="AM236" s="537" t="s">
        <v>3273</v>
      </c>
      <c r="AN236" s="537"/>
    </row>
    <row r="237" spans="1:40" hidden="1">
      <c r="A237" s="537" t="s">
        <v>54</v>
      </c>
      <c r="B237" s="1">
        <v>230805</v>
      </c>
      <c r="C237" s="1">
        <v>232116</v>
      </c>
      <c r="D237" s="537" t="s">
        <v>118</v>
      </c>
      <c r="E237" s="537" t="s">
        <v>3077</v>
      </c>
      <c r="F237" t="s">
        <v>2604</v>
      </c>
      <c r="G237" t="s">
        <v>3019</v>
      </c>
      <c r="H237" s="537" t="s">
        <v>3313</v>
      </c>
      <c r="I237" s="537" t="s">
        <v>3314</v>
      </c>
      <c r="J237" s="537" t="s">
        <v>18</v>
      </c>
      <c r="K237" s="537" t="s">
        <v>57</v>
      </c>
      <c r="L237" s="61">
        <v>37079</v>
      </c>
      <c r="M237" s="1">
        <v>22</v>
      </c>
      <c r="N237" s="1">
        <v>1200</v>
      </c>
      <c r="P237" s="1">
        <v>1650</v>
      </c>
      <c r="Q237" s="537"/>
      <c r="R237" s="1">
        <v>450</v>
      </c>
      <c r="S237">
        <v>180000</v>
      </c>
      <c r="T237">
        <v>9009</v>
      </c>
      <c r="U237" t="s">
        <v>2639</v>
      </c>
      <c r="V237">
        <v>16470</v>
      </c>
      <c r="W237" s="1">
        <v>45499</v>
      </c>
      <c r="X237" s="537" t="s">
        <v>65</v>
      </c>
      <c r="Y237" s="537" t="s">
        <v>60</v>
      </c>
      <c r="Z237" s="1" t="s">
        <v>121</v>
      </c>
      <c r="AA237" s="537" t="s">
        <v>3309</v>
      </c>
      <c r="AB237" s="537"/>
      <c r="AC237" s="1">
        <v>45133</v>
      </c>
      <c r="AD237" s="61">
        <v>45139</v>
      </c>
      <c r="AE237" s="61"/>
      <c r="AF237" s="61"/>
      <c r="AG237" s="1" t="s">
        <v>3294</v>
      </c>
      <c r="AH237" s="537"/>
      <c r="AI237" s="537"/>
      <c r="AK237" s="537"/>
      <c r="AM237" s="537" t="s">
        <v>3312</v>
      </c>
      <c r="AN237" s="537"/>
    </row>
    <row r="238" spans="1:40" hidden="1">
      <c r="A238" s="537" t="s">
        <v>54</v>
      </c>
      <c r="B238" s="1">
        <v>230803</v>
      </c>
      <c r="C238" s="1">
        <v>232117</v>
      </c>
      <c r="D238" s="537" t="s">
        <v>118</v>
      </c>
      <c r="E238" s="537" t="s">
        <v>3077</v>
      </c>
      <c r="F238" t="s">
        <v>2604</v>
      </c>
      <c r="G238" t="s">
        <v>3019</v>
      </c>
      <c r="H238" s="537" t="s">
        <v>3307</v>
      </c>
      <c r="I238" s="537" t="s">
        <v>3308</v>
      </c>
      <c r="J238" s="537" t="s">
        <v>18</v>
      </c>
      <c r="K238" s="537" t="s">
        <v>57</v>
      </c>
      <c r="L238" s="61">
        <v>36751</v>
      </c>
      <c r="M238" s="1">
        <v>23</v>
      </c>
      <c r="N238" s="1">
        <v>1200</v>
      </c>
      <c r="P238" s="1">
        <v>1650</v>
      </c>
      <c r="Q238" s="537"/>
      <c r="R238" s="1">
        <v>450</v>
      </c>
      <c r="S238">
        <v>180000</v>
      </c>
      <c r="T238">
        <v>9009</v>
      </c>
      <c r="U238" t="s">
        <v>2639</v>
      </c>
      <c r="V238">
        <v>16470</v>
      </c>
      <c r="W238" s="1">
        <v>45499</v>
      </c>
      <c r="X238" s="537" t="s">
        <v>65</v>
      </c>
      <c r="Y238" s="537" t="s">
        <v>60</v>
      </c>
      <c r="Z238" s="1" t="s">
        <v>121</v>
      </c>
      <c r="AA238" s="537" t="s">
        <v>3309</v>
      </c>
      <c r="AB238" s="537"/>
      <c r="AC238" s="1">
        <v>45133</v>
      </c>
      <c r="AD238" s="61">
        <v>45139</v>
      </c>
      <c r="AE238" s="61"/>
      <c r="AF238" s="61"/>
      <c r="AG238" s="1" t="s">
        <v>3294</v>
      </c>
      <c r="AH238" s="537"/>
      <c r="AI238" s="537"/>
      <c r="AK238" s="537"/>
      <c r="AM238" s="537" t="s">
        <v>3304</v>
      </c>
      <c r="AN238" s="537"/>
    </row>
    <row r="239" spans="1:40" hidden="1">
      <c r="A239" s="537" t="s">
        <v>54</v>
      </c>
      <c r="B239" s="1">
        <v>230806</v>
      </c>
      <c r="C239" s="1">
        <v>232118</v>
      </c>
      <c r="D239" s="537" t="s">
        <v>118</v>
      </c>
      <c r="E239" s="537" t="s">
        <v>3077</v>
      </c>
      <c r="F239" t="s">
        <v>2604</v>
      </c>
      <c r="G239" t="s">
        <v>3019</v>
      </c>
      <c r="H239" s="537" t="s">
        <v>3315</v>
      </c>
      <c r="I239" s="537" t="s">
        <v>3316</v>
      </c>
      <c r="J239" s="537" t="s">
        <v>18</v>
      </c>
      <c r="K239" s="537" t="s">
        <v>57</v>
      </c>
      <c r="L239" s="61">
        <v>36596</v>
      </c>
      <c r="M239" s="1">
        <v>23</v>
      </c>
      <c r="N239" s="1">
        <v>1200</v>
      </c>
      <c r="P239" s="1">
        <v>1650</v>
      </c>
      <c r="Q239" s="537"/>
      <c r="R239" s="1">
        <v>450</v>
      </c>
      <c r="S239">
        <v>180000</v>
      </c>
      <c r="T239">
        <v>9009</v>
      </c>
      <c r="U239" t="s">
        <v>2639</v>
      </c>
      <c r="V239">
        <v>16470</v>
      </c>
      <c r="W239" s="1">
        <v>45499</v>
      </c>
      <c r="X239" s="537" t="s">
        <v>65</v>
      </c>
      <c r="Y239" s="537" t="s">
        <v>60</v>
      </c>
      <c r="Z239" s="1" t="s">
        <v>121</v>
      </c>
      <c r="AA239" s="537" t="s">
        <v>3309</v>
      </c>
      <c r="AB239" s="537"/>
      <c r="AC239" s="1">
        <v>45133</v>
      </c>
      <c r="AD239" s="61">
        <v>45139</v>
      </c>
      <c r="AE239" s="61"/>
      <c r="AF239" s="61"/>
      <c r="AG239" s="1" t="s">
        <v>3294</v>
      </c>
      <c r="AH239" s="537"/>
      <c r="AI239" s="537"/>
      <c r="AK239" s="537"/>
      <c r="AM239" s="537" t="s">
        <v>3312</v>
      </c>
      <c r="AN239" s="537"/>
    </row>
    <row r="240" spans="1:40" hidden="1">
      <c r="A240" s="537" t="s">
        <v>54</v>
      </c>
      <c r="B240" s="1">
        <v>230804</v>
      </c>
      <c r="C240" s="1">
        <v>232119</v>
      </c>
      <c r="D240" s="537" t="s">
        <v>118</v>
      </c>
      <c r="E240" s="537" t="s">
        <v>3077</v>
      </c>
      <c r="F240" t="s">
        <v>2604</v>
      </c>
      <c r="G240" t="s">
        <v>3019</v>
      </c>
      <c r="H240" s="537" t="s">
        <v>3310</v>
      </c>
      <c r="I240" s="537" t="s">
        <v>3311</v>
      </c>
      <c r="J240" s="537" t="s">
        <v>18</v>
      </c>
      <c r="K240" s="537" t="s">
        <v>57</v>
      </c>
      <c r="L240" s="61">
        <v>36740</v>
      </c>
      <c r="M240" s="1">
        <v>23</v>
      </c>
      <c r="N240" s="1">
        <v>1200</v>
      </c>
      <c r="P240" s="1">
        <v>1650</v>
      </c>
      <c r="Q240" s="537"/>
      <c r="R240" s="1">
        <v>450</v>
      </c>
      <c r="S240">
        <v>180000</v>
      </c>
      <c r="T240">
        <v>9009</v>
      </c>
      <c r="U240" t="s">
        <v>2639</v>
      </c>
      <c r="V240">
        <v>16470</v>
      </c>
      <c r="W240" s="1">
        <v>45499</v>
      </c>
      <c r="X240" s="537" t="s">
        <v>65</v>
      </c>
      <c r="Y240" s="537" t="s">
        <v>60</v>
      </c>
      <c r="Z240" s="1" t="s">
        <v>121</v>
      </c>
      <c r="AA240" s="537" t="s">
        <v>3309</v>
      </c>
      <c r="AB240" s="537"/>
      <c r="AC240" s="1">
        <v>45133</v>
      </c>
      <c r="AD240" s="61">
        <v>45139</v>
      </c>
      <c r="AE240" s="61"/>
      <c r="AF240" s="61"/>
      <c r="AG240" s="1" t="s">
        <v>3294</v>
      </c>
      <c r="AH240" s="537"/>
      <c r="AI240" s="537"/>
      <c r="AK240" s="537"/>
      <c r="AM240" s="537" t="s">
        <v>3312</v>
      </c>
      <c r="AN240" s="537"/>
    </row>
    <row r="241" spans="1:40" hidden="1">
      <c r="A241" s="537" t="s">
        <v>54</v>
      </c>
      <c r="B241" s="1">
        <v>220702</v>
      </c>
      <c r="C241" s="1">
        <v>232120</v>
      </c>
      <c r="D241" s="537" t="s">
        <v>118</v>
      </c>
      <c r="E241" s="537" t="s">
        <v>676</v>
      </c>
      <c r="F241" t="s">
        <v>2659</v>
      </c>
      <c r="G241" t="s">
        <v>800</v>
      </c>
      <c r="H241" s="537" t="s">
        <v>2129</v>
      </c>
      <c r="I241" s="537" t="s">
        <v>2130</v>
      </c>
      <c r="J241" s="537" t="s">
        <v>17</v>
      </c>
      <c r="K241" s="537" t="s">
        <v>57</v>
      </c>
      <c r="L241" s="61">
        <v>35338</v>
      </c>
      <c r="M241" s="1">
        <v>27</v>
      </c>
      <c r="N241" s="1">
        <v>1300</v>
      </c>
      <c r="P241" s="1">
        <v>1650</v>
      </c>
      <c r="Q241" s="537"/>
      <c r="R241" s="1">
        <v>350</v>
      </c>
      <c r="S241">
        <v>240000</v>
      </c>
      <c r="T241">
        <v>12012</v>
      </c>
      <c r="U241" t="s">
        <v>2639</v>
      </c>
      <c r="V241">
        <v>21960</v>
      </c>
      <c r="W241" s="1">
        <v>46186</v>
      </c>
      <c r="X241" s="537" t="s">
        <v>65</v>
      </c>
      <c r="Y241" s="537" t="s">
        <v>60</v>
      </c>
      <c r="Z241" s="1" t="s">
        <v>199</v>
      </c>
      <c r="AA241" s="537" t="s">
        <v>200</v>
      </c>
      <c r="AB241" s="537" t="s">
        <v>316</v>
      </c>
      <c r="AC241" s="1">
        <v>45165</v>
      </c>
      <c r="AD241" s="61">
        <v>44743</v>
      </c>
      <c r="AE241" s="61"/>
      <c r="AF241" s="61"/>
      <c r="AG241" s="1" t="s">
        <v>677</v>
      </c>
      <c r="AH241" s="537" t="s">
        <v>2130</v>
      </c>
      <c r="AI241" s="537" t="s">
        <v>86</v>
      </c>
      <c r="AJ241" s="1">
        <v>548</v>
      </c>
      <c r="AK241" s="537" t="s">
        <v>125</v>
      </c>
      <c r="AL241" s="1" t="s">
        <v>2131</v>
      </c>
      <c r="AM241" s="537" t="s">
        <v>678</v>
      </c>
      <c r="AN241" s="537" t="s">
        <v>3100</v>
      </c>
    </row>
    <row r="242" spans="1:40" hidden="1">
      <c r="A242" s="537" t="s">
        <v>54</v>
      </c>
      <c r="B242" s="1">
        <v>230919</v>
      </c>
      <c r="C242" s="1">
        <v>232121</v>
      </c>
      <c r="D242" s="537" t="s">
        <v>118</v>
      </c>
      <c r="E242" s="537" t="s">
        <v>667</v>
      </c>
      <c r="F242" t="s">
        <v>2568</v>
      </c>
      <c r="G242" t="s">
        <v>694</v>
      </c>
      <c r="H242" s="537" t="s">
        <v>3425</v>
      </c>
      <c r="I242" s="537" t="s">
        <v>3426</v>
      </c>
      <c r="J242" s="537" t="s">
        <v>18</v>
      </c>
      <c r="K242" s="537" t="s">
        <v>57</v>
      </c>
      <c r="L242" s="61">
        <v>36595</v>
      </c>
      <c r="M242" s="1">
        <v>23</v>
      </c>
      <c r="N242" s="1">
        <v>1200</v>
      </c>
      <c r="P242" s="1">
        <v>1650</v>
      </c>
      <c r="Q242" s="537"/>
      <c r="R242" s="1">
        <v>450</v>
      </c>
      <c r="S242">
        <v>200000</v>
      </c>
      <c r="T242">
        <v>10010</v>
      </c>
      <c r="U242" t="s">
        <v>2639</v>
      </c>
      <c r="V242">
        <v>18300</v>
      </c>
      <c r="W242" s="1">
        <v>45557</v>
      </c>
      <c r="X242" s="537" t="s">
        <v>65</v>
      </c>
      <c r="Y242" s="537" t="s">
        <v>60</v>
      </c>
      <c r="Z242" s="1" t="s">
        <v>199</v>
      </c>
      <c r="AA242" s="537" t="s">
        <v>3221</v>
      </c>
      <c r="AB242" s="537" t="s">
        <v>3421</v>
      </c>
      <c r="AC242" s="1">
        <v>45191</v>
      </c>
      <c r="AD242" s="61">
        <v>45197</v>
      </c>
      <c r="AE242" s="61"/>
      <c r="AF242" s="61"/>
      <c r="AG242" s="1" t="s">
        <v>3422</v>
      </c>
      <c r="AH242" s="537"/>
      <c r="AI242" s="537"/>
      <c r="AK242" s="537"/>
      <c r="AM242" s="537" t="s">
        <v>3413</v>
      </c>
      <c r="AN242" s="537"/>
    </row>
    <row r="243" spans="1:40" hidden="1">
      <c r="A243" s="537" t="s">
        <v>54</v>
      </c>
      <c r="B243" s="1">
        <v>230918</v>
      </c>
      <c r="C243" s="1">
        <v>232122</v>
      </c>
      <c r="D243" s="537" t="s">
        <v>118</v>
      </c>
      <c r="E243" s="537" t="s">
        <v>667</v>
      </c>
      <c r="F243" t="s">
        <v>2568</v>
      </c>
      <c r="G243" t="s">
        <v>694</v>
      </c>
      <c r="H243" s="537" t="s">
        <v>3423</v>
      </c>
      <c r="I243" s="537" t="s">
        <v>3424</v>
      </c>
      <c r="J243" s="537" t="s">
        <v>18</v>
      </c>
      <c r="K243" s="537" t="s">
        <v>57</v>
      </c>
      <c r="L243" s="61">
        <v>35911</v>
      </c>
      <c r="M243" s="1">
        <v>25</v>
      </c>
      <c r="N243" s="1">
        <v>1200</v>
      </c>
      <c r="P243" s="1">
        <v>1650</v>
      </c>
      <c r="Q243" s="537"/>
      <c r="R243" s="1">
        <v>450</v>
      </c>
      <c r="S243">
        <v>200000</v>
      </c>
      <c r="T243">
        <v>10010</v>
      </c>
      <c r="U243" t="s">
        <v>2639</v>
      </c>
      <c r="V243">
        <v>18300</v>
      </c>
      <c r="W243" s="1">
        <v>45557</v>
      </c>
      <c r="X243" s="537" t="s">
        <v>65</v>
      </c>
      <c r="Y243" s="537" t="s">
        <v>60</v>
      </c>
      <c r="Z243" s="1" t="s">
        <v>199</v>
      </c>
      <c r="AA243" s="537" t="s">
        <v>3466</v>
      </c>
      <c r="AB243" s="537" t="s">
        <v>664</v>
      </c>
      <c r="AC243" s="1">
        <v>45191</v>
      </c>
      <c r="AD243" s="61">
        <v>45197</v>
      </c>
      <c r="AE243" s="61"/>
      <c r="AF243" s="61"/>
      <c r="AG243" s="1" t="s">
        <v>3422</v>
      </c>
      <c r="AH243" s="537"/>
      <c r="AI243" s="537"/>
      <c r="AK243" s="537"/>
      <c r="AM243" s="537" t="s">
        <v>3413</v>
      </c>
      <c r="AN243" s="537"/>
    </row>
    <row r="244" spans="1:40" hidden="1">
      <c r="A244" s="537" t="s">
        <v>54</v>
      </c>
      <c r="B244" s="1">
        <v>230920</v>
      </c>
      <c r="C244" s="1">
        <v>232123</v>
      </c>
      <c r="D244" s="537" t="s">
        <v>118</v>
      </c>
      <c r="E244" s="537" t="s">
        <v>670</v>
      </c>
      <c r="F244" t="s">
        <v>2604</v>
      </c>
      <c r="G244" t="s">
        <v>3019</v>
      </c>
      <c r="H244" s="537" t="s">
        <v>3427</v>
      </c>
      <c r="I244" s="537" t="s">
        <v>3428</v>
      </c>
      <c r="J244" s="537" t="s">
        <v>18</v>
      </c>
      <c r="K244" s="537" t="s">
        <v>57</v>
      </c>
      <c r="L244" s="61">
        <v>36276</v>
      </c>
      <c r="M244" s="1">
        <v>24</v>
      </c>
      <c r="N244" s="1">
        <v>1200</v>
      </c>
      <c r="P244" s="1">
        <v>1650</v>
      </c>
      <c r="Q244" s="537"/>
      <c r="R244" s="1">
        <v>450</v>
      </c>
      <c r="S244">
        <v>200000</v>
      </c>
      <c r="T244">
        <v>10010</v>
      </c>
      <c r="U244" t="s">
        <v>2639</v>
      </c>
      <c r="V244">
        <v>18300</v>
      </c>
      <c r="W244" s="1">
        <v>45557</v>
      </c>
      <c r="X244" s="537" t="s">
        <v>65</v>
      </c>
      <c r="Y244" s="537" t="s">
        <v>60</v>
      </c>
      <c r="Z244" s="1" t="s">
        <v>199</v>
      </c>
      <c r="AA244" s="537" t="s">
        <v>3467</v>
      </c>
      <c r="AB244" s="537" t="s">
        <v>510</v>
      </c>
      <c r="AC244" s="1">
        <v>45191</v>
      </c>
      <c r="AD244" s="61">
        <v>45197</v>
      </c>
      <c r="AE244" s="61"/>
      <c r="AF244" s="61"/>
      <c r="AG244" s="1" t="s">
        <v>3429</v>
      </c>
      <c r="AH244" s="537"/>
      <c r="AI244" s="537"/>
      <c r="AK244" s="537"/>
      <c r="AM244" s="537" t="s">
        <v>3413</v>
      </c>
      <c r="AN244" s="537"/>
    </row>
    <row r="245" spans="1:40" hidden="1">
      <c r="A245" s="537" t="s">
        <v>54</v>
      </c>
      <c r="B245" s="1">
        <v>230917</v>
      </c>
      <c r="C245" s="1">
        <v>232124</v>
      </c>
      <c r="D245" s="537" t="s">
        <v>118</v>
      </c>
      <c r="E245" s="537" t="s">
        <v>670</v>
      </c>
      <c r="F245" t="s">
        <v>2604</v>
      </c>
      <c r="G245" t="s">
        <v>3019</v>
      </c>
      <c r="H245" s="537" t="s">
        <v>3419</v>
      </c>
      <c r="I245" s="537" t="s">
        <v>3420</v>
      </c>
      <c r="J245" s="537" t="s">
        <v>18</v>
      </c>
      <c r="K245" s="537" t="s">
        <v>57</v>
      </c>
      <c r="L245" s="61">
        <v>32860</v>
      </c>
      <c r="M245" s="1">
        <v>33</v>
      </c>
      <c r="N245" s="1">
        <v>1200</v>
      </c>
      <c r="P245" s="1">
        <v>1650</v>
      </c>
      <c r="Q245" s="537"/>
      <c r="R245" s="1">
        <v>450</v>
      </c>
      <c r="S245">
        <v>200000</v>
      </c>
      <c r="T245">
        <v>10010</v>
      </c>
      <c r="U245" t="s">
        <v>2639</v>
      </c>
      <c r="V245">
        <v>18300</v>
      </c>
      <c r="W245" s="1">
        <v>45557</v>
      </c>
      <c r="X245" s="537" t="s">
        <v>65</v>
      </c>
      <c r="Y245" s="537" t="s">
        <v>60</v>
      </c>
      <c r="Z245" s="1" t="s">
        <v>199</v>
      </c>
      <c r="AA245" s="537" t="s">
        <v>3221</v>
      </c>
      <c r="AB245" s="537" t="s">
        <v>3421</v>
      </c>
      <c r="AC245" s="1">
        <v>45191</v>
      </c>
      <c r="AD245" s="61">
        <v>45197</v>
      </c>
      <c r="AE245" s="61"/>
      <c r="AF245" s="61"/>
      <c r="AG245" s="1" t="s">
        <v>3422</v>
      </c>
      <c r="AH245" s="537"/>
      <c r="AI245" s="537"/>
      <c r="AK245" s="537"/>
      <c r="AM245" s="537" t="s">
        <v>3413</v>
      </c>
      <c r="AN245" s="537"/>
    </row>
    <row r="246" spans="1:40" hidden="1">
      <c r="A246" s="537" t="s">
        <v>54</v>
      </c>
      <c r="B246" s="1">
        <v>231104</v>
      </c>
      <c r="C246" s="1">
        <v>232125</v>
      </c>
      <c r="D246" s="537" t="s">
        <v>118</v>
      </c>
      <c r="E246" s="537" t="s">
        <v>670</v>
      </c>
      <c r="F246" t="s">
        <v>2604</v>
      </c>
      <c r="G246" t="s">
        <v>3019</v>
      </c>
      <c r="H246" s="537" t="s">
        <v>3508</v>
      </c>
      <c r="I246" s="537" t="s">
        <v>3509</v>
      </c>
      <c r="J246" s="537" t="s">
        <v>18</v>
      </c>
      <c r="K246" s="537" t="s">
        <v>57</v>
      </c>
      <c r="L246" s="61">
        <v>36479</v>
      </c>
      <c r="M246" s="1">
        <v>24</v>
      </c>
      <c r="N246" s="1">
        <v>1200</v>
      </c>
      <c r="P246" s="1">
        <v>1650</v>
      </c>
      <c r="Q246" s="537"/>
      <c r="R246" s="1">
        <v>450</v>
      </c>
      <c r="S246">
        <v>200000</v>
      </c>
      <c r="T246">
        <v>10010</v>
      </c>
      <c r="U246" t="s">
        <v>2639</v>
      </c>
      <c r="V246">
        <v>18300</v>
      </c>
      <c r="W246" s="1">
        <v>45592</v>
      </c>
      <c r="X246" s="537" t="s">
        <v>65</v>
      </c>
      <c r="Y246" s="537" t="s">
        <v>60</v>
      </c>
      <c r="Z246" s="1" t="s">
        <v>199</v>
      </c>
      <c r="AA246" s="537" t="s">
        <v>630</v>
      </c>
      <c r="AB246" s="537" t="s">
        <v>3510</v>
      </c>
      <c r="AC246" s="1">
        <v>45226</v>
      </c>
      <c r="AD246" s="61">
        <v>45231</v>
      </c>
      <c r="AE246" s="61"/>
      <c r="AF246" s="61"/>
      <c r="AG246" s="1" t="s">
        <v>3499</v>
      </c>
      <c r="AH246" s="537"/>
      <c r="AI246" s="537"/>
      <c r="AK246" s="537"/>
      <c r="AM246" s="537" t="s">
        <v>3500</v>
      </c>
      <c r="AN246" s="537"/>
    </row>
    <row r="247" spans="1:40" hidden="1">
      <c r="A247" s="537" t="s">
        <v>54</v>
      </c>
      <c r="B247" s="1">
        <v>231105</v>
      </c>
      <c r="C247" s="1">
        <v>232126</v>
      </c>
      <c r="D247" s="537" t="s">
        <v>118</v>
      </c>
      <c r="E247" s="537" t="s">
        <v>670</v>
      </c>
      <c r="F247" t="s">
        <v>2604</v>
      </c>
      <c r="G247" t="s">
        <v>3019</v>
      </c>
      <c r="H247" s="537" t="s">
        <v>3511</v>
      </c>
      <c r="I247" s="537" t="s">
        <v>3512</v>
      </c>
      <c r="J247" s="537" t="s">
        <v>18</v>
      </c>
      <c r="K247" s="537" t="s">
        <v>57</v>
      </c>
      <c r="L247" s="61">
        <v>36198</v>
      </c>
      <c r="M247" s="1">
        <v>24</v>
      </c>
      <c r="N247" s="1">
        <v>1200</v>
      </c>
      <c r="P247" s="1">
        <v>1650</v>
      </c>
      <c r="Q247" s="537"/>
      <c r="R247" s="1">
        <v>450</v>
      </c>
      <c r="S247">
        <v>200000</v>
      </c>
      <c r="T247">
        <v>10010</v>
      </c>
      <c r="U247" t="s">
        <v>2639</v>
      </c>
      <c r="V247">
        <v>18300</v>
      </c>
      <c r="W247" s="1">
        <v>45592</v>
      </c>
      <c r="X247" s="537" t="s">
        <v>65</v>
      </c>
      <c r="Y247" s="537" t="s">
        <v>60</v>
      </c>
      <c r="Z247" s="1" t="s">
        <v>199</v>
      </c>
      <c r="AA247" s="537" t="s">
        <v>630</v>
      </c>
      <c r="AB247" s="537" t="s">
        <v>3510</v>
      </c>
      <c r="AC247" s="1">
        <v>45226</v>
      </c>
      <c r="AD247" s="61">
        <v>45231</v>
      </c>
      <c r="AE247" s="61"/>
      <c r="AF247" s="61"/>
      <c r="AG247" s="1" t="s">
        <v>3499</v>
      </c>
      <c r="AH247" s="537"/>
      <c r="AI247" s="537"/>
      <c r="AK247" s="537"/>
      <c r="AM247" s="537" t="s">
        <v>3500</v>
      </c>
      <c r="AN247" s="537"/>
    </row>
    <row r="248" spans="1:40" hidden="1">
      <c r="A248" s="537" t="s">
        <v>179</v>
      </c>
      <c r="B248" s="1">
        <v>201207</v>
      </c>
      <c r="C248" s="1">
        <v>242001</v>
      </c>
      <c r="D248" s="537" t="s">
        <v>88</v>
      </c>
      <c r="E248" s="537" t="s">
        <v>675</v>
      </c>
      <c r="F248" t="s">
        <v>2369</v>
      </c>
      <c r="G248"/>
      <c r="H248" s="537" t="s">
        <v>89</v>
      </c>
      <c r="I248" s="537" t="s">
        <v>90</v>
      </c>
      <c r="J248" s="537" t="s">
        <v>18</v>
      </c>
      <c r="K248" s="537" t="s">
        <v>57</v>
      </c>
      <c r="L248" s="61">
        <v>32467</v>
      </c>
      <c r="M248" s="1">
        <v>35</v>
      </c>
      <c r="N248" s="1">
        <v>1410</v>
      </c>
      <c r="O248" s="1" t="s">
        <v>91</v>
      </c>
      <c r="P248" s="1">
        <v>1780</v>
      </c>
      <c r="Q248" s="537" t="s">
        <v>92</v>
      </c>
      <c r="R248" s="1">
        <v>370</v>
      </c>
      <c r="S248"/>
      <c r="T248" t="s">
        <v>65</v>
      </c>
      <c r="U248" t="s">
        <v>2639</v>
      </c>
      <c r="V248" t="s">
        <v>65</v>
      </c>
      <c r="W248" s="1">
        <v>45167</v>
      </c>
      <c r="X248" s="537" t="s">
        <v>59</v>
      </c>
      <c r="Y248" s="537" t="s">
        <v>60</v>
      </c>
      <c r="Z248" s="1" t="s">
        <v>93</v>
      </c>
      <c r="AA248" s="537" t="s">
        <v>94</v>
      </c>
      <c r="AB248" s="537" t="s">
        <v>95</v>
      </c>
      <c r="AC248" s="1">
        <v>44186</v>
      </c>
      <c r="AD248" s="61">
        <v>44189</v>
      </c>
      <c r="AE248" s="61">
        <v>44875</v>
      </c>
      <c r="AF248" s="61"/>
      <c r="AG248" s="1">
        <v>44228</v>
      </c>
      <c r="AH248" s="537" t="s">
        <v>90</v>
      </c>
      <c r="AI248" s="537" t="s">
        <v>86</v>
      </c>
      <c r="AJ248" s="1">
        <v>748</v>
      </c>
      <c r="AK248" s="537" t="s">
        <v>96</v>
      </c>
      <c r="AL248" s="1" t="s">
        <v>970</v>
      </c>
      <c r="AM248" s="537" t="s">
        <v>64</v>
      </c>
      <c r="AN248" s="537"/>
    </row>
    <row r="249" spans="1:40" hidden="1">
      <c r="A249" s="537" t="s">
        <v>179</v>
      </c>
      <c r="B249" s="1">
        <v>201208</v>
      </c>
      <c r="C249" s="1">
        <v>242002</v>
      </c>
      <c r="D249" s="537" t="s">
        <v>88</v>
      </c>
      <c r="E249" s="537" t="s">
        <v>668</v>
      </c>
      <c r="F249" t="s">
        <v>869</v>
      </c>
      <c r="G249" t="s">
        <v>3047</v>
      </c>
      <c r="H249" s="537" t="s">
        <v>97</v>
      </c>
      <c r="I249" s="537" t="s">
        <v>98</v>
      </c>
      <c r="J249" s="537" t="s">
        <v>18</v>
      </c>
      <c r="K249" s="537" t="s">
        <v>57</v>
      </c>
      <c r="L249" s="61">
        <v>30917</v>
      </c>
      <c r="M249" s="1">
        <v>39</v>
      </c>
      <c r="N249" s="1">
        <v>1400</v>
      </c>
      <c r="O249" s="1" t="s">
        <v>91</v>
      </c>
      <c r="P249" s="1">
        <v>1790</v>
      </c>
      <c r="Q249" s="537" t="s">
        <v>92</v>
      </c>
      <c r="R249" s="1">
        <v>390</v>
      </c>
      <c r="S249">
        <v>320000</v>
      </c>
      <c r="T249">
        <v>16015.999999999998</v>
      </c>
      <c r="U249" t="s">
        <v>2639</v>
      </c>
      <c r="V249">
        <v>29280</v>
      </c>
      <c r="W249" s="1">
        <v>45258</v>
      </c>
      <c r="X249" s="537" t="s">
        <v>59</v>
      </c>
      <c r="Y249" s="537" t="s">
        <v>60</v>
      </c>
      <c r="Z249" s="1" t="s">
        <v>99</v>
      </c>
      <c r="AA249" s="537" t="s">
        <v>100</v>
      </c>
      <c r="AB249" s="537" t="s">
        <v>101</v>
      </c>
      <c r="AC249" s="1" t="s">
        <v>63</v>
      </c>
      <c r="AD249" s="61">
        <v>44189</v>
      </c>
      <c r="AE249" s="61">
        <v>45114</v>
      </c>
      <c r="AF249" s="61"/>
      <c r="AG249" s="1">
        <v>44228</v>
      </c>
      <c r="AH249" s="537" t="s">
        <v>102</v>
      </c>
      <c r="AI249" s="537" t="s">
        <v>103</v>
      </c>
      <c r="AJ249" s="1">
        <v>151</v>
      </c>
      <c r="AK249" s="537" t="s">
        <v>104</v>
      </c>
      <c r="AL249" s="1" t="s">
        <v>971</v>
      </c>
      <c r="AM249" s="537" t="s">
        <v>64</v>
      </c>
      <c r="AN249" s="537"/>
    </row>
    <row r="250" spans="1:40" hidden="1">
      <c r="A250" s="537" t="s">
        <v>179</v>
      </c>
      <c r="B250" s="1">
        <v>210114</v>
      </c>
      <c r="C250" s="1">
        <v>242003</v>
      </c>
      <c r="D250" s="537" t="s">
        <v>88</v>
      </c>
      <c r="E250" s="537" t="s">
        <v>668</v>
      </c>
      <c r="F250"/>
      <c r="G250"/>
      <c r="H250" s="537" t="s">
        <v>1001</v>
      </c>
      <c r="I250" s="537" t="s">
        <v>1002</v>
      </c>
      <c r="J250" s="537" t="s">
        <v>18</v>
      </c>
      <c r="K250" s="537" t="s">
        <v>57</v>
      </c>
      <c r="L250" s="61">
        <v>35489</v>
      </c>
      <c r="M250" s="1">
        <v>26</v>
      </c>
      <c r="N250" s="1">
        <v>1400</v>
      </c>
      <c r="O250" s="1" t="s">
        <v>91</v>
      </c>
      <c r="P250" s="1">
        <v>1770</v>
      </c>
      <c r="Q250" s="537" t="s">
        <v>92</v>
      </c>
      <c r="R250" s="1">
        <v>370</v>
      </c>
      <c r="S250"/>
      <c r="T250" t="s">
        <v>65</v>
      </c>
      <c r="U250" t="s">
        <v>2639</v>
      </c>
      <c r="V250" t="s">
        <v>65</v>
      </c>
      <c r="W250" s="1">
        <v>45167</v>
      </c>
      <c r="X250" s="537" t="s">
        <v>59</v>
      </c>
      <c r="Y250" s="537" t="s">
        <v>60</v>
      </c>
      <c r="Z250" s="1" t="s">
        <v>93</v>
      </c>
      <c r="AA250" s="537" t="s">
        <v>997</v>
      </c>
      <c r="AB250" s="537" t="s">
        <v>998</v>
      </c>
      <c r="AC250" s="1">
        <v>44202</v>
      </c>
      <c r="AD250" s="61">
        <v>44207</v>
      </c>
      <c r="AE250" s="61">
        <v>44854</v>
      </c>
      <c r="AF250" s="61"/>
      <c r="AG250" s="1">
        <v>44256</v>
      </c>
      <c r="AH250" s="537" t="s">
        <v>1002</v>
      </c>
      <c r="AI250" s="537" t="s">
        <v>86</v>
      </c>
      <c r="AJ250" s="1">
        <v>748</v>
      </c>
      <c r="AK250" s="537" t="s">
        <v>96</v>
      </c>
      <c r="AL250" s="1" t="s">
        <v>1003</v>
      </c>
      <c r="AM250" s="537" t="s">
        <v>64</v>
      </c>
      <c r="AN250" s="537"/>
    </row>
    <row r="251" spans="1:40" hidden="1">
      <c r="A251" s="537" t="s">
        <v>179</v>
      </c>
      <c r="B251" s="1">
        <v>210113</v>
      </c>
      <c r="C251" s="1">
        <v>242004</v>
      </c>
      <c r="D251" s="537" t="s">
        <v>88</v>
      </c>
      <c r="E251" s="537" t="s">
        <v>668</v>
      </c>
      <c r="F251"/>
      <c r="G251"/>
      <c r="H251" s="537" t="s">
        <v>995</v>
      </c>
      <c r="I251" s="537" t="s">
        <v>996</v>
      </c>
      <c r="J251" s="537" t="s">
        <v>18</v>
      </c>
      <c r="K251" s="537" t="s">
        <v>57</v>
      </c>
      <c r="L251" s="61">
        <v>35776</v>
      </c>
      <c r="M251" s="1">
        <v>25</v>
      </c>
      <c r="N251" s="1">
        <v>1400</v>
      </c>
      <c r="O251" s="1" t="s">
        <v>91</v>
      </c>
      <c r="P251" s="1">
        <v>1770</v>
      </c>
      <c r="Q251" s="537" t="s">
        <v>92</v>
      </c>
      <c r="R251" s="1">
        <v>370</v>
      </c>
      <c r="S251"/>
      <c r="T251" t="s">
        <v>65</v>
      </c>
      <c r="U251" t="s">
        <v>2639</v>
      </c>
      <c r="V251" t="s">
        <v>65</v>
      </c>
      <c r="W251" s="1">
        <v>45085</v>
      </c>
      <c r="X251" s="537" t="s">
        <v>59</v>
      </c>
      <c r="Y251" s="537" t="s">
        <v>60</v>
      </c>
      <c r="Z251" s="1" t="s">
        <v>93</v>
      </c>
      <c r="AA251" s="537" t="s">
        <v>997</v>
      </c>
      <c r="AB251" s="537" t="s">
        <v>998</v>
      </c>
      <c r="AC251" s="1">
        <v>44202</v>
      </c>
      <c r="AD251" s="61">
        <v>44207</v>
      </c>
      <c r="AE251" s="61">
        <v>44783</v>
      </c>
      <c r="AF251" s="61"/>
      <c r="AG251" s="1">
        <v>44256</v>
      </c>
      <c r="AH251" s="537" t="s">
        <v>999</v>
      </c>
      <c r="AI251" s="537" t="s">
        <v>86</v>
      </c>
      <c r="AJ251" s="1">
        <v>748</v>
      </c>
      <c r="AK251" s="537" t="s">
        <v>96</v>
      </c>
      <c r="AL251" s="1" t="s">
        <v>1000</v>
      </c>
      <c r="AM251" s="537" t="s">
        <v>64</v>
      </c>
      <c r="AN251" s="537"/>
    </row>
    <row r="252" spans="1:40">
      <c r="A252" s="537" t="s">
        <v>54</v>
      </c>
      <c r="B252" s="1">
        <v>210112</v>
      </c>
      <c r="C252" s="1">
        <v>242006</v>
      </c>
      <c r="D252" s="537" t="s">
        <v>88</v>
      </c>
      <c r="E252" s="537" t="s">
        <v>675</v>
      </c>
      <c r="F252" s="1" t="s">
        <v>2372</v>
      </c>
      <c r="G252" s="1" t="s">
        <v>3078</v>
      </c>
      <c r="H252" s="537" t="s">
        <v>1004</v>
      </c>
      <c r="I252" s="537" t="s">
        <v>1005</v>
      </c>
      <c r="J252" s="537" t="s">
        <v>18</v>
      </c>
      <c r="K252" s="537" t="s">
        <v>57</v>
      </c>
      <c r="L252" s="61">
        <v>34179</v>
      </c>
      <c r="M252" s="1">
        <v>30</v>
      </c>
      <c r="N252" s="1">
        <v>1410</v>
      </c>
      <c r="O252" s="1" t="s">
        <v>91</v>
      </c>
      <c r="P252" s="1">
        <v>1800</v>
      </c>
      <c r="Q252" s="537" t="s">
        <v>83</v>
      </c>
      <c r="R252" s="1">
        <v>390</v>
      </c>
      <c r="S252" s="1">
        <v>280000</v>
      </c>
      <c r="T252" s="1">
        <v>14014</v>
      </c>
      <c r="U252" s="1" t="s">
        <v>2639</v>
      </c>
      <c r="V252" s="1">
        <v>25620</v>
      </c>
      <c r="W252" s="1">
        <v>45761</v>
      </c>
      <c r="X252" s="537" t="s">
        <v>65</v>
      </c>
      <c r="Y252" s="537" t="s">
        <v>60</v>
      </c>
      <c r="Z252" s="1" t="s">
        <v>1006</v>
      </c>
      <c r="AA252" s="537" t="s">
        <v>1007</v>
      </c>
      <c r="AB252" s="537" t="s">
        <v>1008</v>
      </c>
      <c r="AC252" s="1" t="s">
        <v>63</v>
      </c>
      <c r="AD252" s="61">
        <v>44207</v>
      </c>
      <c r="AE252" s="61"/>
      <c r="AF252" s="61">
        <v>44439</v>
      </c>
      <c r="AG252" s="1">
        <v>44256</v>
      </c>
      <c r="AH252" s="537" t="s">
        <v>1009</v>
      </c>
      <c r="AI252" s="537" t="s">
        <v>86</v>
      </c>
      <c r="AJ252" s="1">
        <v>408</v>
      </c>
      <c r="AK252" s="537" t="s">
        <v>87</v>
      </c>
      <c r="AL252" s="1" t="s">
        <v>1010</v>
      </c>
      <c r="AM252" s="537" t="s">
        <v>64</v>
      </c>
      <c r="AN252" s="537"/>
    </row>
    <row r="253" spans="1:40">
      <c r="A253" s="537" t="s">
        <v>54</v>
      </c>
      <c r="B253" s="1">
        <v>210207</v>
      </c>
      <c r="C253" s="1">
        <v>242008</v>
      </c>
      <c r="D253" s="537" t="s">
        <v>88</v>
      </c>
      <c r="E253" s="537" t="s">
        <v>668</v>
      </c>
      <c r="F253" s="1" t="s">
        <v>2375</v>
      </c>
      <c r="G253" s="1" t="s">
        <v>703</v>
      </c>
      <c r="H253" s="537" t="s">
        <v>1036</v>
      </c>
      <c r="I253" s="537" t="s">
        <v>1037</v>
      </c>
      <c r="J253" s="537" t="s">
        <v>18</v>
      </c>
      <c r="K253" s="537" t="s">
        <v>57</v>
      </c>
      <c r="L253" s="61">
        <v>33849</v>
      </c>
      <c r="M253" s="1">
        <v>31</v>
      </c>
      <c r="N253" s="1">
        <v>1410</v>
      </c>
      <c r="O253" s="1" t="s">
        <v>91</v>
      </c>
      <c r="P253" s="1">
        <v>1800</v>
      </c>
      <c r="Q253" s="537" t="s">
        <v>92</v>
      </c>
      <c r="R253" s="1">
        <v>390</v>
      </c>
      <c r="S253" s="1">
        <v>280000</v>
      </c>
      <c r="T253" s="1">
        <v>14014</v>
      </c>
      <c r="U253" s="1" t="s">
        <v>2639</v>
      </c>
      <c r="V253" s="1">
        <v>25620</v>
      </c>
      <c r="W253" s="1">
        <v>45648</v>
      </c>
      <c r="X253" s="537" t="s">
        <v>65</v>
      </c>
      <c r="Y253" s="537" t="s">
        <v>60</v>
      </c>
      <c r="Z253" s="1" t="s">
        <v>1006</v>
      </c>
      <c r="AA253" s="537" t="s">
        <v>1007</v>
      </c>
      <c r="AB253" s="537" t="s">
        <v>1038</v>
      </c>
      <c r="AC253" s="1" t="s">
        <v>63</v>
      </c>
      <c r="AD253" s="61">
        <v>44242</v>
      </c>
      <c r="AE253" s="61"/>
      <c r="AF253" s="61"/>
      <c r="AG253" s="1">
        <v>44287</v>
      </c>
      <c r="AH253" s="537" t="s">
        <v>1039</v>
      </c>
      <c r="AI253" s="537" t="s">
        <v>86</v>
      </c>
      <c r="AJ253" s="1">
        <v>868</v>
      </c>
      <c r="AK253" s="537" t="s">
        <v>1040</v>
      </c>
      <c r="AL253" s="1" t="s">
        <v>1041</v>
      </c>
      <c r="AM253" s="537" t="s">
        <v>64</v>
      </c>
      <c r="AN253" s="537"/>
    </row>
    <row r="254" spans="1:40">
      <c r="A254" s="537" t="s">
        <v>54</v>
      </c>
      <c r="B254" s="1">
        <v>210318</v>
      </c>
      <c r="C254" s="1">
        <v>242010</v>
      </c>
      <c r="D254" s="537" t="s">
        <v>88</v>
      </c>
      <c r="E254" s="537" t="s">
        <v>668</v>
      </c>
      <c r="F254" s="1" t="s">
        <v>869</v>
      </c>
      <c r="G254" s="1" t="s">
        <v>3047</v>
      </c>
      <c r="H254" s="537" t="s">
        <v>1061</v>
      </c>
      <c r="I254" s="537" t="s">
        <v>1062</v>
      </c>
      <c r="J254" s="537" t="s">
        <v>18</v>
      </c>
      <c r="K254" s="537" t="s">
        <v>57</v>
      </c>
      <c r="L254" s="61">
        <v>34467</v>
      </c>
      <c r="M254" s="1">
        <v>29</v>
      </c>
      <c r="N254" s="1">
        <v>1400</v>
      </c>
      <c r="O254" s="1" t="s">
        <v>91</v>
      </c>
      <c r="P254" s="1">
        <v>1790</v>
      </c>
      <c r="Q254" s="537" t="s">
        <v>92</v>
      </c>
      <c r="R254" s="1">
        <v>390</v>
      </c>
      <c r="S254" s="1">
        <v>260000</v>
      </c>
      <c r="T254" s="1">
        <v>13013</v>
      </c>
      <c r="U254" s="1" t="s">
        <v>2639</v>
      </c>
      <c r="V254" s="1">
        <v>23790</v>
      </c>
      <c r="W254" s="1">
        <v>45598</v>
      </c>
      <c r="X254" s="537" t="s">
        <v>65</v>
      </c>
      <c r="Y254" s="537" t="s">
        <v>60</v>
      </c>
      <c r="Z254" s="1" t="s">
        <v>1006</v>
      </c>
      <c r="AA254" s="537" t="s">
        <v>1063</v>
      </c>
      <c r="AB254" s="537" t="s">
        <v>1064</v>
      </c>
      <c r="AC254" s="1">
        <v>44273</v>
      </c>
      <c r="AD254" s="61">
        <v>44279</v>
      </c>
      <c r="AE254" s="61">
        <v>45275</v>
      </c>
      <c r="AF254" s="61"/>
      <c r="AG254" s="1">
        <v>44348</v>
      </c>
      <c r="AH254" s="537" t="s">
        <v>1062</v>
      </c>
      <c r="AI254" s="537" t="s">
        <v>86</v>
      </c>
      <c r="AJ254" s="1">
        <v>438</v>
      </c>
      <c r="AK254" s="537" t="s">
        <v>223</v>
      </c>
      <c r="AL254" s="1" t="s">
        <v>1065</v>
      </c>
      <c r="AM254" s="537" t="s">
        <v>64</v>
      </c>
      <c r="AN254" s="537"/>
    </row>
    <row r="255" spans="1:40">
      <c r="A255" s="537" t="s">
        <v>54</v>
      </c>
      <c r="B255" s="1">
        <v>210406</v>
      </c>
      <c r="C255" s="1">
        <v>242011</v>
      </c>
      <c r="D255" s="537" t="s">
        <v>88</v>
      </c>
      <c r="E255" s="537" t="s">
        <v>668</v>
      </c>
      <c r="F255" s="1" t="s">
        <v>869</v>
      </c>
      <c r="G255" s="1" t="s">
        <v>3047</v>
      </c>
      <c r="H255" s="537" t="s">
        <v>1111</v>
      </c>
      <c r="I255" s="537" t="s">
        <v>1112</v>
      </c>
      <c r="J255" s="537" t="s">
        <v>18</v>
      </c>
      <c r="K255" s="537" t="s">
        <v>57</v>
      </c>
      <c r="L255" s="61">
        <v>32269</v>
      </c>
      <c r="M255" s="1">
        <v>35</v>
      </c>
      <c r="N255" s="1">
        <v>1410</v>
      </c>
      <c r="O255" s="1" t="s">
        <v>91</v>
      </c>
      <c r="P255" s="1">
        <v>1810</v>
      </c>
      <c r="Q255" s="537" t="s">
        <v>92</v>
      </c>
      <c r="R255" s="1">
        <v>400</v>
      </c>
      <c r="S255" s="1">
        <v>280000</v>
      </c>
      <c r="T255" s="1">
        <v>14014</v>
      </c>
      <c r="U255" s="1" t="s">
        <v>2639</v>
      </c>
      <c r="V255" s="1">
        <v>25620</v>
      </c>
      <c r="W255" s="1">
        <v>45339</v>
      </c>
      <c r="X255" s="537" t="s">
        <v>59</v>
      </c>
      <c r="Y255" s="537" t="s">
        <v>60</v>
      </c>
      <c r="Z255" s="1" t="s">
        <v>1006</v>
      </c>
      <c r="AA255" s="537" t="s">
        <v>1063</v>
      </c>
      <c r="AB255" s="537" t="s">
        <v>1064</v>
      </c>
      <c r="AC255" s="1">
        <v>44284</v>
      </c>
      <c r="AD255" s="61">
        <v>44291</v>
      </c>
      <c r="AE255" s="61"/>
      <c r="AF255" s="61"/>
      <c r="AG255" s="1">
        <v>44348</v>
      </c>
      <c r="AH255" s="537" t="s">
        <v>1112</v>
      </c>
      <c r="AI255" s="537" t="s">
        <v>86</v>
      </c>
      <c r="AJ255" s="1">
        <v>238</v>
      </c>
      <c r="AK255" s="537" t="s">
        <v>1109</v>
      </c>
      <c r="AL255" s="1" t="s">
        <v>1113</v>
      </c>
      <c r="AM255" s="537" t="s">
        <v>64</v>
      </c>
      <c r="AN255" s="537"/>
    </row>
    <row r="256" spans="1:40" hidden="1">
      <c r="A256" s="537" t="s">
        <v>179</v>
      </c>
      <c r="B256" s="1">
        <v>210407</v>
      </c>
      <c r="C256" s="1">
        <v>242012</v>
      </c>
      <c r="D256" s="537" t="s">
        <v>88</v>
      </c>
      <c r="E256" s="537" t="s">
        <v>668</v>
      </c>
      <c r="F256" t="s">
        <v>2375</v>
      </c>
      <c r="G256" t="s">
        <v>703</v>
      </c>
      <c r="H256" s="537" t="s">
        <v>1114</v>
      </c>
      <c r="I256" s="537" t="s">
        <v>1115</v>
      </c>
      <c r="J256" s="537" t="s">
        <v>18</v>
      </c>
      <c r="K256" s="537" t="s">
        <v>57</v>
      </c>
      <c r="L256" s="61">
        <v>34528</v>
      </c>
      <c r="M256" s="1">
        <v>29</v>
      </c>
      <c r="N256" s="1">
        <v>1400</v>
      </c>
      <c r="O256" s="1" t="s">
        <v>91</v>
      </c>
      <c r="P256" s="1">
        <v>1780</v>
      </c>
      <c r="Q256" s="537" t="s">
        <v>92</v>
      </c>
      <c r="R256" s="1">
        <v>380</v>
      </c>
      <c r="S256">
        <v>260000</v>
      </c>
      <c r="T256">
        <v>13013</v>
      </c>
      <c r="U256" t="s">
        <v>2639</v>
      </c>
      <c r="V256">
        <v>23790</v>
      </c>
      <c r="W256" s="1">
        <v>45620</v>
      </c>
      <c r="X256" s="537" t="s">
        <v>65</v>
      </c>
      <c r="Y256" s="537" t="s">
        <v>60</v>
      </c>
      <c r="Z256" s="1" t="s">
        <v>1006</v>
      </c>
      <c r="AA256" s="537" t="s">
        <v>1116</v>
      </c>
      <c r="AB256" s="537" t="s">
        <v>1117</v>
      </c>
      <c r="AC256" s="1">
        <v>44284</v>
      </c>
      <c r="AD256" s="61">
        <v>44291</v>
      </c>
      <c r="AE256" s="61">
        <v>45257</v>
      </c>
      <c r="AF256" s="61"/>
      <c r="AG256" s="1">
        <v>44348</v>
      </c>
      <c r="AH256" s="537" t="s">
        <v>1118</v>
      </c>
      <c r="AI256" s="537" t="s">
        <v>86</v>
      </c>
      <c r="AJ256" s="1">
        <v>238</v>
      </c>
      <c r="AK256" s="537" t="s">
        <v>1109</v>
      </c>
      <c r="AL256" s="1" t="s">
        <v>1119</v>
      </c>
      <c r="AM256" s="537" t="s">
        <v>64</v>
      </c>
      <c r="AN256" s="537"/>
    </row>
    <row r="257" spans="1:40">
      <c r="A257" s="537" t="s">
        <v>54</v>
      </c>
      <c r="B257" s="1">
        <v>210416</v>
      </c>
      <c r="C257" s="1">
        <v>242016</v>
      </c>
      <c r="D257" s="537" t="s">
        <v>88</v>
      </c>
      <c r="E257" s="537" t="s">
        <v>668</v>
      </c>
      <c r="F257" s="1" t="s">
        <v>2378</v>
      </c>
      <c r="G257" s="1" t="s">
        <v>703</v>
      </c>
      <c r="H257" s="537" t="s">
        <v>1137</v>
      </c>
      <c r="I257" s="537" t="s">
        <v>1138</v>
      </c>
      <c r="J257" s="537" t="s">
        <v>18</v>
      </c>
      <c r="K257" s="537" t="s">
        <v>57</v>
      </c>
      <c r="L257" s="61">
        <v>33527</v>
      </c>
      <c r="M257" s="1">
        <v>32</v>
      </c>
      <c r="N257" s="1">
        <v>1400</v>
      </c>
      <c r="P257" s="1">
        <v>1790</v>
      </c>
      <c r="Q257" s="537" t="s">
        <v>92</v>
      </c>
      <c r="R257" s="1">
        <v>390</v>
      </c>
      <c r="S257" s="1">
        <v>260000</v>
      </c>
      <c r="T257" s="1">
        <v>13013</v>
      </c>
      <c r="U257" s="1" t="s">
        <v>2639</v>
      </c>
      <c r="V257" s="1">
        <v>23790</v>
      </c>
      <c r="W257" s="1">
        <v>45369</v>
      </c>
      <c r="X257" s="537" t="s">
        <v>65</v>
      </c>
      <c r="Y257" s="537" t="s">
        <v>60</v>
      </c>
      <c r="Z257" s="1" t="s">
        <v>1006</v>
      </c>
      <c r="AA257" s="537" t="s">
        <v>997</v>
      </c>
      <c r="AB257" s="537" t="s">
        <v>998</v>
      </c>
      <c r="AC257" s="1">
        <v>44896</v>
      </c>
      <c r="AD257" s="61">
        <v>44305</v>
      </c>
      <c r="AE257" s="61"/>
      <c r="AF257" s="61">
        <v>44408</v>
      </c>
      <c r="AG257" s="1">
        <v>44378</v>
      </c>
      <c r="AH257" s="537" t="s">
        <v>1138</v>
      </c>
      <c r="AI257" s="537" t="s">
        <v>86</v>
      </c>
      <c r="AJ257" s="1">
        <v>238</v>
      </c>
      <c r="AK257" s="537" t="s">
        <v>1109</v>
      </c>
      <c r="AL257" s="1" t="s">
        <v>1140</v>
      </c>
      <c r="AM257" s="537" t="s">
        <v>64</v>
      </c>
      <c r="AN257" s="537"/>
    </row>
    <row r="258" spans="1:40" hidden="1">
      <c r="A258" s="537" t="s">
        <v>179</v>
      </c>
      <c r="B258" s="1">
        <v>210605</v>
      </c>
      <c r="C258" s="1">
        <v>242017</v>
      </c>
      <c r="D258" s="537" t="s">
        <v>88</v>
      </c>
      <c r="E258" s="537" t="s">
        <v>668</v>
      </c>
      <c r="F258" t="s">
        <v>2375</v>
      </c>
      <c r="G258"/>
      <c r="H258" s="537" t="s">
        <v>1196</v>
      </c>
      <c r="I258" s="537" t="s">
        <v>1197</v>
      </c>
      <c r="J258" s="537" t="s">
        <v>18</v>
      </c>
      <c r="K258" s="537" t="s">
        <v>57</v>
      </c>
      <c r="L258" s="61">
        <v>34791</v>
      </c>
      <c r="M258" s="1">
        <v>28</v>
      </c>
      <c r="N258" s="1">
        <v>1400</v>
      </c>
      <c r="O258" s="1">
        <v>1750</v>
      </c>
      <c r="P258" s="1">
        <v>1770</v>
      </c>
      <c r="Q258" s="537"/>
      <c r="R258" s="1">
        <v>370</v>
      </c>
      <c r="S258"/>
      <c r="T258" t="s">
        <v>65</v>
      </c>
      <c r="U258" t="s">
        <v>2639</v>
      </c>
      <c r="V258" t="s">
        <v>65</v>
      </c>
      <c r="W258" s="1">
        <v>45254</v>
      </c>
      <c r="X258" s="537" t="s">
        <v>59</v>
      </c>
      <c r="Y258" s="537" t="s">
        <v>60</v>
      </c>
      <c r="Z258" s="1" t="s">
        <v>1198</v>
      </c>
      <c r="AA258" s="537" t="s">
        <v>1199</v>
      </c>
      <c r="AB258" s="537" t="s">
        <v>1200</v>
      </c>
      <c r="AC258" s="1">
        <v>44350</v>
      </c>
      <c r="AD258" s="61">
        <v>44355</v>
      </c>
      <c r="AE258" s="61">
        <v>44936</v>
      </c>
      <c r="AF258" s="61"/>
      <c r="AG258" s="1">
        <v>44409</v>
      </c>
      <c r="AH258" s="537" t="s">
        <v>1197</v>
      </c>
      <c r="AI258" s="537" t="s">
        <v>86</v>
      </c>
      <c r="AJ258" s="1">
        <v>618</v>
      </c>
      <c r="AK258" s="537" t="s">
        <v>1201</v>
      </c>
      <c r="AL258" s="1" t="s">
        <v>1202</v>
      </c>
      <c r="AM258" s="537" t="s">
        <v>64</v>
      </c>
      <c r="AN258" s="537"/>
    </row>
    <row r="259" spans="1:40" hidden="1">
      <c r="A259" s="537" t="s">
        <v>179</v>
      </c>
      <c r="B259" s="1">
        <v>210609</v>
      </c>
      <c r="C259" s="1">
        <v>242019</v>
      </c>
      <c r="D259" s="537" t="s">
        <v>88</v>
      </c>
      <c r="E259" s="537" t="s">
        <v>2645</v>
      </c>
      <c r="F259" t="s">
        <v>2375</v>
      </c>
      <c r="G259"/>
      <c r="H259" s="537" t="s">
        <v>1206</v>
      </c>
      <c r="I259" s="537" t="s">
        <v>135</v>
      </c>
      <c r="J259" s="537" t="s">
        <v>18</v>
      </c>
      <c r="K259" s="537" t="s">
        <v>57</v>
      </c>
      <c r="L259" s="61">
        <v>34826</v>
      </c>
      <c r="M259" s="1">
        <v>28</v>
      </c>
      <c r="N259" s="1">
        <v>1400</v>
      </c>
      <c r="O259" s="1" t="s">
        <v>91</v>
      </c>
      <c r="P259" s="1">
        <v>1770</v>
      </c>
      <c r="Q259" s="537" t="s">
        <v>92</v>
      </c>
      <c r="R259" s="1">
        <v>370</v>
      </c>
      <c r="S259"/>
      <c r="T259" t="s">
        <v>65</v>
      </c>
      <c r="U259" t="s">
        <v>2639</v>
      </c>
      <c r="V259" t="s">
        <v>65</v>
      </c>
      <c r="W259" s="1">
        <v>45052</v>
      </c>
      <c r="X259" s="537" t="s">
        <v>59</v>
      </c>
      <c r="Y259" s="537" t="s">
        <v>60</v>
      </c>
      <c r="Z259" s="1" t="s">
        <v>1006</v>
      </c>
      <c r="AA259" s="537" t="s">
        <v>997</v>
      </c>
      <c r="AB259" s="537" t="s">
        <v>998</v>
      </c>
      <c r="AC259" s="1">
        <v>44835</v>
      </c>
      <c r="AD259" s="61">
        <v>44362</v>
      </c>
      <c r="AE259" s="61">
        <v>44917</v>
      </c>
      <c r="AF259" s="61"/>
      <c r="AG259" s="1">
        <v>44409</v>
      </c>
      <c r="AH259" s="537" t="s">
        <v>135</v>
      </c>
      <c r="AI259" s="537" t="s">
        <v>86</v>
      </c>
      <c r="AJ259" s="1">
        <v>238</v>
      </c>
      <c r="AK259" s="537" t="s">
        <v>1109</v>
      </c>
      <c r="AL259" s="1" t="s">
        <v>1207</v>
      </c>
      <c r="AM259" s="537" t="s">
        <v>64</v>
      </c>
      <c r="AN259" s="537"/>
    </row>
    <row r="260" spans="1:40" hidden="1">
      <c r="A260" s="537" t="s">
        <v>179</v>
      </c>
      <c r="B260" s="1">
        <v>210713</v>
      </c>
      <c r="C260" s="1">
        <v>242020</v>
      </c>
      <c r="D260" s="537" t="s">
        <v>88</v>
      </c>
      <c r="E260" s="537" t="s">
        <v>668</v>
      </c>
      <c r="F260" t="s">
        <v>2378</v>
      </c>
      <c r="G260"/>
      <c r="H260" s="537" t="s">
        <v>1243</v>
      </c>
      <c r="I260" s="537" t="s">
        <v>1244</v>
      </c>
      <c r="J260" s="537" t="s">
        <v>18</v>
      </c>
      <c r="K260" s="537" t="s">
        <v>57</v>
      </c>
      <c r="L260" s="61">
        <v>32756</v>
      </c>
      <c r="M260" s="1">
        <v>34</v>
      </c>
      <c r="N260" s="1">
        <v>1400</v>
      </c>
      <c r="O260" s="1" t="s">
        <v>285</v>
      </c>
      <c r="P260" s="1">
        <v>1770</v>
      </c>
      <c r="Q260" s="537" t="s">
        <v>92</v>
      </c>
      <c r="R260" s="1">
        <v>370</v>
      </c>
      <c r="S260"/>
      <c r="T260" t="s">
        <v>65</v>
      </c>
      <c r="U260" t="s">
        <v>2639</v>
      </c>
      <c r="V260" t="s">
        <v>65</v>
      </c>
      <c r="W260" s="1">
        <v>45085</v>
      </c>
      <c r="X260" s="537" t="s">
        <v>59</v>
      </c>
      <c r="Y260" s="537" t="s">
        <v>60</v>
      </c>
      <c r="Z260" s="1" t="s">
        <v>1245</v>
      </c>
      <c r="AA260" s="537" t="s">
        <v>1246</v>
      </c>
      <c r="AB260" s="537" t="s">
        <v>1247</v>
      </c>
      <c r="AC260" s="1" t="s">
        <v>63</v>
      </c>
      <c r="AD260" s="61">
        <v>44403</v>
      </c>
      <c r="AE260" s="61">
        <v>44890</v>
      </c>
      <c r="AF260" s="61"/>
      <c r="AG260" s="1">
        <v>44470</v>
      </c>
      <c r="AH260" s="537" t="s">
        <v>1248</v>
      </c>
      <c r="AI260" s="537" t="s">
        <v>86</v>
      </c>
      <c r="AJ260" s="1">
        <v>208</v>
      </c>
      <c r="AK260" s="537" t="s">
        <v>151</v>
      </c>
      <c r="AL260" s="1" t="s">
        <v>1249</v>
      </c>
      <c r="AM260" s="537" t="s">
        <v>64</v>
      </c>
      <c r="AN260" s="537"/>
    </row>
    <row r="261" spans="1:40" hidden="1">
      <c r="A261" s="537" t="s">
        <v>179</v>
      </c>
      <c r="B261" s="1">
        <v>210821</v>
      </c>
      <c r="C261" s="1">
        <v>242022</v>
      </c>
      <c r="D261" s="537" t="s">
        <v>1066</v>
      </c>
      <c r="E261" s="537" t="s">
        <v>2376</v>
      </c>
      <c r="F261" t="s">
        <v>804</v>
      </c>
      <c r="G261"/>
      <c r="H261" s="537" t="s">
        <v>1286</v>
      </c>
      <c r="I261" s="537" t="s">
        <v>1287</v>
      </c>
      <c r="J261" s="537" t="s">
        <v>18</v>
      </c>
      <c r="K261" s="537" t="s">
        <v>57</v>
      </c>
      <c r="L261" s="61">
        <v>34252</v>
      </c>
      <c r="M261" s="1">
        <v>30</v>
      </c>
      <c r="N261" s="1">
        <v>1300</v>
      </c>
      <c r="P261" s="1">
        <v>1700</v>
      </c>
      <c r="Q261" s="537" t="s">
        <v>92</v>
      </c>
      <c r="R261" s="1">
        <v>400</v>
      </c>
      <c r="S261"/>
      <c r="T261" t="s">
        <v>65</v>
      </c>
      <c r="U261" t="s">
        <v>2639</v>
      </c>
      <c r="V261" t="s">
        <v>65</v>
      </c>
      <c r="W261" s="1">
        <v>45197</v>
      </c>
      <c r="X261" s="537" t="s">
        <v>59</v>
      </c>
      <c r="Y261" s="537" t="s">
        <v>60</v>
      </c>
      <c r="Z261" s="1" t="s">
        <v>1245</v>
      </c>
      <c r="AA261" s="537" t="s">
        <v>1071</v>
      </c>
      <c r="AB261" s="537" t="s">
        <v>1288</v>
      </c>
      <c r="AC261" s="1">
        <v>44429</v>
      </c>
      <c r="AD261" s="61">
        <v>44434</v>
      </c>
      <c r="AE261" s="61">
        <v>44889</v>
      </c>
      <c r="AF261" s="61"/>
      <c r="AG261" s="1">
        <v>44501</v>
      </c>
      <c r="AH261" s="537" t="s">
        <v>1289</v>
      </c>
      <c r="AI261" s="537" t="s">
        <v>86</v>
      </c>
      <c r="AJ261" s="1">
        <v>238</v>
      </c>
      <c r="AK261" s="537" t="s">
        <v>1109</v>
      </c>
      <c r="AL261" s="1" t="s">
        <v>1290</v>
      </c>
      <c r="AM261" s="537" t="s">
        <v>64</v>
      </c>
      <c r="AN261" s="537" t="s">
        <v>1291</v>
      </c>
    </row>
    <row r="262" spans="1:40">
      <c r="A262" s="537" t="s">
        <v>54</v>
      </c>
      <c r="B262" s="1">
        <v>210912</v>
      </c>
      <c r="C262" s="1">
        <v>242023</v>
      </c>
      <c r="D262" s="537" t="s">
        <v>88</v>
      </c>
      <c r="E262" s="537" t="s">
        <v>668</v>
      </c>
      <c r="F262" s="1" t="s">
        <v>2378</v>
      </c>
      <c r="G262" s="1" t="s">
        <v>703</v>
      </c>
      <c r="H262" s="537" t="s">
        <v>1332</v>
      </c>
      <c r="I262" s="537" t="s">
        <v>1333</v>
      </c>
      <c r="J262" s="537" t="s">
        <v>18</v>
      </c>
      <c r="K262" s="537" t="s">
        <v>57</v>
      </c>
      <c r="L262" s="61">
        <v>32994</v>
      </c>
      <c r="M262" s="1">
        <v>33</v>
      </c>
      <c r="N262" s="1">
        <v>1420</v>
      </c>
      <c r="P262" s="1">
        <v>1800</v>
      </c>
      <c r="Q262" s="537" t="s">
        <v>83</v>
      </c>
      <c r="R262" s="1">
        <v>380</v>
      </c>
      <c r="S262" s="1">
        <v>300000</v>
      </c>
      <c r="T262" s="1">
        <v>15014.999999999998</v>
      </c>
      <c r="U262" s="1" t="s">
        <v>2639</v>
      </c>
      <c r="V262" s="1">
        <v>27450</v>
      </c>
      <c r="W262" s="1">
        <v>45477</v>
      </c>
      <c r="X262" s="537" t="s">
        <v>65</v>
      </c>
      <c r="Y262" s="537" t="s">
        <v>60</v>
      </c>
      <c r="Z262" s="1" t="s">
        <v>93</v>
      </c>
      <c r="AA262" s="537" t="s">
        <v>1334</v>
      </c>
      <c r="AB262" s="537" t="s">
        <v>1335</v>
      </c>
      <c r="AC262" s="1">
        <v>44464</v>
      </c>
      <c r="AD262" s="61">
        <v>44466</v>
      </c>
      <c r="AE262" s="61"/>
      <c r="AF262" s="61"/>
      <c r="AG262" s="1">
        <v>44531</v>
      </c>
      <c r="AH262" s="537" t="s">
        <v>1336</v>
      </c>
      <c r="AI262" s="537" t="s">
        <v>86</v>
      </c>
      <c r="AJ262" s="1">
        <v>518</v>
      </c>
      <c r="AK262" s="537" t="s">
        <v>247</v>
      </c>
      <c r="AL262" s="1" t="s">
        <v>1337</v>
      </c>
      <c r="AM262" s="537" t="s">
        <v>64</v>
      </c>
      <c r="AN262" s="537"/>
    </row>
    <row r="263" spans="1:40">
      <c r="A263" s="537" t="s">
        <v>54</v>
      </c>
      <c r="B263" s="1">
        <v>211105</v>
      </c>
      <c r="C263" s="1">
        <v>242025</v>
      </c>
      <c r="D263" s="537" t="s">
        <v>88</v>
      </c>
      <c r="E263" s="537" t="s">
        <v>668</v>
      </c>
      <c r="F263" s="1" t="s">
        <v>869</v>
      </c>
      <c r="G263" s="1" t="s">
        <v>3047</v>
      </c>
      <c r="H263" s="537" t="s">
        <v>218</v>
      </c>
      <c r="I263" s="537" t="s">
        <v>1431</v>
      </c>
      <c r="J263" s="537" t="s">
        <v>18</v>
      </c>
      <c r="K263" s="537" t="s">
        <v>57</v>
      </c>
      <c r="L263" s="61">
        <v>33833</v>
      </c>
      <c r="M263" s="1">
        <v>31</v>
      </c>
      <c r="N263" s="1">
        <v>1400</v>
      </c>
      <c r="P263" s="1">
        <v>1770</v>
      </c>
      <c r="Q263" s="537"/>
      <c r="R263" s="1">
        <v>370</v>
      </c>
      <c r="S263" s="1">
        <v>280000</v>
      </c>
      <c r="T263" s="1">
        <v>14014</v>
      </c>
      <c r="U263" s="1" t="s">
        <v>2639</v>
      </c>
      <c r="V263" s="1">
        <v>25620</v>
      </c>
      <c r="W263" s="1">
        <v>45598</v>
      </c>
      <c r="X263" s="537" t="s">
        <v>65</v>
      </c>
      <c r="Y263" s="537" t="s">
        <v>60</v>
      </c>
      <c r="Z263" s="1" t="s">
        <v>93</v>
      </c>
      <c r="AA263" s="537" t="s">
        <v>1334</v>
      </c>
      <c r="AB263" s="537" t="s">
        <v>1335</v>
      </c>
      <c r="AC263" s="1">
        <v>44499</v>
      </c>
      <c r="AD263" s="61">
        <v>44501</v>
      </c>
      <c r="AE263" s="61">
        <v>45268</v>
      </c>
      <c r="AF263" s="61"/>
      <c r="AG263" s="1">
        <v>22.01</v>
      </c>
      <c r="AH263" s="537"/>
      <c r="AI263" s="537"/>
      <c r="AK263" s="537"/>
      <c r="AM263" s="537" t="s">
        <v>64</v>
      </c>
      <c r="AN263" s="537"/>
    </row>
    <row r="264" spans="1:40">
      <c r="A264" s="537" t="s">
        <v>54</v>
      </c>
      <c r="B264" s="1">
        <v>211110</v>
      </c>
      <c r="C264" s="1">
        <v>242026</v>
      </c>
      <c r="D264" s="537" t="s">
        <v>88</v>
      </c>
      <c r="E264" s="537" t="s">
        <v>675</v>
      </c>
      <c r="F264" s="1" t="s">
        <v>2383</v>
      </c>
      <c r="G264" s="1" t="s">
        <v>902</v>
      </c>
      <c r="H264" s="537" t="s">
        <v>1465</v>
      </c>
      <c r="I264" s="537" t="s">
        <v>1466</v>
      </c>
      <c r="J264" s="537" t="s">
        <v>18</v>
      </c>
      <c r="K264" s="537" t="s">
        <v>57</v>
      </c>
      <c r="L264" s="61">
        <v>35059</v>
      </c>
      <c r="M264" s="1">
        <v>27</v>
      </c>
      <c r="N264" s="1">
        <v>1400</v>
      </c>
      <c r="P264" s="1">
        <v>1780</v>
      </c>
      <c r="Q264" s="537"/>
      <c r="R264" s="1">
        <v>380</v>
      </c>
      <c r="S264" s="1">
        <v>280000</v>
      </c>
      <c r="T264" s="1">
        <v>14014</v>
      </c>
      <c r="U264" s="1" t="s">
        <v>2639</v>
      </c>
      <c r="V264" s="1">
        <v>25620</v>
      </c>
      <c r="W264" s="1">
        <v>45583</v>
      </c>
      <c r="X264" s="537" t="s">
        <v>65</v>
      </c>
      <c r="Y264" s="537" t="s">
        <v>60</v>
      </c>
      <c r="Z264" s="1" t="s">
        <v>93</v>
      </c>
      <c r="AA264" s="537" t="s">
        <v>94</v>
      </c>
      <c r="AB264" s="537" t="s">
        <v>95</v>
      </c>
      <c r="AC264" s="1">
        <v>44519</v>
      </c>
      <c r="AD264" s="61">
        <v>44523</v>
      </c>
      <c r="AE264" s="61"/>
      <c r="AF264" s="61"/>
      <c r="AG264" s="1">
        <v>22.02</v>
      </c>
      <c r="AH264" s="537"/>
      <c r="AI264" s="537"/>
      <c r="AK264" s="537"/>
      <c r="AM264" s="537" t="s">
        <v>64</v>
      </c>
      <c r="AN264" s="537"/>
    </row>
    <row r="265" spans="1:40" hidden="1">
      <c r="A265" s="537" t="s">
        <v>179</v>
      </c>
      <c r="B265" s="1">
        <v>211111</v>
      </c>
      <c r="C265" s="1">
        <v>242027</v>
      </c>
      <c r="D265" s="537" t="s">
        <v>88</v>
      </c>
      <c r="E265" s="537" t="s">
        <v>668</v>
      </c>
      <c r="F265" t="s">
        <v>2378</v>
      </c>
      <c r="G265"/>
      <c r="H265" s="537" t="s">
        <v>1469</v>
      </c>
      <c r="I265" s="537" t="s">
        <v>1470</v>
      </c>
      <c r="J265" s="537" t="s">
        <v>18</v>
      </c>
      <c r="K265" s="537" t="s">
        <v>57</v>
      </c>
      <c r="L265" s="61">
        <v>35754</v>
      </c>
      <c r="M265" s="1">
        <v>26</v>
      </c>
      <c r="N265" s="1">
        <v>1410</v>
      </c>
      <c r="P265" s="1">
        <v>1770</v>
      </c>
      <c r="Q265" s="537"/>
      <c r="R265" s="1">
        <v>360</v>
      </c>
      <c r="S265">
        <v>300000</v>
      </c>
      <c r="T265">
        <v>15014.999999999998</v>
      </c>
      <c r="U265" t="s">
        <v>2639</v>
      </c>
      <c r="V265">
        <v>27450</v>
      </c>
      <c r="W265" s="1">
        <v>45583</v>
      </c>
      <c r="X265" s="537" t="s">
        <v>65</v>
      </c>
      <c r="Y265" s="537" t="s">
        <v>60</v>
      </c>
      <c r="Z265" s="1" t="s">
        <v>93</v>
      </c>
      <c r="AA265" s="537" t="s">
        <v>1467</v>
      </c>
      <c r="AB265" s="537" t="s">
        <v>1468</v>
      </c>
      <c r="AC265" s="1">
        <v>44519</v>
      </c>
      <c r="AD265" s="61">
        <v>44523</v>
      </c>
      <c r="AE265" s="61">
        <v>45041</v>
      </c>
      <c r="AF265" s="61"/>
      <c r="AG265" s="1">
        <v>22.02</v>
      </c>
      <c r="AH265" s="537"/>
      <c r="AI265" s="537"/>
      <c r="AK265" s="537"/>
      <c r="AM265" s="537" t="s">
        <v>64</v>
      </c>
      <c r="AN265" s="537"/>
    </row>
    <row r="266" spans="1:40" hidden="1">
      <c r="A266" s="537" t="s">
        <v>179</v>
      </c>
      <c r="B266" s="1">
        <v>220113</v>
      </c>
      <c r="C266" s="1">
        <v>242031</v>
      </c>
      <c r="D266" s="537" t="s">
        <v>88</v>
      </c>
      <c r="E266" s="537" t="s">
        <v>668</v>
      </c>
      <c r="F266" t="s">
        <v>869</v>
      </c>
      <c r="G266"/>
      <c r="H266" s="537" t="s">
        <v>1563</v>
      </c>
      <c r="I266" s="537" t="s">
        <v>1564</v>
      </c>
      <c r="J266" s="537" t="s">
        <v>18</v>
      </c>
      <c r="K266" s="537" t="s">
        <v>57</v>
      </c>
      <c r="L266" s="61">
        <v>34870</v>
      </c>
      <c r="M266" s="1">
        <v>28</v>
      </c>
      <c r="N266" s="1">
        <v>1410</v>
      </c>
      <c r="P266" s="1">
        <v>1760</v>
      </c>
      <c r="Q266" s="537"/>
      <c r="R266" s="1">
        <v>350</v>
      </c>
      <c r="S266">
        <v>340000</v>
      </c>
      <c r="T266">
        <v>17017</v>
      </c>
      <c r="U266" t="s">
        <v>2639</v>
      </c>
      <c r="V266">
        <v>31110</v>
      </c>
      <c r="W266" s="1">
        <v>45332</v>
      </c>
      <c r="X266" s="537" t="s">
        <v>59</v>
      </c>
      <c r="Y266" s="537" t="s">
        <v>60</v>
      </c>
      <c r="Z266" s="1" t="s">
        <v>1006</v>
      </c>
      <c r="AA266" s="537" t="s">
        <v>1063</v>
      </c>
      <c r="AB266" s="537" t="s">
        <v>1064</v>
      </c>
      <c r="AC266" s="1" t="s">
        <v>63</v>
      </c>
      <c r="AD266" s="61">
        <v>44575</v>
      </c>
      <c r="AE266" s="61">
        <v>45044</v>
      </c>
      <c r="AF266" s="61"/>
      <c r="AG266" s="1">
        <v>22.03</v>
      </c>
      <c r="AH266" s="537"/>
      <c r="AI266" s="537"/>
      <c r="AK266" s="537"/>
      <c r="AM266" s="537" t="s">
        <v>64</v>
      </c>
      <c r="AN266" s="537"/>
    </row>
    <row r="267" spans="1:40">
      <c r="A267" s="537" t="s">
        <v>54</v>
      </c>
      <c r="B267" s="1">
        <v>220210</v>
      </c>
      <c r="C267" s="1">
        <v>242032</v>
      </c>
      <c r="D267" s="537" t="s">
        <v>88</v>
      </c>
      <c r="E267" s="537" t="s">
        <v>668</v>
      </c>
      <c r="F267" s="1" t="s">
        <v>2375</v>
      </c>
      <c r="G267" s="1" t="s">
        <v>703</v>
      </c>
      <c r="H267" s="537" t="s">
        <v>1620</v>
      </c>
      <c r="I267" s="537" t="s">
        <v>1621</v>
      </c>
      <c r="J267" s="537" t="s">
        <v>18</v>
      </c>
      <c r="K267" s="537" t="s">
        <v>57</v>
      </c>
      <c r="L267" s="61">
        <v>34992</v>
      </c>
      <c r="M267" s="1">
        <v>28</v>
      </c>
      <c r="N267" s="1">
        <v>1400</v>
      </c>
      <c r="P267" s="1">
        <v>1770</v>
      </c>
      <c r="Q267" s="537"/>
      <c r="R267" s="1">
        <v>370</v>
      </c>
      <c r="S267" s="1">
        <v>260000</v>
      </c>
      <c r="T267" s="1">
        <v>13013</v>
      </c>
      <c r="U267" s="1" t="s">
        <v>2639</v>
      </c>
      <c r="V267" s="1">
        <v>23790</v>
      </c>
      <c r="W267" s="1">
        <v>45287</v>
      </c>
      <c r="X267" s="537" t="s">
        <v>59</v>
      </c>
      <c r="Y267" s="537" t="s">
        <v>60</v>
      </c>
      <c r="Z267" s="1" t="s">
        <v>93</v>
      </c>
      <c r="AA267" s="537" t="s">
        <v>94</v>
      </c>
      <c r="AB267" s="537" t="s">
        <v>95</v>
      </c>
      <c r="AC267" s="1">
        <v>44596</v>
      </c>
      <c r="AD267" s="61">
        <v>44600</v>
      </c>
      <c r="AE267" s="61"/>
      <c r="AF267" s="61"/>
      <c r="AG267" s="1">
        <v>22.04</v>
      </c>
      <c r="AH267" s="537" t="s">
        <v>1609</v>
      </c>
      <c r="AI267" s="537" t="s">
        <v>436</v>
      </c>
      <c r="AJ267" s="1">
        <v>779</v>
      </c>
      <c r="AK267" s="537" t="s">
        <v>1610</v>
      </c>
      <c r="AL267" s="1" t="s">
        <v>1611</v>
      </c>
      <c r="AM267" s="537" t="s">
        <v>64</v>
      </c>
      <c r="AN267" s="537"/>
    </row>
    <row r="268" spans="1:40">
      <c r="A268" s="537" t="s">
        <v>54</v>
      </c>
      <c r="B268" s="1">
        <v>220301</v>
      </c>
      <c r="C268" s="1">
        <v>242033</v>
      </c>
      <c r="D268" s="537" t="s">
        <v>88</v>
      </c>
      <c r="E268" s="537" t="s">
        <v>668</v>
      </c>
      <c r="F268" s="1" t="s">
        <v>2679</v>
      </c>
      <c r="G268" s="1" t="s">
        <v>3078</v>
      </c>
      <c r="H268" s="537" t="s">
        <v>1667</v>
      </c>
      <c r="I268" s="537" t="s">
        <v>1668</v>
      </c>
      <c r="J268" s="537" t="s">
        <v>18</v>
      </c>
      <c r="K268" s="537" t="s">
        <v>57</v>
      </c>
      <c r="L268" s="61">
        <v>34262</v>
      </c>
      <c r="M268" s="1">
        <v>30</v>
      </c>
      <c r="N268" s="1">
        <v>1400</v>
      </c>
      <c r="P268" s="1">
        <v>1770</v>
      </c>
      <c r="Q268" s="537"/>
      <c r="R268" s="1">
        <v>370</v>
      </c>
      <c r="S268" s="1">
        <v>280000</v>
      </c>
      <c r="T268" s="1">
        <v>14014</v>
      </c>
      <c r="U268" s="1" t="s">
        <v>2639</v>
      </c>
      <c r="V268" s="1">
        <v>25620</v>
      </c>
      <c r="W268" s="1">
        <v>45462</v>
      </c>
      <c r="X268" s="537" t="s">
        <v>65</v>
      </c>
      <c r="Y268" s="537" t="s">
        <v>60</v>
      </c>
      <c r="Z268" s="1" t="s">
        <v>1006</v>
      </c>
      <c r="AA268" s="537" t="s">
        <v>1116</v>
      </c>
      <c r="AB268" s="537" t="s">
        <v>1669</v>
      </c>
      <c r="AC268" s="1">
        <v>44620</v>
      </c>
      <c r="AD268" s="61">
        <v>44621</v>
      </c>
      <c r="AE268" s="61"/>
      <c r="AF268" s="61"/>
      <c r="AG268" s="1">
        <v>22.05</v>
      </c>
      <c r="AH268" s="537"/>
      <c r="AI268" s="537"/>
      <c r="AK268" s="537"/>
      <c r="AM268" s="537" t="s">
        <v>64</v>
      </c>
      <c r="AN268" s="537"/>
    </row>
    <row r="269" spans="1:40" hidden="1">
      <c r="A269" s="537" t="s">
        <v>179</v>
      </c>
      <c r="B269" s="1">
        <v>220312</v>
      </c>
      <c r="C269" s="1">
        <v>242034</v>
      </c>
      <c r="D269" s="537" t="s">
        <v>88</v>
      </c>
      <c r="E269" s="537" t="s">
        <v>1689</v>
      </c>
      <c r="F269"/>
      <c r="G269"/>
      <c r="H269" s="537" t="s">
        <v>1690</v>
      </c>
      <c r="I269" s="537" t="s">
        <v>1691</v>
      </c>
      <c r="J269" s="537" t="s">
        <v>18</v>
      </c>
      <c r="K269" s="537" t="s">
        <v>57</v>
      </c>
      <c r="L269" s="61">
        <v>35779</v>
      </c>
      <c r="M269" s="1">
        <v>25</v>
      </c>
      <c r="N269" s="1">
        <v>1350</v>
      </c>
      <c r="P269" s="1">
        <v>1750</v>
      </c>
      <c r="Q269" s="537"/>
      <c r="R269" s="1">
        <v>400</v>
      </c>
      <c r="S269"/>
      <c r="T269" t="s">
        <v>65</v>
      </c>
      <c r="U269" t="s">
        <v>2639</v>
      </c>
      <c r="V269" t="s">
        <v>65</v>
      </c>
      <c r="W269" s="1">
        <v>44954</v>
      </c>
      <c r="X269" s="537" t="s">
        <v>59</v>
      </c>
      <c r="Y269" s="537" t="s">
        <v>60</v>
      </c>
      <c r="Z269" s="1" t="s">
        <v>1006</v>
      </c>
      <c r="AA269" s="537" t="s">
        <v>1116</v>
      </c>
      <c r="AB269" s="537" t="s">
        <v>1669</v>
      </c>
      <c r="AD269" s="61">
        <v>44628</v>
      </c>
      <c r="AE269" s="61">
        <v>44742</v>
      </c>
      <c r="AF269" s="61"/>
      <c r="AG269" s="1">
        <v>22.05</v>
      </c>
      <c r="AH269" s="537"/>
      <c r="AI269" s="537"/>
      <c r="AK269" s="537"/>
      <c r="AM269" s="537" t="s">
        <v>64</v>
      </c>
      <c r="AN269" s="537"/>
    </row>
    <row r="270" spans="1:40" hidden="1">
      <c r="A270" s="537" t="s">
        <v>179</v>
      </c>
      <c r="B270" s="1">
        <v>220311</v>
      </c>
      <c r="C270" s="1">
        <v>242035</v>
      </c>
      <c r="D270" s="537" t="s">
        <v>88</v>
      </c>
      <c r="E270" s="537" t="s">
        <v>675</v>
      </c>
      <c r="F270" t="s">
        <v>2383</v>
      </c>
      <c r="G270" t="s">
        <v>902</v>
      </c>
      <c r="H270" s="537" t="s">
        <v>1684</v>
      </c>
      <c r="I270" s="537" t="s">
        <v>1685</v>
      </c>
      <c r="J270" s="537" t="s">
        <v>18</v>
      </c>
      <c r="K270" s="537" t="s">
        <v>57</v>
      </c>
      <c r="L270" s="61">
        <v>30422</v>
      </c>
      <c r="M270" s="1">
        <v>40</v>
      </c>
      <c r="N270" s="1">
        <v>1400</v>
      </c>
      <c r="P270" s="1">
        <v>1760</v>
      </c>
      <c r="Q270" s="537"/>
      <c r="R270" s="1">
        <v>360</v>
      </c>
      <c r="S270">
        <v>180000</v>
      </c>
      <c r="T270">
        <v>9009</v>
      </c>
      <c r="U270">
        <v>1637.9999999999982</v>
      </c>
      <c r="V270">
        <v>16470</v>
      </c>
      <c r="W270" s="1">
        <v>45400</v>
      </c>
      <c r="X270" s="537" t="s">
        <v>65</v>
      </c>
      <c r="Y270" s="537" t="s">
        <v>60</v>
      </c>
      <c r="Z270" s="1" t="s">
        <v>1139</v>
      </c>
      <c r="AA270" s="537" t="s">
        <v>1686</v>
      </c>
      <c r="AB270" s="537" t="s">
        <v>1687</v>
      </c>
      <c r="AC270" s="1">
        <v>44626</v>
      </c>
      <c r="AD270" s="61">
        <v>44628</v>
      </c>
      <c r="AE270" s="61">
        <v>45169</v>
      </c>
      <c r="AF270" s="61">
        <v>45182</v>
      </c>
      <c r="AG270" s="1">
        <v>22.05</v>
      </c>
      <c r="AH270" s="537"/>
      <c r="AI270" s="537"/>
      <c r="AK270" s="537"/>
      <c r="AM270" s="537" t="s">
        <v>64</v>
      </c>
      <c r="AN270" s="537"/>
    </row>
    <row r="271" spans="1:40" hidden="1">
      <c r="A271" s="537" t="s">
        <v>179</v>
      </c>
      <c r="B271" s="1">
        <v>220313</v>
      </c>
      <c r="C271" s="1">
        <v>242036</v>
      </c>
      <c r="D271" s="537" t="s">
        <v>88</v>
      </c>
      <c r="E271" s="537" t="s">
        <v>668</v>
      </c>
      <c r="F271" t="s">
        <v>2681</v>
      </c>
      <c r="G271" t="s">
        <v>696</v>
      </c>
      <c r="H271" s="537" t="s">
        <v>1692</v>
      </c>
      <c r="I271" s="537" t="s">
        <v>1693</v>
      </c>
      <c r="J271" s="537" t="s">
        <v>18</v>
      </c>
      <c r="K271" s="537" t="s">
        <v>939</v>
      </c>
      <c r="L271" s="61">
        <v>35182</v>
      </c>
      <c r="M271" s="1">
        <v>27</v>
      </c>
      <c r="N271" s="1">
        <v>1300</v>
      </c>
      <c r="P271" s="1">
        <v>1750</v>
      </c>
      <c r="Q271" s="537"/>
      <c r="R271" s="1">
        <v>450</v>
      </c>
      <c r="S271">
        <v>260000</v>
      </c>
      <c r="T271">
        <v>13013</v>
      </c>
      <c r="U271" t="s">
        <v>2639</v>
      </c>
      <c r="V271">
        <v>23790</v>
      </c>
      <c r="W271" s="1">
        <v>46321</v>
      </c>
      <c r="X271" s="537" t="s">
        <v>65</v>
      </c>
      <c r="Y271" s="537" t="s">
        <v>1568</v>
      </c>
      <c r="Z271" s="1" t="s">
        <v>2682</v>
      </c>
      <c r="AA271" s="537" t="s">
        <v>2683</v>
      </c>
      <c r="AB271" s="537" t="s">
        <v>2684</v>
      </c>
      <c r="AC271" s="1" t="s">
        <v>63</v>
      </c>
      <c r="AD271" s="61">
        <v>44628</v>
      </c>
      <c r="AE271" s="61">
        <v>45251</v>
      </c>
      <c r="AF271" s="61"/>
      <c r="AG271" s="1">
        <v>22.05</v>
      </c>
      <c r="AH271" s="537"/>
      <c r="AI271" s="537"/>
      <c r="AK271" s="537"/>
      <c r="AM271" s="537" t="s">
        <v>64</v>
      </c>
      <c r="AN271" s="537"/>
    </row>
    <row r="272" spans="1:40">
      <c r="A272" s="537" t="s">
        <v>54</v>
      </c>
      <c r="B272" s="1">
        <v>220403</v>
      </c>
      <c r="C272" s="1">
        <v>242038</v>
      </c>
      <c r="D272" s="537" t="s">
        <v>88</v>
      </c>
      <c r="E272" s="537" t="s">
        <v>675</v>
      </c>
      <c r="F272" s="1" t="s">
        <v>2401</v>
      </c>
      <c r="G272" s="1" t="s">
        <v>3078</v>
      </c>
      <c r="H272" s="537" t="s">
        <v>1739</v>
      </c>
      <c r="I272" s="537" t="s">
        <v>1740</v>
      </c>
      <c r="J272" s="537" t="s">
        <v>18</v>
      </c>
      <c r="K272" s="537" t="s">
        <v>57</v>
      </c>
      <c r="L272" s="61">
        <v>34748</v>
      </c>
      <c r="M272" s="1">
        <v>28</v>
      </c>
      <c r="N272" s="1">
        <v>1410</v>
      </c>
      <c r="P272" s="1">
        <v>1780</v>
      </c>
      <c r="Q272" s="537"/>
      <c r="R272" s="1">
        <v>370</v>
      </c>
      <c r="S272" s="1">
        <v>260000</v>
      </c>
      <c r="T272" s="1">
        <v>13013</v>
      </c>
      <c r="U272" s="1" t="s">
        <v>2639</v>
      </c>
      <c r="V272" s="1">
        <v>23790</v>
      </c>
      <c r="W272" s="1">
        <v>45628</v>
      </c>
      <c r="X272" s="537" t="s">
        <v>65</v>
      </c>
      <c r="Y272" s="537" t="s">
        <v>60</v>
      </c>
      <c r="Z272" s="1" t="s">
        <v>93</v>
      </c>
      <c r="AA272" s="537" t="s">
        <v>1467</v>
      </c>
      <c r="AB272" s="537" t="s">
        <v>1468</v>
      </c>
      <c r="AC272" s="1">
        <v>44652</v>
      </c>
      <c r="AD272" s="61">
        <v>44658</v>
      </c>
      <c r="AE272" s="61"/>
      <c r="AF272" s="61"/>
      <c r="AG272" s="1" t="s">
        <v>570</v>
      </c>
      <c r="AH272" s="537"/>
      <c r="AI272" s="537"/>
      <c r="AK272" s="537"/>
      <c r="AM272" s="537" t="s">
        <v>573</v>
      </c>
      <c r="AN272" s="537"/>
    </row>
    <row r="273" spans="1:40" hidden="1">
      <c r="A273" s="537" t="s">
        <v>179</v>
      </c>
      <c r="B273" s="1">
        <v>220411</v>
      </c>
      <c r="C273" s="1">
        <v>242039</v>
      </c>
      <c r="D273" s="537" t="s">
        <v>88</v>
      </c>
      <c r="E273" s="537" t="s">
        <v>668</v>
      </c>
      <c r="F273" t="s">
        <v>2375</v>
      </c>
      <c r="G273" t="s">
        <v>703</v>
      </c>
      <c r="H273" s="537" t="s">
        <v>1770</v>
      </c>
      <c r="I273" s="537" t="s">
        <v>1771</v>
      </c>
      <c r="J273" s="537" t="s">
        <v>18</v>
      </c>
      <c r="K273" s="537" t="s">
        <v>57</v>
      </c>
      <c r="L273" s="61">
        <v>30672</v>
      </c>
      <c r="M273" s="1">
        <v>39</v>
      </c>
      <c r="N273" s="1">
        <v>1400</v>
      </c>
      <c r="P273" s="1">
        <v>1770</v>
      </c>
      <c r="Q273" s="537"/>
      <c r="R273" s="1">
        <v>370</v>
      </c>
      <c r="S273">
        <v>280000</v>
      </c>
      <c r="T273">
        <v>14014</v>
      </c>
      <c r="U273" t="s">
        <v>2639</v>
      </c>
      <c r="V273">
        <v>25620</v>
      </c>
      <c r="W273" s="1">
        <v>45272</v>
      </c>
      <c r="X273" s="537" t="s">
        <v>59</v>
      </c>
      <c r="Y273" s="537" t="s">
        <v>60</v>
      </c>
      <c r="Z273" s="1" t="s">
        <v>1772</v>
      </c>
      <c r="AA273" s="537" t="s">
        <v>1773</v>
      </c>
      <c r="AB273" s="537" t="s">
        <v>1774</v>
      </c>
      <c r="AC273" s="1">
        <v>44665</v>
      </c>
      <c r="AD273" s="61">
        <v>44669</v>
      </c>
      <c r="AE273" s="61">
        <v>45184</v>
      </c>
      <c r="AF273" s="61"/>
      <c r="AG273" s="1" t="s">
        <v>589</v>
      </c>
      <c r="AH273" s="537"/>
      <c r="AI273" s="537"/>
      <c r="AK273" s="537"/>
      <c r="AM273" s="537" t="s">
        <v>573</v>
      </c>
      <c r="AN273" s="537"/>
    </row>
    <row r="274" spans="1:40">
      <c r="A274" s="537" t="s">
        <v>54</v>
      </c>
      <c r="B274" s="1">
        <v>220412</v>
      </c>
      <c r="C274" s="1">
        <v>242040</v>
      </c>
      <c r="D274" s="537" t="s">
        <v>88</v>
      </c>
      <c r="E274" s="537" t="s">
        <v>675</v>
      </c>
      <c r="F274" s="1" t="s">
        <v>2372</v>
      </c>
      <c r="G274" s="1" t="s">
        <v>3078</v>
      </c>
      <c r="H274" s="537" t="s">
        <v>1775</v>
      </c>
      <c r="I274" s="537" t="s">
        <v>1776</v>
      </c>
      <c r="J274" s="537" t="s">
        <v>18</v>
      </c>
      <c r="K274" s="537" t="s">
        <v>57</v>
      </c>
      <c r="L274" s="61">
        <v>30919</v>
      </c>
      <c r="M274" s="1">
        <v>39</v>
      </c>
      <c r="N274" s="1">
        <v>1410</v>
      </c>
      <c r="P274" s="1">
        <v>1780</v>
      </c>
      <c r="Q274" s="537"/>
      <c r="R274" s="1">
        <v>370</v>
      </c>
      <c r="S274" s="1">
        <v>300000</v>
      </c>
      <c r="T274" s="1">
        <v>15014.999999999998</v>
      </c>
      <c r="U274" s="1" t="s">
        <v>2639</v>
      </c>
      <c r="V274" s="1">
        <v>27450</v>
      </c>
      <c r="W274" s="1">
        <v>45541</v>
      </c>
      <c r="X274" s="537" t="s">
        <v>65</v>
      </c>
      <c r="Y274" s="537" t="s">
        <v>60</v>
      </c>
      <c r="Z274" s="1" t="s">
        <v>1006</v>
      </c>
      <c r="AA274" s="537" t="s">
        <v>1777</v>
      </c>
      <c r="AB274" s="537" t="s">
        <v>1778</v>
      </c>
      <c r="AC274" s="1" t="s">
        <v>63</v>
      </c>
      <c r="AD274" s="61">
        <v>44669</v>
      </c>
      <c r="AE274" s="61"/>
      <c r="AF274" s="61"/>
      <c r="AG274" s="1" t="s">
        <v>570</v>
      </c>
      <c r="AH274" s="537"/>
      <c r="AI274" s="537"/>
      <c r="AK274" s="537"/>
      <c r="AM274" s="537" t="s">
        <v>565</v>
      </c>
      <c r="AN274" s="537"/>
    </row>
    <row r="275" spans="1:40">
      <c r="A275" s="537" t="s">
        <v>54</v>
      </c>
      <c r="B275" s="1">
        <v>220415</v>
      </c>
      <c r="C275" s="1">
        <v>242041</v>
      </c>
      <c r="D275" s="537" t="s">
        <v>88</v>
      </c>
      <c r="E275" s="537" t="s">
        <v>668</v>
      </c>
      <c r="F275" s="1" t="s">
        <v>2378</v>
      </c>
      <c r="G275" s="1" t="s">
        <v>703</v>
      </c>
      <c r="H275" s="537" t="s">
        <v>1786</v>
      </c>
      <c r="I275" s="537" t="s">
        <v>1787</v>
      </c>
      <c r="J275" s="537" t="s">
        <v>18</v>
      </c>
      <c r="K275" s="537" t="s">
        <v>57</v>
      </c>
      <c r="L275" s="61">
        <v>34731</v>
      </c>
      <c r="M275" s="1">
        <v>28</v>
      </c>
      <c r="N275" s="1">
        <v>1400</v>
      </c>
      <c r="P275" s="1">
        <v>1780</v>
      </c>
      <c r="Q275" s="537"/>
      <c r="R275" s="1">
        <v>380</v>
      </c>
      <c r="S275" s="1">
        <v>280000</v>
      </c>
      <c r="T275" s="1">
        <v>14014</v>
      </c>
      <c r="U275" s="1" t="s">
        <v>2639</v>
      </c>
      <c r="V275" s="1">
        <v>25620</v>
      </c>
      <c r="W275" s="1">
        <v>45278</v>
      </c>
      <c r="X275" s="537" t="s">
        <v>59</v>
      </c>
      <c r="Y275" s="537" t="s">
        <v>60</v>
      </c>
      <c r="Z275" s="1" t="s">
        <v>1198</v>
      </c>
      <c r="AA275" s="537" t="s">
        <v>1199</v>
      </c>
      <c r="AB275" s="537" t="s">
        <v>1788</v>
      </c>
      <c r="AC275" s="1">
        <v>44699</v>
      </c>
      <c r="AD275" s="61">
        <v>44673</v>
      </c>
      <c r="AE275" s="61">
        <v>45289</v>
      </c>
      <c r="AF275" s="61"/>
      <c r="AG275" s="1" t="s">
        <v>589</v>
      </c>
      <c r="AH275" s="537"/>
      <c r="AI275" s="537"/>
      <c r="AK275" s="537"/>
      <c r="AM275" s="537" t="s">
        <v>1789</v>
      </c>
      <c r="AN275" s="537"/>
    </row>
    <row r="276" spans="1:40">
      <c r="A276" s="537" t="s">
        <v>54</v>
      </c>
      <c r="B276" s="1">
        <v>220324</v>
      </c>
      <c r="C276" s="1">
        <v>242042</v>
      </c>
      <c r="D276" s="537" t="s">
        <v>88</v>
      </c>
      <c r="E276" s="537" t="s">
        <v>675</v>
      </c>
      <c r="F276" s="1" t="s">
        <v>2383</v>
      </c>
      <c r="G276" s="1" t="s">
        <v>3078</v>
      </c>
      <c r="H276" s="537" t="s">
        <v>1720</v>
      </c>
      <c r="I276" s="537" t="s">
        <v>1721</v>
      </c>
      <c r="J276" s="537" t="s">
        <v>18</v>
      </c>
      <c r="K276" s="537" t="s">
        <v>57</v>
      </c>
      <c r="L276" s="61">
        <v>35332</v>
      </c>
      <c r="M276" s="1">
        <v>27</v>
      </c>
      <c r="N276" s="1">
        <v>1400</v>
      </c>
      <c r="P276" s="1">
        <v>1760</v>
      </c>
      <c r="Q276" s="537"/>
      <c r="R276" s="1">
        <v>360</v>
      </c>
      <c r="S276" s="1">
        <v>280000</v>
      </c>
      <c r="T276" s="1">
        <v>14014</v>
      </c>
      <c r="U276" s="1" t="s">
        <v>2639</v>
      </c>
      <c r="V276" s="1">
        <v>25620</v>
      </c>
      <c r="W276" s="1">
        <v>45587</v>
      </c>
      <c r="X276" s="537" t="s">
        <v>65</v>
      </c>
      <c r="Y276" s="537" t="s">
        <v>60</v>
      </c>
      <c r="Z276" s="1" t="s">
        <v>1198</v>
      </c>
      <c r="AA276" s="537" t="s">
        <v>1199</v>
      </c>
      <c r="AB276" s="537" t="s">
        <v>1200</v>
      </c>
      <c r="AC276" s="1">
        <v>44681</v>
      </c>
      <c r="AD276" s="61">
        <v>44649</v>
      </c>
      <c r="AE276" s="61">
        <v>45275</v>
      </c>
      <c r="AF276" s="61"/>
      <c r="AG276" s="1" t="s">
        <v>572</v>
      </c>
      <c r="AH276" s="537"/>
      <c r="AI276" s="537"/>
      <c r="AK276" s="537"/>
      <c r="AM276" s="537" t="s">
        <v>573</v>
      </c>
      <c r="AN276" s="537" t="s">
        <v>1722</v>
      </c>
    </row>
    <row r="277" spans="1:40" hidden="1">
      <c r="A277" s="537" t="s">
        <v>54</v>
      </c>
      <c r="B277" s="1">
        <v>220507</v>
      </c>
      <c r="C277" s="1">
        <v>242043</v>
      </c>
      <c r="D277" s="537" t="s">
        <v>1066</v>
      </c>
      <c r="E277" s="537" t="s">
        <v>675</v>
      </c>
      <c r="F277" t="s">
        <v>2372</v>
      </c>
      <c r="G277" t="s">
        <v>902</v>
      </c>
      <c r="H277" s="537" t="s">
        <v>2055</v>
      </c>
      <c r="I277" s="537" t="s">
        <v>2056</v>
      </c>
      <c r="J277" s="537" t="s">
        <v>18</v>
      </c>
      <c r="K277" s="537" t="s">
        <v>57</v>
      </c>
      <c r="L277" s="61">
        <v>35433</v>
      </c>
      <c r="M277" s="1">
        <v>26</v>
      </c>
      <c r="N277" s="1">
        <v>1300</v>
      </c>
      <c r="P277" s="1">
        <v>1670</v>
      </c>
      <c r="Q277" s="537"/>
      <c r="R277" s="1">
        <v>370</v>
      </c>
      <c r="S277">
        <v>280000</v>
      </c>
      <c r="T277">
        <v>14014</v>
      </c>
      <c r="U277" t="s">
        <v>2639</v>
      </c>
      <c r="V277">
        <v>25620</v>
      </c>
      <c r="W277" s="1">
        <v>45424</v>
      </c>
      <c r="X277" s="537" t="s">
        <v>65</v>
      </c>
      <c r="Y277" s="537" t="s">
        <v>60</v>
      </c>
      <c r="Z277" s="1" t="s">
        <v>1006</v>
      </c>
      <c r="AA277" s="537" t="s">
        <v>2057</v>
      </c>
      <c r="AB277" s="537" t="s">
        <v>2058</v>
      </c>
      <c r="AC277" s="1">
        <v>44680</v>
      </c>
      <c r="AD277" s="61">
        <v>44691</v>
      </c>
      <c r="AE277" s="61"/>
      <c r="AF277" s="61"/>
      <c r="AG277" s="1" t="s">
        <v>589</v>
      </c>
      <c r="AH277" s="537" t="s">
        <v>2059</v>
      </c>
      <c r="AI277" s="537" t="s">
        <v>86</v>
      </c>
      <c r="AJ277" s="1">
        <v>248</v>
      </c>
      <c r="AK277" s="537" t="s">
        <v>224</v>
      </c>
      <c r="AL277" s="1" t="s">
        <v>2060</v>
      </c>
      <c r="AM277" s="537" t="s">
        <v>590</v>
      </c>
      <c r="AN277" s="537" t="s">
        <v>3457</v>
      </c>
    </row>
    <row r="278" spans="1:40">
      <c r="A278" s="537" t="s">
        <v>54</v>
      </c>
      <c r="B278" s="1">
        <v>220506</v>
      </c>
      <c r="C278" s="1">
        <v>242044</v>
      </c>
      <c r="D278" s="537" t="s">
        <v>88</v>
      </c>
      <c r="E278" s="537" t="s">
        <v>675</v>
      </c>
      <c r="F278" s="1" t="s">
        <v>2404</v>
      </c>
      <c r="G278" s="1" t="s">
        <v>3078</v>
      </c>
      <c r="H278" s="537" t="s">
        <v>2061</v>
      </c>
      <c r="I278" s="537" t="s">
        <v>2062</v>
      </c>
      <c r="J278" s="537" t="s">
        <v>18</v>
      </c>
      <c r="K278" s="537" t="s">
        <v>57</v>
      </c>
      <c r="L278" s="61">
        <v>35364</v>
      </c>
      <c r="M278" s="1">
        <v>27</v>
      </c>
      <c r="N278" s="1">
        <v>1300</v>
      </c>
      <c r="P278" s="1">
        <v>1670</v>
      </c>
      <c r="Q278" s="537"/>
      <c r="R278" s="1">
        <v>370</v>
      </c>
      <c r="S278" s="1">
        <v>300000</v>
      </c>
      <c r="T278" s="1">
        <v>15014.999999999998</v>
      </c>
      <c r="U278" s="1" t="s">
        <v>2639</v>
      </c>
      <c r="V278" s="1">
        <v>27450</v>
      </c>
      <c r="W278" s="1">
        <v>45424</v>
      </c>
      <c r="X278" s="537" t="s">
        <v>65</v>
      </c>
      <c r="Y278" s="537" t="s">
        <v>60</v>
      </c>
      <c r="Z278" s="1" t="s">
        <v>1006</v>
      </c>
      <c r="AA278" s="537" t="s">
        <v>2057</v>
      </c>
      <c r="AB278" s="537" t="s">
        <v>2058</v>
      </c>
      <c r="AC278" s="1">
        <v>44680</v>
      </c>
      <c r="AD278" s="61">
        <v>44691</v>
      </c>
      <c r="AE278" s="61"/>
      <c r="AF278" s="61"/>
      <c r="AG278" s="1" t="s">
        <v>589</v>
      </c>
      <c r="AH278" s="537" t="s">
        <v>1791</v>
      </c>
      <c r="AI278" s="537" t="s">
        <v>86</v>
      </c>
      <c r="AJ278" s="1">
        <v>408</v>
      </c>
      <c r="AK278" s="537" t="s">
        <v>87</v>
      </c>
      <c r="AL278" s="1" t="s">
        <v>1792</v>
      </c>
      <c r="AM278" s="537" t="s">
        <v>590</v>
      </c>
      <c r="AN278" s="537"/>
    </row>
    <row r="279" spans="1:40">
      <c r="A279" s="537" t="s">
        <v>54</v>
      </c>
      <c r="B279" s="1">
        <v>220508</v>
      </c>
      <c r="C279" s="1">
        <v>242045</v>
      </c>
      <c r="D279" s="537" t="s">
        <v>88</v>
      </c>
      <c r="E279" s="537" t="s">
        <v>675</v>
      </c>
      <c r="F279" s="1" t="s">
        <v>2372</v>
      </c>
      <c r="G279" s="1" t="s">
        <v>3078</v>
      </c>
      <c r="H279" s="537" t="s">
        <v>2063</v>
      </c>
      <c r="I279" s="537" t="s">
        <v>2064</v>
      </c>
      <c r="J279" s="537" t="s">
        <v>18</v>
      </c>
      <c r="K279" s="537" t="s">
        <v>57</v>
      </c>
      <c r="L279" s="61">
        <v>35623</v>
      </c>
      <c r="M279" s="1">
        <v>26</v>
      </c>
      <c r="N279" s="1">
        <v>1300</v>
      </c>
      <c r="P279" s="1">
        <v>1670</v>
      </c>
      <c r="Q279" s="537"/>
      <c r="R279" s="1">
        <v>370</v>
      </c>
      <c r="S279" s="1">
        <v>320000</v>
      </c>
      <c r="T279" s="1">
        <v>16015.999999999998</v>
      </c>
      <c r="U279" s="1" t="s">
        <v>2639</v>
      </c>
      <c r="V279" s="1">
        <v>29280</v>
      </c>
      <c r="W279" s="1">
        <v>45424</v>
      </c>
      <c r="X279" s="537" t="s">
        <v>65</v>
      </c>
      <c r="Y279" s="537" t="s">
        <v>60</v>
      </c>
      <c r="Z279" s="1" t="s">
        <v>1006</v>
      </c>
      <c r="AA279" s="537" t="s">
        <v>2057</v>
      </c>
      <c r="AB279" s="537" t="s">
        <v>2058</v>
      </c>
      <c r="AC279" s="1">
        <v>44680</v>
      </c>
      <c r="AD279" s="61">
        <v>44691</v>
      </c>
      <c r="AE279" s="61"/>
      <c r="AF279" s="61"/>
      <c r="AG279" s="1" t="s">
        <v>589</v>
      </c>
      <c r="AH279" s="537" t="s">
        <v>1793</v>
      </c>
      <c r="AI279" s="537" t="s">
        <v>86</v>
      </c>
      <c r="AJ279" s="1">
        <v>98</v>
      </c>
      <c r="AK279" s="537" t="s">
        <v>1794</v>
      </c>
      <c r="AL279" s="1" t="s">
        <v>1795</v>
      </c>
      <c r="AM279" s="537" t="s">
        <v>590</v>
      </c>
      <c r="AN279" s="537"/>
    </row>
    <row r="280" spans="1:40" hidden="1">
      <c r="A280" s="537" t="s">
        <v>179</v>
      </c>
      <c r="B280" s="1">
        <v>220517</v>
      </c>
      <c r="C280" s="1">
        <v>242046</v>
      </c>
      <c r="D280" s="537" t="s">
        <v>88</v>
      </c>
      <c r="E280" s="537" t="s">
        <v>668</v>
      </c>
      <c r="F280" t="s">
        <v>2375</v>
      </c>
      <c r="G280"/>
      <c r="H280" s="537" t="s">
        <v>2067</v>
      </c>
      <c r="I280" s="537" t="s">
        <v>2068</v>
      </c>
      <c r="J280" s="537" t="s">
        <v>18</v>
      </c>
      <c r="K280" s="537" t="s">
        <v>57</v>
      </c>
      <c r="L280" s="61">
        <v>35641</v>
      </c>
      <c r="M280" s="1">
        <v>26</v>
      </c>
      <c r="N280" s="1">
        <v>1210</v>
      </c>
      <c r="P280" s="1">
        <v>1650</v>
      </c>
      <c r="Q280" s="537"/>
      <c r="R280" s="1">
        <v>440</v>
      </c>
      <c r="S280"/>
      <c r="T280" t="s">
        <v>65</v>
      </c>
      <c r="U280" t="s">
        <v>2639</v>
      </c>
      <c r="V280" t="s">
        <v>65</v>
      </c>
      <c r="W280" s="1">
        <v>45042</v>
      </c>
      <c r="X280" s="537" t="s">
        <v>59</v>
      </c>
      <c r="Y280" s="537" t="s">
        <v>60</v>
      </c>
      <c r="Z280" s="1" t="s">
        <v>1198</v>
      </c>
      <c r="AA280" s="537" t="s">
        <v>1199</v>
      </c>
      <c r="AB280" s="537" t="s">
        <v>2512</v>
      </c>
      <c r="AC280" s="1" t="s">
        <v>63</v>
      </c>
      <c r="AD280" s="61">
        <v>44694</v>
      </c>
      <c r="AE280" s="61">
        <v>44855</v>
      </c>
      <c r="AF280" s="61"/>
      <c r="AG280" s="1" t="s">
        <v>589</v>
      </c>
      <c r="AH280" s="537" t="s">
        <v>1791</v>
      </c>
      <c r="AI280" s="537" t="s">
        <v>86</v>
      </c>
      <c r="AJ280" s="1">
        <v>408</v>
      </c>
      <c r="AK280" s="537" t="s">
        <v>87</v>
      </c>
      <c r="AL280" s="1" t="s">
        <v>1792</v>
      </c>
      <c r="AM280" s="537" t="s">
        <v>601</v>
      </c>
      <c r="AN280" s="537"/>
    </row>
    <row r="281" spans="1:40">
      <c r="A281" s="537" t="s">
        <v>54</v>
      </c>
      <c r="B281" s="1">
        <v>220522</v>
      </c>
      <c r="C281" s="1">
        <v>242047</v>
      </c>
      <c r="D281" s="537" t="s">
        <v>88</v>
      </c>
      <c r="E281" s="537" t="s">
        <v>668</v>
      </c>
      <c r="F281" s="1" t="s">
        <v>2372</v>
      </c>
      <c r="G281" s="1" t="s">
        <v>3078</v>
      </c>
      <c r="H281" s="537" t="s">
        <v>555</v>
      </c>
      <c r="I281" s="537" t="s">
        <v>2085</v>
      </c>
      <c r="J281" s="537" t="s">
        <v>18</v>
      </c>
      <c r="K281" s="537" t="s">
        <v>57</v>
      </c>
      <c r="L281" s="61">
        <v>36538</v>
      </c>
      <c r="M281" s="1">
        <v>23</v>
      </c>
      <c r="N281" s="1">
        <v>1300</v>
      </c>
      <c r="P281" s="1">
        <v>1670</v>
      </c>
      <c r="Q281" s="537"/>
      <c r="R281" s="1">
        <v>370</v>
      </c>
      <c r="S281" s="1">
        <v>320000</v>
      </c>
      <c r="T281" s="1">
        <v>16015.999999999998</v>
      </c>
      <c r="U281" s="1" t="s">
        <v>2639</v>
      </c>
      <c r="V281" s="1">
        <v>29280</v>
      </c>
      <c r="W281" s="1">
        <v>45437</v>
      </c>
      <c r="X281" s="537" t="s">
        <v>65</v>
      </c>
      <c r="Y281" s="537" t="s">
        <v>60</v>
      </c>
      <c r="Z281" s="1" t="s">
        <v>1772</v>
      </c>
      <c r="AA281" s="537" t="s">
        <v>1773</v>
      </c>
      <c r="AB281" s="537" t="s">
        <v>1774</v>
      </c>
      <c r="AC281" s="1">
        <v>44699</v>
      </c>
      <c r="AD281" s="61">
        <v>44707</v>
      </c>
      <c r="AE281" s="61"/>
      <c r="AF281" s="61"/>
      <c r="AG281" s="1" t="s">
        <v>589</v>
      </c>
      <c r="AH281" s="537" t="s">
        <v>2086</v>
      </c>
      <c r="AI281" s="537" t="s">
        <v>86</v>
      </c>
      <c r="AJ281" s="1">
        <v>248</v>
      </c>
      <c r="AK281" s="537" t="s">
        <v>224</v>
      </c>
      <c r="AL281" s="1" t="s">
        <v>2087</v>
      </c>
      <c r="AM281" s="537" t="s">
        <v>619</v>
      </c>
      <c r="AN281" s="537"/>
    </row>
    <row r="282" spans="1:40">
      <c r="A282" s="537" t="s">
        <v>54</v>
      </c>
      <c r="B282" s="1">
        <v>220604</v>
      </c>
      <c r="C282" s="1">
        <v>242048</v>
      </c>
      <c r="D282" s="537" t="s">
        <v>88</v>
      </c>
      <c r="E282" s="537" t="s">
        <v>668</v>
      </c>
      <c r="F282" s="1" t="s">
        <v>2378</v>
      </c>
      <c r="G282" s="1" t="s">
        <v>703</v>
      </c>
      <c r="H282" s="537" t="s">
        <v>2101</v>
      </c>
      <c r="I282" s="537" t="s">
        <v>2102</v>
      </c>
      <c r="J282" s="537" t="s">
        <v>18</v>
      </c>
      <c r="K282" s="537" t="s">
        <v>57</v>
      </c>
      <c r="L282" s="61">
        <v>35608</v>
      </c>
      <c r="M282" s="1">
        <v>26</v>
      </c>
      <c r="N282" s="1">
        <v>1350</v>
      </c>
      <c r="P282" s="1">
        <v>1670</v>
      </c>
      <c r="Q282" s="537"/>
      <c r="R282" s="1">
        <v>320</v>
      </c>
      <c r="S282" s="1">
        <v>260000</v>
      </c>
      <c r="T282" s="1">
        <v>13013</v>
      </c>
      <c r="U282" s="1" t="s">
        <v>2639</v>
      </c>
      <c r="V282" s="1">
        <v>23790</v>
      </c>
      <c r="W282" s="1">
        <v>45437</v>
      </c>
      <c r="X282" s="537" t="s">
        <v>65</v>
      </c>
      <c r="Y282" s="537" t="s">
        <v>60</v>
      </c>
      <c r="Z282" s="1" t="s">
        <v>2103</v>
      </c>
      <c r="AA282" s="537" t="s">
        <v>2104</v>
      </c>
      <c r="AB282" s="537" t="s">
        <v>2105</v>
      </c>
      <c r="AC282" s="1">
        <v>44717</v>
      </c>
      <c r="AD282" s="61">
        <v>44718</v>
      </c>
      <c r="AE282" s="61"/>
      <c r="AF282" s="61"/>
      <c r="AG282" s="1" t="s">
        <v>638</v>
      </c>
      <c r="AH282" s="537" t="s">
        <v>1793</v>
      </c>
      <c r="AI282" s="537" t="s">
        <v>86</v>
      </c>
      <c r="AJ282" s="1">
        <v>98</v>
      </c>
      <c r="AK282" s="537" t="s">
        <v>1794</v>
      </c>
      <c r="AL282" s="1" t="s">
        <v>1795</v>
      </c>
      <c r="AM282" s="537" t="s">
        <v>2106</v>
      </c>
      <c r="AN282" s="537"/>
    </row>
    <row r="283" spans="1:40">
      <c r="A283" s="537" t="s">
        <v>54</v>
      </c>
      <c r="B283" s="1">
        <v>220613</v>
      </c>
      <c r="C283" s="1">
        <v>242049</v>
      </c>
      <c r="D283" s="537" t="s">
        <v>88</v>
      </c>
      <c r="E283" s="537" t="s">
        <v>668</v>
      </c>
      <c r="F283" s="1" t="s">
        <v>2375</v>
      </c>
      <c r="G283" s="1" t="s">
        <v>703</v>
      </c>
      <c r="H283" s="537" t="s">
        <v>2113</v>
      </c>
      <c r="I283" s="537" t="s">
        <v>2114</v>
      </c>
      <c r="J283" s="537" t="s">
        <v>18</v>
      </c>
      <c r="K283" s="537" t="s">
        <v>57</v>
      </c>
      <c r="L283" s="61">
        <v>35721</v>
      </c>
      <c r="M283" s="1">
        <v>26</v>
      </c>
      <c r="N283" s="1">
        <v>1300</v>
      </c>
      <c r="P283" s="1">
        <v>1670</v>
      </c>
      <c r="Q283" s="537"/>
      <c r="R283" s="1">
        <v>370</v>
      </c>
      <c r="S283" s="1">
        <v>320000</v>
      </c>
      <c r="T283" s="1">
        <v>16015.999999999998</v>
      </c>
      <c r="U283" s="1" t="s">
        <v>2639</v>
      </c>
      <c r="V283" s="1">
        <v>29280</v>
      </c>
      <c r="W283" s="1">
        <v>45437</v>
      </c>
      <c r="X283" s="537" t="s">
        <v>65</v>
      </c>
      <c r="Y283" s="537" t="s">
        <v>60</v>
      </c>
      <c r="Z283" s="1" t="s">
        <v>608</v>
      </c>
      <c r="AA283" s="537" t="s">
        <v>2104</v>
      </c>
      <c r="AB283" s="537" t="s">
        <v>2105</v>
      </c>
      <c r="AC283" s="1">
        <v>44721</v>
      </c>
      <c r="AD283" s="61">
        <v>44726</v>
      </c>
      <c r="AE283" s="61"/>
      <c r="AF283" s="61"/>
      <c r="AH283" s="537"/>
      <c r="AI283" s="537"/>
      <c r="AK283" s="537"/>
      <c r="AM283" s="537" t="s">
        <v>632</v>
      </c>
      <c r="AN283" s="537" t="s">
        <v>633</v>
      </c>
    </row>
    <row r="284" spans="1:40">
      <c r="A284" s="537" t="s">
        <v>54</v>
      </c>
      <c r="B284" s="1">
        <v>220614</v>
      </c>
      <c r="C284" s="1">
        <v>242050</v>
      </c>
      <c r="D284" s="537" t="s">
        <v>88</v>
      </c>
      <c r="E284" s="537" t="s">
        <v>668</v>
      </c>
      <c r="F284" s="1" t="s">
        <v>2378</v>
      </c>
      <c r="G284" s="1" t="s">
        <v>703</v>
      </c>
      <c r="H284" s="537" t="s">
        <v>2115</v>
      </c>
      <c r="I284" s="537" t="s">
        <v>2116</v>
      </c>
      <c r="J284" s="537" t="s">
        <v>18</v>
      </c>
      <c r="K284" s="537" t="s">
        <v>57</v>
      </c>
      <c r="L284" s="61">
        <v>35729</v>
      </c>
      <c r="M284" s="1">
        <v>26</v>
      </c>
      <c r="N284" s="1">
        <v>1300</v>
      </c>
      <c r="P284" s="1">
        <v>1670</v>
      </c>
      <c r="Q284" s="537"/>
      <c r="R284" s="1">
        <v>370</v>
      </c>
      <c r="S284" s="1">
        <v>320000</v>
      </c>
      <c r="T284" s="1">
        <v>16015.999999999998</v>
      </c>
      <c r="U284" s="1" t="s">
        <v>2639</v>
      </c>
      <c r="V284" s="1">
        <v>29280</v>
      </c>
      <c r="W284" s="1">
        <v>45437</v>
      </c>
      <c r="X284" s="537" t="s">
        <v>65</v>
      </c>
      <c r="Y284" s="537" t="s">
        <v>60</v>
      </c>
      <c r="Z284" s="1" t="s">
        <v>608</v>
      </c>
      <c r="AA284" s="537" t="s">
        <v>2104</v>
      </c>
      <c r="AB284" s="537" t="s">
        <v>2105</v>
      </c>
      <c r="AC284" s="1">
        <v>44721</v>
      </c>
      <c r="AD284" s="61">
        <v>44726</v>
      </c>
      <c r="AE284" s="61"/>
      <c r="AF284" s="61"/>
      <c r="AH284" s="537"/>
      <c r="AI284" s="537"/>
      <c r="AK284" s="537"/>
      <c r="AM284" s="537" t="s">
        <v>632</v>
      </c>
      <c r="AN284" s="537" t="s">
        <v>633</v>
      </c>
    </row>
    <row r="285" spans="1:40" hidden="1">
      <c r="A285" s="537" t="s">
        <v>179</v>
      </c>
      <c r="B285" s="1">
        <v>220704</v>
      </c>
      <c r="C285" s="1">
        <v>242051</v>
      </c>
      <c r="D285" s="537" t="s">
        <v>88</v>
      </c>
      <c r="E285" s="537" t="s">
        <v>668</v>
      </c>
      <c r="F285" t="s">
        <v>2378</v>
      </c>
      <c r="G285" t="s">
        <v>703</v>
      </c>
      <c r="H285" s="537" t="s">
        <v>2135</v>
      </c>
      <c r="I285" s="537" t="s">
        <v>2136</v>
      </c>
      <c r="J285" s="537" t="s">
        <v>18</v>
      </c>
      <c r="K285" s="537" t="s">
        <v>57</v>
      </c>
      <c r="L285" s="61">
        <v>36093</v>
      </c>
      <c r="M285" s="1">
        <v>25</v>
      </c>
      <c r="N285" s="1">
        <v>1300</v>
      </c>
      <c r="P285" s="1">
        <v>1660</v>
      </c>
      <c r="Q285" s="537"/>
      <c r="R285" s="1">
        <v>360</v>
      </c>
      <c r="S285">
        <v>260000</v>
      </c>
      <c r="T285">
        <v>13013</v>
      </c>
      <c r="U285" t="s">
        <v>2639</v>
      </c>
      <c r="V285">
        <v>23790</v>
      </c>
      <c r="W285" s="1">
        <v>45417</v>
      </c>
      <c r="X285" s="537" t="s">
        <v>65</v>
      </c>
      <c r="Y285" s="537" t="s">
        <v>60</v>
      </c>
      <c r="Z285" s="1" t="s">
        <v>1245</v>
      </c>
      <c r="AA285" s="537" t="s">
        <v>1246</v>
      </c>
      <c r="AB285" s="537" t="s">
        <v>1247</v>
      </c>
      <c r="AC285" s="1">
        <v>44747</v>
      </c>
      <c r="AD285" s="61">
        <v>44750</v>
      </c>
      <c r="AE285" s="61">
        <v>45245</v>
      </c>
      <c r="AF285" s="61"/>
      <c r="AG285" s="1" t="s">
        <v>677</v>
      </c>
      <c r="AH285" s="537"/>
      <c r="AI285" s="537"/>
      <c r="AK285" s="537"/>
      <c r="AM285" s="537" t="s">
        <v>2106</v>
      </c>
      <c r="AN285" s="537" t="s">
        <v>2137</v>
      </c>
    </row>
    <row r="286" spans="1:40">
      <c r="A286" s="537" t="s">
        <v>54</v>
      </c>
      <c r="B286" s="1">
        <v>220707</v>
      </c>
      <c r="C286" s="1">
        <v>242052</v>
      </c>
      <c r="D286" s="537" t="s">
        <v>88</v>
      </c>
      <c r="E286" s="537" t="s">
        <v>668</v>
      </c>
      <c r="F286" s="1" t="s">
        <v>2378</v>
      </c>
      <c r="G286" s="1" t="s">
        <v>703</v>
      </c>
      <c r="H286" s="537" t="s">
        <v>2148</v>
      </c>
      <c r="I286" s="537" t="s">
        <v>2149</v>
      </c>
      <c r="J286" s="537" t="s">
        <v>18</v>
      </c>
      <c r="K286" s="537" t="s">
        <v>57</v>
      </c>
      <c r="L286" s="61">
        <v>33771</v>
      </c>
      <c r="M286" s="1">
        <v>31</v>
      </c>
      <c r="N286" s="1">
        <v>1300</v>
      </c>
      <c r="P286" s="1">
        <v>1670</v>
      </c>
      <c r="Q286" s="537"/>
      <c r="R286" s="1">
        <v>370</v>
      </c>
      <c r="S286" s="1">
        <v>300000</v>
      </c>
      <c r="T286" s="1">
        <v>15014.999999999998</v>
      </c>
      <c r="U286" s="1" t="s">
        <v>2639</v>
      </c>
      <c r="V286" s="1">
        <v>27450</v>
      </c>
      <c r="W286" s="1">
        <v>45437</v>
      </c>
      <c r="X286" s="537" t="s">
        <v>65</v>
      </c>
      <c r="Y286" s="537" t="s">
        <v>60</v>
      </c>
      <c r="Z286" s="1" t="s">
        <v>1006</v>
      </c>
      <c r="AA286" s="537" t="s">
        <v>1116</v>
      </c>
      <c r="AB286" s="537" t="s">
        <v>1669</v>
      </c>
      <c r="AC286" s="1">
        <v>44756</v>
      </c>
      <c r="AD286" s="61">
        <v>44762</v>
      </c>
      <c r="AE286" s="61"/>
      <c r="AF286" s="61"/>
      <c r="AG286" s="1" t="s">
        <v>638</v>
      </c>
      <c r="AH286" s="537"/>
      <c r="AI286" s="537"/>
      <c r="AK286" s="537"/>
      <c r="AM286" s="537" t="s">
        <v>2150</v>
      </c>
      <c r="AN286" s="537" t="s">
        <v>633</v>
      </c>
    </row>
    <row r="287" spans="1:40">
      <c r="A287" s="537" t="s">
        <v>54</v>
      </c>
      <c r="B287" s="1">
        <v>220808</v>
      </c>
      <c r="C287" s="1">
        <v>242053</v>
      </c>
      <c r="D287" s="537" t="s">
        <v>88</v>
      </c>
      <c r="E287" s="537" t="s">
        <v>675</v>
      </c>
      <c r="F287" s="1" t="s">
        <v>2372</v>
      </c>
      <c r="G287" s="1" t="s">
        <v>3078</v>
      </c>
      <c r="H287" s="537" t="s">
        <v>2203</v>
      </c>
      <c r="I287" s="537" t="s">
        <v>2204</v>
      </c>
      <c r="J287" s="537" t="s">
        <v>18</v>
      </c>
      <c r="K287" s="537" t="s">
        <v>57</v>
      </c>
      <c r="L287" s="61">
        <v>33643</v>
      </c>
      <c r="M287" s="1">
        <v>31</v>
      </c>
      <c r="N287" s="1">
        <v>1400</v>
      </c>
      <c r="P287" s="1">
        <v>1770</v>
      </c>
      <c r="Q287" s="537"/>
      <c r="R287" s="1">
        <v>370</v>
      </c>
      <c r="S287" s="1">
        <v>280000</v>
      </c>
      <c r="T287" s="1">
        <v>14014</v>
      </c>
      <c r="U287" s="1" t="s">
        <v>2639</v>
      </c>
      <c r="V287" s="1">
        <v>25620</v>
      </c>
      <c r="W287" s="1">
        <v>45541</v>
      </c>
      <c r="X287" s="537" t="s">
        <v>65</v>
      </c>
      <c r="Y287" s="537" t="s">
        <v>60</v>
      </c>
      <c r="Z287" s="1" t="s">
        <v>1006</v>
      </c>
      <c r="AA287" s="537" t="s">
        <v>2205</v>
      </c>
      <c r="AB287" s="537" t="s">
        <v>2702</v>
      </c>
      <c r="AC287" s="1" t="s">
        <v>63</v>
      </c>
      <c r="AD287" s="61">
        <v>44798</v>
      </c>
      <c r="AE287" s="61"/>
      <c r="AF287" s="61"/>
      <c r="AG287" s="1" t="s">
        <v>766</v>
      </c>
      <c r="AH287" s="537" t="s">
        <v>2206</v>
      </c>
      <c r="AI287" s="537" t="s">
        <v>86</v>
      </c>
      <c r="AJ287" s="1">
        <v>208</v>
      </c>
      <c r="AK287" s="537" t="s">
        <v>151</v>
      </c>
      <c r="AL287" s="1" t="s">
        <v>2207</v>
      </c>
      <c r="AM287" s="537" t="s">
        <v>2178</v>
      </c>
      <c r="AN287" s="537"/>
    </row>
    <row r="288" spans="1:40">
      <c r="A288" s="537" t="s">
        <v>54</v>
      </c>
      <c r="B288" s="1">
        <v>220901</v>
      </c>
      <c r="C288" s="1">
        <v>242054</v>
      </c>
      <c r="D288" s="537" t="s">
        <v>88</v>
      </c>
      <c r="E288" s="537" t="s">
        <v>675</v>
      </c>
      <c r="F288" s="1" t="s">
        <v>2383</v>
      </c>
      <c r="G288" s="1" t="s">
        <v>3078</v>
      </c>
      <c r="H288" s="537" t="s">
        <v>2215</v>
      </c>
      <c r="I288" s="537" t="s">
        <v>2216</v>
      </c>
      <c r="J288" s="537" t="s">
        <v>18</v>
      </c>
      <c r="K288" s="537" t="s">
        <v>57</v>
      </c>
      <c r="L288" s="61">
        <v>34555</v>
      </c>
      <c r="M288" s="1">
        <v>29</v>
      </c>
      <c r="N288" s="1">
        <v>1400</v>
      </c>
      <c r="P288" s="1">
        <v>1770</v>
      </c>
      <c r="Q288" s="537"/>
      <c r="R288" s="1">
        <v>370</v>
      </c>
      <c r="S288" s="1">
        <v>240000</v>
      </c>
      <c r="T288" s="1">
        <v>12012</v>
      </c>
      <c r="U288" s="1" t="s">
        <v>2639</v>
      </c>
      <c r="V288" s="1">
        <v>21960</v>
      </c>
      <c r="W288" s="1">
        <v>45563</v>
      </c>
      <c r="X288" s="537" t="s">
        <v>65</v>
      </c>
      <c r="Y288" s="537" t="s">
        <v>60</v>
      </c>
      <c r="Z288" s="1" t="s">
        <v>1006</v>
      </c>
      <c r="AA288" s="537" t="s">
        <v>2217</v>
      </c>
      <c r="AB288" s="537" t="s">
        <v>2218</v>
      </c>
      <c r="AC288" s="1" t="s">
        <v>63</v>
      </c>
      <c r="AD288" s="61">
        <v>44805</v>
      </c>
      <c r="AE288" s="61"/>
      <c r="AF288" s="61"/>
      <c r="AG288" s="1" t="s">
        <v>766</v>
      </c>
      <c r="AH288" s="537"/>
      <c r="AI288" s="537"/>
      <c r="AK288" s="537"/>
      <c r="AM288" s="537" t="s">
        <v>2219</v>
      </c>
      <c r="AN288" s="537"/>
    </row>
    <row r="289" spans="1:40">
      <c r="A289" s="537" t="s">
        <v>54</v>
      </c>
      <c r="B289" s="1">
        <v>221105</v>
      </c>
      <c r="C289" s="1">
        <v>242055</v>
      </c>
      <c r="D289" s="537" t="s">
        <v>88</v>
      </c>
      <c r="E289" s="537" t="s">
        <v>668</v>
      </c>
      <c r="F289" s="1" t="s">
        <v>2378</v>
      </c>
      <c r="G289" s="1" t="s">
        <v>703</v>
      </c>
      <c r="H289" s="537" t="s">
        <v>2572</v>
      </c>
      <c r="I289" s="537" t="s">
        <v>2573</v>
      </c>
      <c r="J289" s="537" t="s">
        <v>18</v>
      </c>
      <c r="K289" s="537" t="s">
        <v>57</v>
      </c>
      <c r="L289" s="61">
        <v>35896</v>
      </c>
      <c r="M289" s="1">
        <v>25</v>
      </c>
      <c r="N289" s="1">
        <v>1250</v>
      </c>
      <c r="P289" s="1">
        <v>1670</v>
      </c>
      <c r="Q289" s="537"/>
      <c r="R289" s="1">
        <v>420</v>
      </c>
      <c r="S289" s="1">
        <v>300000</v>
      </c>
      <c r="T289" s="1">
        <v>15014.999999999998</v>
      </c>
      <c r="U289" s="1" t="s">
        <v>2639</v>
      </c>
      <c r="V289" s="1">
        <v>27450</v>
      </c>
      <c r="W289" s="1">
        <v>45626</v>
      </c>
      <c r="X289" s="537" t="s">
        <v>65</v>
      </c>
      <c r="Y289" s="537" t="s">
        <v>60</v>
      </c>
      <c r="Z289" s="1" t="s">
        <v>93</v>
      </c>
      <c r="AA289" s="537" t="s">
        <v>1467</v>
      </c>
      <c r="AB289" s="537" t="s">
        <v>1468</v>
      </c>
      <c r="AD289" s="61">
        <v>44883</v>
      </c>
      <c r="AE289" s="61"/>
      <c r="AF289" s="61"/>
      <c r="AG289" s="1" t="s">
        <v>2516</v>
      </c>
      <c r="AH289" s="537"/>
      <c r="AI289" s="537"/>
      <c r="AK289" s="537"/>
      <c r="AM289" s="537" t="s">
        <v>2608</v>
      </c>
      <c r="AN289" s="537"/>
    </row>
    <row r="290" spans="1:40">
      <c r="A290" s="537" t="s">
        <v>54</v>
      </c>
      <c r="B290" s="1">
        <v>221106</v>
      </c>
      <c r="C290" s="1">
        <v>242056</v>
      </c>
      <c r="D290" s="537" t="s">
        <v>88</v>
      </c>
      <c r="E290" s="537" t="s">
        <v>675</v>
      </c>
      <c r="F290" s="1" t="s">
        <v>2372</v>
      </c>
      <c r="G290" s="1" t="s">
        <v>3078</v>
      </c>
      <c r="H290" s="537" t="s">
        <v>2574</v>
      </c>
      <c r="I290" s="537" t="s">
        <v>2575</v>
      </c>
      <c r="J290" s="537" t="s">
        <v>18</v>
      </c>
      <c r="K290" s="537" t="s">
        <v>57</v>
      </c>
      <c r="L290" s="61">
        <v>33244</v>
      </c>
      <c r="M290" s="1">
        <v>32</v>
      </c>
      <c r="N290" s="1">
        <v>1270</v>
      </c>
      <c r="P290" s="1">
        <v>1690</v>
      </c>
      <c r="Q290" s="537"/>
      <c r="R290" s="1">
        <v>420</v>
      </c>
      <c r="S290" s="1">
        <v>300000</v>
      </c>
      <c r="T290" s="1">
        <v>15014.999999999998</v>
      </c>
      <c r="U290" s="1" t="s">
        <v>2639</v>
      </c>
      <c r="V290" s="1">
        <v>27450</v>
      </c>
      <c r="W290" s="1">
        <v>45626</v>
      </c>
      <c r="X290" s="537" t="s">
        <v>65</v>
      </c>
      <c r="Y290" s="537" t="s">
        <v>60</v>
      </c>
      <c r="Z290" s="1" t="s">
        <v>1006</v>
      </c>
      <c r="AA290" s="537" t="s">
        <v>3118</v>
      </c>
      <c r="AB290" s="537" t="s">
        <v>3119</v>
      </c>
      <c r="AD290" s="61">
        <v>44883</v>
      </c>
      <c r="AE290" s="61"/>
      <c r="AF290" s="61"/>
      <c r="AG290" s="1" t="s">
        <v>2516</v>
      </c>
      <c r="AH290" s="537"/>
      <c r="AI290" s="537"/>
      <c r="AK290" s="537"/>
      <c r="AM290" s="537" t="s">
        <v>2608</v>
      </c>
      <c r="AN290" s="537"/>
    </row>
    <row r="291" spans="1:40">
      <c r="A291" s="537" t="s">
        <v>54</v>
      </c>
      <c r="B291" s="1">
        <v>221207</v>
      </c>
      <c r="C291" s="1">
        <v>242057</v>
      </c>
      <c r="D291" s="537" t="s">
        <v>88</v>
      </c>
      <c r="E291" s="537" t="s">
        <v>668</v>
      </c>
      <c r="F291" s="1" t="s">
        <v>2375</v>
      </c>
      <c r="G291" s="1" t="s">
        <v>703</v>
      </c>
      <c r="H291" s="537" t="s">
        <v>2741</v>
      </c>
      <c r="I291" s="537" t="s">
        <v>2742</v>
      </c>
      <c r="J291" s="537" t="s">
        <v>18</v>
      </c>
      <c r="K291" s="537" t="s">
        <v>57</v>
      </c>
      <c r="L291" s="61">
        <v>35777</v>
      </c>
      <c r="M291" s="1">
        <v>25</v>
      </c>
      <c r="N291" s="1">
        <v>1250</v>
      </c>
      <c r="P291" s="1">
        <v>1660</v>
      </c>
      <c r="Q291" s="537"/>
      <c r="R291" s="1">
        <v>410</v>
      </c>
      <c r="S291" s="1">
        <v>300000</v>
      </c>
      <c r="T291" s="1">
        <v>15014.999999999998</v>
      </c>
      <c r="U291" s="1" t="s">
        <v>2639</v>
      </c>
      <c r="V291" s="1">
        <v>27450</v>
      </c>
      <c r="W291" s="1">
        <v>45628</v>
      </c>
      <c r="X291" s="537" t="s">
        <v>65</v>
      </c>
      <c r="Y291" s="537" t="s">
        <v>60</v>
      </c>
      <c r="Z291" s="1" t="s">
        <v>1245</v>
      </c>
      <c r="AA291" s="537" t="s">
        <v>1246</v>
      </c>
      <c r="AB291" s="537" t="s">
        <v>1247</v>
      </c>
      <c r="AC291" s="1">
        <v>44897</v>
      </c>
      <c r="AD291" s="61">
        <v>44903</v>
      </c>
      <c r="AE291" s="61"/>
      <c r="AF291" s="61"/>
      <c r="AG291" s="1" t="s">
        <v>2724</v>
      </c>
      <c r="AH291" s="537"/>
      <c r="AI291" s="537"/>
      <c r="AK291" s="537"/>
      <c r="AM291" s="537" t="s">
        <v>2733</v>
      </c>
      <c r="AN291" s="537"/>
    </row>
    <row r="292" spans="1:40">
      <c r="A292" s="537" t="s">
        <v>54</v>
      </c>
      <c r="B292" s="1">
        <v>221208</v>
      </c>
      <c r="C292" s="1">
        <v>242058</v>
      </c>
      <c r="D292" s="537" t="s">
        <v>88</v>
      </c>
      <c r="E292" s="537" t="s">
        <v>668</v>
      </c>
      <c r="F292" s="1" t="s">
        <v>2378</v>
      </c>
      <c r="G292" s="1" t="s">
        <v>703</v>
      </c>
      <c r="H292" s="537" t="s">
        <v>2743</v>
      </c>
      <c r="I292" s="537" t="s">
        <v>2744</v>
      </c>
      <c r="J292" s="537" t="s">
        <v>18</v>
      </c>
      <c r="K292" s="537" t="s">
        <v>57</v>
      </c>
      <c r="L292" s="61">
        <v>36302</v>
      </c>
      <c r="M292" s="1">
        <v>24</v>
      </c>
      <c r="N292" s="1">
        <v>1250</v>
      </c>
      <c r="P292" s="1">
        <v>1670</v>
      </c>
      <c r="Q292" s="537"/>
      <c r="R292" s="1">
        <v>420</v>
      </c>
      <c r="S292" s="1">
        <v>300000</v>
      </c>
      <c r="T292" s="1">
        <v>15014.999999999998</v>
      </c>
      <c r="U292" s="1" t="s">
        <v>2639</v>
      </c>
      <c r="V292" s="1">
        <v>27450</v>
      </c>
      <c r="W292" s="1">
        <v>45628</v>
      </c>
      <c r="X292" s="537" t="s">
        <v>65</v>
      </c>
      <c r="Y292" s="537" t="s">
        <v>60</v>
      </c>
      <c r="Z292" s="1" t="s">
        <v>1198</v>
      </c>
      <c r="AA292" s="537" t="s">
        <v>1199</v>
      </c>
      <c r="AB292" s="537" t="s">
        <v>1200</v>
      </c>
      <c r="AC292" s="1">
        <v>44897</v>
      </c>
      <c r="AD292" s="61">
        <v>44903</v>
      </c>
      <c r="AE292" s="61"/>
      <c r="AF292" s="61"/>
      <c r="AG292" s="1" t="s">
        <v>2724</v>
      </c>
      <c r="AH292" s="537"/>
      <c r="AI292" s="537"/>
      <c r="AK292" s="537"/>
      <c r="AM292" s="537" t="s">
        <v>2733</v>
      </c>
      <c r="AN292" s="537"/>
    </row>
    <row r="293" spans="1:40">
      <c r="A293" s="537" t="s">
        <v>54</v>
      </c>
      <c r="B293" s="1">
        <v>221211</v>
      </c>
      <c r="C293" s="1">
        <v>242059</v>
      </c>
      <c r="D293" s="537" t="s">
        <v>88</v>
      </c>
      <c r="E293" s="537" t="s">
        <v>675</v>
      </c>
      <c r="F293" s="1" t="s">
        <v>2401</v>
      </c>
      <c r="G293" s="1" t="s">
        <v>3078</v>
      </c>
      <c r="H293" s="537" t="s">
        <v>2750</v>
      </c>
      <c r="I293" s="537" t="s">
        <v>2751</v>
      </c>
      <c r="J293" s="537" t="s">
        <v>18</v>
      </c>
      <c r="K293" s="537" t="s">
        <v>57</v>
      </c>
      <c r="L293" s="61">
        <v>35716</v>
      </c>
      <c r="M293" s="1">
        <v>26</v>
      </c>
      <c r="N293" s="1">
        <v>1250</v>
      </c>
      <c r="P293" s="1">
        <v>1670</v>
      </c>
      <c r="Q293" s="537"/>
      <c r="R293" s="1">
        <v>420</v>
      </c>
      <c r="S293" s="1">
        <v>300000</v>
      </c>
      <c r="T293" s="1">
        <v>15014.999999999998</v>
      </c>
      <c r="U293" s="1" t="s">
        <v>2639</v>
      </c>
      <c r="V293" s="1">
        <v>27450</v>
      </c>
      <c r="W293" s="1">
        <v>45633</v>
      </c>
      <c r="X293" s="537" t="s">
        <v>65</v>
      </c>
      <c r="Y293" s="537" t="s">
        <v>60</v>
      </c>
      <c r="Z293" s="1" t="s">
        <v>1006</v>
      </c>
      <c r="AA293" s="537" t="s">
        <v>1116</v>
      </c>
      <c r="AB293" s="537" t="s">
        <v>1117</v>
      </c>
      <c r="AD293" s="61">
        <v>44907</v>
      </c>
      <c r="AE293" s="61"/>
      <c r="AF293" s="61"/>
      <c r="AG293" s="1" t="s">
        <v>2724</v>
      </c>
      <c r="AH293" s="537"/>
      <c r="AI293" s="537"/>
      <c r="AK293" s="537"/>
      <c r="AM293" s="537" t="s">
        <v>2752</v>
      </c>
      <c r="AN293" s="537"/>
    </row>
    <row r="294" spans="1:40">
      <c r="A294" s="537" t="s">
        <v>54</v>
      </c>
      <c r="B294" s="1">
        <v>230106</v>
      </c>
      <c r="C294" s="1">
        <v>242060</v>
      </c>
      <c r="D294" s="537" t="s">
        <v>88</v>
      </c>
      <c r="E294" s="537" t="s">
        <v>668</v>
      </c>
      <c r="F294" s="1" t="s">
        <v>2375</v>
      </c>
      <c r="G294" s="1" t="s">
        <v>703</v>
      </c>
      <c r="H294" s="537" t="s">
        <v>2803</v>
      </c>
      <c r="I294" s="537" t="s">
        <v>2804</v>
      </c>
      <c r="J294" s="537" t="s">
        <v>18</v>
      </c>
      <c r="K294" s="537" t="s">
        <v>57</v>
      </c>
      <c r="L294" s="61">
        <v>35192</v>
      </c>
      <c r="M294" s="1">
        <v>27</v>
      </c>
      <c r="N294" s="1">
        <v>1250</v>
      </c>
      <c r="P294" s="1">
        <v>1650</v>
      </c>
      <c r="Q294" s="537"/>
      <c r="R294" s="1">
        <v>400</v>
      </c>
      <c r="S294" s="1">
        <v>240000</v>
      </c>
      <c r="T294" s="1">
        <v>12012</v>
      </c>
      <c r="U294" s="1" t="s">
        <v>2639</v>
      </c>
      <c r="V294" s="1">
        <v>21960</v>
      </c>
      <c r="W294" s="1">
        <v>45304</v>
      </c>
      <c r="X294" s="537" t="s">
        <v>59</v>
      </c>
      <c r="Y294" s="537" t="s">
        <v>60</v>
      </c>
      <c r="Z294" s="1" t="s">
        <v>1006</v>
      </c>
      <c r="AA294" s="537" t="s">
        <v>997</v>
      </c>
      <c r="AB294" s="537" t="s">
        <v>998</v>
      </c>
      <c r="AD294" s="61">
        <v>44945</v>
      </c>
      <c r="AE294" s="61"/>
      <c r="AF294" s="61"/>
      <c r="AG294" s="1" t="s">
        <v>2786</v>
      </c>
      <c r="AH294" s="537"/>
      <c r="AI294" s="537"/>
      <c r="AK294" s="537"/>
      <c r="AM294" s="537" t="s">
        <v>2800</v>
      </c>
      <c r="AN294" s="537"/>
    </row>
    <row r="295" spans="1:40">
      <c r="A295" s="537" t="s">
        <v>54</v>
      </c>
      <c r="B295" s="1">
        <v>230319</v>
      </c>
      <c r="C295" s="1">
        <v>242061</v>
      </c>
      <c r="D295" s="537" t="s">
        <v>88</v>
      </c>
      <c r="E295" s="537" t="s">
        <v>668</v>
      </c>
      <c r="F295" s="1" t="s">
        <v>2378</v>
      </c>
      <c r="G295" s="1" t="s">
        <v>703</v>
      </c>
      <c r="H295" s="537" t="s">
        <v>2924</v>
      </c>
      <c r="I295" s="537" t="s">
        <v>2925</v>
      </c>
      <c r="J295" s="537" t="s">
        <v>18</v>
      </c>
      <c r="K295" s="537" t="s">
        <v>57</v>
      </c>
      <c r="L295" s="61">
        <v>35493</v>
      </c>
      <c r="M295" s="1">
        <v>26</v>
      </c>
      <c r="N295" s="1">
        <v>1200</v>
      </c>
      <c r="P295" s="1">
        <v>1650</v>
      </c>
      <c r="Q295" s="537"/>
      <c r="R295" s="1">
        <v>450</v>
      </c>
      <c r="S295" s="1">
        <v>220000</v>
      </c>
      <c r="T295" s="1">
        <v>11011</v>
      </c>
      <c r="U295" s="1" t="s">
        <v>2639</v>
      </c>
      <c r="V295" s="1">
        <v>20130</v>
      </c>
      <c r="W295" s="1">
        <v>45373</v>
      </c>
      <c r="X295" s="537" t="s">
        <v>65</v>
      </c>
      <c r="Y295" s="537" t="s">
        <v>60</v>
      </c>
      <c r="Z295" s="1" t="s">
        <v>1245</v>
      </c>
      <c r="AA295" s="537" t="s">
        <v>2922</v>
      </c>
      <c r="AB295" s="537" t="s">
        <v>2923</v>
      </c>
      <c r="AC295" s="1">
        <v>45007</v>
      </c>
      <c r="AD295" s="61">
        <v>45012</v>
      </c>
      <c r="AE295" s="61"/>
      <c r="AF295" s="61"/>
      <c r="AG295" s="1" t="s">
        <v>2877</v>
      </c>
      <c r="AH295" s="537"/>
      <c r="AI295" s="537"/>
      <c r="AK295" s="537"/>
      <c r="AM295" s="537" t="s">
        <v>3139</v>
      </c>
      <c r="AN295" s="537"/>
    </row>
    <row r="296" spans="1:40">
      <c r="A296" s="537" t="s">
        <v>54</v>
      </c>
      <c r="B296" s="1">
        <v>230318</v>
      </c>
      <c r="C296" s="1">
        <v>242062</v>
      </c>
      <c r="D296" s="537" t="s">
        <v>88</v>
      </c>
      <c r="E296" s="537" t="s">
        <v>675</v>
      </c>
      <c r="F296" s="1" t="s">
        <v>2404</v>
      </c>
      <c r="G296" s="1" t="s">
        <v>3078</v>
      </c>
      <c r="H296" s="537" t="s">
        <v>2920</v>
      </c>
      <c r="I296" s="537" t="s">
        <v>2921</v>
      </c>
      <c r="J296" s="537" t="s">
        <v>18</v>
      </c>
      <c r="K296" s="537" t="s">
        <v>57</v>
      </c>
      <c r="L296" s="61">
        <v>36466</v>
      </c>
      <c r="M296" s="1">
        <v>24</v>
      </c>
      <c r="N296" s="1">
        <v>1200</v>
      </c>
      <c r="P296" s="1">
        <v>1670</v>
      </c>
      <c r="Q296" s="537"/>
      <c r="R296" s="1">
        <v>470</v>
      </c>
      <c r="S296" s="1">
        <v>240000</v>
      </c>
      <c r="T296" s="1">
        <v>12012</v>
      </c>
      <c r="U296" s="1" t="s">
        <v>2639</v>
      </c>
      <c r="V296" s="1">
        <v>21960</v>
      </c>
      <c r="W296" s="1">
        <v>45373</v>
      </c>
      <c r="X296" s="537" t="s">
        <v>65</v>
      </c>
      <c r="Y296" s="537" t="s">
        <v>60</v>
      </c>
      <c r="Z296" s="1" t="s">
        <v>1245</v>
      </c>
      <c r="AA296" s="537" t="s">
        <v>2922</v>
      </c>
      <c r="AB296" s="537" t="s">
        <v>2923</v>
      </c>
      <c r="AC296" s="1">
        <v>45007</v>
      </c>
      <c r="AD296" s="61">
        <v>45012</v>
      </c>
      <c r="AE296" s="61"/>
      <c r="AF296" s="61"/>
      <c r="AG296" s="1" t="s">
        <v>2877</v>
      </c>
      <c r="AH296" s="537"/>
      <c r="AI296" s="537"/>
      <c r="AK296" s="537"/>
      <c r="AM296" s="537" t="s">
        <v>3139</v>
      </c>
      <c r="AN296" s="537"/>
    </row>
    <row r="297" spans="1:40" hidden="1">
      <c r="A297" s="537" t="s">
        <v>179</v>
      </c>
      <c r="B297" s="1">
        <v>230502</v>
      </c>
      <c r="C297" s="1">
        <v>242063</v>
      </c>
      <c r="D297" s="537" t="s">
        <v>88</v>
      </c>
      <c r="E297" s="537" t="s">
        <v>668</v>
      </c>
      <c r="F297" t="s">
        <v>2378</v>
      </c>
      <c r="G297" t="s">
        <v>703</v>
      </c>
      <c r="H297" s="537" t="s">
        <v>3178</v>
      </c>
      <c r="I297" s="537" t="s">
        <v>3179</v>
      </c>
      <c r="J297" s="537" t="s">
        <v>18</v>
      </c>
      <c r="K297" s="537" t="s">
        <v>57</v>
      </c>
      <c r="L297" s="61">
        <v>36559</v>
      </c>
      <c r="M297" s="1">
        <v>23</v>
      </c>
      <c r="N297" s="1">
        <v>1200</v>
      </c>
      <c r="P297" s="1">
        <v>1650</v>
      </c>
      <c r="Q297" s="537"/>
      <c r="R297" s="1">
        <v>450</v>
      </c>
      <c r="S297">
        <v>180000</v>
      </c>
      <c r="T297">
        <v>9009</v>
      </c>
      <c r="U297" t="s">
        <v>2639</v>
      </c>
      <c r="V297">
        <v>16470</v>
      </c>
      <c r="W297" s="1">
        <v>45422</v>
      </c>
      <c r="X297" s="537" t="s">
        <v>65</v>
      </c>
      <c r="Y297" s="537" t="s">
        <v>60</v>
      </c>
      <c r="Z297" s="1" t="s">
        <v>1198</v>
      </c>
      <c r="AA297" s="537" t="s">
        <v>3180</v>
      </c>
      <c r="AB297" s="537" t="s">
        <v>3181</v>
      </c>
      <c r="AC297" s="1">
        <v>45056</v>
      </c>
      <c r="AD297" s="61">
        <v>45061</v>
      </c>
      <c r="AE297" s="61">
        <v>45229</v>
      </c>
      <c r="AF297" s="61"/>
      <c r="AG297" s="1" t="s">
        <v>3171</v>
      </c>
      <c r="AH297" s="537"/>
      <c r="AI297" s="537"/>
      <c r="AK297" s="537"/>
      <c r="AM297" s="537" t="s">
        <v>3175</v>
      </c>
      <c r="AN297" s="537"/>
    </row>
    <row r="298" spans="1:40">
      <c r="A298" s="537" t="s">
        <v>54</v>
      </c>
      <c r="B298" s="1">
        <v>230504</v>
      </c>
      <c r="C298" s="1">
        <v>242064</v>
      </c>
      <c r="D298" s="537" t="s">
        <v>88</v>
      </c>
      <c r="E298" s="537" t="s">
        <v>675</v>
      </c>
      <c r="F298" s="1" t="s">
        <v>2401</v>
      </c>
      <c r="G298" s="1" t="s">
        <v>3078</v>
      </c>
      <c r="H298" s="537" t="s">
        <v>3176</v>
      </c>
      <c r="I298" s="537" t="s">
        <v>3177</v>
      </c>
      <c r="J298" s="537" t="s">
        <v>18</v>
      </c>
      <c r="K298" s="537" t="s">
        <v>57</v>
      </c>
      <c r="L298" s="61">
        <v>36849</v>
      </c>
      <c r="M298" s="1">
        <v>23</v>
      </c>
      <c r="N298" s="1">
        <v>1200</v>
      </c>
      <c r="P298" s="1">
        <v>1650</v>
      </c>
      <c r="Q298" s="537"/>
      <c r="R298" s="1">
        <v>450</v>
      </c>
      <c r="S298" s="1">
        <v>180000</v>
      </c>
      <c r="T298" s="1">
        <v>9009</v>
      </c>
      <c r="U298" s="1" t="s">
        <v>2639</v>
      </c>
      <c r="V298" s="1">
        <v>16470</v>
      </c>
      <c r="W298" s="1">
        <v>45422</v>
      </c>
      <c r="X298" s="537" t="s">
        <v>65</v>
      </c>
      <c r="Y298" s="537" t="s">
        <v>60</v>
      </c>
      <c r="Z298" s="1" t="s">
        <v>93</v>
      </c>
      <c r="AA298" s="537" t="s">
        <v>1467</v>
      </c>
      <c r="AB298" s="537" t="s">
        <v>1468</v>
      </c>
      <c r="AC298" s="1">
        <v>45056</v>
      </c>
      <c r="AD298" s="61">
        <v>45061</v>
      </c>
      <c r="AE298" s="61"/>
      <c r="AF298" s="61"/>
      <c r="AG298" s="1" t="s">
        <v>3171</v>
      </c>
      <c r="AH298" s="537"/>
      <c r="AI298" s="537"/>
      <c r="AK298" s="537"/>
      <c r="AM298" s="537" t="s">
        <v>3175</v>
      </c>
      <c r="AN298" s="537"/>
    </row>
    <row r="299" spans="1:40">
      <c r="A299" s="537" t="s">
        <v>54</v>
      </c>
      <c r="B299" s="1">
        <v>230503</v>
      </c>
      <c r="C299" s="1">
        <v>242065</v>
      </c>
      <c r="D299" s="537" t="s">
        <v>88</v>
      </c>
      <c r="E299" s="537" t="s">
        <v>675</v>
      </c>
      <c r="F299" s="1" t="s">
        <v>2372</v>
      </c>
      <c r="G299" s="1" t="s">
        <v>3078</v>
      </c>
      <c r="H299" s="537" t="s">
        <v>3182</v>
      </c>
      <c r="I299" s="537" t="s">
        <v>3183</v>
      </c>
      <c r="J299" s="537" t="s">
        <v>18</v>
      </c>
      <c r="K299" s="537" t="s">
        <v>57</v>
      </c>
      <c r="L299" s="61">
        <v>36708</v>
      </c>
      <c r="M299" s="1">
        <v>23</v>
      </c>
      <c r="N299" s="1">
        <v>1200</v>
      </c>
      <c r="P299" s="1">
        <v>1650</v>
      </c>
      <c r="Q299" s="537"/>
      <c r="R299" s="1">
        <v>450</v>
      </c>
      <c r="S299" s="1">
        <v>180000</v>
      </c>
      <c r="T299" s="1">
        <v>9009</v>
      </c>
      <c r="U299" s="1" t="s">
        <v>2639</v>
      </c>
      <c r="V299" s="1">
        <v>16470</v>
      </c>
      <c r="W299" s="1">
        <v>45422</v>
      </c>
      <c r="X299" s="537" t="s">
        <v>65</v>
      </c>
      <c r="Y299" s="537" t="s">
        <v>60</v>
      </c>
      <c r="Z299" s="1" t="s">
        <v>1198</v>
      </c>
      <c r="AA299" s="537" t="s">
        <v>3180</v>
      </c>
      <c r="AB299" s="537" t="s">
        <v>3181</v>
      </c>
      <c r="AC299" s="1">
        <v>45056</v>
      </c>
      <c r="AD299" s="61">
        <v>45061</v>
      </c>
      <c r="AE299" s="61"/>
      <c r="AF299" s="61"/>
      <c r="AG299" s="1" t="s">
        <v>3171</v>
      </c>
      <c r="AH299" s="537"/>
      <c r="AI299" s="537"/>
      <c r="AK299" s="537"/>
      <c r="AM299" s="537" t="s">
        <v>3175</v>
      </c>
      <c r="AN299" s="537"/>
    </row>
    <row r="300" spans="1:40">
      <c r="A300" s="537" t="s">
        <v>54</v>
      </c>
      <c r="B300" s="1">
        <v>230612</v>
      </c>
      <c r="C300" s="1">
        <v>242066</v>
      </c>
      <c r="D300" s="537" t="s">
        <v>88</v>
      </c>
      <c r="E300" s="537" t="s">
        <v>668</v>
      </c>
      <c r="F300" s="1" t="s">
        <v>869</v>
      </c>
      <c r="G300" s="1" t="s">
        <v>3047</v>
      </c>
      <c r="H300" s="537" t="s">
        <v>3236</v>
      </c>
      <c r="I300" s="537" t="s">
        <v>3237</v>
      </c>
      <c r="J300" s="537" t="s">
        <v>18</v>
      </c>
      <c r="K300" s="537" t="s">
        <v>57</v>
      </c>
      <c r="L300" s="61">
        <v>35972</v>
      </c>
      <c r="M300" s="1">
        <v>25</v>
      </c>
      <c r="N300" s="1">
        <v>1250</v>
      </c>
      <c r="P300" s="1">
        <v>1650</v>
      </c>
      <c r="Q300" s="537"/>
      <c r="R300" s="1">
        <v>400</v>
      </c>
      <c r="S300" s="1">
        <v>280000</v>
      </c>
      <c r="T300" s="1">
        <v>14014</v>
      </c>
      <c r="U300" s="1" t="s">
        <v>2639</v>
      </c>
      <c r="V300" s="1">
        <v>25620</v>
      </c>
      <c r="W300" s="1">
        <v>45296</v>
      </c>
      <c r="X300" s="537" t="s">
        <v>59</v>
      </c>
      <c r="Y300" s="537" t="s">
        <v>60</v>
      </c>
      <c r="Z300" s="1" t="s">
        <v>93</v>
      </c>
      <c r="AA300" s="537" t="s">
        <v>1467</v>
      </c>
      <c r="AB300" s="537" t="s">
        <v>3238</v>
      </c>
      <c r="AC300" s="1">
        <v>45097</v>
      </c>
      <c r="AD300" s="61">
        <v>45103</v>
      </c>
      <c r="AE300" s="61"/>
      <c r="AF300" s="61"/>
      <c r="AG300" s="1" t="s">
        <v>3239</v>
      </c>
      <c r="AH300" s="537"/>
      <c r="AI300" s="537"/>
      <c r="AK300" s="537"/>
      <c r="AM300" s="537" t="s">
        <v>3240</v>
      </c>
      <c r="AN300" s="537" t="s">
        <v>3241</v>
      </c>
    </row>
    <row r="301" spans="1:40">
      <c r="A301" s="537" t="s">
        <v>54</v>
      </c>
      <c r="B301" s="1">
        <v>230613</v>
      </c>
      <c r="C301" s="1">
        <v>242067</v>
      </c>
      <c r="D301" s="537" t="s">
        <v>88</v>
      </c>
      <c r="E301" s="537" t="s">
        <v>668</v>
      </c>
      <c r="F301" s="1" t="s">
        <v>2375</v>
      </c>
      <c r="G301" s="1" t="s">
        <v>703</v>
      </c>
      <c r="H301" s="537" t="s">
        <v>3242</v>
      </c>
      <c r="I301" s="537" t="s">
        <v>3243</v>
      </c>
      <c r="J301" s="537" t="s">
        <v>18</v>
      </c>
      <c r="K301" s="537" t="s">
        <v>57</v>
      </c>
      <c r="L301" s="61">
        <v>36403</v>
      </c>
      <c r="M301" s="1">
        <v>24</v>
      </c>
      <c r="N301" s="1">
        <v>1300</v>
      </c>
      <c r="P301" s="1">
        <v>1650</v>
      </c>
      <c r="Q301" s="537"/>
      <c r="R301" s="1">
        <v>350</v>
      </c>
      <c r="S301" s="1">
        <v>280000</v>
      </c>
      <c r="T301" s="1">
        <v>14014</v>
      </c>
      <c r="U301" s="1" t="s">
        <v>2639</v>
      </c>
      <c r="V301" s="1">
        <v>25620</v>
      </c>
      <c r="W301" s="1">
        <v>45563</v>
      </c>
      <c r="X301" s="537" t="s">
        <v>65</v>
      </c>
      <c r="Y301" s="537" t="s">
        <v>60</v>
      </c>
      <c r="Z301" s="1" t="s">
        <v>1139</v>
      </c>
      <c r="AA301" s="537" t="s">
        <v>1686</v>
      </c>
      <c r="AB301" s="537" t="s">
        <v>1687</v>
      </c>
      <c r="AC301" s="1">
        <v>45097</v>
      </c>
      <c r="AD301" s="61">
        <v>45103</v>
      </c>
      <c r="AE301" s="61"/>
      <c r="AF301" s="61"/>
      <c r="AG301" s="1" t="s">
        <v>766</v>
      </c>
      <c r="AH301" s="537"/>
      <c r="AI301" s="537"/>
      <c r="AK301" s="537"/>
      <c r="AM301" s="537" t="s">
        <v>3240</v>
      </c>
      <c r="AN301" s="537" t="s">
        <v>3244</v>
      </c>
    </row>
    <row r="302" spans="1:40">
      <c r="A302" s="537" t="s">
        <v>54</v>
      </c>
      <c r="B302" s="1">
        <v>230810</v>
      </c>
      <c r="C302" s="1">
        <v>242068</v>
      </c>
      <c r="D302" s="537" t="s">
        <v>88</v>
      </c>
      <c r="E302" s="537" t="s">
        <v>668</v>
      </c>
      <c r="F302" s="1" t="s">
        <v>869</v>
      </c>
      <c r="G302" s="1" t="s">
        <v>3047</v>
      </c>
      <c r="H302" s="537" t="s">
        <v>3325</v>
      </c>
      <c r="I302" s="537" t="s">
        <v>3326</v>
      </c>
      <c r="J302" s="537" t="s">
        <v>18</v>
      </c>
      <c r="K302" s="537" t="s">
        <v>57</v>
      </c>
      <c r="L302" s="61">
        <v>32899</v>
      </c>
      <c r="M302" s="1">
        <v>33</v>
      </c>
      <c r="N302" s="1">
        <v>1200</v>
      </c>
      <c r="P302" s="1">
        <v>1650</v>
      </c>
      <c r="Q302" s="537"/>
      <c r="R302" s="1">
        <v>450</v>
      </c>
      <c r="S302" s="1">
        <v>180000</v>
      </c>
      <c r="T302" s="1">
        <v>9009</v>
      </c>
      <c r="U302" s="1" t="s">
        <v>2639</v>
      </c>
      <c r="V302" s="1">
        <v>16470</v>
      </c>
      <c r="W302" s="1">
        <v>45499</v>
      </c>
      <c r="X302" s="537" t="s">
        <v>65</v>
      </c>
      <c r="Y302" s="537" t="s">
        <v>60</v>
      </c>
      <c r="Z302" s="1" t="s">
        <v>93</v>
      </c>
      <c r="AA302" s="537" t="s">
        <v>1467</v>
      </c>
      <c r="AB302" s="537" t="s">
        <v>1468</v>
      </c>
      <c r="AC302" s="1">
        <v>45133</v>
      </c>
      <c r="AD302" s="61">
        <v>45139</v>
      </c>
      <c r="AE302" s="61"/>
      <c r="AF302" s="61"/>
      <c r="AG302" s="1" t="s">
        <v>3294</v>
      </c>
      <c r="AH302" s="537"/>
      <c r="AI302" s="537"/>
      <c r="AK302" s="537"/>
      <c r="AM302" s="537" t="s">
        <v>3312</v>
      </c>
      <c r="AN302" s="537"/>
    </row>
    <row r="303" spans="1:40">
      <c r="A303" s="537" t="s">
        <v>54</v>
      </c>
      <c r="B303" s="1">
        <v>230808</v>
      </c>
      <c r="C303" s="1">
        <v>242069</v>
      </c>
      <c r="D303" s="537" t="s">
        <v>88</v>
      </c>
      <c r="E303" s="537" t="s">
        <v>668</v>
      </c>
      <c r="F303" s="1" t="s">
        <v>869</v>
      </c>
      <c r="G303" s="1" t="s">
        <v>3047</v>
      </c>
      <c r="H303" s="537" t="s">
        <v>3320</v>
      </c>
      <c r="I303" s="537" t="s">
        <v>3321</v>
      </c>
      <c r="J303" s="537" t="s">
        <v>18</v>
      </c>
      <c r="K303" s="537" t="s">
        <v>57</v>
      </c>
      <c r="L303" s="61">
        <v>37208</v>
      </c>
      <c r="M303" s="1">
        <v>22</v>
      </c>
      <c r="N303" s="1">
        <v>1200</v>
      </c>
      <c r="P303" s="1">
        <v>1650</v>
      </c>
      <c r="Q303" s="537"/>
      <c r="R303" s="1">
        <v>450</v>
      </c>
      <c r="S303" s="1">
        <v>180000</v>
      </c>
      <c r="T303" s="1">
        <v>9009</v>
      </c>
      <c r="U303" s="1" t="s">
        <v>2639</v>
      </c>
      <c r="V303" s="1">
        <v>16470</v>
      </c>
      <c r="W303" s="1">
        <v>45499</v>
      </c>
      <c r="X303" s="537" t="s">
        <v>65</v>
      </c>
      <c r="Y303" s="537" t="s">
        <v>60</v>
      </c>
      <c r="Z303" s="1" t="s">
        <v>93</v>
      </c>
      <c r="AA303" s="537" t="s">
        <v>1467</v>
      </c>
      <c r="AB303" s="537" t="s">
        <v>1468</v>
      </c>
      <c r="AC303" s="1">
        <v>45133</v>
      </c>
      <c r="AD303" s="61">
        <v>45139</v>
      </c>
      <c r="AE303" s="61"/>
      <c r="AF303" s="61"/>
      <c r="AG303" s="1" t="s">
        <v>3294</v>
      </c>
      <c r="AH303" s="537"/>
      <c r="AI303" s="537"/>
      <c r="AK303" s="537"/>
      <c r="AM303" s="537" t="s">
        <v>3312</v>
      </c>
      <c r="AN303" s="537"/>
    </row>
    <row r="304" spans="1:40">
      <c r="A304" s="537" t="s">
        <v>54</v>
      </c>
      <c r="B304" s="1">
        <v>230807</v>
      </c>
      <c r="C304" s="1">
        <v>242070</v>
      </c>
      <c r="D304" s="537" t="s">
        <v>88</v>
      </c>
      <c r="E304" s="537" t="s">
        <v>675</v>
      </c>
      <c r="F304" s="1" t="s">
        <v>2383</v>
      </c>
      <c r="G304" s="1" t="s">
        <v>3078</v>
      </c>
      <c r="H304" s="537" t="s">
        <v>3317</v>
      </c>
      <c r="I304" s="537" t="s">
        <v>3318</v>
      </c>
      <c r="J304" s="537" t="s">
        <v>18</v>
      </c>
      <c r="K304" s="537" t="s">
        <v>57</v>
      </c>
      <c r="L304" s="61">
        <v>36053</v>
      </c>
      <c r="M304" s="1">
        <v>25</v>
      </c>
      <c r="N304" s="1">
        <v>1200</v>
      </c>
      <c r="P304" s="1">
        <v>1650</v>
      </c>
      <c r="Q304" s="537"/>
      <c r="R304" s="1">
        <v>450</v>
      </c>
      <c r="S304" s="1">
        <v>180000</v>
      </c>
      <c r="T304" s="1">
        <v>9009</v>
      </c>
      <c r="U304" s="1" t="s">
        <v>2639</v>
      </c>
      <c r="V304" s="1">
        <v>16470</v>
      </c>
      <c r="W304" s="1">
        <v>45499</v>
      </c>
      <c r="X304" s="537" t="s">
        <v>65</v>
      </c>
      <c r="Y304" s="537" t="s">
        <v>60</v>
      </c>
      <c r="Z304" s="1" t="s">
        <v>1245</v>
      </c>
      <c r="AA304" s="537" t="s">
        <v>2922</v>
      </c>
      <c r="AB304" s="537" t="s">
        <v>3319</v>
      </c>
      <c r="AC304" s="1">
        <v>45133</v>
      </c>
      <c r="AD304" s="61">
        <v>45139</v>
      </c>
      <c r="AE304" s="61"/>
      <c r="AF304" s="61"/>
      <c r="AG304" s="1" t="s">
        <v>3294</v>
      </c>
      <c r="AH304" s="537"/>
      <c r="AI304" s="537"/>
      <c r="AK304" s="537"/>
      <c r="AM304" s="537" t="s">
        <v>3312</v>
      </c>
      <c r="AN304" s="537"/>
    </row>
    <row r="305" spans="1:40">
      <c r="A305" s="537" t="s">
        <v>54</v>
      </c>
      <c r="B305" s="1">
        <v>230809</v>
      </c>
      <c r="C305" s="1">
        <v>242071</v>
      </c>
      <c r="D305" s="537" t="s">
        <v>88</v>
      </c>
      <c r="E305" s="537" t="s">
        <v>675</v>
      </c>
      <c r="F305" s="1" t="s">
        <v>2369</v>
      </c>
      <c r="G305" s="1" t="s">
        <v>3322</v>
      </c>
      <c r="H305" s="537" t="s">
        <v>3323</v>
      </c>
      <c r="I305" s="537" t="s">
        <v>3324</v>
      </c>
      <c r="J305" s="537" t="s">
        <v>18</v>
      </c>
      <c r="K305" s="537" t="s">
        <v>57</v>
      </c>
      <c r="L305" s="61">
        <v>36239</v>
      </c>
      <c r="M305" s="1">
        <v>24</v>
      </c>
      <c r="N305" s="1">
        <v>1200</v>
      </c>
      <c r="P305" s="1">
        <v>1650</v>
      </c>
      <c r="Q305" s="537"/>
      <c r="R305" s="1">
        <v>450</v>
      </c>
      <c r="S305" s="1">
        <v>180000</v>
      </c>
      <c r="T305" s="1">
        <v>9009</v>
      </c>
      <c r="U305" s="1" t="s">
        <v>2639</v>
      </c>
      <c r="V305" s="1">
        <v>16470</v>
      </c>
      <c r="W305" s="1">
        <v>45499</v>
      </c>
      <c r="X305" s="537" t="s">
        <v>65</v>
      </c>
      <c r="Y305" s="537" t="s">
        <v>60</v>
      </c>
      <c r="Z305" s="1" t="s">
        <v>1245</v>
      </c>
      <c r="AA305" s="537" t="s">
        <v>2922</v>
      </c>
      <c r="AB305" s="537" t="s">
        <v>3319</v>
      </c>
      <c r="AC305" s="1">
        <v>45133</v>
      </c>
      <c r="AD305" s="61">
        <v>45139</v>
      </c>
      <c r="AE305" s="61">
        <v>45282</v>
      </c>
      <c r="AF305" s="61"/>
      <c r="AG305" s="1" t="s">
        <v>3294</v>
      </c>
      <c r="AH305" s="537"/>
      <c r="AI305" s="537"/>
      <c r="AK305" s="537"/>
      <c r="AM305" s="537" t="s">
        <v>3312</v>
      </c>
      <c r="AN305" s="537"/>
    </row>
    <row r="306" spans="1:40">
      <c r="A306" s="537" t="s">
        <v>54</v>
      </c>
      <c r="B306" s="1">
        <v>230902</v>
      </c>
      <c r="C306" s="1">
        <v>242072</v>
      </c>
      <c r="D306" s="537" t="s">
        <v>88</v>
      </c>
      <c r="E306" s="537" t="s">
        <v>668</v>
      </c>
      <c r="F306" s="1" t="s">
        <v>2375</v>
      </c>
      <c r="G306" s="1" t="s">
        <v>703</v>
      </c>
      <c r="H306" s="537" t="s">
        <v>3367</v>
      </c>
      <c r="I306" s="537" t="s">
        <v>3368</v>
      </c>
      <c r="J306" s="537" t="s">
        <v>18</v>
      </c>
      <c r="K306" s="537" t="s">
        <v>57</v>
      </c>
      <c r="L306" s="61">
        <v>32987</v>
      </c>
      <c r="M306" s="1">
        <v>33</v>
      </c>
      <c r="N306" s="1">
        <v>1200</v>
      </c>
      <c r="P306" s="1">
        <v>1650</v>
      </c>
      <c r="Q306" s="537"/>
      <c r="R306" s="1">
        <v>450</v>
      </c>
      <c r="S306" s="1">
        <v>200000</v>
      </c>
      <c r="T306" s="1">
        <v>10010</v>
      </c>
      <c r="U306" s="1" t="s">
        <v>2639</v>
      </c>
      <c r="V306" s="1">
        <v>18300</v>
      </c>
      <c r="W306" s="1">
        <v>45532</v>
      </c>
      <c r="X306" s="537" t="s">
        <v>65</v>
      </c>
      <c r="Y306" s="537" t="s">
        <v>60</v>
      </c>
      <c r="Z306" s="1" t="s">
        <v>93</v>
      </c>
      <c r="AA306" s="537" t="s">
        <v>3363</v>
      </c>
      <c r="AB306" s="537" t="s">
        <v>3364</v>
      </c>
      <c r="AC306" s="1">
        <v>45166</v>
      </c>
      <c r="AD306" s="61">
        <v>45170</v>
      </c>
      <c r="AE306" s="61"/>
      <c r="AF306" s="61"/>
      <c r="AG306" s="1" t="s">
        <v>3365</v>
      </c>
      <c r="AH306" s="537"/>
      <c r="AI306" s="537"/>
      <c r="AK306" s="537"/>
      <c r="AM306" s="537" t="s">
        <v>3366</v>
      </c>
      <c r="AN306" s="537"/>
    </row>
    <row r="307" spans="1:40">
      <c r="A307" s="537" t="s">
        <v>54</v>
      </c>
      <c r="B307" s="1">
        <v>230901</v>
      </c>
      <c r="C307" s="1">
        <v>242073</v>
      </c>
      <c r="D307" s="537" t="s">
        <v>88</v>
      </c>
      <c r="E307" s="537" t="s">
        <v>675</v>
      </c>
      <c r="F307" s="1" t="s">
        <v>2401</v>
      </c>
      <c r="G307" s="1" t="s">
        <v>3078</v>
      </c>
      <c r="H307" s="537" t="s">
        <v>297</v>
      </c>
      <c r="I307" s="537" t="s">
        <v>298</v>
      </c>
      <c r="J307" s="537" t="s">
        <v>18</v>
      </c>
      <c r="K307" s="537" t="s">
        <v>57</v>
      </c>
      <c r="L307" s="61">
        <v>33801</v>
      </c>
      <c r="M307" s="1">
        <v>31</v>
      </c>
      <c r="N307" s="1">
        <v>1200</v>
      </c>
      <c r="P307" s="1">
        <v>1650</v>
      </c>
      <c r="Q307" s="537"/>
      <c r="R307" s="1">
        <v>450</v>
      </c>
      <c r="S307" s="1">
        <v>200000</v>
      </c>
      <c r="T307" s="1">
        <v>10010</v>
      </c>
      <c r="U307" s="1" t="s">
        <v>2639</v>
      </c>
      <c r="V307" s="1">
        <v>18300</v>
      </c>
      <c r="W307" s="1">
        <v>45532</v>
      </c>
      <c r="X307" s="537" t="s">
        <v>65</v>
      </c>
      <c r="Y307" s="537" t="s">
        <v>60</v>
      </c>
      <c r="Z307" s="1" t="s">
        <v>93</v>
      </c>
      <c r="AA307" s="537" t="s">
        <v>3363</v>
      </c>
      <c r="AB307" s="537" t="s">
        <v>3364</v>
      </c>
      <c r="AC307" s="1">
        <v>45166</v>
      </c>
      <c r="AD307" s="61">
        <v>45170</v>
      </c>
      <c r="AE307" s="61"/>
      <c r="AF307" s="61"/>
      <c r="AG307" s="1" t="s">
        <v>3365</v>
      </c>
      <c r="AH307" s="537"/>
      <c r="AI307" s="537"/>
      <c r="AK307" s="537"/>
      <c r="AM307" s="537" t="s">
        <v>3366</v>
      </c>
      <c r="AN307" s="537"/>
    </row>
    <row r="308" spans="1:40">
      <c r="A308" s="537" t="s">
        <v>54</v>
      </c>
      <c r="B308" s="1">
        <v>230912</v>
      </c>
      <c r="C308" s="1">
        <v>242074</v>
      </c>
      <c r="D308" s="537" t="s">
        <v>88</v>
      </c>
      <c r="E308" s="537" t="s">
        <v>668</v>
      </c>
      <c r="F308" s="1" t="s">
        <v>2378</v>
      </c>
      <c r="G308" s="1" t="s">
        <v>703</v>
      </c>
      <c r="H308" s="537" t="s">
        <v>3404</v>
      </c>
      <c r="I308" s="537" t="s">
        <v>3405</v>
      </c>
      <c r="J308" s="537" t="s">
        <v>18</v>
      </c>
      <c r="K308" s="537" t="s">
        <v>57</v>
      </c>
      <c r="L308" s="61">
        <v>35415</v>
      </c>
      <c r="M308" s="1">
        <v>26</v>
      </c>
      <c r="N308" s="1">
        <v>1200</v>
      </c>
      <c r="P308" s="1">
        <v>1650</v>
      </c>
      <c r="Q308" s="537"/>
      <c r="R308" s="1">
        <v>450</v>
      </c>
      <c r="S308" s="1">
        <v>200000</v>
      </c>
      <c r="T308" s="1">
        <v>10010</v>
      </c>
      <c r="U308" s="1" t="s">
        <v>2639</v>
      </c>
      <c r="V308" s="1">
        <v>18300</v>
      </c>
      <c r="W308" s="1">
        <v>45547</v>
      </c>
      <c r="X308" s="537" t="s">
        <v>65</v>
      </c>
      <c r="Y308" s="537" t="s">
        <v>60</v>
      </c>
      <c r="Z308" s="1" t="s">
        <v>1006</v>
      </c>
      <c r="AA308" s="537" t="s">
        <v>3394</v>
      </c>
      <c r="AB308" s="537" t="s">
        <v>3395</v>
      </c>
      <c r="AC308" s="1">
        <v>45181</v>
      </c>
      <c r="AD308" s="61">
        <v>45188</v>
      </c>
      <c r="AE308" s="61"/>
      <c r="AF308" s="61"/>
      <c r="AG308" s="1" t="s">
        <v>3396</v>
      </c>
      <c r="AH308" s="537"/>
      <c r="AI308" s="537"/>
      <c r="AK308" s="537"/>
      <c r="AM308" s="537" t="s">
        <v>2448</v>
      </c>
      <c r="AN308" s="537"/>
    </row>
    <row r="309" spans="1:40">
      <c r="A309" s="537" t="s">
        <v>54</v>
      </c>
      <c r="B309" s="1">
        <v>230911</v>
      </c>
      <c r="C309" s="1">
        <v>242075</v>
      </c>
      <c r="D309" s="537" t="s">
        <v>88</v>
      </c>
      <c r="E309" s="537" t="s">
        <v>668</v>
      </c>
      <c r="F309" s="1" t="s">
        <v>869</v>
      </c>
      <c r="G309" s="1" t="s">
        <v>3047</v>
      </c>
      <c r="H309" s="537" t="s">
        <v>3399</v>
      </c>
      <c r="I309" s="537" t="s">
        <v>3400</v>
      </c>
      <c r="J309" s="537" t="s">
        <v>18</v>
      </c>
      <c r="K309" s="537" t="s">
        <v>57</v>
      </c>
      <c r="L309" s="61">
        <v>36248</v>
      </c>
      <c r="M309" s="1">
        <v>24</v>
      </c>
      <c r="N309" s="1">
        <v>1200</v>
      </c>
      <c r="P309" s="1">
        <v>1650</v>
      </c>
      <c r="Q309" s="537"/>
      <c r="R309" s="1">
        <v>450</v>
      </c>
      <c r="S309" s="1">
        <v>200000</v>
      </c>
      <c r="T309" s="1">
        <v>10010</v>
      </c>
      <c r="U309" s="1" t="s">
        <v>2639</v>
      </c>
      <c r="V309" s="1">
        <v>18300</v>
      </c>
      <c r="W309" s="1">
        <v>45547</v>
      </c>
      <c r="X309" s="537" t="s">
        <v>65</v>
      </c>
      <c r="Y309" s="537" t="s">
        <v>60</v>
      </c>
      <c r="Z309" s="1" t="s">
        <v>3401</v>
      </c>
      <c r="AA309" s="537" t="s">
        <v>3402</v>
      </c>
      <c r="AB309" s="537" t="s">
        <v>3403</v>
      </c>
      <c r="AC309" s="1">
        <v>45181</v>
      </c>
      <c r="AD309" s="61">
        <v>45188</v>
      </c>
      <c r="AE309" s="61"/>
      <c r="AF309" s="61"/>
      <c r="AG309" s="1" t="s">
        <v>3396</v>
      </c>
      <c r="AH309" s="537"/>
      <c r="AI309" s="537"/>
      <c r="AK309" s="537"/>
      <c r="AM309" s="537" t="s">
        <v>2448</v>
      </c>
      <c r="AN309" s="537"/>
    </row>
    <row r="310" spans="1:40">
      <c r="A310" s="537" t="s">
        <v>54</v>
      </c>
      <c r="B310" s="1">
        <v>230910</v>
      </c>
      <c r="C310" s="1">
        <v>242076</v>
      </c>
      <c r="D310" s="537" t="s">
        <v>88</v>
      </c>
      <c r="E310" s="537" t="s">
        <v>668</v>
      </c>
      <c r="F310" s="1" t="s">
        <v>2679</v>
      </c>
      <c r="G310" s="1" t="s">
        <v>3078</v>
      </c>
      <c r="H310" s="537" t="s">
        <v>3397</v>
      </c>
      <c r="I310" s="537" t="s">
        <v>3398</v>
      </c>
      <c r="J310" s="537" t="s">
        <v>18</v>
      </c>
      <c r="K310" s="537" t="s">
        <v>57</v>
      </c>
      <c r="L310" s="61">
        <v>36274</v>
      </c>
      <c r="M310" s="1">
        <v>24</v>
      </c>
      <c r="N310" s="1">
        <v>1200</v>
      </c>
      <c r="P310" s="1">
        <v>1650</v>
      </c>
      <c r="Q310" s="537"/>
      <c r="R310" s="1">
        <v>450</v>
      </c>
      <c r="S310" s="1">
        <v>200000</v>
      </c>
      <c r="T310" s="1">
        <v>10010</v>
      </c>
      <c r="U310" s="1" t="s">
        <v>2639</v>
      </c>
      <c r="V310" s="1">
        <v>18300</v>
      </c>
      <c r="W310" s="1">
        <v>45547</v>
      </c>
      <c r="X310" s="537" t="s">
        <v>65</v>
      </c>
      <c r="Y310" s="537" t="s">
        <v>60</v>
      </c>
      <c r="Z310" s="1" t="s">
        <v>1198</v>
      </c>
      <c r="AA310" s="537" t="s">
        <v>1199</v>
      </c>
      <c r="AB310" s="537" t="s">
        <v>1788</v>
      </c>
      <c r="AC310" s="1">
        <v>45181</v>
      </c>
      <c r="AD310" s="61">
        <v>45188</v>
      </c>
      <c r="AE310" s="61"/>
      <c r="AF310" s="61"/>
      <c r="AG310" s="1" t="s">
        <v>3396</v>
      </c>
      <c r="AH310" s="537"/>
      <c r="AI310" s="537"/>
      <c r="AK310" s="537"/>
      <c r="AM310" s="537" t="s">
        <v>2448</v>
      </c>
      <c r="AN310" s="537"/>
    </row>
    <row r="311" spans="1:40">
      <c r="A311" s="537" t="s">
        <v>54</v>
      </c>
      <c r="B311" s="1">
        <v>230909</v>
      </c>
      <c r="C311" s="1">
        <v>242077</v>
      </c>
      <c r="D311" s="537" t="s">
        <v>88</v>
      </c>
      <c r="E311" s="537" t="s">
        <v>668</v>
      </c>
      <c r="F311" s="1" t="s">
        <v>2375</v>
      </c>
      <c r="G311" s="1" t="s">
        <v>703</v>
      </c>
      <c r="H311" s="537" t="s">
        <v>3392</v>
      </c>
      <c r="I311" s="537" t="s">
        <v>3393</v>
      </c>
      <c r="J311" s="537" t="s">
        <v>18</v>
      </c>
      <c r="K311" s="537" t="s">
        <v>57</v>
      </c>
      <c r="L311" s="61">
        <v>36992</v>
      </c>
      <c r="M311" s="1">
        <v>22</v>
      </c>
      <c r="N311" s="1">
        <v>1200</v>
      </c>
      <c r="P311" s="1">
        <v>1650</v>
      </c>
      <c r="Q311" s="537"/>
      <c r="R311" s="1">
        <v>450</v>
      </c>
      <c r="S311" s="1">
        <v>200000</v>
      </c>
      <c r="T311" s="1">
        <v>10010</v>
      </c>
      <c r="U311" s="1" t="s">
        <v>2639</v>
      </c>
      <c r="V311" s="1">
        <v>18300</v>
      </c>
      <c r="W311" s="1">
        <v>45547</v>
      </c>
      <c r="X311" s="537" t="s">
        <v>65</v>
      </c>
      <c r="Y311" s="537" t="s">
        <v>60</v>
      </c>
      <c r="Z311" s="1" t="s">
        <v>1006</v>
      </c>
      <c r="AA311" s="537" t="s">
        <v>3394</v>
      </c>
      <c r="AB311" s="537" t="s">
        <v>3395</v>
      </c>
      <c r="AC311" s="1">
        <v>45181</v>
      </c>
      <c r="AD311" s="61">
        <v>45188</v>
      </c>
      <c r="AE311" s="61"/>
      <c r="AF311" s="61"/>
      <c r="AG311" s="1" t="s">
        <v>3396</v>
      </c>
      <c r="AH311" s="537"/>
      <c r="AI311" s="537"/>
      <c r="AK311" s="537"/>
      <c r="AM311" s="537" t="s">
        <v>2448</v>
      </c>
      <c r="AN311" s="537"/>
    </row>
    <row r="312" spans="1:40">
      <c r="A312" s="537" t="s">
        <v>54</v>
      </c>
      <c r="B312" s="1">
        <v>230913</v>
      </c>
      <c r="C312" s="1">
        <v>242078</v>
      </c>
      <c r="D312" s="537" t="s">
        <v>88</v>
      </c>
      <c r="E312" s="537" t="s">
        <v>668</v>
      </c>
      <c r="F312" s="1" t="s">
        <v>2375</v>
      </c>
      <c r="G312" s="1" t="s">
        <v>703</v>
      </c>
      <c r="H312" s="537" t="s">
        <v>3406</v>
      </c>
      <c r="I312" s="537" t="s">
        <v>3407</v>
      </c>
      <c r="J312" s="537" t="s">
        <v>18</v>
      </c>
      <c r="K312" s="537" t="s">
        <v>57</v>
      </c>
      <c r="L312" s="61">
        <v>37070</v>
      </c>
      <c r="M312" s="1">
        <v>22</v>
      </c>
      <c r="N312" s="1">
        <v>1200</v>
      </c>
      <c r="P312" s="1">
        <v>1650</v>
      </c>
      <c r="Q312" s="537"/>
      <c r="R312" s="1">
        <v>450</v>
      </c>
      <c r="S312" s="1">
        <v>200000</v>
      </c>
      <c r="T312" s="1">
        <v>10010</v>
      </c>
      <c r="U312" s="1" t="s">
        <v>2639</v>
      </c>
      <c r="V312" s="1">
        <v>18300</v>
      </c>
      <c r="W312" s="1">
        <v>45547</v>
      </c>
      <c r="X312" s="537" t="s">
        <v>65</v>
      </c>
      <c r="Y312" s="537" t="s">
        <v>60</v>
      </c>
      <c r="Z312" s="1" t="s">
        <v>3401</v>
      </c>
      <c r="AA312" s="537" t="s">
        <v>3402</v>
      </c>
      <c r="AB312" s="537" t="s">
        <v>3403</v>
      </c>
      <c r="AC312" s="1">
        <v>45181</v>
      </c>
      <c r="AD312" s="61">
        <v>45188</v>
      </c>
      <c r="AE312" s="61"/>
      <c r="AF312" s="61"/>
      <c r="AG312" s="1" t="s">
        <v>3396</v>
      </c>
      <c r="AH312" s="537"/>
      <c r="AI312" s="537"/>
      <c r="AK312" s="537"/>
      <c r="AM312" s="537" t="s">
        <v>2448</v>
      </c>
      <c r="AN312" s="537"/>
    </row>
    <row r="313" spans="1:40">
      <c r="A313" s="537" t="s">
        <v>54</v>
      </c>
      <c r="B313" s="1">
        <v>230914</v>
      </c>
      <c r="C313" s="1">
        <v>242079</v>
      </c>
      <c r="D313" s="537" t="s">
        <v>88</v>
      </c>
      <c r="E313" s="537" t="s">
        <v>675</v>
      </c>
      <c r="F313" s="1" t="s">
        <v>2401</v>
      </c>
      <c r="G313" s="1" t="s">
        <v>3078</v>
      </c>
      <c r="H313" s="537" t="s">
        <v>3408</v>
      </c>
      <c r="I313" s="537" t="s">
        <v>3409</v>
      </c>
      <c r="J313" s="537" t="s">
        <v>18</v>
      </c>
      <c r="K313" s="537" t="s">
        <v>57</v>
      </c>
      <c r="L313" s="61">
        <v>35440</v>
      </c>
      <c r="M313" s="1">
        <v>26</v>
      </c>
      <c r="N313" s="1">
        <v>1200</v>
      </c>
      <c r="P313" s="1">
        <v>1650</v>
      </c>
      <c r="Q313" s="537"/>
      <c r="R313" s="1">
        <v>450</v>
      </c>
      <c r="S313" s="1">
        <v>200000</v>
      </c>
      <c r="T313" s="1">
        <v>10010</v>
      </c>
      <c r="U313" s="1" t="s">
        <v>2639</v>
      </c>
      <c r="V313" s="1">
        <v>18300</v>
      </c>
      <c r="W313" s="1">
        <v>45553</v>
      </c>
      <c r="X313" s="537" t="s">
        <v>65</v>
      </c>
      <c r="Y313" s="537" t="s">
        <v>60</v>
      </c>
      <c r="Z313" s="1" t="s">
        <v>1139</v>
      </c>
      <c r="AA313" s="537" t="s">
        <v>3410</v>
      </c>
      <c r="AB313" s="537" t="s">
        <v>3411</v>
      </c>
      <c r="AC313" s="1">
        <v>45187</v>
      </c>
      <c r="AD313" s="61">
        <v>45190</v>
      </c>
      <c r="AE313" s="61"/>
      <c r="AF313" s="61"/>
      <c r="AG313" s="1" t="s">
        <v>3412</v>
      </c>
      <c r="AH313" s="537"/>
      <c r="AI313" s="537"/>
      <c r="AK313" s="537"/>
      <c r="AM313" s="537" t="s">
        <v>3413</v>
      </c>
      <c r="AN313" s="537"/>
    </row>
    <row r="314" spans="1:40">
      <c r="A314" s="537" t="s">
        <v>54</v>
      </c>
      <c r="B314" s="1">
        <v>230915</v>
      </c>
      <c r="C314" s="1">
        <v>242080</v>
      </c>
      <c r="D314" s="537" t="s">
        <v>88</v>
      </c>
      <c r="E314" s="537" t="s">
        <v>675</v>
      </c>
      <c r="F314" s="1" t="s">
        <v>2404</v>
      </c>
      <c r="G314" s="1" t="s">
        <v>3078</v>
      </c>
      <c r="H314" s="537" t="s">
        <v>3414</v>
      </c>
      <c r="I314" s="537" t="s">
        <v>3415</v>
      </c>
      <c r="J314" s="537" t="s">
        <v>18</v>
      </c>
      <c r="K314" s="537" t="s">
        <v>57</v>
      </c>
      <c r="L314" s="61">
        <v>36642</v>
      </c>
      <c r="M314" s="1">
        <v>23</v>
      </c>
      <c r="N314" s="1">
        <v>1200</v>
      </c>
      <c r="P314" s="1">
        <v>1650</v>
      </c>
      <c r="Q314" s="537"/>
      <c r="R314" s="1">
        <v>450</v>
      </c>
      <c r="S314" s="1">
        <v>200000</v>
      </c>
      <c r="T314" s="1">
        <v>10010</v>
      </c>
      <c r="U314" s="1" t="s">
        <v>2639</v>
      </c>
      <c r="V314" s="1">
        <v>18300</v>
      </c>
      <c r="W314" s="1">
        <v>45553</v>
      </c>
      <c r="X314" s="537" t="s">
        <v>65</v>
      </c>
      <c r="Y314" s="537" t="s">
        <v>60</v>
      </c>
      <c r="Z314" s="1" t="s">
        <v>1139</v>
      </c>
      <c r="AA314" s="537" t="s">
        <v>3410</v>
      </c>
      <c r="AB314" s="537" t="s">
        <v>3411</v>
      </c>
      <c r="AC314" s="1">
        <v>45187</v>
      </c>
      <c r="AD314" s="61">
        <v>45190</v>
      </c>
      <c r="AE314" s="61"/>
      <c r="AF314" s="61"/>
      <c r="AG314" s="1" t="s">
        <v>3412</v>
      </c>
      <c r="AH314" s="537"/>
      <c r="AI314" s="537"/>
      <c r="AK314" s="537"/>
      <c r="AM314" s="537" t="s">
        <v>3413</v>
      </c>
      <c r="AN314" s="537"/>
    </row>
    <row r="315" spans="1:40">
      <c r="A315" s="537" t="s">
        <v>54</v>
      </c>
      <c r="B315" s="1">
        <v>231109</v>
      </c>
      <c r="C315" s="1">
        <v>242081</v>
      </c>
      <c r="D315" s="537" t="s">
        <v>88</v>
      </c>
      <c r="E315" s="537" t="s">
        <v>668</v>
      </c>
      <c r="F315" s="1" t="s">
        <v>2375</v>
      </c>
      <c r="G315" s="1" t="s">
        <v>703</v>
      </c>
      <c r="H315" s="537" t="s">
        <v>3520</v>
      </c>
      <c r="I315" s="537" t="s">
        <v>3521</v>
      </c>
      <c r="J315" s="537" t="s">
        <v>18</v>
      </c>
      <c r="K315" s="537" t="s">
        <v>57</v>
      </c>
      <c r="L315" s="61">
        <v>35962</v>
      </c>
      <c r="M315" s="1">
        <v>25</v>
      </c>
      <c r="N315" s="1">
        <v>1200</v>
      </c>
      <c r="P315" s="1">
        <v>1650</v>
      </c>
      <c r="Q315" s="537"/>
      <c r="R315" s="1">
        <v>450</v>
      </c>
      <c r="S315" s="1">
        <v>200000</v>
      </c>
      <c r="T315" s="1">
        <v>10010</v>
      </c>
      <c r="U315" s="1" t="s">
        <v>2639</v>
      </c>
      <c r="V315" s="1">
        <v>18300</v>
      </c>
      <c r="W315" s="1">
        <v>45592</v>
      </c>
      <c r="X315" s="537" t="s">
        <v>65</v>
      </c>
      <c r="Y315" s="537" t="s">
        <v>60</v>
      </c>
      <c r="Z315" s="1" t="s">
        <v>1198</v>
      </c>
      <c r="AA315" s="537" t="s">
        <v>1199</v>
      </c>
      <c r="AB315" s="537" t="s">
        <v>3522</v>
      </c>
      <c r="AD315" s="61">
        <v>45232</v>
      </c>
      <c r="AE315" s="61"/>
      <c r="AF315" s="61"/>
      <c r="AG315" s="1" t="s">
        <v>3515</v>
      </c>
      <c r="AH315" s="537"/>
      <c r="AI315" s="537"/>
      <c r="AK315" s="537"/>
      <c r="AM315" s="537" t="s">
        <v>3500</v>
      </c>
      <c r="AN315" s="537"/>
    </row>
    <row r="316" spans="1:40">
      <c r="A316" s="537" t="s">
        <v>54</v>
      </c>
      <c r="B316" s="1">
        <v>231110</v>
      </c>
      <c r="C316" s="1">
        <v>242082</v>
      </c>
      <c r="D316" s="537" t="s">
        <v>88</v>
      </c>
      <c r="E316" s="537" t="s">
        <v>668</v>
      </c>
      <c r="F316" s="1" t="s">
        <v>2378</v>
      </c>
      <c r="G316" s="1" t="s">
        <v>703</v>
      </c>
      <c r="H316" s="537" t="s">
        <v>3523</v>
      </c>
      <c r="I316" s="537" t="s">
        <v>3524</v>
      </c>
      <c r="J316" s="537" t="s">
        <v>18</v>
      </c>
      <c r="K316" s="537" t="s">
        <v>57</v>
      </c>
      <c r="L316" s="61">
        <v>37096</v>
      </c>
      <c r="M316" s="1">
        <v>22</v>
      </c>
      <c r="N316" s="1">
        <v>1200</v>
      </c>
      <c r="P316" s="1">
        <v>1650</v>
      </c>
      <c r="Q316" s="537"/>
      <c r="R316" s="1">
        <v>450</v>
      </c>
      <c r="S316" s="1">
        <v>200000</v>
      </c>
      <c r="T316" s="1">
        <v>10010</v>
      </c>
      <c r="U316" s="1" t="s">
        <v>2639</v>
      </c>
      <c r="V316" s="1">
        <v>18300</v>
      </c>
      <c r="W316" s="1">
        <v>45592</v>
      </c>
      <c r="X316" s="537" t="s">
        <v>65</v>
      </c>
      <c r="Y316" s="537" t="s">
        <v>60</v>
      </c>
      <c r="Z316" s="1" t="s">
        <v>1772</v>
      </c>
      <c r="AA316" s="537" t="s">
        <v>3525</v>
      </c>
      <c r="AB316" s="537" t="s">
        <v>1774</v>
      </c>
      <c r="AD316" s="61">
        <v>45232</v>
      </c>
      <c r="AE316" s="61"/>
      <c r="AF316" s="61"/>
      <c r="AG316" s="1" t="s">
        <v>3515</v>
      </c>
      <c r="AH316" s="537"/>
      <c r="AI316" s="537"/>
      <c r="AK316" s="537"/>
      <c r="AM316" s="537" t="s">
        <v>3500</v>
      </c>
      <c r="AN316" s="537"/>
    </row>
    <row r="317" spans="1:40">
      <c r="A317" s="537" t="s">
        <v>54</v>
      </c>
      <c r="B317" s="1">
        <v>231114</v>
      </c>
      <c r="C317" s="1">
        <v>242083</v>
      </c>
      <c r="D317" s="537" t="s">
        <v>88</v>
      </c>
      <c r="E317" s="537" t="s">
        <v>668</v>
      </c>
      <c r="F317" s="1" t="s">
        <v>869</v>
      </c>
      <c r="G317" s="1" t="s">
        <v>3047</v>
      </c>
      <c r="H317" s="537" t="s">
        <v>3540</v>
      </c>
      <c r="I317" s="537" t="s">
        <v>3541</v>
      </c>
      <c r="J317" s="537" t="s">
        <v>18</v>
      </c>
      <c r="K317" s="537" t="s">
        <v>57</v>
      </c>
      <c r="L317" s="61">
        <v>34746</v>
      </c>
      <c r="M317" s="1">
        <v>28</v>
      </c>
      <c r="N317" s="1">
        <v>1200</v>
      </c>
      <c r="P317" s="1">
        <v>1650</v>
      </c>
      <c r="Q317" s="537"/>
      <c r="R317" s="1">
        <v>450</v>
      </c>
      <c r="S317" s="1">
        <v>0</v>
      </c>
      <c r="T317" s="1">
        <v>0</v>
      </c>
      <c r="U317" s="1" t="s">
        <v>2639</v>
      </c>
      <c r="V317" s="1">
        <v>0</v>
      </c>
      <c r="W317" s="1">
        <v>45611</v>
      </c>
      <c r="X317" s="537" t="s">
        <v>65</v>
      </c>
      <c r="Y317" s="537" t="s">
        <v>60</v>
      </c>
      <c r="AA317" s="537"/>
      <c r="AB317" s="537"/>
      <c r="AC317" s="1">
        <v>45245</v>
      </c>
      <c r="AD317" s="61">
        <v>45251</v>
      </c>
      <c r="AE317" s="61"/>
      <c r="AF317" s="61"/>
      <c r="AH317" s="537"/>
      <c r="AI317" s="537"/>
      <c r="AK317" s="537"/>
      <c r="AM317" s="537"/>
      <c r="AN317" s="537"/>
    </row>
    <row r="318" spans="1:40">
      <c r="A318" s="537" t="s">
        <v>54</v>
      </c>
      <c r="B318" s="1">
        <v>231116</v>
      </c>
      <c r="C318" s="1">
        <v>242084</v>
      </c>
      <c r="D318" s="537" t="s">
        <v>88</v>
      </c>
      <c r="E318" s="537" t="s">
        <v>675</v>
      </c>
      <c r="F318" s="1" t="s">
        <v>2372</v>
      </c>
      <c r="G318" s="1" t="s">
        <v>3078</v>
      </c>
      <c r="H318" s="537" t="s">
        <v>3544</v>
      </c>
      <c r="I318" s="537" t="s">
        <v>3545</v>
      </c>
      <c r="J318" s="537" t="s">
        <v>18</v>
      </c>
      <c r="K318" s="537" t="s">
        <v>57</v>
      </c>
      <c r="L318" s="61">
        <v>35182</v>
      </c>
      <c r="M318" s="1">
        <v>27</v>
      </c>
      <c r="N318" s="1">
        <v>1200</v>
      </c>
      <c r="P318" s="1">
        <v>1650</v>
      </c>
      <c r="Q318" s="537"/>
      <c r="R318" s="1">
        <v>450</v>
      </c>
      <c r="S318" s="1">
        <v>0</v>
      </c>
      <c r="T318" s="1">
        <v>0</v>
      </c>
      <c r="U318" s="1" t="s">
        <v>2639</v>
      </c>
      <c r="V318" s="1">
        <v>0</v>
      </c>
      <c r="W318" s="1">
        <v>45611</v>
      </c>
      <c r="X318" s="537" t="s">
        <v>65</v>
      </c>
      <c r="Y318" s="537" t="s">
        <v>60</v>
      </c>
      <c r="AA318" s="537"/>
      <c r="AB318" s="537"/>
      <c r="AC318" s="1">
        <v>45245</v>
      </c>
      <c r="AD318" s="61">
        <v>45251</v>
      </c>
      <c r="AE318" s="61"/>
      <c r="AF318" s="61"/>
      <c r="AH318" s="537"/>
      <c r="AI318" s="537"/>
      <c r="AK318" s="537"/>
      <c r="AM318" s="537"/>
      <c r="AN318" s="537"/>
    </row>
    <row r="319" spans="1:40">
      <c r="A319" s="537" t="s">
        <v>54</v>
      </c>
      <c r="B319" s="1">
        <v>231115</v>
      </c>
      <c r="C319" s="1">
        <v>242085</v>
      </c>
      <c r="D319" s="537" t="s">
        <v>88</v>
      </c>
      <c r="E319" s="537" t="s">
        <v>668</v>
      </c>
      <c r="F319" s="1" t="s">
        <v>869</v>
      </c>
      <c r="G319" s="1" t="s">
        <v>3047</v>
      </c>
      <c r="H319" s="537" t="s">
        <v>3542</v>
      </c>
      <c r="I319" s="537" t="s">
        <v>3543</v>
      </c>
      <c r="J319" s="537" t="s">
        <v>18</v>
      </c>
      <c r="K319" s="537" t="s">
        <v>57</v>
      </c>
      <c r="L319" s="61">
        <v>35957</v>
      </c>
      <c r="M319" s="1">
        <v>25</v>
      </c>
      <c r="N319" s="1">
        <v>1200</v>
      </c>
      <c r="P319" s="1">
        <v>1650</v>
      </c>
      <c r="Q319" s="537"/>
      <c r="R319" s="1">
        <v>450</v>
      </c>
      <c r="S319" s="1">
        <v>0</v>
      </c>
      <c r="T319" s="1">
        <v>0</v>
      </c>
      <c r="U319" s="1" t="s">
        <v>2639</v>
      </c>
      <c r="V319" s="1">
        <v>0</v>
      </c>
      <c r="W319" s="1">
        <v>45611</v>
      </c>
      <c r="X319" s="537" t="s">
        <v>65</v>
      </c>
      <c r="Y319" s="537" t="s">
        <v>60</v>
      </c>
      <c r="AA319" s="537"/>
      <c r="AB319" s="537"/>
      <c r="AC319" s="1">
        <v>45245</v>
      </c>
      <c r="AD319" s="61">
        <v>45251</v>
      </c>
      <c r="AE319" s="61"/>
      <c r="AF319" s="61"/>
      <c r="AH319" s="537"/>
      <c r="AI319" s="537"/>
      <c r="AK319" s="537"/>
      <c r="AM319" s="537"/>
      <c r="AN319" s="537"/>
    </row>
    <row r="320" spans="1:40">
      <c r="A320" s="537" t="s">
        <v>54</v>
      </c>
      <c r="B320" s="1">
        <v>231117</v>
      </c>
      <c r="C320" s="1">
        <v>242086</v>
      </c>
      <c r="D320" s="537" t="s">
        <v>88</v>
      </c>
      <c r="E320" s="537" t="s">
        <v>675</v>
      </c>
      <c r="F320" s="1" t="s">
        <v>2383</v>
      </c>
      <c r="G320" s="1" t="s">
        <v>3078</v>
      </c>
      <c r="H320" s="537" t="s">
        <v>3546</v>
      </c>
      <c r="I320" s="537" t="s">
        <v>3547</v>
      </c>
      <c r="J320" s="537" t="s">
        <v>18</v>
      </c>
      <c r="K320" s="537" t="s">
        <v>57</v>
      </c>
      <c r="L320" s="61">
        <v>36877</v>
      </c>
      <c r="M320" s="1">
        <v>22</v>
      </c>
      <c r="N320" s="1">
        <v>1200</v>
      </c>
      <c r="P320" s="1">
        <v>1650</v>
      </c>
      <c r="Q320" s="537"/>
      <c r="R320" s="1">
        <v>450</v>
      </c>
      <c r="S320" s="1">
        <v>0</v>
      </c>
      <c r="T320" s="1">
        <v>0</v>
      </c>
      <c r="U320" s="1" t="s">
        <v>2639</v>
      </c>
      <c r="V320" s="1">
        <v>0</v>
      </c>
      <c r="W320" s="1">
        <v>45611</v>
      </c>
      <c r="X320" s="537" t="s">
        <v>65</v>
      </c>
      <c r="Y320" s="537" t="s">
        <v>60</v>
      </c>
      <c r="AA320" s="537"/>
      <c r="AB320" s="537"/>
      <c r="AC320" s="1">
        <v>45245</v>
      </c>
      <c r="AD320" s="61">
        <v>45251</v>
      </c>
      <c r="AE320" s="61"/>
      <c r="AF320" s="61"/>
      <c r="AH320" s="537"/>
      <c r="AI320" s="537"/>
      <c r="AK320" s="537"/>
      <c r="AM320" s="537"/>
      <c r="AN320" s="537"/>
    </row>
    <row r="321" spans="1:40">
      <c r="A321" s="537" t="s">
        <v>54</v>
      </c>
      <c r="B321" s="1">
        <v>231212</v>
      </c>
      <c r="C321" s="1">
        <v>242087</v>
      </c>
      <c r="D321" s="537" t="s">
        <v>88</v>
      </c>
      <c r="E321" s="537" t="s">
        <v>668</v>
      </c>
      <c r="F321" s="1" t="s">
        <v>869</v>
      </c>
      <c r="G321" s="1" t="s">
        <v>3047</v>
      </c>
      <c r="H321" s="537" t="s">
        <v>3575</v>
      </c>
      <c r="I321" s="537" t="s">
        <v>3576</v>
      </c>
      <c r="J321" s="537" t="s">
        <v>18</v>
      </c>
      <c r="K321" s="537" t="s">
        <v>57</v>
      </c>
      <c r="L321" s="61">
        <v>36648</v>
      </c>
      <c r="M321" s="1">
        <v>23</v>
      </c>
      <c r="N321" s="1">
        <v>1200</v>
      </c>
      <c r="P321" s="1">
        <v>1650</v>
      </c>
      <c r="Q321" s="537"/>
      <c r="R321" s="1">
        <v>450</v>
      </c>
      <c r="S321" s="1">
        <v>0</v>
      </c>
      <c r="T321" s="1">
        <v>0</v>
      </c>
      <c r="U321" s="1" t="s">
        <v>2639</v>
      </c>
      <c r="V321" s="1">
        <v>0</v>
      </c>
      <c r="W321" s="1">
        <v>45623</v>
      </c>
      <c r="X321" s="537" t="s">
        <v>65</v>
      </c>
      <c r="Y321" s="537" t="s">
        <v>60</v>
      </c>
      <c r="AA321" s="537"/>
      <c r="AB321" s="537"/>
      <c r="AC321" s="1">
        <v>45257</v>
      </c>
      <c r="AD321" s="61">
        <v>45264</v>
      </c>
      <c r="AE321" s="61"/>
      <c r="AF321" s="61"/>
      <c r="AH321" s="537"/>
      <c r="AI321" s="537"/>
      <c r="AK321" s="537"/>
      <c r="AM321" s="537"/>
      <c r="AN321" s="537"/>
    </row>
    <row r="322" spans="1:40">
      <c r="A322" s="537" t="s">
        <v>54</v>
      </c>
      <c r="B322" s="1">
        <v>231213</v>
      </c>
      <c r="C322" s="1">
        <v>242088</v>
      </c>
      <c r="D322" s="537" t="s">
        <v>88</v>
      </c>
      <c r="E322" s="537" t="s">
        <v>668</v>
      </c>
      <c r="F322" s="1" t="s">
        <v>869</v>
      </c>
      <c r="G322" s="1" t="s">
        <v>3047</v>
      </c>
      <c r="H322" s="537" t="s">
        <v>3577</v>
      </c>
      <c r="I322" s="537" t="s">
        <v>3578</v>
      </c>
      <c r="J322" s="537" t="s">
        <v>18</v>
      </c>
      <c r="K322" s="537" t="s">
        <v>57</v>
      </c>
      <c r="L322" s="61">
        <v>36438</v>
      </c>
      <c r="M322" s="1">
        <v>24</v>
      </c>
      <c r="N322" s="1">
        <v>1200</v>
      </c>
      <c r="P322" s="1">
        <v>1650</v>
      </c>
      <c r="Q322" s="537"/>
      <c r="R322" s="1">
        <v>450</v>
      </c>
      <c r="S322" s="1">
        <v>0</v>
      </c>
      <c r="T322" s="1">
        <v>0</v>
      </c>
      <c r="U322" s="1" t="s">
        <v>2639</v>
      </c>
      <c r="V322" s="1">
        <v>0</v>
      </c>
      <c r="W322" s="1">
        <v>45623</v>
      </c>
      <c r="X322" s="537" t="s">
        <v>65</v>
      </c>
      <c r="Y322" s="537" t="s">
        <v>60</v>
      </c>
      <c r="AA322" s="537"/>
      <c r="AB322" s="537"/>
      <c r="AC322" s="1">
        <v>45257</v>
      </c>
      <c r="AD322" s="61">
        <v>45264</v>
      </c>
      <c r="AE322" s="61"/>
      <c r="AF322" s="61"/>
      <c r="AH322" s="537"/>
      <c r="AI322" s="537"/>
      <c r="AK322" s="537"/>
      <c r="AM322" s="537"/>
      <c r="AN322" s="537"/>
    </row>
    <row r="323" spans="1:40">
      <c r="A323" s="537" t="s">
        <v>54</v>
      </c>
      <c r="B323" s="1">
        <v>231211</v>
      </c>
      <c r="C323" s="1">
        <v>242089</v>
      </c>
      <c r="D323" s="537" t="s">
        <v>88</v>
      </c>
      <c r="E323" s="537" t="s">
        <v>668</v>
      </c>
      <c r="F323" s="1" t="s">
        <v>869</v>
      </c>
      <c r="G323" s="1" t="s">
        <v>3047</v>
      </c>
      <c r="H323" s="537" t="s">
        <v>3573</v>
      </c>
      <c r="I323" s="537" t="s">
        <v>3574</v>
      </c>
      <c r="J323" s="537" t="s">
        <v>18</v>
      </c>
      <c r="K323" s="537" t="s">
        <v>57</v>
      </c>
      <c r="L323" s="61">
        <v>36779</v>
      </c>
      <c r="M323" s="1">
        <v>23</v>
      </c>
      <c r="N323" s="1">
        <v>1200</v>
      </c>
      <c r="P323" s="1">
        <v>1650</v>
      </c>
      <c r="Q323" s="537"/>
      <c r="R323" s="1">
        <v>450</v>
      </c>
      <c r="S323" s="1">
        <v>0</v>
      </c>
      <c r="T323" s="1">
        <v>0</v>
      </c>
      <c r="U323" s="1" t="s">
        <v>2639</v>
      </c>
      <c r="V323" s="1">
        <v>0</v>
      </c>
      <c r="W323" s="1">
        <v>45623</v>
      </c>
      <c r="X323" s="537" t="s">
        <v>65</v>
      </c>
      <c r="Y323" s="537" t="s">
        <v>60</v>
      </c>
      <c r="AA323" s="537"/>
      <c r="AB323" s="537"/>
      <c r="AC323" s="1">
        <v>45257</v>
      </c>
      <c r="AD323" s="61">
        <v>45264</v>
      </c>
      <c r="AE323" s="61"/>
      <c r="AF323" s="61"/>
      <c r="AH323" s="537"/>
      <c r="AI323" s="537"/>
      <c r="AK323" s="537"/>
      <c r="AM323" s="537"/>
      <c r="AN323" s="537"/>
    </row>
    <row r="324" spans="1:40">
      <c r="A324" s="537" t="s">
        <v>54</v>
      </c>
      <c r="B324" s="1">
        <v>231209</v>
      </c>
      <c r="C324" s="1">
        <v>242090</v>
      </c>
      <c r="D324" s="537" t="s">
        <v>88</v>
      </c>
      <c r="E324" s="537" t="s">
        <v>668</v>
      </c>
      <c r="F324" s="1" t="s">
        <v>2378</v>
      </c>
      <c r="G324" s="1" t="s">
        <v>703</v>
      </c>
      <c r="H324" s="537" t="s">
        <v>3570</v>
      </c>
      <c r="I324" s="537" t="s">
        <v>2167</v>
      </c>
      <c r="J324" s="537" t="s">
        <v>18</v>
      </c>
      <c r="K324" s="537" t="s">
        <v>57</v>
      </c>
      <c r="L324" s="61">
        <v>37138</v>
      </c>
      <c r="M324" s="1">
        <v>22</v>
      </c>
      <c r="N324" s="1">
        <v>1200</v>
      </c>
      <c r="P324" s="1">
        <v>1650</v>
      </c>
      <c r="Q324" s="537"/>
      <c r="R324" s="1">
        <v>450</v>
      </c>
      <c r="S324" s="1">
        <v>0</v>
      </c>
      <c r="T324" s="1">
        <v>0</v>
      </c>
      <c r="U324" s="1" t="s">
        <v>2639</v>
      </c>
      <c r="V324" s="1">
        <v>0</v>
      </c>
      <c r="W324" s="1">
        <v>45623</v>
      </c>
      <c r="X324" s="537" t="s">
        <v>65</v>
      </c>
      <c r="Y324" s="537" t="s">
        <v>60</v>
      </c>
      <c r="AA324" s="537"/>
      <c r="AB324" s="537"/>
      <c r="AC324" s="1">
        <v>45257</v>
      </c>
      <c r="AD324" s="61">
        <v>45264</v>
      </c>
      <c r="AE324" s="61"/>
      <c r="AF324" s="61"/>
      <c r="AH324" s="537"/>
      <c r="AI324" s="537"/>
      <c r="AK324" s="537"/>
      <c r="AM324" s="537"/>
      <c r="AN324" s="537"/>
    </row>
    <row r="325" spans="1:40">
      <c r="A325" s="537" t="s">
        <v>54</v>
      </c>
      <c r="B325" s="1">
        <v>231210</v>
      </c>
      <c r="C325" s="1">
        <v>242091</v>
      </c>
      <c r="D325" s="537" t="s">
        <v>88</v>
      </c>
      <c r="E325" s="537" t="s">
        <v>668</v>
      </c>
      <c r="F325" s="1" t="s">
        <v>2375</v>
      </c>
      <c r="G325" s="1" t="s">
        <v>703</v>
      </c>
      <c r="H325" s="537" t="s">
        <v>3571</v>
      </c>
      <c r="I325" s="537" t="s">
        <v>3572</v>
      </c>
      <c r="J325" s="537" t="s">
        <v>18</v>
      </c>
      <c r="K325" s="537" t="s">
        <v>57</v>
      </c>
      <c r="L325" s="61">
        <v>37378</v>
      </c>
      <c r="M325" s="1">
        <v>21</v>
      </c>
      <c r="N325" s="1">
        <v>1200</v>
      </c>
      <c r="P325" s="1">
        <v>1650</v>
      </c>
      <c r="Q325" s="537"/>
      <c r="R325" s="1">
        <v>450</v>
      </c>
      <c r="S325" s="1">
        <v>0</v>
      </c>
      <c r="T325" s="1">
        <v>0</v>
      </c>
      <c r="U325" s="1" t="s">
        <v>2639</v>
      </c>
      <c r="V325" s="1">
        <v>0</v>
      </c>
      <c r="W325" s="1">
        <v>45623</v>
      </c>
      <c r="X325" s="537" t="s">
        <v>65</v>
      </c>
      <c r="Y325" s="537" t="s">
        <v>60</v>
      </c>
      <c r="AA325" s="537"/>
      <c r="AB325" s="537"/>
      <c r="AC325" s="1">
        <v>45257</v>
      </c>
      <c r="AD325" s="61">
        <v>45264</v>
      </c>
      <c r="AE325" s="61"/>
      <c r="AF325" s="61"/>
      <c r="AH325" s="537"/>
      <c r="AI325" s="537"/>
      <c r="AK325" s="537"/>
      <c r="AM325" s="537"/>
      <c r="AN325" s="537"/>
    </row>
    <row r="326" spans="1:40" hidden="1">
      <c r="A326" s="537" t="s">
        <v>54</v>
      </c>
      <c r="B326" s="1">
        <v>210421</v>
      </c>
      <c r="C326" s="1">
        <v>410001</v>
      </c>
      <c r="D326" s="537" t="s">
        <v>1066</v>
      </c>
      <c r="E326" s="537" t="s">
        <v>3058</v>
      </c>
      <c r="F326" t="s">
        <v>3059</v>
      </c>
      <c r="G326" t="s">
        <v>3060</v>
      </c>
      <c r="H326" s="537" t="s">
        <v>1166</v>
      </c>
      <c r="I326" s="537" t="s">
        <v>1167</v>
      </c>
      <c r="J326" s="537" t="s">
        <v>18</v>
      </c>
      <c r="K326" s="537" t="s">
        <v>57</v>
      </c>
      <c r="L326" s="61">
        <v>34027</v>
      </c>
      <c r="M326" s="1">
        <v>30</v>
      </c>
      <c r="N326" s="1">
        <v>1350</v>
      </c>
      <c r="O326" s="1" t="s">
        <v>1168</v>
      </c>
      <c r="P326" s="1">
        <v>1700</v>
      </c>
      <c r="Q326" s="537"/>
      <c r="R326" s="1">
        <v>350</v>
      </c>
      <c r="S326">
        <v>300000</v>
      </c>
      <c r="T326">
        <v>15014.999999999998</v>
      </c>
      <c r="U326" t="s">
        <v>2639</v>
      </c>
      <c r="V326">
        <v>27450</v>
      </c>
      <c r="W326" s="1">
        <v>46178</v>
      </c>
      <c r="X326" s="537" t="s">
        <v>65</v>
      </c>
      <c r="Y326" s="537" t="s">
        <v>60</v>
      </c>
      <c r="Z326" s="1" t="s">
        <v>1070</v>
      </c>
      <c r="AA326" s="537" t="s">
        <v>1169</v>
      </c>
      <c r="AB326" s="537" t="s">
        <v>1170</v>
      </c>
      <c r="AC326" s="1" t="s">
        <v>63</v>
      </c>
      <c r="AD326" s="61">
        <v>44312</v>
      </c>
      <c r="AE326" s="61"/>
      <c r="AF326" s="61"/>
      <c r="AG326" s="1">
        <v>44378</v>
      </c>
      <c r="AH326" s="537" t="s">
        <v>1167</v>
      </c>
      <c r="AI326" s="537" t="s">
        <v>86</v>
      </c>
      <c r="AJ326" s="1">
        <v>238</v>
      </c>
      <c r="AK326" s="537" t="s">
        <v>1109</v>
      </c>
      <c r="AL326" s="1" t="s">
        <v>1171</v>
      </c>
      <c r="AM326" s="537" t="s">
        <v>64</v>
      </c>
      <c r="AN326" s="537"/>
    </row>
    <row r="327" spans="1:40" hidden="1">
      <c r="A327" s="537" t="s">
        <v>54</v>
      </c>
      <c r="B327" s="1">
        <v>210507</v>
      </c>
      <c r="C327" s="1">
        <v>410005</v>
      </c>
      <c r="D327" s="537" t="s">
        <v>1066</v>
      </c>
      <c r="E327" s="537" t="s">
        <v>3058</v>
      </c>
      <c r="F327" t="s">
        <v>3059</v>
      </c>
      <c r="G327" t="s">
        <v>3060</v>
      </c>
      <c r="H327" s="537" t="s">
        <v>1181</v>
      </c>
      <c r="I327" s="537" t="s">
        <v>1182</v>
      </c>
      <c r="J327" s="537" t="s">
        <v>18</v>
      </c>
      <c r="K327" s="537" t="s">
        <v>57</v>
      </c>
      <c r="L327" s="61">
        <v>31006</v>
      </c>
      <c r="M327" s="1">
        <v>39</v>
      </c>
      <c r="N327" s="1">
        <v>1350</v>
      </c>
      <c r="O327" s="1" t="s">
        <v>1183</v>
      </c>
      <c r="P327" s="1">
        <v>1700</v>
      </c>
      <c r="Q327" s="537"/>
      <c r="R327" s="1">
        <v>350</v>
      </c>
      <c r="S327">
        <v>280000</v>
      </c>
      <c r="T327">
        <v>14014</v>
      </c>
      <c r="U327" t="s">
        <v>2639</v>
      </c>
      <c r="V327">
        <v>25620</v>
      </c>
      <c r="W327" s="1">
        <v>45378</v>
      </c>
      <c r="X327" s="537" t="s">
        <v>65</v>
      </c>
      <c r="Y327" s="537" t="s">
        <v>60</v>
      </c>
      <c r="Z327" s="1" t="s">
        <v>1070</v>
      </c>
      <c r="AA327" s="537" t="s">
        <v>1071</v>
      </c>
      <c r="AB327" s="537" t="s">
        <v>1234</v>
      </c>
      <c r="AC327" s="1">
        <v>44743</v>
      </c>
      <c r="AD327" s="61">
        <v>44337</v>
      </c>
      <c r="AE327" s="61"/>
      <c r="AF327" s="61"/>
      <c r="AG327" s="1">
        <v>44409</v>
      </c>
      <c r="AH327" s="537" t="s">
        <v>1185</v>
      </c>
      <c r="AI327" s="537" t="s">
        <v>86</v>
      </c>
      <c r="AJ327" s="1">
        <v>248</v>
      </c>
      <c r="AK327" s="537" t="s">
        <v>224</v>
      </c>
      <c r="AL327" s="1" t="s">
        <v>1186</v>
      </c>
      <c r="AM327" s="537" t="s">
        <v>64</v>
      </c>
      <c r="AN327" s="537"/>
    </row>
    <row r="328" spans="1:40" hidden="1">
      <c r="A328" s="537" t="s">
        <v>54</v>
      </c>
      <c r="B328" s="1">
        <v>210811</v>
      </c>
      <c r="C328" s="1">
        <v>410007</v>
      </c>
      <c r="D328" s="537" t="s">
        <v>1066</v>
      </c>
      <c r="E328" s="537" t="s">
        <v>3058</v>
      </c>
      <c r="F328" s="1" t="s">
        <v>3059</v>
      </c>
      <c r="G328" t="s">
        <v>3060</v>
      </c>
      <c r="H328" s="537" t="s">
        <v>1260</v>
      </c>
      <c r="I328" s="537" t="s">
        <v>1261</v>
      </c>
      <c r="J328" s="537" t="s">
        <v>18</v>
      </c>
      <c r="K328" s="537" t="s">
        <v>57</v>
      </c>
      <c r="L328" s="61">
        <v>35338</v>
      </c>
      <c r="M328" s="1">
        <v>27</v>
      </c>
      <c r="N328" s="1">
        <v>1350</v>
      </c>
      <c r="O328" s="1" t="s">
        <v>1183</v>
      </c>
      <c r="P328" s="1">
        <v>1700</v>
      </c>
      <c r="Q328" s="537"/>
      <c r="R328" s="1">
        <v>350</v>
      </c>
      <c r="S328">
        <v>280000</v>
      </c>
      <c r="T328">
        <v>14014</v>
      </c>
      <c r="U328" t="s">
        <v>2639</v>
      </c>
      <c r="V328">
        <v>25620</v>
      </c>
      <c r="W328" s="1">
        <v>45309</v>
      </c>
      <c r="X328" s="537" t="s">
        <v>59</v>
      </c>
      <c r="Y328" s="537" t="s">
        <v>60</v>
      </c>
      <c r="Z328" s="1" t="s">
        <v>1070</v>
      </c>
      <c r="AA328" s="537" t="s">
        <v>1071</v>
      </c>
      <c r="AB328" s="537" t="s">
        <v>1262</v>
      </c>
      <c r="AC328" s="1">
        <v>44412</v>
      </c>
      <c r="AD328" s="61">
        <v>44424</v>
      </c>
      <c r="AE328" s="61"/>
      <c r="AF328" s="61"/>
      <c r="AG328" s="1">
        <v>44470</v>
      </c>
      <c r="AH328" s="537" t="s">
        <v>1263</v>
      </c>
      <c r="AI328" s="537" t="s">
        <v>86</v>
      </c>
      <c r="AJ328" s="1">
        <v>468</v>
      </c>
      <c r="AK328" s="537" t="s">
        <v>158</v>
      </c>
      <c r="AL328" s="1" t="s">
        <v>1264</v>
      </c>
      <c r="AM328" s="537" t="s">
        <v>64</v>
      </c>
      <c r="AN328" s="537"/>
    </row>
    <row r="329" spans="1:40" hidden="1">
      <c r="A329" s="537" t="s">
        <v>179</v>
      </c>
      <c r="B329" s="1">
        <v>210810</v>
      </c>
      <c r="C329" s="1">
        <v>410008</v>
      </c>
      <c r="D329" s="537" t="s">
        <v>1066</v>
      </c>
      <c r="E329" s="537" t="s">
        <v>2376</v>
      </c>
      <c r="F329" t="s">
        <v>804</v>
      </c>
      <c r="G329"/>
      <c r="H329" s="537" t="s">
        <v>1265</v>
      </c>
      <c r="I329" s="537" t="s">
        <v>1266</v>
      </c>
      <c r="J329" s="537" t="s">
        <v>18</v>
      </c>
      <c r="K329" s="537" t="s">
        <v>57</v>
      </c>
      <c r="L329" s="61">
        <v>35192</v>
      </c>
      <c r="M329" s="1">
        <v>27</v>
      </c>
      <c r="N329" s="1">
        <v>1300</v>
      </c>
      <c r="O329" s="1" t="s">
        <v>1183</v>
      </c>
      <c r="P329" s="1">
        <v>1700</v>
      </c>
      <c r="Q329" s="537"/>
      <c r="R329" s="1">
        <v>400</v>
      </c>
      <c r="S329"/>
      <c r="T329" t="s">
        <v>65</v>
      </c>
      <c r="U329" t="s">
        <v>2639</v>
      </c>
      <c r="V329" t="s">
        <v>65</v>
      </c>
      <c r="W329" s="1">
        <v>45052</v>
      </c>
      <c r="X329" s="537" t="s">
        <v>59</v>
      </c>
      <c r="Y329" s="537" t="s">
        <v>60</v>
      </c>
      <c r="Z329" s="1" t="s">
        <v>1070</v>
      </c>
      <c r="AA329" s="537" t="s">
        <v>1071</v>
      </c>
      <c r="AB329" s="537" t="s">
        <v>1262</v>
      </c>
      <c r="AC329" s="1">
        <v>44412</v>
      </c>
      <c r="AD329" s="61">
        <v>44424</v>
      </c>
      <c r="AE329" s="61">
        <v>44817</v>
      </c>
      <c r="AF329" s="61"/>
      <c r="AG329" s="1">
        <v>44470</v>
      </c>
      <c r="AH329" s="537" t="s">
        <v>1267</v>
      </c>
      <c r="AI329" s="537" t="s">
        <v>86</v>
      </c>
      <c r="AJ329" s="1">
        <v>408</v>
      </c>
      <c r="AK329" s="537" t="s">
        <v>87</v>
      </c>
      <c r="AL329" s="1" t="s">
        <v>1268</v>
      </c>
      <c r="AM329" s="537" t="s">
        <v>64</v>
      </c>
      <c r="AN329" s="537"/>
    </row>
    <row r="330" spans="1:40" hidden="1">
      <c r="A330" s="537" t="s">
        <v>179</v>
      </c>
      <c r="B330" s="1">
        <v>210815</v>
      </c>
      <c r="C330" s="1">
        <v>410009</v>
      </c>
      <c r="D330" s="537" t="s">
        <v>1066</v>
      </c>
      <c r="E330" s="537" t="s">
        <v>2376</v>
      </c>
      <c r="F330" t="s">
        <v>804</v>
      </c>
      <c r="G330"/>
      <c r="H330" s="537" t="s">
        <v>1279</v>
      </c>
      <c r="I330" s="537" t="s">
        <v>1280</v>
      </c>
      <c r="J330" s="537" t="s">
        <v>18</v>
      </c>
      <c r="K330" s="537" t="s">
        <v>57</v>
      </c>
      <c r="L330" s="61">
        <v>35230</v>
      </c>
      <c r="M330" s="1">
        <v>27</v>
      </c>
      <c r="N330" s="1">
        <v>1300</v>
      </c>
      <c r="O330" s="1" t="s">
        <v>1183</v>
      </c>
      <c r="P330" s="1">
        <v>1700</v>
      </c>
      <c r="Q330" s="537"/>
      <c r="R330" s="1">
        <v>400</v>
      </c>
      <c r="S330"/>
      <c r="T330" t="s">
        <v>65</v>
      </c>
      <c r="U330" t="s">
        <v>2639</v>
      </c>
      <c r="V330" t="s">
        <v>65</v>
      </c>
      <c r="W330" s="1">
        <v>44974</v>
      </c>
      <c r="X330" s="537" t="s">
        <v>59</v>
      </c>
      <c r="Y330" s="537" t="s">
        <v>60</v>
      </c>
      <c r="Z330" s="1" t="s">
        <v>1070</v>
      </c>
      <c r="AA330" s="537" t="s">
        <v>1071</v>
      </c>
      <c r="AB330" s="537" t="s">
        <v>1281</v>
      </c>
      <c r="AC330" s="1">
        <v>44427</v>
      </c>
      <c r="AD330" s="61">
        <v>44431</v>
      </c>
      <c r="AE330" s="61">
        <v>44781</v>
      </c>
      <c r="AF330" s="61"/>
      <c r="AG330" s="1">
        <v>44501</v>
      </c>
      <c r="AH330" s="537" t="s">
        <v>1282</v>
      </c>
      <c r="AI330" s="537" t="s">
        <v>86</v>
      </c>
      <c r="AK330" s="537"/>
      <c r="AL330" s="1" t="s">
        <v>1283</v>
      </c>
      <c r="AM330" s="537" t="s">
        <v>64</v>
      </c>
      <c r="AN330" s="537"/>
    </row>
    <row r="331" spans="1:40" hidden="1">
      <c r="A331" s="537" t="s">
        <v>179</v>
      </c>
      <c r="B331" s="1">
        <v>210319</v>
      </c>
      <c r="C331" s="1">
        <v>410010</v>
      </c>
      <c r="D331" s="537" t="s">
        <v>1066</v>
      </c>
      <c r="E331" s="537" t="s">
        <v>2376</v>
      </c>
      <c r="F331" t="s">
        <v>804</v>
      </c>
      <c r="G331"/>
      <c r="H331" s="537" t="s">
        <v>1067</v>
      </c>
      <c r="I331" s="537" t="s">
        <v>1068</v>
      </c>
      <c r="J331" s="537" t="s">
        <v>18</v>
      </c>
      <c r="K331" s="537" t="s">
        <v>57</v>
      </c>
      <c r="L331" s="61">
        <v>33589</v>
      </c>
      <c r="M331" s="1">
        <v>31</v>
      </c>
      <c r="N331" s="1">
        <v>1350</v>
      </c>
      <c r="O331" s="1" t="s">
        <v>1069</v>
      </c>
      <c r="P331" s="1">
        <v>1700</v>
      </c>
      <c r="Q331" s="537" t="s">
        <v>92</v>
      </c>
      <c r="R331" s="1">
        <v>350</v>
      </c>
      <c r="S331"/>
      <c r="T331" t="s">
        <v>65</v>
      </c>
      <c r="U331" t="s">
        <v>2639</v>
      </c>
      <c r="V331" t="s">
        <v>65</v>
      </c>
      <c r="W331" s="1">
        <v>45257</v>
      </c>
      <c r="X331" s="537" t="s">
        <v>59</v>
      </c>
      <c r="Y331" s="537" t="s">
        <v>60</v>
      </c>
      <c r="Z331" s="1" t="s">
        <v>1070</v>
      </c>
      <c r="AA331" s="537" t="s">
        <v>1071</v>
      </c>
      <c r="AB331" s="537" t="s">
        <v>1072</v>
      </c>
      <c r="AC331" s="1">
        <v>44280</v>
      </c>
      <c r="AD331" s="61">
        <v>44286</v>
      </c>
      <c r="AE331" s="61">
        <v>44764</v>
      </c>
      <c r="AF331" s="61"/>
      <c r="AG331" s="1">
        <v>44348</v>
      </c>
      <c r="AH331" s="537" t="s">
        <v>1068</v>
      </c>
      <c r="AI331" s="537" t="s">
        <v>86</v>
      </c>
      <c r="AJ331" s="1">
        <v>248</v>
      </c>
      <c r="AK331" s="537" t="s">
        <v>224</v>
      </c>
      <c r="AL331" s="1" t="s">
        <v>1073</v>
      </c>
      <c r="AM331" s="537" t="s">
        <v>64</v>
      </c>
      <c r="AN331" s="537" t="s">
        <v>1074</v>
      </c>
    </row>
    <row r="332" spans="1:40" hidden="1">
      <c r="A332" s="537" t="s">
        <v>54</v>
      </c>
      <c r="B332" s="1">
        <v>220501</v>
      </c>
      <c r="C332" s="1">
        <v>410014</v>
      </c>
      <c r="D332" s="537" t="s">
        <v>1066</v>
      </c>
      <c r="E332" s="537" t="s">
        <v>3058</v>
      </c>
      <c r="F332" t="s">
        <v>3059</v>
      </c>
      <c r="G332" t="s">
        <v>3060</v>
      </c>
      <c r="H332" s="537" t="s">
        <v>2052</v>
      </c>
      <c r="I332" s="537" t="s">
        <v>2053</v>
      </c>
      <c r="J332" s="537" t="s">
        <v>18</v>
      </c>
      <c r="K332" s="537" t="s">
        <v>57</v>
      </c>
      <c r="L332" s="61">
        <v>34992</v>
      </c>
      <c r="M332" s="1">
        <v>28</v>
      </c>
      <c r="N332" s="1">
        <v>1320</v>
      </c>
      <c r="P332" s="1">
        <v>1700</v>
      </c>
      <c r="Q332" s="537"/>
      <c r="R332" s="1">
        <v>380</v>
      </c>
      <c r="S332">
        <v>280000</v>
      </c>
      <c r="T332">
        <v>14014</v>
      </c>
      <c r="U332" t="s">
        <v>2639</v>
      </c>
      <c r="V332">
        <v>25620</v>
      </c>
      <c r="W332" s="1">
        <v>45621</v>
      </c>
      <c r="X332" s="537" t="s">
        <v>65</v>
      </c>
      <c r="Y332" s="537" t="s">
        <v>60</v>
      </c>
      <c r="Z332" s="1" t="s">
        <v>1070</v>
      </c>
      <c r="AA332" s="537" t="s">
        <v>1169</v>
      </c>
      <c r="AB332" s="537" t="s">
        <v>2688</v>
      </c>
      <c r="AC332" s="1" t="s">
        <v>63</v>
      </c>
      <c r="AD332" s="61">
        <v>44690</v>
      </c>
      <c r="AE332" s="61"/>
      <c r="AF332" s="61"/>
      <c r="AG332" s="1" t="s">
        <v>589</v>
      </c>
      <c r="AH332" s="537" t="s">
        <v>2053</v>
      </c>
      <c r="AI332" s="537" t="s">
        <v>86</v>
      </c>
      <c r="AJ332" s="1">
        <v>248</v>
      </c>
      <c r="AK332" s="537" t="s">
        <v>224</v>
      </c>
      <c r="AL332" s="1" t="s">
        <v>2054</v>
      </c>
      <c r="AM332" s="537" t="s">
        <v>590</v>
      </c>
      <c r="AN332" s="537"/>
    </row>
    <row r="333" spans="1:40" hidden="1">
      <c r="A333" s="537" t="s">
        <v>179</v>
      </c>
      <c r="B333" s="1">
        <v>210409</v>
      </c>
      <c r="C333" s="1">
        <v>500001</v>
      </c>
      <c r="D333" s="537" t="s">
        <v>2277</v>
      </c>
      <c r="E333" s="537" t="s">
        <v>186</v>
      </c>
      <c r="F333"/>
      <c r="G333"/>
      <c r="H333" s="537" t="s">
        <v>1104</v>
      </c>
      <c r="I333" s="537" t="s">
        <v>1105</v>
      </c>
      <c r="J333" s="537" t="s">
        <v>18</v>
      </c>
      <c r="K333" s="537" t="s">
        <v>57</v>
      </c>
      <c r="L333" s="61">
        <v>34843</v>
      </c>
      <c r="M333" s="1">
        <v>28</v>
      </c>
      <c r="N333" s="1">
        <v>1400</v>
      </c>
      <c r="P333" s="1">
        <v>1850</v>
      </c>
      <c r="Q333" s="537" t="s">
        <v>2651</v>
      </c>
      <c r="R333" s="1">
        <v>450</v>
      </c>
      <c r="S333">
        <v>300000</v>
      </c>
      <c r="T333">
        <v>15014.999999999998</v>
      </c>
      <c r="U333" t="s">
        <v>2639</v>
      </c>
      <c r="V333">
        <v>27450</v>
      </c>
      <c r="W333" s="1">
        <v>45000</v>
      </c>
      <c r="X333" s="537" t="s">
        <v>59</v>
      </c>
      <c r="Y333" s="537" t="s">
        <v>60</v>
      </c>
      <c r="Z333" s="1" t="s">
        <v>1106</v>
      </c>
      <c r="AA333" s="537" t="s">
        <v>1107</v>
      </c>
      <c r="AB333" s="537" t="s">
        <v>1108</v>
      </c>
      <c r="AC333" s="1" t="s">
        <v>63</v>
      </c>
      <c r="AD333" s="61">
        <v>44291</v>
      </c>
      <c r="AE333" s="61">
        <v>44984</v>
      </c>
      <c r="AF333" s="61">
        <v>44671</v>
      </c>
      <c r="AG333" s="1">
        <v>44348</v>
      </c>
      <c r="AH333" s="537" t="s">
        <v>1105</v>
      </c>
      <c r="AI333" s="537" t="s">
        <v>86</v>
      </c>
      <c r="AJ333" s="1">
        <v>238</v>
      </c>
      <c r="AK333" s="537" t="s">
        <v>1109</v>
      </c>
      <c r="AL333" s="1" t="s">
        <v>1110</v>
      </c>
      <c r="AM333" s="537" t="s">
        <v>64</v>
      </c>
      <c r="AN333" s="537" t="s">
        <v>2658</v>
      </c>
    </row>
    <row r="334" spans="1:40" hidden="1">
      <c r="A334" s="537" t="s">
        <v>179</v>
      </c>
      <c r="B334" s="1">
        <v>210420</v>
      </c>
      <c r="C334" s="1">
        <v>500002</v>
      </c>
      <c r="D334" s="537" t="s">
        <v>1142</v>
      </c>
      <c r="E334" s="537" t="s">
        <v>1143</v>
      </c>
      <c r="F334"/>
      <c r="G334"/>
      <c r="H334" s="537" t="s">
        <v>1159</v>
      </c>
      <c r="I334" s="537" t="s">
        <v>1160</v>
      </c>
      <c r="J334" s="537" t="s">
        <v>18</v>
      </c>
      <c r="K334" s="537" t="s">
        <v>57</v>
      </c>
      <c r="L334" s="61">
        <v>33714</v>
      </c>
      <c r="M334" s="1">
        <v>31</v>
      </c>
      <c r="N334" s="1">
        <v>1400</v>
      </c>
      <c r="P334" s="1">
        <v>2000</v>
      </c>
      <c r="Q334" s="537"/>
      <c r="R334" s="1">
        <v>600</v>
      </c>
      <c r="S334"/>
      <c r="T334" t="s">
        <v>65</v>
      </c>
      <c r="U334" t="s">
        <v>2639</v>
      </c>
      <c r="V334" t="s">
        <v>65</v>
      </c>
      <c r="W334" s="1">
        <v>44970</v>
      </c>
      <c r="X334" s="537" t="s">
        <v>59</v>
      </c>
      <c r="Y334" s="537" t="s">
        <v>60</v>
      </c>
      <c r="Z334" s="1" t="s">
        <v>1161</v>
      </c>
      <c r="AA334" s="537" t="s">
        <v>1162</v>
      </c>
      <c r="AB334" s="537" t="s">
        <v>1163</v>
      </c>
      <c r="AC334" s="1">
        <v>44311</v>
      </c>
      <c r="AD334" s="61">
        <v>44312</v>
      </c>
      <c r="AE334" s="61">
        <v>44859</v>
      </c>
      <c r="AF334" s="61"/>
      <c r="AG334" s="1">
        <v>44378</v>
      </c>
      <c r="AH334" s="537" t="s">
        <v>1164</v>
      </c>
      <c r="AI334" s="537" t="s">
        <v>86</v>
      </c>
      <c r="AJ334" s="1">
        <v>548</v>
      </c>
      <c r="AK334" s="537" t="s">
        <v>125</v>
      </c>
      <c r="AL334" s="1" t="s">
        <v>1165</v>
      </c>
      <c r="AM334" s="537" t="s">
        <v>64</v>
      </c>
      <c r="AN334" s="537"/>
    </row>
    <row r="335" spans="1:40" hidden="1">
      <c r="A335" s="537" t="s">
        <v>179</v>
      </c>
      <c r="B335" s="1">
        <v>210418</v>
      </c>
      <c r="C335" s="1">
        <v>500003</v>
      </c>
      <c r="D335" s="537" t="s">
        <v>1142</v>
      </c>
      <c r="E335" s="537" t="s">
        <v>1143</v>
      </c>
      <c r="F335"/>
      <c r="G335"/>
      <c r="H335" s="537" t="s">
        <v>1144</v>
      </c>
      <c r="I335" s="537" t="s">
        <v>1145</v>
      </c>
      <c r="J335" s="537" t="s">
        <v>18</v>
      </c>
      <c r="K335" s="537" t="s">
        <v>57</v>
      </c>
      <c r="L335" s="61">
        <v>36040</v>
      </c>
      <c r="M335" s="1">
        <v>25</v>
      </c>
      <c r="N335" s="1">
        <v>1400</v>
      </c>
      <c r="P335" s="1">
        <v>2000</v>
      </c>
      <c r="Q335" s="537"/>
      <c r="R335" s="1">
        <v>600</v>
      </c>
      <c r="S335"/>
      <c r="T335" t="s">
        <v>65</v>
      </c>
      <c r="U335" t="s">
        <v>2639</v>
      </c>
      <c r="V335" t="s">
        <v>65</v>
      </c>
      <c r="W335" s="1">
        <v>46018</v>
      </c>
      <c r="X335" s="537" t="s">
        <v>65</v>
      </c>
      <c r="Y335" s="537" t="s">
        <v>60</v>
      </c>
      <c r="Z335" s="1" t="s">
        <v>241</v>
      </c>
      <c r="AA335" s="537" t="s">
        <v>1146</v>
      </c>
      <c r="AB335" s="537" t="s">
        <v>1147</v>
      </c>
      <c r="AC335" s="1">
        <v>44306</v>
      </c>
      <c r="AD335" s="61">
        <v>44307</v>
      </c>
      <c r="AE335" s="61">
        <v>44841</v>
      </c>
      <c r="AF335" s="61"/>
      <c r="AG335" s="1">
        <v>44378</v>
      </c>
      <c r="AH335" s="537" t="s">
        <v>1148</v>
      </c>
      <c r="AI335" s="537" t="s">
        <v>86</v>
      </c>
      <c r="AK335" s="537"/>
      <c r="AL335" s="1" t="s">
        <v>1149</v>
      </c>
      <c r="AM335" s="537" t="s">
        <v>64</v>
      </c>
      <c r="AN335" s="537"/>
    </row>
    <row r="336" spans="1:40" hidden="1">
      <c r="A336" s="537" t="s">
        <v>179</v>
      </c>
      <c r="B336" s="1">
        <v>210604</v>
      </c>
      <c r="C336" s="1">
        <v>500004</v>
      </c>
      <c r="D336" s="537" t="s">
        <v>1142</v>
      </c>
      <c r="E336" s="537" t="s">
        <v>1189</v>
      </c>
      <c r="F336"/>
      <c r="G336"/>
      <c r="H336" s="537" t="s">
        <v>1190</v>
      </c>
      <c r="I336" s="537" t="s">
        <v>1191</v>
      </c>
      <c r="J336" s="537" t="s">
        <v>17</v>
      </c>
      <c r="K336" s="537" t="s">
        <v>57</v>
      </c>
      <c r="L336" s="61">
        <v>35065</v>
      </c>
      <c r="M336" s="1">
        <v>27</v>
      </c>
      <c r="N336" s="1">
        <v>1350</v>
      </c>
      <c r="O336" s="1" t="s">
        <v>1192</v>
      </c>
      <c r="P336" s="1">
        <v>1900</v>
      </c>
      <c r="Q336" s="537"/>
      <c r="R336" s="1">
        <v>550</v>
      </c>
      <c r="S336">
        <v>300000</v>
      </c>
      <c r="T336">
        <v>15014.999999999998</v>
      </c>
      <c r="U336" t="s">
        <v>2639</v>
      </c>
      <c r="V336">
        <v>27450</v>
      </c>
      <c r="W336" s="1">
        <v>45362</v>
      </c>
      <c r="X336" s="537" t="s">
        <v>65</v>
      </c>
      <c r="Y336" s="537" t="s">
        <v>60</v>
      </c>
      <c r="Z336" s="1" t="s">
        <v>1161</v>
      </c>
      <c r="AA336" s="537" t="s">
        <v>1193</v>
      </c>
      <c r="AB336" s="537" t="s">
        <v>1194</v>
      </c>
      <c r="AC336" s="1">
        <v>44354</v>
      </c>
      <c r="AD336" s="61">
        <v>44354</v>
      </c>
      <c r="AE336" s="61">
        <v>45048</v>
      </c>
      <c r="AF336" s="61"/>
      <c r="AH336" s="537" t="s">
        <v>1191</v>
      </c>
      <c r="AI336" s="537" t="s">
        <v>86</v>
      </c>
      <c r="AJ336" s="1">
        <v>548</v>
      </c>
      <c r="AK336" s="537" t="s">
        <v>125</v>
      </c>
      <c r="AL336" s="1" t="s">
        <v>1195</v>
      </c>
      <c r="AM336" s="537"/>
      <c r="AN336" s="537"/>
    </row>
    <row r="337" spans="1:40" hidden="1">
      <c r="A337" s="537" t="s">
        <v>179</v>
      </c>
      <c r="B337" s="1">
        <v>210703</v>
      </c>
      <c r="C337" s="1">
        <v>500007</v>
      </c>
      <c r="D337" s="537" t="s">
        <v>1142</v>
      </c>
      <c r="E337" s="537" t="s">
        <v>1219</v>
      </c>
      <c r="G337"/>
      <c r="H337" s="537" t="s">
        <v>1220</v>
      </c>
      <c r="I337" s="537" t="s">
        <v>1221</v>
      </c>
      <c r="J337" s="537" t="s">
        <v>18</v>
      </c>
      <c r="K337" s="537" t="s">
        <v>57</v>
      </c>
      <c r="L337" s="61">
        <v>33449</v>
      </c>
      <c r="M337" s="1">
        <v>32</v>
      </c>
      <c r="N337" s="1">
        <v>1400</v>
      </c>
      <c r="P337" s="1">
        <v>1900</v>
      </c>
      <c r="Q337" s="537"/>
      <c r="R337" s="1">
        <v>500</v>
      </c>
      <c r="S337"/>
      <c r="T337" t="s">
        <v>65</v>
      </c>
      <c r="U337" t="s">
        <v>2639</v>
      </c>
      <c r="V337" t="s">
        <v>65</v>
      </c>
      <c r="W337" s="1">
        <v>45039</v>
      </c>
      <c r="X337" s="537" t="s">
        <v>59</v>
      </c>
      <c r="Y337" s="537" t="s">
        <v>60</v>
      </c>
      <c r="Z337" s="1" t="s">
        <v>1106</v>
      </c>
      <c r="AA337" s="537" t="s">
        <v>1222</v>
      </c>
      <c r="AB337" s="537" t="s">
        <v>1223</v>
      </c>
      <c r="AC337" s="1" t="s">
        <v>63</v>
      </c>
      <c r="AD337" s="61">
        <v>44384</v>
      </c>
      <c r="AE337" s="61">
        <v>44848</v>
      </c>
      <c r="AF337" s="61">
        <v>44853</v>
      </c>
      <c r="AH337" s="537" t="s">
        <v>1221</v>
      </c>
      <c r="AI337" s="537" t="s">
        <v>86</v>
      </c>
      <c r="AJ337" s="1">
        <v>548</v>
      </c>
      <c r="AK337" s="537" t="s">
        <v>125</v>
      </c>
      <c r="AL337" s="1" t="s">
        <v>1224</v>
      </c>
      <c r="AM337" s="537" t="s">
        <v>64</v>
      </c>
      <c r="AN337" s="537"/>
    </row>
    <row r="338" spans="1:40" hidden="1">
      <c r="A338" s="537" t="s">
        <v>179</v>
      </c>
      <c r="B338" s="1">
        <v>210709</v>
      </c>
      <c r="C338" s="1">
        <v>500008</v>
      </c>
      <c r="D338" s="537" t="s">
        <v>1142</v>
      </c>
      <c r="E338" s="537" t="s">
        <v>1189</v>
      </c>
      <c r="F338"/>
      <c r="G338"/>
      <c r="H338" s="537" t="s">
        <v>1238</v>
      </c>
      <c r="I338" s="537" t="s">
        <v>1239</v>
      </c>
      <c r="J338" s="537" t="s">
        <v>18</v>
      </c>
      <c r="K338" s="537" t="s">
        <v>57</v>
      </c>
      <c r="L338" s="61">
        <v>34027</v>
      </c>
      <c r="M338" s="1">
        <v>30</v>
      </c>
      <c r="N338" s="1">
        <v>1400</v>
      </c>
      <c r="P338" s="1">
        <v>2000</v>
      </c>
      <c r="Q338" s="537"/>
      <c r="R338" s="1">
        <v>600</v>
      </c>
      <c r="S338">
        <v>340000</v>
      </c>
      <c r="T338">
        <v>17017</v>
      </c>
      <c r="U338" t="s">
        <v>2639</v>
      </c>
      <c r="V338">
        <v>31110</v>
      </c>
      <c r="W338" s="1">
        <v>45319</v>
      </c>
      <c r="X338" s="537" t="s">
        <v>59</v>
      </c>
      <c r="Y338" s="537" t="s">
        <v>60</v>
      </c>
      <c r="Z338" s="1" t="s">
        <v>210</v>
      </c>
      <c r="AA338" s="537" t="s">
        <v>1193</v>
      </c>
      <c r="AB338" s="537" t="s">
        <v>1147</v>
      </c>
      <c r="AC338" s="1">
        <v>44877</v>
      </c>
      <c r="AD338" s="61">
        <v>44393</v>
      </c>
      <c r="AE338" s="61">
        <v>45029</v>
      </c>
      <c r="AF338" s="61"/>
      <c r="AH338" s="537" t="s">
        <v>1239</v>
      </c>
      <c r="AI338" s="537" t="s">
        <v>86</v>
      </c>
      <c r="AJ338" s="1">
        <v>748</v>
      </c>
      <c r="AK338" s="537" t="s">
        <v>96</v>
      </c>
      <c r="AL338" s="1" t="s">
        <v>1240</v>
      </c>
      <c r="AM338" s="537" t="s">
        <v>64</v>
      </c>
      <c r="AN338" s="537"/>
    </row>
    <row r="339" spans="1:40" hidden="1">
      <c r="A339" s="537" t="s">
        <v>179</v>
      </c>
      <c r="B339" s="1">
        <v>210818</v>
      </c>
      <c r="C339" s="1">
        <v>500009</v>
      </c>
      <c r="D339" s="537" t="s">
        <v>1142</v>
      </c>
      <c r="E339" s="537" t="s">
        <v>1143</v>
      </c>
      <c r="F339"/>
      <c r="G339"/>
      <c r="H339" s="537" t="s">
        <v>1273</v>
      </c>
      <c r="I339" s="537" t="s">
        <v>1274</v>
      </c>
      <c r="J339" s="537" t="s">
        <v>17</v>
      </c>
      <c r="K339" s="537" t="s">
        <v>57</v>
      </c>
      <c r="L339" s="61">
        <v>32977</v>
      </c>
      <c r="M339" s="1">
        <v>33</v>
      </c>
      <c r="N339" s="1">
        <v>1300</v>
      </c>
      <c r="O339" s="1" t="s">
        <v>1275</v>
      </c>
      <c r="P339" s="1">
        <v>1900</v>
      </c>
      <c r="Q339" s="537"/>
      <c r="R339" s="1">
        <v>600</v>
      </c>
      <c r="S339"/>
      <c r="T339" t="s">
        <v>65</v>
      </c>
      <c r="U339" t="s">
        <v>2639</v>
      </c>
      <c r="V339" t="s">
        <v>65</v>
      </c>
      <c r="W339" s="1">
        <v>45021</v>
      </c>
      <c r="X339" s="537" t="s">
        <v>59</v>
      </c>
      <c r="Y339" s="537" t="s">
        <v>60</v>
      </c>
      <c r="Z339" s="1" t="s">
        <v>1161</v>
      </c>
      <c r="AA339" s="537" t="s">
        <v>1193</v>
      </c>
      <c r="AB339" s="537" t="s">
        <v>1194</v>
      </c>
      <c r="AC339" s="1">
        <v>44422</v>
      </c>
      <c r="AD339" s="61">
        <v>44431</v>
      </c>
      <c r="AE339" s="61">
        <v>44817</v>
      </c>
      <c r="AF339" s="61"/>
      <c r="AG339" s="1">
        <v>44501</v>
      </c>
      <c r="AH339" s="537" t="s">
        <v>1276</v>
      </c>
      <c r="AI339" s="537" t="s">
        <v>117</v>
      </c>
      <c r="AJ339" s="1">
        <v>181</v>
      </c>
      <c r="AK339" s="537" t="s">
        <v>1277</v>
      </c>
      <c r="AL339" s="1" t="s">
        <v>1278</v>
      </c>
      <c r="AM339" s="537" t="s">
        <v>64</v>
      </c>
      <c r="AN339" s="537"/>
    </row>
    <row r="340" spans="1:40" hidden="1">
      <c r="A340" s="537" t="s">
        <v>179</v>
      </c>
      <c r="B340" s="1">
        <v>210903</v>
      </c>
      <c r="C340" s="1">
        <v>500010</v>
      </c>
      <c r="D340" s="537" t="s">
        <v>180</v>
      </c>
      <c r="E340" s="537" t="s">
        <v>1143</v>
      </c>
      <c r="F340"/>
      <c r="G340"/>
      <c r="H340" s="537" t="s">
        <v>1296</v>
      </c>
      <c r="I340" s="537" t="s">
        <v>1297</v>
      </c>
      <c r="J340" s="537" t="s">
        <v>18</v>
      </c>
      <c r="K340" s="537" t="s">
        <v>57</v>
      </c>
      <c r="L340" s="61">
        <v>31703</v>
      </c>
      <c r="M340" s="1">
        <v>37</v>
      </c>
      <c r="N340" s="1">
        <v>1500</v>
      </c>
      <c r="P340" s="1">
        <v>2300</v>
      </c>
      <c r="Q340" s="537"/>
      <c r="R340" s="1">
        <v>800</v>
      </c>
      <c r="S340">
        <v>300000</v>
      </c>
      <c r="T340">
        <v>15014.999999999998</v>
      </c>
      <c r="U340" t="s">
        <v>2639</v>
      </c>
      <c r="V340">
        <v>27450</v>
      </c>
      <c r="W340" s="1">
        <v>45288</v>
      </c>
      <c r="X340" s="537" t="s">
        <v>59</v>
      </c>
      <c r="Y340" s="537" t="s">
        <v>60</v>
      </c>
      <c r="Z340" s="1" t="s">
        <v>1106</v>
      </c>
      <c r="AA340" s="537" t="s">
        <v>1107</v>
      </c>
      <c r="AB340" s="537" t="s">
        <v>1298</v>
      </c>
      <c r="AC340" s="1" t="s">
        <v>63</v>
      </c>
      <c r="AD340" s="61">
        <v>44445</v>
      </c>
      <c r="AE340" s="61">
        <v>45046</v>
      </c>
      <c r="AF340" s="61"/>
      <c r="AG340" s="1">
        <v>44501</v>
      </c>
      <c r="AH340" s="537" t="s">
        <v>1297</v>
      </c>
      <c r="AI340" s="537" t="s">
        <v>86</v>
      </c>
      <c r="AK340" s="537"/>
      <c r="AL340" s="1" t="s">
        <v>1299</v>
      </c>
      <c r="AM340" s="537" t="s">
        <v>64</v>
      </c>
      <c r="AN340" s="537" t="s">
        <v>1300</v>
      </c>
    </row>
    <row r="341" spans="1:40" hidden="1">
      <c r="A341" s="537" t="s">
        <v>179</v>
      </c>
      <c r="B341" s="1">
        <v>211013</v>
      </c>
      <c r="C341" s="1">
        <v>500011</v>
      </c>
      <c r="D341" s="537" t="s">
        <v>1142</v>
      </c>
      <c r="E341" s="537" t="s">
        <v>1143</v>
      </c>
      <c r="F341" t="s">
        <v>803</v>
      </c>
      <c r="G341"/>
      <c r="H341" s="537" t="s">
        <v>1375</v>
      </c>
      <c r="I341" s="537" t="s">
        <v>1376</v>
      </c>
      <c r="J341" s="537" t="s">
        <v>18</v>
      </c>
      <c r="K341" s="537" t="s">
        <v>57</v>
      </c>
      <c r="L341" s="61">
        <v>32133</v>
      </c>
      <c r="M341" s="1">
        <v>35</v>
      </c>
      <c r="N341" s="1">
        <v>1400</v>
      </c>
      <c r="P341" s="1">
        <v>1900</v>
      </c>
      <c r="Q341" s="537"/>
      <c r="R341" s="1">
        <v>500</v>
      </c>
      <c r="S341"/>
      <c r="T341" t="s">
        <v>65</v>
      </c>
      <c r="U341" t="s">
        <v>2639</v>
      </c>
      <c r="V341" t="s">
        <v>65</v>
      </c>
      <c r="W341" s="1">
        <v>45828</v>
      </c>
      <c r="X341" s="537" t="s">
        <v>65</v>
      </c>
      <c r="Y341" s="537" t="s">
        <v>60</v>
      </c>
      <c r="Z341" s="1" t="s">
        <v>1161</v>
      </c>
      <c r="AA341" s="537" t="s">
        <v>1193</v>
      </c>
      <c r="AB341" s="537" t="s">
        <v>1377</v>
      </c>
      <c r="AC341" s="1">
        <v>44478</v>
      </c>
      <c r="AD341" s="61">
        <v>44480</v>
      </c>
      <c r="AE341" s="61">
        <v>44771</v>
      </c>
      <c r="AF341" s="61"/>
      <c r="AG341" s="1">
        <v>44531</v>
      </c>
      <c r="AH341" s="537" t="s">
        <v>1378</v>
      </c>
      <c r="AI341" s="537" t="s">
        <v>86</v>
      </c>
      <c r="AJ341" s="1">
        <v>518</v>
      </c>
      <c r="AK341" s="537" t="s">
        <v>247</v>
      </c>
      <c r="AL341" s="1" t="s">
        <v>1379</v>
      </c>
      <c r="AM341" s="537" t="s">
        <v>64</v>
      </c>
      <c r="AN341" s="537"/>
    </row>
    <row r="342" spans="1:40" hidden="1">
      <c r="A342" s="537" t="s">
        <v>179</v>
      </c>
      <c r="B342" s="1">
        <v>211026</v>
      </c>
      <c r="C342" s="1">
        <v>500012</v>
      </c>
      <c r="D342" s="537" t="s">
        <v>1142</v>
      </c>
      <c r="E342" s="537" t="s">
        <v>1143</v>
      </c>
      <c r="F342"/>
      <c r="G342"/>
      <c r="H342" s="537" t="s">
        <v>1416</v>
      </c>
      <c r="I342" s="537" t="s">
        <v>1417</v>
      </c>
      <c r="J342" s="537" t="s">
        <v>18</v>
      </c>
      <c r="K342" s="537" t="s">
        <v>57</v>
      </c>
      <c r="L342" s="61">
        <v>31720</v>
      </c>
      <c r="M342" s="1">
        <v>37</v>
      </c>
      <c r="N342" s="1">
        <v>1400</v>
      </c>
      <c r="P342" s="1">
        <v>2000</v>
      </c>
      <c r="Q342" s="537"/>
      <c r="R342" s="1">
        <v>600</v>
      </c>
      <c r="S342"/>
      <c r="T342" t="s">
        <v>65</v>
      </c>
      <c r="U342" t="s">
        <v>2639</v>
      </c>
      <c r="V342" t="s">
        <v>65</v>
      </c>
      <c r="W342" s="1">
        <v>44959</v>
      </c>
      <c r="X342" s="537" t="s">
        <v>59</v>
      </c>
      <c r="Y342" s="537" t="s">
        <v>60</v>
      </c>
      <c r="Z342" s="1" t="s">
        <v>1161</v>
      </c>
      <c r="AA342" s="537" t="s">
        <v>1162</v>
      </c>
      <c r="AB342" s="537" t="s">
        <v>1163</v>
      </c>
      <c r="AC342" s="1">
        <v>44737</v>
      </c>
      <c r="AD342" s="61">
        <v>44494</v>
      </c>
      <c r="AE342" s="61">
        <v>44803</v>
      </c>
      <c r="AF342" s="61"/>
      <c r="AG342" s="1">
        <v>22.01</v>
      </c>
      <c r="AH342" s="537" t="s">
        <v>1418</v>
      </c>
      <c r="AI342" s="537" t="s">
        <v>117</v>
      </c>
      <c r="AJ342" s="1">
        <v>146</v>
      </c>
      <c r="AK342" s="537" t="s">
        <v>368</v>
      </c>
      <c r="AL342" s="1" t="s">
        <v>1419</v>
      </c>
      <c r="AM342" s="537" t="s">
        <v>64</v>
      </c>
      <c r="AN342" s="537"/>
    </row>
    <row r="343" spans="1:40" hidden="1">
      <c r="A343" s="537" t="s">
        <v>179</v>
      </c>
      <c r="B343" s="1">
        <v>211101</v>
      </c>
      <c r="C343" s="1">
        <v>500013</v>
      </c>
      <c r="D343" s="537" t="s">
        <v>1142</v>
      </c>
      <c r="E343" s="537" t="s">
        <v>1143</v>
      </c>
      <c r="F343" t="s">
        <v>2604</v>
      </c>
      <c r="G343"/>
      <c r="H343" s="537" t="s">
        <v>1432</v>
      </c>
      <c r="I343" s="537" t="s">
        <v>1433</v>
      </c>
      <c r="J343" s="537" t="s">
        <v>17</v>
      </c>
      <c r="K343" s="537" t="s">
        <v>57</v>
      </c>
      <c r="L343" s="61">
        <v>34552</v>
      </c>
      <c r="M343" s="1">
        <v>29</v>
      </c>
      <c r="N343" s="1">
        <v>1300</v>
      </c>
      <c r="O343" s="1" t="s">
        <v>1434</v>
      </c>
      <c r="P343" s="1">
        <v>1900</v>
      </c>
      <c r="Q343" s="537" t="s">
        <v>1435</v>
      </c>
      <c r="R343" s="1">
        <v>600</v>
      </c>
      <c r="S343"/>
      <c r="T343" t="s">
        <v>65</v>
      </c>
      <c r="U343" t="s">
        <v>2639</v>
      </c>
      <c r="V343" t="s">
        <v>65</v>
      </c>
      <c r="W343" s="1">
        <v>45867</v>
      </c>
      <c r="X343" s="537" t="s">
        <v>65</v>
      </c>
      <c r="Y343" s="537" t="s">
        <v>60</v>
      </c>
      <c r="Z343" s="1" t="s">
        <v>1161</v>
      </c>
      <c r="AA343" s="537" t="s">
        <v>1436</v>
      </c>
      <c r="AB343" s="537" t="s">
        <v>1437</v>
      </c>
      <c r="AC343" s="1">
        <v>44499</v>
      </c>
      <c r="AD343" s="61">
        <v>44501</v>
      </c>
      <c r="AE343" s="61">
        <v>44802</v>
      </c>
      <c r="AF343" s="61"/>
      <c r="AG343" s="1">
        <v>22.01</v>
      </c>
      <c r="AH343" s="537" t="s">
        <v>1433</v>
      </c>
      <c r="AI343" s="537" t="s">
        <v>86</v>
      </c>
      <c r="AJ343" s="1">
        <v>748</v>
      </c>
      <c r="AK343" s="537" t="s">
        <v>96</v>
      </c>
      <c r="AL343" s="1" t="s">
        <v>1438</v>
      </c>
      <c r="AM343" s="537" t="s">
        <v>64</v>
      </c>
      <c r="AN343" s="537"/>
    </row>
    <row r="344" spans="1:40" hidden="1">
      <c r="A344" s="537" t="s">
        <v>179</v>
      </c>
      <c r="B344" s="1">
        <v>220217</v>
      </c>
      <c r="C344" s="1">
        <v>662522</v>
      </c>
      <c r="D344" s="537" t="s">
        <v>180</v>
      </c>
      <c r="E344" s="537" t="s">
        <v>207</v>
      </c>
      <c r="F344"/>
      <c r="G344"/>
      <c r="H344" s="537" t="s">
        <v>1640</v>
      </c>
      <c r="I344" s="537" t="s">
        <v>1641</v>
      </c>
      <c r="J344" s="537" t="s">
        <v>18</v>
      </c>
      <c r="K344" s="537" t="s">
        <v>57</v>
      </c>
      <c r="L344" s="61">
        <v>31254</v>
      </c>
      <c r="M344" s="1">
        <v>38</v>
      </c>
      <c r="N344" s="1">
        <v>1500</v>
      </c>
      <c r="O344" s="1" t="s">
        <v>1642</v>
      </c>
      <c r="P344" s="1">
        <v>2300</v>
      </c>
      <c r="Q344" s="537" t="s">
        <v>1643</v>
      </c>
      <c r="R344" s="1">
        <v>800</v>
      </c>
      <c r="S344">
        <v>0</v>
      </c>
      <c r="T344">
        <v>0</v>
      </c>
      <c r="U344" t="s">
        <v>2639</v>
      </c>
      <c r="V344">
        <v>0</v>
      </c>
      <c r="W344" s="1">
        <v>45301</v>
      </c>
      <c r="X344" s="537" t="s">
        <v>59</v>
      </c>
      <c r="Y344" s="537" t="s">
        <v>60</v>
      </c>
      <c r="Z344" s="1" t="s">
        <v>215</v>
      </c>
      <c r="AA344" s="537" t="s">
        <v>323</v>
      </c>
      <c r="AB344" s="537" t="s">
        <v>324</v>
      </c>
      <c r="AC344" s="1">
        <v>44611</v>
      </c>
      <c r="AD344" s="61">
        <v>44613</v>
      </c>
      <c r="AE344" s="61">
        <v>44950</v>
      </c>
      <c r="AF344" s="61"/>
      <c r="AG344" s="1">
        <v>22.05</v>
      </c>
      <c r="AH344" s="537" t="s">
        <v>1641</v>
      </c>
      <c r="AI344" s="537" t="s">
        <v>86</v>
      </c>
      <c r="AJ344" s="1">
        <v>68</v>
      </c>
      <c r="AK344" s="537" t="s">
        <v>421</v>
      </c>
      <c r="AL344" s="1" t="s">
        <v>1644</v>
      </c>
      <c r="AM344" s="537" t="s">
        <v>64</v>
      </c>
      <c r="AN344" s="537" t="s">
        <v>2678</v>
      </c>
    </row>
    <row r="345" spans="1:40" hidden="1">
      <c r="A345" s="537" t="s">
        <v>54</v>
      </c>
      <c r="B345" s="1">
        <v>210108</v>
      </c>
      <c r="C345" s="1">
        <v>8210001</v>
      </c>
      <c r="D345" s="537" t="s">
        <v>2644</v>
      </c>
      <c r="E345" s="537" t="s">
        <v>950</v>
      </c>
      <c r="F345" t="s">
        <v>2645</v>
      </c>
      <c r="G345"/>
      <c r="H345" s="537" t="s">
        <v>972</v>
      </c>
      <c r="I345" s="537" t="s">
        <v>973</v>
      </c>
      <c r="J345" s="537" t="s">
        <v>18</v>
      </c>
      <c r="K345" s="537" t="s">
        <v>57</v>
      </c>
      <c r="L345" s="61">
        <v>33896</v>
      </c>
      <c r="M345" s="1">
        <v>31</v>
      </c>
      <c r="N345" s="1">
        <v>1430</v>
      </c>
      <c r="O345" s="1" t="s">
        <v>974</v>
      </c>
      <c r="P345" s="1">
        <v>2020</v>
      </c>
      <c r="Q345" s="537"/>
      <c r="R345" s="1">
        <v>590</v>
      </c>
      <c r="S345">
        <v>360000</v>
      </c>
      <c r="T345">
        <v>18018</v>
      </c>
      <c r="U345" t="s">
        <v>2639</v>
      </c>
      <c r="V345">
        <v>32940</v>
      </c>
      <c r="W345" s="1">
        <v>45409</v>
      </c>
      <c r="X345" s="537" t="s">
        <v>65</v>
      </c>
      <c r="Y345" s="537" t="s">
        <v>60</v>
      </c>
      <c r="Z345" s="1" t="s">
        <v>1501</v>
      </c>
      <c r="AA345" s="537" t="s">
        <v>930</v>
      </c>
      <c r="AB345" s="537" t="s">
        <v>2371</v>
      </c>
      <c r="AC345" s="1" t="s">
        <v>63</v>
      </c>
      <c r="AD345" s="61">
        <v>44202</v>
      </c>
      <c r="AE345" s="61"/>
      <c r="AF345" s="61"/>
      <c r="AG345" s="1">
        <v>44197</v>
      </c>
      <c r="AH345" s="537" t="s">
        <v>976</v>
      </c>
      <c r="AI345" s="537" t="s">
        <v>86</v>
      </c>
      <c r="AJ345" s="1">
        <v>438</v>
      </c>
      <c r="AK345" s="537" t="s">
        <v>223</v>
      </c>
      <c r="AL345" s="1" t="s">
        <v>977</v>
      </c>
      <c r="AM345" s="537" t="s">
        <v>64</v>
      </c>
      <c r="AN345" s="537"/>
    </row>
    <row r="346" spans="1:40" hidden="1">
      <c r="A346" s="537" t="s">
        <v>179</v>
      </c>
      <c r="B346" s="1">
        <v>210109</v>
      </c>
      <c r="C346" s="1">
        <v>8210002</v>
      </c>
      <c r="D346" s="537" t="s">
        <v>2644</v>
      </c>
      <c r="E346" s="537" t="s">
        <v>978</v>
      </c>
      <c r="F346"/>
      <c r="G346"/>
      <c r="H346" s="537" t="s">
        <v>979</v>
      </c>
      <c r="I346" s="537" t="s">
        <v>980</v>
      </c>
      <c r="J346" s="537" t="s">
        <v>18</v>
      </c>
      <c r="K346" s="537" t="s">
        <v>57</v>
      </c>
      <c r="L346" s="61">
        <v>33410</v>
      </c>
      <c r="M346" s="1">
        <v>32</v>
      </c>
      <c r="N346" s="1">
        <v>1460</v>
      </c>
      <c r="O346" s="1" t="s">
        <v>981</v>
      </c>
      <c r="P346" s="1">
        <v>2050</v>
      </c>
      <c r="Q346" s="537"/>
      <c r="R346" s="1">
        <v>590</v>
      </c>
      <c r="S346"/>
      <c r="T346" t="s">
        <v>65</v>
      </c>
      <c r="U346" t="s">
        <v>2639</v>
      </c>
      <c r="V346" t="s">
        <v>65</v>
      </c>
      <c r="W346" s="1">
        <v>45822</v>
      </c>
      <c r="X346" s="537" t="s">
        <v>65</v>
      </c>
      <c r="Y346" s="537" t="s">
        <v>60</v>
      </c>
      <c r="Z346" s="1" t="s">
        <v>975</v>
      </c>
      <c r="AA346" s="537" t="s">
        <v>956</v>
      </c>
      <c r="AB346" s="537" t="s">
        <v>982</v>
      </c>
      <c r="AC346" s="1">
        <v>44682</v>
      </c>
      <c r="AD346" s="61">
        <v>44202</v>
      </c>
      <c r="AE346" s="61">
        <v>44803</v>
      </c>
      <c r="AF346" s="61"/>
      <c r="AG346" s="1">
        <v>44197</v>
      </c>
      <c r="AH346" s="537"/>
      <c r="AI346" s="537"/>
      <c r="AK346" s="537"/>
      <c r="AM346" s="537" t="s">
        <v>64</v>
      </c>
      <c r="AN346" s="537"/>
    </row>
    <row r="347" spans="1:40" hidden="1">
      <c r="A347" s="537" t="s">
        <v>179</v>
      </c>
      <c r="B347" s="1">
        <v>210107</v>
      </c>
      <c r="C347" s="1">
        <v>8210003</v>
      </c>
      <c r="D347" s="537" t="s">
        <v>2644</v>
      </c>
      <c r="E347" s="537" t="s">
        <v>950</v>
      </c>
      <c r="F347"/>
      <c r="G347"/>
      <c r="H347" s="537" t="s">
        <v>983</v>
      </c>
      <c r="I347" s="537" t="s">
        <v>984</v>
      </c>
      <c r="J347" s="537" t="s">
        <v>18</v>
      </c>
      <c r="K347" s="537" t="s">
        <v>57</v>
      </c>
      <c r="L347" s="61">
        <v>33227</v>
      </c>
      <c r="M347" s="1">
        <v>32</v>
      </c>
      <c r="N347" s="1">
        <v>1430</v>
      </c>
      <c r="O347" s="1" t="s">
        <v>974</v>
      </c>
      <c r="P347" s="1">
        <v>2020</v>
      </c>
      <c r="Q347" s="537"/>
      <c r="R347" s="1">
        <v>590</v>
      </c>
      <c r="S347"/>
      <c r="T347" t="s">
        <v>65</v>
      </c>
      <c r="U347" t="s">
        <v>2639</v>
      </c>
      <c r="V347" t="s">
        <v>65</v>
      </c>
      <c r="W347" s="1">
        <v>45443</v>
      </c>
      <c r="X347" s="537" t="s">
        <v>65</v>
      </c>
      <c r="Y347" s="537" t="s">
        <v>60</v>
      </c>
      <c r="Z347" s="1" t="s">
        <v>975</v>
      </c>
      <c r="AA347" s="537" t="s">
        <v>985</v>
      </c>
      <c r="AB347" s="537" t="s">
        <v>986</v>
      </c>
      <c r="AC347" s="1">
        <v>44255</v>
      </c>
      <c r="AD347" s="61">
        <v>44202</v>
      </c>
      <c r="AE347" s="61">
        <v>44911</v>
      </c>
      <c r="AF347" s="61"/>
      <c r="AG347" s="1">
        <v>44197</v>
      </c>
      <c r="AH347" s="537" t="s">
        <v>987</v>
      </c>
      <c r="AI347" s="537" t="s">
        <v>86</v>
      </c>
      <c r="AJ347" s="1">
        <v>408</v>
      </c>
      <c r="AK347" s="537" t="s">
        <v>87</v>
      </c>
      <c r="AL347" s="1" t="s">
        <v>988</v>
      </c>
      <c r="AM347" s="537" t="s">
        <v>64</v>
      </c>
      <c r="AN347" s="537"/>
    </row>
    <row r="348" spans="1:40" hidden="1">
      <c r="A348" s="537" t="s">
        <v>54</v>
      </c>
      <c r="B348" s="1">
        <v>210106</v>
      </c>
      <c r="C348" s="1">
        <v>8210004</v>
      </c>
      <c r="D348" s="537" t="s">
        <v>2640</v>
      </c>
      <c r="E348" s="537" t="s">
        <v>3447</v>
      </c>
      <c r="F348" t="s">
        <v>3448</v>
      </c>
      <c r="G348"/>
      <c r="H348" s="537" t="s">
        <v>989</v>
      </c>
      <c r="I348" s="537" t="s">
        <v>990</v>
      </c>
      <c r="J348" s="537" t="s">
        <v>18</v>
      </c>
      <c r="K348" s="537" t="s">
        <v>57</v>
      </c>
      <c r="L348" s="61">
        <v>32739</v>
      </c>
      <c r="M348" s="1">
        <v>34</v>
      </c>
      <c r="N348" s="1">
        <v>1430</v>
      </c>
      <c r="O348" s="1" t="s">
        <v>974</v>
      </c>
      <c r="P348" s="1">
        <v>2020</v>
      </c>
      <c r="Q348" s="537"/>
      <c r="R348" s="1">
        <v>590</v>
      </c>
      <c r="S348">
        <v>410000</v>
      </c>
      <c r="T348">
        <v>20520.5</v>
      </c>
      <c r="U348" t="s">
        <v>2639</v>
      </c>
      <c r="V348">
        <v>37515</v>
      </c>
      <c r="W348" s="1">
        <v>45738</v>
      </c>
      <c r="X348" s="537" t="s">
        <v>65</v>
      </c>
      <c r="Y348" s="537" t="s">
        <v>60</v>
      </c>
      <c r="Z348" s="1" t="s">
        <v>1501</v>
      </c>
      <c r="AA348" s="537" t="s">
        <v>930</v>
      </c>
      <c r="AB348" s="537" t="s">
        <v>991</v>
      </c>
      <c r="AC348" s="1" t="s">
        <v>63</v>
      </c>
      <c r="AD348" s="61">
        <v>44202</v>
      </c>
      <c r="AE348" s="61"/>
      <c r="AF348" s="61"/>
      <c r="AG348" s="1">
        <v>44197</v>
      </c>
      <c r="AH348" s="537" t="s">
        <v>992</v>
      </c>
      <c r="AI348" s="537" t="s">
        <v>86</v>
      </c>
      <c r="AJ348" s="1">
        <v>208</v>
      </c>
      <c r="AK348" s="537" t="s">
        <v>151</v>
      </c>
      <c r="AL348" s="1" t="s">
        <v>993</v>
      </c>
      <c r="AM348" s="537" t="s">
        <v>64</v>
      </c>
      <c r="AN348" s="537"/>
    </row>
    <row r="349" spans="1:40" hidden="1">
      <c r="A349" s="537" t="s">
        <v>179</v>
      </c>
      <c r="B349" s="1">
        <v>200803</v>
      </c>
      <c r="C349" s="1">
        <v>8210005</v>
      </c>
      <c r="D349" s="537" t="s">
        <v>2640</v>
      </c>
      <c r="E349" s="537" t="s">
        <v>925</v>
      </c>
      <c r="F349"/>
      <c r="G349"/>
      <c r="H349" s="537" t="s">
        <v>926</v>
      </c>
      <c r="I349" s="537" t="s">
        <v>927</v>
      </c>
      <c r="J349" s="537" t="s">
        <v>18</v>
      </c>
      <c r="K349" s="537" t="s">
        <v>57</v>
      </c>
      <c r="L349" s="61">
        <v>34939</v>
      </c>
      <c r="M349" s="1">
        <v>28</v>
      </c>
      <c r="N349" s="1">
        <v>1400</v>
      </c>
      <c r="O349" s="1" t="s">
        <v>928</v>
      </c>
      <c r="P349" s="1">
        <v>1990</v>
      </c>
      <c r="Q349" s="537"/>
      <c r="R349" s="1">
        <v>590</v>
      </c>
      <c r="S349"/>
      <c r="T349" t="s">
        <v>65</v>
      </c>
      <c r="U349" t="s">
        <v>2639</v>
      </c>
      <c r="V349" t="s">
        <v>65</v>
      </c>
      <c r="W349" s="1">
        <v>44988</v>
      </c>
      <c r="X349" s="537" t="s">
        <v>59</v>
      </c>
      <c r="Y349" s="537" t="s">
        <v>60</v>
      </c>
      <c r="Z349" s="1" t="s">
        <v>1501</v>
      </c>
      <c r="AA349" s="537" t="s">
        <v>930</v>
      </c>
      <c r="AB349" s="537" t="s">
        <v>931</v>
      </c>
      <c r="AC349" s="1" t="s">
        <v>63</v>
      </c>
      <c r="AD349" s="61">
        <v>44064</v>
      </c>
      <c r="AE349" s="61">
        <v>44923</v>
      </c>
      <c r="AF349" s="61">
        <v>44619</v>
      </c>
      <c r="AG349" s="1" t="s">
        <v>64</v>
      </c>
      <c r="AH349" s="537"/>
      <c r="AI349" s="537"/>
      <c r="AK349" s="537"/>
      <c r="AM349" s="537" t="s">
        <v>64</v>
      </c>
      <c r="AN349" s="537" t="s">
        <v>932</v>
      </c>
    </row>
    <row r="350" spans="1:40" hidden="1">
      <c r="A350" s="537" t="s">
        <v>54</v>
      </c>
      <c r="B350" s="1">
        <v>200803</v>
      </c>
      <c r="C350" s="1">
        <v>8210005</v>
      </c>
      <c r="D350" s="537" t="s">
        <v>2640</v>
      </c>
      <c r="E350" s="537" t="s">
        <v>2859</v>
      </c>
      <c r="F350" t="s">
        <v>2859</v>
      </c>
      <c r="G350"/>
      <c r="H350" s="537" t="s">
        <v>926</v>
      </c>
      <c r="I350" s="537" t="s">
        <v>927</v>
      </c>
      <c r="J350" s="537" t="s">
        <v>18</v>
      </c>
      <c r="K350" s="537" t="s">
        <v>57</v>
      </c>
      <c r="L350" s="61">
        <v>34939</v>
      </c>
      <c r="M350" s="1">
        <v>28</v>
      </c>
      <c r="N350" s="1">
        <v>1500</v>
      </c>
      <c r="P350" s="1">
        <v>1990</v>
      </c>
      <c r="Q350" s="537"/>
      <c r="R350" s="1">
        <v>490</v>
      </c>
      <c r="S350">
        <v>380000</v>
      </c>
      <c r="T350">
        <v>19019</v>
      </c>
      <c r="U350" t="s">
        <v>2639</v>
      </c>
      <c r="V350">
        <v>34770</v>
      </c>
      <c r="W350" s="1">
        <v>46084</v>
      </c>
      <c r="X350" s="537" t="s">
        <v>65</v>
      </c>
      <c r="Y350" s="537" t="s">
        <v>60</v>
      </c>
      <c r="Z350" s="1" t="s">
        <v>1501</v>
      </c>
      <c r="AA350" s="537" t="s">
        <v>930</v>
      </c>
      <c r="AB350" s="537" t="s">
        <v>931</v>
      </c>
      <c r="AC350" s="1" t="s">
        <v>63</v>
      </c>
      <c r="AD350" s="61">
        <v>44984</v>
      </c>
      <c r="AE350" s="61"/>
      <c r="AF350" s="61"/>
      <c r="AG350" s="1" t="s">
        <v>2860</v>
      </c>
      <c r="AH350" s="537"/>
      <c r="AI350" s="537"/>
      <c r="AK350" s="537"/>
      <c r="AM350" s="537" t="s">
        <v>2843</v>
      </c>
      <c r="AN350" s="537"/>
    </row>
    <row r="351" spans="1:40" hidden="1">
      <c r="A351" s="537" t="s">
        <v>54</v>
      </c>
      <c r="B351" s="1">
        <v>210401</v>
      </c>
      <c r="C351" s="1">
        <v>8210007</v>
      </c>
      <c r="D351" s="537" t="s">
        <v>2655</v>
      </c>
      <c r="E351" s="537" t="s">
        <v>2656</v>
      </c>
      <c r="F351" t="s">
        <v>2656</v>
      </c>
      <c r="G351"/>
      <c r="H351" s="537" t="s">
        <v>1082</v>
      </c>
      <c r="I351" s="537" t="s">
        <v>1083</v>
      </c>
      <c r="J351" s="537" t="s">
        <v>18</v>
      </c>
      <c r="K351" s="537" t="s">
        <v>57</v>
      </c>
      <c r="L351" s="61">
        <v>31202</v>
      </c>
      <c r="M351" s="1">
        <v>38</v>
      </c>
      <c r="N351" s="1">
        <v>1460</v>
      </c>
      <c r="O351" s="1" t="s">
        <v>974</v>
      </c>
      <c r="P351" s="1">
        <v>2050</v>
      </c>
      <c r="Q351" s="537"/>
      <c r="R351" s="1">
        <v>590</v>
      </c>
      <c r="S351">
        <v>360000</v>
      </c>
      <c r="T351">
        <v>18018</v>
      </c>
      <c r="U351" t="s">
        <v>2639</v>
      </c>
      <c r="V351">
        <v>32940</v>
      </c>
      <c r="W351" s="1">
        <v>45387</v>
      </c>
      <c r="X351" s="537" t="s">
        <v>65</v>
      </c>
      <c r="Y351" s="537" t="s">
        <v>60</v>
      </c>
      <c r="Z351" s="1" t="s">
        <v>1084</v>
      </c>
      <c r="AA351" s="537" t="s">
        <v>1085</v>
      </c>
      <c r="AB351" s="537" t="s">
        <v>1086</v>
      </c>
      <c r="AC351" s="1" t="s">
        <v>63</v>
      </c>
      <c r="AD351" s="61">
        <v>44287</v>
      </c>
      <c r="AE351" s="61"/>
      <c r="AF351" s="61"/>
      <c r="AG351" s="1">
        <v>44348</v>
      </c>
      <c r="AH351" s="537" t="s">
        <v>1083</v>
      </c>
      <c r="AI351" s="537" t="s">
        <v>86</v>
      </c>
      <c r="AJ351" s="1">
        <v>248</v>
      </c>
      <c r="AK351" s="537" t="s">
        <v>224</v>
      </c>
      <c r="AL351" s="1" t="s">
        <v>1087</v>
      </c>
      <c r="AM351" s="537" t="s">
        <v>64</v>
      </c>
      <c r="AN351" s="537"/>
    </row>
    <row r="352" spans="1:40" hidden="1">
      <c r="A352" s="537" t="s">
        <v>179</v>
      </c>
      <c r="B352" s="1">
        <v>210403</v>
      </c>
      <c r="C352" s="1">
        <v>8210008</v>
      </c>
      <c r="D352" s="537" t="s">
        <v>2644</v>
      </c>
      <c r="E352" s="537" t="s">
        <v>950</v>
      </c>
      <c r="F352"/>
      <c r="G352"/>
      <c r="H352" s="537" t="s">
        <v>1075</v>
      </c>
      <c r="I352" s="537" t="s">
        <v>1076</v>
      </c>
      <c r="J352" s="537" t="s">
        <v>18</v>
      </c>
      <c r="K352" s="537" t="s">
        <v>57</v>
      </c>
      <c r="L352" s="61">
        <v>30126</v>
      </c>
      <c r="M352" s="1">
        <v>41</v>
      </c>
      <c r="N352" s="1">
        <v>1400</v>
      </c>
      <c r="P352" s="1">
        <v>1990</v>
      </c>
      <c r="Q352" s="537"/>
      <c r="R352" s="1">
        <v>590</v>
      </c>
      <c r="S352">
        <v>360000</v>
      </c>
      <c r="T352">
        <v>18018</v>
      </c>
      <c r="U352">
        <v>3275.9999999999964</v>
      </c>
      <c r="V352">
        <v>32940</v>
      </c>
      <c r="W352" s="1">
        <v>45671</v>
      </c>
      <c r="X352" s="537" t="s">
        <v>65</v>
      </c>
      <c r="Y352" s="537" t="s">
        <v>60</v>
      </c>
      <c r="Z352" s="1" t="s">
        <v>1077</v>
      </c>
      <c r="AA352" s="537" t="s">
        <v>1078</v>
      </c>
      <c r="AB352" s="537" t="s">
        <v>1079</v>
      </c>
      <c r="AC352" s="1" t="s">
        <v>63</v>
      </c>
      <c r="AD352" s="61">
        <v>44287</v>
      </c>
      <c r="AE352" s="61">
        <v>45002</v>
      </c>
      <c r="AF352" s="61"/>
      <c r="AG352" s="1">
        <v>44348</v>
      </c>
      <c r="AH352" s="537" t="s">
        <v>1080</v>
      </c>
      <c r="AI352" s="537" t="s">
        <v>86</v>
      </c>
      <c r="AJ352" s="1">
        <v>208</v>
      </c>
      <c r="AK352" s="537" t="s">
        <v>151</v>
      </c>
      <c r="AL352" s="1" t="s">
        <v>1081</v>
      </c>
      <c r="AM352" s="537" t="s">
        <v>64</v>
      </c>
      <c r="AN352" s="537"/>
    </row>
    <row r="353" spans="1:40" hidden="1">
      <c r="A353" s="537" t="s">
        <v>54</v>
      </c>
      <c r="B353" s="1">
        <v>210405</v>
      </c>
      <c r="C353" s="1">
        <v>8210009</v>
      </c>
      <c r="D353" s="537" t="s">
        <v>2640</v>
      </c>
      <c r="E353" s="537" t="s">
        <v>2657</v>
      </c>
      <c r="F353" t="s">
        <v>2657</v>
      </c>
      <c r="G353"/>
      <c r="H353" s="537" t="s">
        <v>1089</v>
      </c>
      <c r="I353" s="537" t="s">
        <v>1090</v>
      </c>
      <c r="J353" s="537" t="s">
        <v>18</v>
      </c>
      <c r="K353" s="537" t="s">
        <v>57</v>
      </c>
      <c r="L353" s="61">
        <v>33072</v>
      </c>
      <c r="M353" s="1">
        <v>33</v>
      </c>
      <c r="N353" s="1">
        <v>1500</v>
      </c>
      <c r="O353" s="1" t="s">
        <v>1091</v>
      </c>
      <c r="P353" s="1">
        <v>1990</v>
      </c>
      <c r="Q353" s="537"/>
      <c r="R353" s="1">
        <v>490</v>
      </c>
      <c r="S353">
        <v>360000</v>
      </c>
      <c r="T353">
        <v>18018</v>
      </c>
      <c r="U353" t="s">
        <v>2639</v>
      </c>
      <c r="V353">
        <v>32940</v>
      </c>
      <c r="W353" s="1">
        <v>45436</v>
      </c>
      <c r="X353" s="537" t="s">
        <v>65</v>
      </c>
      <c r="Y353" s="537" t="s">
        <v>60</v>
      </c>
      <c r="Z353" s="1" t="s">
        <v>1092</v>
      </c>
      <c r="AA353" s="537" t="s">
        <v>1093</v>
      </c>
      <c r="AB353" s="537" t="s">
        <v>1094</v>
      </c>
      <c r="AC353" s="1" t="s">
        <v>63</v>
      </c>
      <c r="AD353" s="61">
        <v>44291</v>
      </c>
      <c r="AE353" s="61"/>
      <c r="AF353" s="61">
        <v>44508</v>
      </c>
      <c r="AG353" s="1">
        <v>44348</v>
      </c>
      <c r="AH353" s="537" t="s">
        <v>1090</v>
      </c>
      <c r="AI353" s="537" t="s">
        <v>86</v>
      </c>
      <c r="AJ353" s="1">
        <v>208</v>
      </c>
      <c r="AK353" s="537" t="s">
        <v>151</v>
      </c>
      <c r="AL353" s="1" t="s">
        <v>1095</v>
      </c>
      <c r="AM353" s="537" t="s">
        <v>64</v>
      </c>
      <c r="AN353" s="537"/>
    </row>
    <row r="354" spans="1:40" hidden="1">
      <c r="A354" s="537" t="s">
        <v>179</v>
      </c>
      <c r="B354" s="1">
        <v>210404</v>
      </c>
      <c r="C354" s="1">
        <v>8210010</v>
      </c>
      <c r="D354" s="537" t="s">
        <v>2640</v>
      </c>
      <c r="E354" s="537" t="s">
        <v>1096</v>
      </c>
      <c r="F354"/>
      <c r="G354"/>
      <c r="H354" s="537" t="s">
        <v>1097</v>
      </c>
      <c r="I354" s="537" t="s">
        <v>1098</v>
      </c>
      <c r="J354" s="537" t="s">
        <v>18</v>
      </c>
      <c r="K354" s="537" t="s">
        <v>57</v>
      </c>
      <c r="L354" s="61">
        <v>34845</v>
      </c>
      <c r="M354" s="1">
        <v>28</v>
      </c>
      <c r="N354" s="1">
        <v>1500</v>
      </c>
      <c r="O354" s="1" t="s">
        <v>1099</v>
      </c>
      <c r="P354" s="1">
        <v>1990</v>
      </c>
      <c r="Q354" s="537"/>
      <c r="R354" s="1">
        <v>490</v>
      </c>
      <c r="S354"/>
      <c r="T354" t="s">
        <v>65</v>
      </c>
      <c r="U354" t="s">
        <v>2639</v>
      </c>
      <c r="V354" t="s">
        <v>65</v>
      </c>
      <c r="W354" s="1">
        <v>45486</v>
      </c>
      <c r="X354" s="537" t="s">
        <v>65</v>
      </c>
      <c r="Y354" s="537" t="s">
        <v>60</v>
      </c>
      <c r="Z354" s="1" t="s">
        <v>1100</v>
      </c>
      <c r="AA354" s="537" t="s">
        <v>1101</v>
      </c>
      <c r="AB354" s="537" t="s">
        <v>1102</v>
      </c>
      <c r="AC354" s="1">
        <v>44289</v>
      </c>
      <c r="AD354" s="61">
        <v>44291</v>
      </c>
      <c r="AE354" s="61">
        <v>44916</v>
      </c>
      <c r="AF354" s="61"/>
      <c r="AG354" s="1">
        <v>44348</v>
      </c>
      <c r="AH354" s="537" t="s">
        <v>1098</v>
      </c>
      <c r="AI354" s="537" t="s">
        <v>86</v>
      </c>
      <c r="AK354" s="537"/>
      <c r="AL354" s="1" t="s">
        <v>1103</v>
      </c>
      <c r="AM354" s="537" t="s">
        <v>64</v>
      </c>
      <c r="AN354" s="537"/>
    </row>
    <row r="355" spans="1:40" hidden="1">
      <c r="A355" s="537" t="s">
        <v>54</v>
      </c>
      <c r="B355" s="1">
        <v>210608</v>
      </c>
      <c r="C355" s="1">
        <v>8210012</v>
      </c>
      <c r="D355" s="537" t="s">
        <v>2655</v>
      </c>
      <c r="E355" s="537" t="s">
        <v>2656</v>
      </c>
      <c r="F355" t="s">
        <v>2656</v>
      </c>
      <c r="G355"/>
      <c r="H355" s="537" t="s">
        <v>1203</v>
      </c>
      <c r="I355" s="537" t="s">
        <v>1204</v>
      </c>
      <c r="J355" s="537" t="s">
        <v>18</v>
      </c>
      <c r="K355" s="537" t="s">
        <v>57</v>
      </c>
      <c r="L355" s="61">
        <v>32203</v>
      </c>
      <c r="M355" s="1">
        <v>35</v>
      </c>
      <c r="N355" s="1">
        <v>1400</v>
      </c>
      <c r="P355" s="1">
        <v>1990</v>
      </c>
      <c r="Q355" s="537"/>
      <c r="R355" s="1">
        <v>590</v>
      </c>
      <c r="S355">
        <v>340000</v>
      </c>
      <c r="T355">
        <v>17017</v>
      </c>
      <c r="U355" t="s">
        <v>2639</v>
      </c>
      <c r="V355">
        <v>31110</v>
      </c>
      <c r="W355" s="1">
        <v>45388</v>
      </c>
      <c r="X355" s="537" t="s">
        <v>65</v>
      </c>
      <c r="Y355" s="537" t="s">
        <v>60</v>
      </c>
      <c r="Z355" s="1" t="s">
        <v>1100</v>
      </c>
      <c r="AA355" s="537" t="s">
        <v>1101</v>
      </c>
      <c r="AB355" s="537" t="s">
        <v>1102</v>
      </c>
      <c r="AC355" s="1">
        <v>44472</v>
      </c>
      <c r="AD355" s="61">
        <v>44361</v>
      </c>
      <c r="AE355" s="61"/>
      <c r="AF355" s="61"/>
      <c r="AG355" s="1">
        <v>44409</v>
      </c>
      <c r="AH355" s="537" t="s">
        <v>1204</v>
      </c>
      <c r="AI355" s="537" t="s">
        <v>86</v>
      </c>
      <c r="AJ355" s="1">
        <v>208</v>
      </c>
      <c r="AK355" s="537" t="s">
        <v>151</v>
      </c>
      <c r="AL355" s="1" t="s">
        <v>1205</v>
      </c>
      <c r="AM355" s="537" t="s">
        <v>64</v>
      </c>
      <c r="AN355" s="537"/>
    </row>
    <row r="356" spans="1:40" hidden="1">
      <c r="A356" s="537" t="s">
        <v>179</v>
      </c>
      <c r="B356" s="1">
        <v>210813</v>
      </c>
      <c r="C356" s="1">
        <v>8210014</v>
      </c>
      <c r="D356" s="537" t="s">
        <v>2640</v>
      </c>
      <c r="E356" s="537" t="s">
        <v>1088</v>
      </c>
      <c r="F356" t="s">
        <v>788</v>
      </c>
      <c r="G356"/>
      <c r="H356" s="537" t="s">
        <v>1269</v>
      </c>
      <c r="I356" s="537" t="s">
        <v>1270</v>
      </c>
      <c r="J356" s="537" t="s">
        <v>18</v>
      </c>
      <c r="K356" s="537" t="s">
        <v>57</v>
      </c>
      <c r="L356" s="61">
        <v>34304</v>
      </c>
      <c r="M356" s="1">
        <v>30</v>
      </c>
      <c r="N356" s="1">
        <v>1400</v>
      </c>
      <c r="P356" s="1">
        <v>1990</v>
      </c>
      <c r="Q356" s="537"/>
      <c r="R356" s="1">
        <v>590</v>
      </c>
      <c r="S356"/>
      <c r="T356" t="s">
        <v>65</v>
      </c>
      <c r="U356" t="s">
        <v>2639</v>
      </c>
      <c r="V356" t="s">
        <v>65</v>
      </c>
      <c r="W356" s="1">
        <v>45085</v>
      </c>
      <c r="X356" s="537" t="s">
        <v>59</v>
      </c>
      <c r="Y356" s="537" t="s">
        <v>60</v>
      </c>
      <c r="Z356" s="1" t="s">
        <v>955</v>
      </c>
      <c r="AA356" s="537" t="s">
        <v>1271</v>
      </c>
      <c r="AB356" s="537" t="s">
        <v>1272</v>
      </c>
      <c r="AC356" s="1">
        <v>44424</v>
      </c>
      <c r="AD356" s="61">
        <v>44426</v>
      </c>
      <c r="AE356" s="61">
        <v>44785</v>
      </c>
      <c r="AF356" s="61"/>
      <c r="AG356" s="1">
        <v>44470</v>
      </c>
      <c r="AH356" s="537"/>
      <c r="AI356" s="537"/>
      <c r="AK356" s="537"/>
      <c r="AM356" s="537" t="s">
        <v>64</v>
      </c>
      <c r="AN356" s="537"/>
    </row>
    <row r="357" spans="1:40" hidden="1">
      <c r="A357" s="537" t="s">
        <v>54</v>
      </c>
      <c r="B357" s="1">
        <v>211012</v>
      </c>
      <c r="C357" s="1">
        <v>8210016</v>
      </c>
      <c r="D357" s="537" t="s">
        <v>2653</v>
      </c>
      <c r="E357" s="537" t="s">
        <v>2668</v>
      </c>
      <c r="F357" t="s">
        <v>2668</v>
      </c>
      <c r="G357"/>
      <c r="H357" s="537" t="s">
        <v>2669</v>
      </c>
      <c r="I357" s="537" t="s">
        <v>1381</v>
      </c>
      <c r="J357" s="537" t="s">
        <v>18</v>
      </c>
      <c r="K357" s="537" t="s">
        <v>57</v>
      </c>
      <c r="L357" s="61">
        <v>34946</v>
      </c>
      <c r="M357" s="1">
        <v>28</v>
      </c>
      <c r="N357" s="1">
        <v>1400</v>
      </c>
      <c r="P357" s="1">
        <v>1990</v>
      </c>
      <c r="Q357" s="537"/>
      <c r="R357" s="1">
        <v>590</v>
      </c>
      <c r="S357">
        <v>340000</v>
      </c>
      <c r="T357">
        <v>17017</v>
      </c>
      <c r="U357" t="s">
        <v>2639</v>
      </c>
      <c r="V357">
        <v>31110</v>
      </c>
      <c r="W357" s="1">
        <v>45531</v>
      </c>
      <c r="X357" s="537" t="s">
        <v>65</v>
      </c>
      <c r="Y357" s="537" t="s">
        <v>60</v>
      </c>
      <c r="Z357" s="1" t="s">
        <v>3067</v>
      </c>
      <c r="AA357" s="537" t="s">
        <v>3068</v>
      </c>
      <c r="AB357" s="537" t="s">
        <v>3069</v>
      </c>
      <c r="AC357" s="1" t="s">
        <v>63</v>
      </c>
      <c r="AD357" s="61">
        <v>44480</v>
      </c>
      <c r="AE357" s="61"/>
      <c r="AF357" s="61"/>
      <c r="AG357" s="1">
        <v>44531</v>
      </c>
      <c r="AH357" s="537" t="s">
        <v>1381</v>
      </c>
      <c r="AI357" s="537" t="s">
        <v>86</v>
      </c>
      <c r="AJ357" s="1">
        <v>208</v>
      </c>
      <c r="AK357" s="537" t="s">
        <v>151</v>
      </c>
      <c r="AL357" s="1" t="s">
        <v>1385</v>
      </c>
      <c r="AM357" s="537" t="s">
        <v>64</v>
      </c>
      <c r="AN357" s="537"/>
    </row>
    <row r="358" spans="1:40" hidden="1">
      <c r="A358" s="537" t="s">
        <v>179</v>
      </c>
      <c r="B358" s="1">
        <v>210905</v>
      </c>
      <c r="C358" s="1">
        <v>8210017</v>
      </c>
      <c r="D358" s="537" t="s">
        <v>2640</v>
      </c>
      <c r="E358" s="537" t="s">
        <v>1302</v>
      </c>
      <c r="F358" t="s">
        <v>2665</v>
      </c>
      <c r="G358"/>
      <c r="H358" s="537" t="s">
        <v>1303</v>
      </c>
      <c r="I358" s="537" t="s">
        <v>1304</v>
      </c>
      <c r="J358" s="537" t="s">
        <v>18</v>
      </c>
      <c r="K358" s="537" t="s">
        <v>57</v>
      </c>
      <c r="L358" s="61">
        <v>34036</v>
      </c>
      <c r="M358" s="1">
        <v>30</v>
      </c>
      <c r="N358" s="1">
        <v>1400</v>
      </c>
      <c r="P358" s="1">
        <v>1990</v>
      </c>
      <c r="Q358" s="537"/>
      <c r="R358" s="1">
        <v>590</v>
      </c>
      <c r="S358">
        <v>320000</v>
      </c>
      <c r="T358">
        <v>16015.999999999998</v>
      </c>
      <c r="U358" t="s">
        <v>2639</v>
      </c>
      <c r="V358">
        <v>29280</v>
      </c>
      <c r="W358" s="1">
        <v>45479</v>
      </c>
      <c r="X358" s="537" t="s">
        <v>65</v>
      </c>
      <c r="Y358" s="537" t="s">
        <v>60</v>
      </c>
      <c r="Z358" s="1" t="s">
        <v>1508</v>
      </c>
      <c r="AA358" s="537" t="s">
        <v>1509</v>
      </c>
      <c r="AB358" s="537" t="s">
        <v>1510</v>
      </c>
      <c r="AC358" s="1">
        <v>44890</v>
      </c>
      <c r="AD358" s="61">
        <v>44455</v>
      </c>
      <c r="AE358" s="61">
        <v>45240</v>
      </c>
      <c r="AF358" s="61"/>
      <c r="AG358" s="1">
        <v>44531</v>
      </c>
      <c r="AH358" s="537" t="s">
        <v>1308</v>
      </c>
      <c r="AI358" s="537" t="s">
        <v>86</v>
      </c>
      <c r="AJ358" s="1">
        <v>208</v>
      </c>
      <c r="AK358" s="537" t="s">
        <v>151</v>
      </c>
      <c r="AL358" s="1" t="s">
        <v>1309</v>
      </c>
      <c r="AM358" s="537" t="s">
        <v>64</v>
      </c>
      <c r="AN358" s="537"/>
    </row>
    <row r="359" spans="1:40" hidden="1">
      <c r="A359" s="537" t="s">
        <v>179</v>
      </c>
      <c r="B359" s="1">
        <v>211113</v>
      </c>
      <c r="C359" s="1">
        <v>8210019</v>
      </c>
      <c r="D359" s="537" t="s">
        <v>2640</v>
      </c>
      <c r="E359" s="537" t="s">
        <v>1461</v>
      </c>
      <c r="G359"/>
      <c r="H359" s="537" t="s">
        <v>1462</v>
      </c>
      <c r="I359" s="537" t="s">
        <v>1463</v>
      </c>
      <c r="J359" s="537" t="s">
        <v>18</v>
      </c>
      <c r="K359" s="537" t="s">
        <v>57</v>
      </c>
      <c r="L359" s="61">
        <v>35013</v>
      </c>
      <c r="M359" s="1">
        <v>28</v>
      </c>
      <c r="N359" s="1">
        <v>1400</v>
      </c>
      <c r="P359" s="1">
        <v>1990</v>
      </c>
      <c r="Q359" s="537"/>
      <c r="R359" s="1">
        <v>590</v>
      </c>
      <c r="S359"/>
      <c r="T359" t="s">
        <v>65</v>
      </c>
      <c r="U359" t="s">
        <v>2639</v>
      </c>
      <c r="V359" t="s">
        <v>65</v>
      </c>
      <c r="W359" s="1">
        <v>45115</v>
      </c>
      <c r="X359" s="537" t="s">
        <v>59</v>
      </c>
      <c r="Y359" s="537" t="s">
        <v>60</v>
      </c>
      <c r="Z359" s="1" t="s">
        <v>1305</v>
      </c>
      <c r="AA359" s="537" t="s">
        <v>1306</v>
      </c>
      <c r="AB359" s="537" t="s">
        <v>1307</v>
      </c>
      <c r="AC359" s="1">
        <v>44522</v>
      </c>
      <c r="AD359" s="61">
        <v>44523</v>
      </c>
      <c r="AE359" s="61">
        <v>44876</v>
      </c>
      <c r="AF359" s="61"/>
      <c r="AG359" s="1">
        <v>22.02</v>
      </c>
      <c r="AH359" s="537" t="s">
        <v>1463</v>
      </c>
      <c r="AI359" s="537" t="s">
        <v>86</v>
      </c>
      <c r="AJ359" s="1">
        <v>208</v>
      </c>
      <c r="AK359" s="537" t="s">
        <v>151</v>
      </c>
      <c r="AL359" s="1" t="s">
        <v>1464</v>
      </c>
      <c r="AM359" s="537" t="s">
        <v>64</v>
      </c>
      <c r="AN359" s="537"/>
    </row>
    <row r="360" spans="1:40" hidden="1">
      <c r="A360" s="537" t="s">
        <v>54</v>
      </c>
      <c r="B360" s="1">
        <v>211208</v>
      </c>
      <c r="C360" s="1">
        <v>8210020</v>
      </c>
      <c r="D360" s="537" t="s">
        <v>2640</v>
      </c>
      <c r="E360" s="537" t="s">
        <v>1498</v>
      </c>
      <c r="F360" t="s">
        <v>2672</v>
      </c>
      <c r="G360"/>
      <c r="H360" s="537" t="s">
        <v>1499</v>
      </c>
      <c r="I360" s="537" t="s">
        <v>1500</v>
      </c>
      <c r="J360" s="537" t="s">
        <v>18</v>
      </c>
      <c r="K360" s="537" t="s">
        <v>57</v>
      </c>
      <c r="L360" s="61">
        <v>33059</v>
      </c>
      <c r="M360" s="1">
        <v>33</v>
      </c>
      <c r="N360" s="1">
        <v>1400</v>
      </c>
      <c r="P360" s="1">
        <v>1990</v>
      </c>
      <c r="Q360" s="537"/>
      <c r="R360" s="1">
        <v>590</v>
      </c>
      <c r="S360">
        <v>340000</v>
      </c>
      <c r="T360">
        <v>17017</v>
      </c>
      <c r="U360" t="s">
        <v>2639</v>
      </c>
      <c r="V360">
        <v>31110</v>
      </c>
      <c r="W360" s="1">
        <v>45595</v>
      </c>
      <c r="X360" s="537" t="s">
        <v>65</v>
      </c>
      <c r="Y360" s="537" t="s">
        <v>60</v>
      </c>
      <c r="Z360" s="1" t="s">
        <v>1501</v>
      </c>
      <c r="AA360" s="537" t="s">
        <v>1502</v>
      </c>
      <c r="AB360" s="537" t="s">
        <v>1503</v>
      </c>
      <c r="AC360" s="1" t="s">
        <v>63</v>
      </c>
      <c r="AD360" s="61">
        <v>44543</v>
      </c>
      <c r="AE360" s="61"/>
      <c r="AF360" s="61"/>
      <c r="AG360" s="1">
        <v>22.01</v>
      </c>
      <c r="AH360" s="537" t="s">
        <v>1504</v>
      </c>
      <c r="AI360" s="537" t="s">
        <v>86</v>
      </c>
      <c r="AJ360" s="1">
        <v>208</v>
      </c>
      <c r="AK360" s="537" t="s">
        <v>151</v>
      </c>
      <c r="AL360" s="1" t="s">
        <v>1505</v>
      </c>
      <c r="AM360" s="537" t="s">
        <v>64</v>
      </c>
      <c r="AN360" s="537"/>
    </row>
    <row r="361" spans="1:40" hidden="1">
      <c r="A361" s="537" t="s">
        <v>179</v>
      </c>
      <c r="B361" s="1">
        <v>211209</v>
      </c>
      <c r="C361" s="1">
        <v>8210021</v>
      </c>
      <c r="D361" s="537" t="s">
        <v>2640</v>
      </c>
      <c r="E361" s="537" t="s">
        <v>925</v>
      </c>
      <c r="F361"/>
      <c r="G361"/>
      <c r="H361" s="537" t="s">
        <v>1506</v>
      </c>
      <c r="I361" s="537" t="s">
        <v>1507</v>
      </c>
      <c r="J361" s="537" t="s">
        <v>18</v>
      </c>
      <c r="K361" s="537" t="s">
        <v>57</v>
      </c>
      <c r="L361" s="61">
        <v>32092</v>
      </c>
      <c r="M361" s="1">
        <v>36</v>
      </c>
      <c r="N361" s="1">
        <v>1400</v>
      </c>
      <c r="P361" s="1">
        <v>1990</v>
      </c>
      <c r="Q361" s="537"/>
      <c r="R361" s="1">
        <v>590</v>
      </c>
      <c r="S361"/>
      <c r="T361" t="s">
        <v>65</v>
      </c>
      <c r="U361" t="s">
        <v>2639</v>
      </c>
      <c r="V361" t="s">
        <v>65</v>
      </c>
      <c r="W361" s="1">
        <v>45070</v>
      </c>
      <c r="X361" s="537" t="s">
        <v>59</v>
      </c>
      <c r="Y361" s="537" t="s">
        <v>60</v>
      </c>
      <c r="Z361" s="1" t="s">
        <v>1508</v>
      </c>
      <c r="AA361" s="537" t="s">
        <v>1509</v>
      </c>
      <c r="AB361" s="537" t="s">
        <v>1510</v>
      </c>
      <c r="AC361" s="1">
        <v>44539</v>
      </c>
      <c r="AD361" s="61">
        <v>44543</v>
      </c>
      <c r="AE361" s="61">
        <v>44816</v>
      </c>
      <c r="AF361" s="61"/>
      <c r="AG361" s="1">
        <v>22.02</v>
      </c>
      <c r="AH361" s="537"/>
      <c r="AI361" s="537"/>
      <c r="AK361" s="537"/>
      <c r="AM361" s="537" t="s">
        <v>64</v>
      </c>
      <c r="AN361" s="537"/>
    </row>
    <row r="362" spans="1:40" hidden="1">
      <c r="A362" s="537" t="s">
        <v>179</v>
      </c>
      <c r="B362" s="1">
        <v>211212</v>
      </c>
      <c r="C362" s="1">
        <v>8210022</v>
      </c>
      <c r="D362" s="537" t="s">
        <v>2644</v>
      </c>
      <c r="E362" s="537" t="s">
        <v>1511</v>
      </c>
      <c r="F362" t="s">
        <v>2673</v>
      </c>
      <c r="G362"/>
      <c r="H362" s="537" t="s">
        <v>1512</v>
      </c>
      <c r="I362" s="537" t="s">
        <v>1513</v>
      </c>
      <c r="J362" s="537" t="s">
        <v>18</v>
      </c>
      <c r="K362" s="537" t="s">
        <v>57</v>
      </c>
      <c r="L362" s="61">
        <v>31479</v>
      </c>
      <c r="M362" s="1">
        <v>37</v>
      </c>
      <c r="N362" s="1">
        <v>1400</v>
      </c>
      <c r="P362" s="1">
        <v>1990</v>
      </c>
      <c r="Q362" s="537"/>
      <c r="R362" s="1">
        <v>590</v>
      </c>
      <c r="S362">
        <v>360000</v>
      </c>
      <c r="T362">
        <v>18018</v>
      </c>
      <c r="U362" t="s">
        <v>2639</v>
      </c>
      <c r="V362">
        <v>32940</v>
      </c>
      <c r="W362" s="1">
        <v>45408</v>
      </c>
      <c r="X362" s="537" t="s">
        <v>65</v>
      </c>
      <c r="Y362" s="537" t="s">
        <v>60</v>
      </c>
      <c r="Z362" s="1" t="s">
        <v>1514</v>
      </c>
      <c r="AA362" s="537" t="s">
        <v>1515</v>
      </c>
      <c r="AB362" s="537" t="s">
        <v>1516</v>
      </c>
      <c r="AC362" s="1" t="s">
        <v>63</v>
      </c>
      <c r="AD362" s="61">
        <v>44550</v>
      </c>
      <c r="AE362" s="61">
        <v>45128</v>
      </c>
      <c r="AF362" s="61"/>
      <c r="AG362" s="1">
        <v>22.02</v>
      </c>
      <c r="AH362" s="537" t="s">
        <v>1517</v>
      </c>
      <c r="AI362" s="537" t="s">
        <v>145</v>
      </c>
      <c r="AJ362" s="1">
        <v>587</v>
      </c>
      <c r="AK362" s="537" t="s">
        <v>1518</v>
      </c>
      <c r="AL362" s="1" t="s">
        <v>1519</v>
      </c>
      <c r="AM362" s="537" t="s">
        <v>64</v>
      </c>
      <c r="AN362" s="537"/>
    </row>
    <row r="363" spans="1:40" hidden="1">
      <c r="A363" s="537" t="s">
        <v>54</v>
      </c>
      <c r="B363" s="1">
        <v>201202</v>
      </c>
      <c r="C363" s="1">
        <v>8210023</v>
      </c>
      <c r="D363" s="537" t="s">
        <v>2644</v>
      </c>
      <c r="E363" s="537" t="s">
        <v>2645</v>
      </c>
      <c r="F363" s="1" t="s">
        <v>2645</v>
      </c>
      <c r="G363"/>
      <c r="H363" s="537" t="s">
        <v>951</v>
      </c>
      <c r="I363" s="537" t="s">
        <v>952</v>
      </c>
      <c r="J363" s="537" t="s">
        <v>18</v>
      </c>
      <c r="K363" s="537" t="s">
        <v>57</v>
      </c>
      <c r="L363" s="61">
        <v>35115</v>
      </c>
      <c r="M363" s="1">
        <v>27</v>
      </c>
      <c r="N363" s="1">
        <v>1400</v>
      </c>
      <c r="O363" s="1" t="s">
        <v>953</v>
      </c>
      <c r="P363" s="1">
        <v>1990</v>
      </c>
      <c r="Q363" s="537" t="s">
        <v>954</v>
      </c>
      <c r="R363" s="1">
        <v>590</v>
      </c>
      <c r="S363">
        <v>300000</v>
      </c>
      <c r="T363">
        <v>15014.999999999998</v>
      </c>
      <c r="U363" t="s">
        <v>2639</v>
      </c>
      <c r="V363">
        <v>27450</v>
      </c>
      <c r="W363" s="1">
        <v>45564</v>
      </c>
      <c r="X363" s="537" t="s">
        <v>65</v>
      </c>
      <c r="Y363" s="537" t="s">
        <v>60</v>
      </c>
      <c r="Z363" s="1" t="s">
        <v>975</v>
      </c>
      <c r="AA363" s="537" t="s">
        <v>985</v>
      </c>
      <c r="AB363" s="537" t="s">
        <v>986</v>
      </c>
      <c r="AC363" s="1">
        <v>44164</v>
      </c>
      <c r="AD363" s="61">
        <v>44166</v>
      </c>
      <c r="AE363" s="61"/>
      <c r="AF363" s="61"/>
      <c r="AG363" s="1">
        <v>44228</v>
      </c>
      <c r="AH363" s="537" t="s">
        <v>958</v>
      </c>
      <c r="AI363" s="537" t="s">
        <v>86</v>
      </c>
      <c r="AJ363" s="1">
        <v>828</v>
      </c>
      <c r="AK363" s="537" t="s">
        <v>959</v>
      </c>
      <c r="AL363" s="1" t="s">
        <v>960</v>
      </c>
      <c r="AM363" s="537" t="s">
        <v>64</v>
      </c>
      <c r="AN363" s="537" t="s">
        <v>961</v>
      </c>
    </row>
    <row r="364" spans="1:40" hidden="1">
      <c r="A364" s="537" t="s">
        <v>54</v>
      </c>
      <c r="B364" s="1">
        <v>211211</v>
      </c>
      <c r="C364" s="1">
        <v>8210024</v>
      </c>
      <c r="D364" s="537" t="s">
        <v>2644</v>
      </c>
      <c r="E364" s="537" t="s">
        <v>2645</v>
      </c>
      <c r="F364" t="s">
        <v>2645</v>
      </c>
      <c r="G364"/>
      <c r="H364" s="537" t="s">
        <v>1520</v>
      </c>
      <c r="I364" s="537" t="s">
        <v>1521</v>
      </c>
      <c r="J364" s="537" t="s">
        <v>18</v>
      </c>
      <c r="K364" s="537" t="s">
        <v>57</v>
      </c>
      <c r="L364" s="61">
        <v>33865</v>
      </c>
      <c r="M364" s="1">
        <v>31</v>
      </c>
      <c r="N364" s="1">
        <v>1400</v>
      </c>
      <c r="P364" s="1">
        <v>1990</v>
      </c>
      <c r="Q364" s="537"/>
      <c r="R364" s="1">
        <v>590</v>
      </c>
      <c r="S364">
        <v>360000</v>
      </c>
      <c r="T364">
        <v>18018</v>
      </c>
      <c r="U364" t="s">
        <v>2639</v>
      </c>
      <c r="V364">
        <v>32940</v>
      </c>
      <c r="W364" s="1">
        <v>45266</v>
      </c>
      <c r="X364" s="537" t="s">
        <v>59</v>
      </c>
      <c r="Y364" s="537" t="s">
        <v>60</v>
      </c>
      <c r="Z364" s="1" t="s">
        <v>975</v>
      </c>
      <c r="AA364" s="537" t="s">
        <v>3072</v>
      </c>
      <c r="AB364" s="537" t="s">
        <v>3073</v>
      </c>
      <c r="AC364" s="1" t="s">
        <v>63</v>
      </c>
      <c r="AD364" s="61">
        <v>44550</v>
      </c>
      <c r="AE364" s="61">
        <v>45288</v>
      </c>
      <c r="AF364" s="61"/>
      <c r="AG364" s="1">
        <v>22.01</v>
      </c>
      <c r="AH364" s="537" t="s">
        <v>1522</v>
      </c>
      <c r="AI364" s="537" t="s">
        <v>86</v>
      </c>
      <c r="AJ364" s="1">
        <v>538</v>
      </c>
      <c r="AK364" s="537" t="s">
        <v>1523</v>
      </c>
      <c r="AL364" s="1" t="s">
        <v>1524</v>
      </c>
      <c r="AM364" s="537" t="s">
        <v>64</v>
      </c>
      <c r="AN364" s="537"/>
    </row>
    <row r="365" spans="1:40" hidden="1">
      <c r="A365" s="537" t="s">
        <v>179</v>
      </c>
      <c r="B365" s="1">
        <v>211213</v>
      </c>
      <c r="C365" s="1">
        <v>8210025</v>
      </c>
      <c r="D365" s="537" t="s">
        <v>2640</v>
      </c>
      <c r="E365" s="537" t="s">
        <v>925</v>
      </c>
      <c r="F365"/>
      <c r="G365"/>
      <c r="H365" s="537" t="s">
        <v>1532</v>
      </c>
      <c r="I365" s="537" t="s">
        <v>1533</v>
      </c>
      <c r="J365" s="537" t="s">
        <v>18</v>
      </c>
      <c r="K365" s="537" t="s">
        <v>57</v>
      </c>
      <c r="L365" s="61">
        <v>34548</v>
      </c>
      <c r="M365" s="1">
        <v>29</v>
      </c>
      <c r="N365" s="1">
        <v>1400</v>
      </c>
      <c r="P365" s="1">
        <v>1990</v>
      </c>
      <c r="Q365" s="537"/>
      <c r="R365" s="1">
        <v>590</v>
      </c>
      <c r="S365"/>
      <c r="T365" t="s">
        <v>65</v>
      </c>
      <c r="U365" t="s">
        <v>2639</v>
      </c>
      <c r="V365" t="s">
        <v>65</v>
      </c>
      <c r="W365" s="1">
        <v>45118</v>
      </c>
      <c r="X365" s="537" t="s">
        <v>59</v>
      </c>
      <c r="Y365" s="537" t="s">
        <v>60</v>
      </c>
      <c r="Z365" s="1" t="s">
        <v>1508</v>
      </c>
      <c r="AA365" s="537" t="s">
        <v>1509</v>
      </c>
      <c r="AB365" s="537" t="s">
        <v>1510</v>
      </c>
      <c r="AC365" s="1">
        <v>44555</v>
      </c>
      <c r="AD365" s="61">
        <v>44550</v>
      </c>
      <c r="AE365" s="61">
        <v>44742</v>
      </c>
      <c r="AF365" s="61"/>
      <c r="AG365" s="1">
        <v>22.03</v>
      </c>
      <c r="AH365" s="537"/>
      <c r="AI365" s="537"/>
      <c r="AK365" s="537"/>
      <c r="AM365" s="537" t="s">
        <v>64</v>
      </c>
      <c r="AN365" s="537"/>
    </row>
    <row r="366" spans="1:40" hidden="1">
      <c r="A366" s="537" t="s">
        <v>179</v>
      </c>
      <c r="B366" s="1">
        <v>220106</v>
      </c>
      <c r="C366" s="1">
        <v>8210026</v>
      </c>
      <c r="D366" s="537" t="s">
        <v>2653</v>
      </c>
      <c r="E366" s="537" t="s">
        <v>1698</v>
      </c>
      <c r="F366"/>
      <c r="G366"/>
      <c r="H366" s="537" t="s">
        <v>1699</v>
      </c>
      <c r="I366" s="537" t="s">
        <v>1700</v>
      </c>
      <c r="J366" s="537" t="s">
        <v>18</v>
      </c>
      <c r="K366" s="537" t="s">
        <v>57</v>
      </c>
      <c r="L366" s="61">
        <v>34496</v>
      </c>
      <c r="M366" s="1">
        <v>29</v>
      </c>
      <c r="N366" s="1">
        <v>1400</v>
      </c>
      <c r="P366" s="1">
        <v>1990</v>
      </c>
      <c r="Q366" s="537"/>
      <c r="R366" s="1">
        <v>590</v>
      </c>
      <c r="S366"/>
      <c r="T366" t="s">
        <v>65</v>
      </c>
      <c r="U366" t="s">
        <v>2639</v>
      </c>
      <c r="V366" t="s">
        <v>65</v>
      </c>
      <c r="W366" s="1">
        <v>44856</v>
      </c>
      <c r="X366" s="537" t="s">
        <v>59</v>
      </c>
      <c r="Y366" s="537" t="s">
        <v>60</v>
      </c>
      <c r="Z366" s="1" t="s">
        <v>1382</v>
      </c>
      <c r="AA366" s="537" t="s">
        <v>1383</v>
      </c>
      <c r="AB366" s="537" t="s">
        <v>1384</v>
      </c>
      <c r="AC366" s="1">
        <v>44566</v>
      </c>
      <c r="AD366" s="61">
        <v>44567</v>
      </c>
      <c r="AE366" s="61">
        <v>44707</v>
      </c>
      <c r="AF366" s="61"/>
      <c r="AG366" s="1">
        <v>22.03</v>
      </c>
      <c r="AH366" s="537"/>
      <c r="AI366" s="537"/>
      <c r="AK366" s="537"/>
      <c r="AM366" s="537" t="s">
        <v>64</v>
      </c>
      <c r="AN366" s="537"/>
    </row>
    <row r="367" spans="1:40" hidden="1">
      <c r="A367" s="537" t="s">
        <v>179</v>
      </c>
      <c r="B367" s="1">
        <v>220108</v>
      </c>
      <c r="C367" s="1">
        <v>8210027</v>
      </c>
      <c r="D367" s="537" t="s">
        <v>2644</v>
      </c>
      <c r="E367" s="537" t="s">
        <v>1511</v>
      </c>
      <c r="F367"/>
      <c r="G367"/>
      <c r="H367" s="537" t="s">
        <v>1555</v>
      </c>
      <c r="I367" s="537" t="s">
        <v>1556</v>
      </c>
      <c r="J367" s="537" t="s">
        <v>18</v>
      </c>
      <c r="K367" s="537" t="s">
        <v>57</v>
      </c>
      <c r="L367" s="61">
        <v>33230</v>
      </c>
      <c r="M367" s="1">
        <v>32</v>
      </c>
      <c r="N367" s="1">
        <v>1400</v>
      </c>
      <c r="P367" s="1">
        <v>1990</v>
      </c>
      <c r="Q367" s="537"/>
      <c r="R367" s="1">
        <v>590</v>
      </c>
      <c r="S367">
        <v>320000</v>
      </c>
      <c r="T367">
        <v>16015.999999999998</v>
      </c>
      <c r="U367" t="s">
        <v>2639</v>
      </c>
      <c r="V367">
        <v>29280</v>
      </c>
      <c r="W367" s="1">
        <v>45251</v>
      </c>
      <c r="X367" s="537" t="s">
        <v>59</v>
      </c>
      <c r="Y367" s="537" t="s">
        <v>60</v>
      </c>
      <c r="Z367" s="1" t="s">
        <v>975</v>
      </c>
      <c r="AA367" s="537" t="s">
        <v>956</v>
      </c>
      <c r="AB367" s="537" t="s">
        <v>957</v>
      </c>
      <c r="AC367" s="1">
        <v>44569</v>
      </c>
      <c r="AD367" s="61">
        <v>44571</v>
      </c>
      <c r="AE367" s="61">
        <v>44952</v>
      </c>
      <c r="AF367" s="61"/>
      <c r="AG367" s="1">
        <v>22.03</v>
      </c>
      <c r="AH367" s="537" t="s">
        <v>1556</v>
      </c>
      <c r="AI367" s="537" t="s">
        <v>86</v>
      </c>
      <c r="AJ367" s="1">
        <v>468</v>
      </c>
      <c r="AK367" s="537" t="s">
        <v>158</v>
      </c>
      <c r="AL367" s="1" t="s">
        <v>1557</v>
      </c>
      <c r="AM367" s="537" t="s">
        <v>64</v>
      </c>
      <c r="AN367" s="537" t="s">
        <v>1558</v>
      </c>
    </row>
    <row r="368" spans="1:40" hidden="1">
      <c r="A368" s="537" t="s">
        <v>54</v>
      </c>
      <c r="B368" s="1">
        <v>220108</v>
      </c>
      <c r="C368" s="1">
        <v>8210027</v>
      </c>
      <c r="D368" s="537" t="s">
        <v>2640</v>
      </c>
      <c r="E368" s="537" t="s">
        <v>2672</v>
      </c>
      <c r="F368" t="s">
        <v>2672</v>
      </c>
      <c r="G368"/>
      <c r="H368" s="537" t="s">
        <v>1555</v>
      </c>
      <c r="I368" s="537" t="s">
        <v>1556</v>
      </c>
      <c r="J368" s="537" t="s">
        <v>18</v>
      </c>
      <c r="K368" s="537" t="s">
        <v>57</v>
      </c>
      <c r="L368" s="61">
        <v>33230</v>
      </c>
      <c r="M368" s="1">
        <v>32</v>
      </c>
      <c r="N368" s="1">
        <v>1400</v>
      </c>
      <c r="P368" s="1">
        <v>1990</v>
      </c>
      <c r="Q368" s="537"/>
      <c r="R368" s="1">
        <v>590</v>
      </c>
      <c r="S368">
        <v>280000</v>
      </c>
      <c r="T368">
        <v>14014</v>
      </c>
      <c r="U368" t="s">
        <v>2639</v>
      </c>
      <c r="V368">
        <v>25620</v>
      </c>
      <c r="W368" s="1">
        <v>45632</v>
      </c>
      <c r="X368" s="537" t="s">
        <v>65</v>
      </c>
      <c r="Y368" s="537" t="s">
        <v>60</v>
      </c>
      <c r="Z368" s="1" t="s">
        <v>1501</v>
      </c>
      <c r="AA368" s="537" t="s">
        <v>930</v>
      </c>
      <c r="AB368" s="537" t="s">
        <v>3126</v>
      </c>
      <c r="AC368" s="1" t="s">
        <v>63</v>
      </c>
      <c r="AD368" s="61">
        <v>44970</v>
      </c>
      <c r="AE368" s="61"/>
      <c r="AF368" s="61"/>
      <c r="AG368" s="1" t="s">
        <v>2814</v>
      </c>
      <c r="AH368" s="537"/>
      <c r="AI368" s="537"/>
      <c r="AK368" s="537"/>
      <c r="AM368" s="537" t="s">
        <v>2808</v>
      </c>
      <c r="AN368" s="537"/>
    </row>
    <row r="369" spans="1:40" hidden="1">
      <c r="A369" s="537" t="s">
        <v>54</v>
      </c>
      <c r="B369" s="1">
        <v>220107</v>
      </c>
      <c r="C369" s="1">
        <v>8210028</v>
      </c>
      <c r="D369" s="537" t="s">
        <v>2640</v>
      </c>
      <c r="E369" s="537" t="s">
        <v>2672</v>
      </c>
      <c r="F369" t="s">
        <v>2672</v>
      </c>
      <c r="G369"/>
      <c r="H369" s="537" t="s">
        <v>1549</v>
      </c>
      <c r="I369" s="537" t="s">
        <v>1550</v>
      </c>
      <c r="J369" s="537" t="s">
        <v>18</v>
      </c>
      <c r="K369" s="537" t="s">
        <v>57</v>
      </c>
      <c r="L369" s="61">
        <v>33552</v>
      </c>
      <c r="M369" s="1">
        <v>32</v>
      </c>
      <c r="N369" s="1">
        <v>1400</v>
      </c>
      <c r="P369" s="1">
        <v>1990</v>
      </c>
      <c r="Q369" s="537"/>
      <c r="R369" s="1">
        <v>590</v>
      </c>
      <c r="S369">
        <v>320000</v>
      </c>
      <c r="T369">
        <v>16015.999999999998</v>
      </c>
      <c r="U369" t="s">
        <v>2639</v>
      </c>
      <c r="V369">
        <v>29280</v>
      </c>
      <c r="W369" s="1">
        <v>46189</v>
      </c>
      <c r="X369" s="537" t="s">
        <v>65</v>
      </c>
      <c r="Y369" s="537" t="s">
        <v>60</v>
      </c>
      <c r="Z369" s="1" t="s">
        <v>2384</v>
      </c>
      <c r="AA369" s="537" t="s">
        <v>2385</v>
      </c>
      <c r="AB369" s="537" t="s">
        <v>2386</v>
      </c>
      <c r="AC369" s="1" t="s">
        <v>63</v>
      </c>
      <c r="AD369" s="61">
        <v>44567</v>
      </c>
      <c r="AE369" s="61"/>
      <c r="AF369" s="61"/>
      <c r="AG369" s="1">
        <v>22.03</v>
      </c>
      <c r="AH369" s="537" t="s">
        <v>1550</v>
      </c>
      <c r="AI369" s="537" t="s">
        <v>86</v>
      </c>
      <c r="AJ369" s="1">
        <v>78</v>
      </c>
      <c r="AK369" s="537" t="s">
        <v>404</v>
      </c>
      <c r="AL369" s="1" t="s">
        <v>1551</v>
      </c>
      <c r="AM369" s="537" t="s">
        <v>64</v>
      </c>
      <c r="AN369" s="537"/>
    </row>
    <row r="370" spans="1:40" hidden="1">
      <c r="A370" s="537" t="s">
        <v>54</v>
      </c>
      <c r="B370" s="1">
        <v>220115</v>
      </c>
      <c r="C370" s="1">
        <v>8210029</v>
      </c>
      <c r="D370" s="537" t="s">
        <v>2640</v>
      </c>
      <c r="E370" s="537" t="s">
        <v>3453</v>
      </c>
      <c r="F370" t="s">
        <v>2665</v>
      </c>
      <c r="G370"/>
      <c r="H370" s="537" t="s">
        <v>1571</v>
      </c>
      <c r="I370" s="537" t="s">
        <v>1572</v>
      </c>
      <c r="J370" s="537" t="s">
        <v>18</v>
      </c>
      <c r="K370" s="537" t="s">
        <v>57</v>
      </c>
      <c r="L370" s="61">
        <v>35393</v>
      </c>
      <c r="M370" s="1">
        <v>27</v>
      </c>
      <c r="N370" s="1">
        <v>1400</v>
      </c>
      <c r="P370" s="1">
        <v>1990</v>
      </c>
      <c r="Q370" s="537"/>
      <c r="R370" s="1">
        <v>590</v>
      </c>
      <c r="S370">
        <v>320000</v>
      </c>
      <c r="T370">
        <v>16015.999999999998</v>
      </c>
      <c r="U370" t="s">
        <v>2639</v>
      </c>
      <c r="V370">
        <v>29280</v>
      </c>
      <c r="W370" s="1">
        <v>45625</v>
      </c>
      <c r="X370" s="537" t="s">
        <v>65</v>
      </c>
      <c r="Y370" s="537" t="s">
        <v>60</v>
      </c>
      <c r="Z370" s="1" t="s">
        <v>1573</v>
      </c>
      <c r="AA370" s="537" t="s">
        <v>1574</v>
      </c>
      <c r="AB370" s="537" t="s">
        <v>1575</v>
      </c>
      <c r="AC370" s="1">
        <v>44575</v>
      </c>
      <c r="AD370" s="61">
        <v>44578</v>
      </c>
      <c r="AE370" s="61"/>
      <c r="AF370" s="61"/>
      <c r="AG370" s="1">
        <v>22.04</v>
      </c>
      <c r="AH370" s="537" t="s">
        <v>1576</v>
      </c>
      <c r="AI370" s="537" t="s">
        <v>86</v>
      </c>
      <c r="AJ370" s="1">
        <v>248</v>
      </c>
      <c r="AK370" s="537" t="s">
        <v>224</v>
      </c>
      <c r="AL370" s="1" t="s">
        <v>1577</v>
      </c>
      <c r="AM370" s="537" t="s">
        <v>64</v>
      </c>
      <c r="AN370" s="537"/>
    </row>
    <row r="371" spans="1:40" hidden="1">
      <c r="A371" s="537" t="s">
        <v>179</v>
      </c>
      <c r="B371" s="1">
        <v>220117</v>
      </c>
      <c r="C371" s="1">
        <v>8210031</v>
      </c>
      <c r="D371" s="537" t="s">
        <v>2640</v>
      </c>
      <c r="E371" s="537" t="s">
        <v>1548</v>
      </c>
      <c r="F371"/>
      <c r="G371"/>
      <c r="H371" s="537" t="s">
        <v>1601</v>
      </c>
      <c r="I371" s="537" t="s">
        <v>1602</v>
      </c>
      <c r="J371" s="537" t="s">
        <v>18</v>
      </c>
      <c r="K371" s="537" t="s">
        <v>57</v>
      </c>
      <c r="L371" s="61">
        <v>34808</v>
      </c>
      <c r="M371" s="1">
        <v>28</v>
      </c>
      <c r="N371" s="1">
        <v>1400</v>
      </c>
      <c r="P371" s="1">
        <v>1960</v>
      </c>
      <c r="Q371" s="537"/>
      <c r="R371" s="1">
        <v>560</v>
      </c>
      <c r="S371"/>
      <c r="T371" t="s">
        <v>65</v>
      </c>
      <c r="U371" t="s">
        <v>2639</v>
      </c>
      <c r="V371" t="s">
        <v>65</v>
      </c>
      <c r="W371" s="1">
        <v>45625</v>
      </c>
      <c r="X371" s="537" t="s">
        <v>65</v>
      </c>
      <c r="Y371" s="537" t="s">
        <v>60</v>
      </c>
      <c r="Z371" s="1" t="s">
        <v>1573</v>
      </c>
      <c r="AA371" s="537" t="s">
        <v>1574</v>
      </c>
      <c r="AB371" s="537" t="s">
        <v>1575</v>
      </c>
      <c r="AC371" s="1">
        <v>44575</v>
      </c>
      <c r="AD371" s="61">
        <v>44578</v>
      </c>
      <c r="AE371" s="61">
        <v>44715</v>
      </c>
      <c r="AF371" s="61">
        <v>45198</v>
      </c>
      <c r="AG371" s="1">
        <v>22.04</v>
      </c>
      <c r="AH371" s="537"/>
      <c r="AI371" s="537"/>
      <c r="AK371" s="537"/>
      <c r="AM371" s="537" t="s">
        <v>64</v>
      </c>
      <c r="AN371" s="537"/>
    </row>
    <row r="372" spans="1:40" hidden="1">
      <c r="A372" s="537" t="s">
        <v>179</v>
      </c>
      <c r="B372" s="1">
        <v>220114</v>
      </c>
      <c r="C372" s="1">
        <v>8210032</v>
      </c>
      <c r="D372" s="537" t="s">
        <v>2640</v>
      </c>
      <c r="E372" s="537" t="s">
        <v>1548</v>
      </c>
      <c r="G372"/>
      <c r="H372" s="537" t="s">
        <v>1586</v>
      </c>
      <c r="I372" s="537" t="s">
        <v>1587</v>
      </c>
      <c r="J372" s="537" t="s">
        <v>18</v>
      </c>
      <c r="K372" s="537" t="s">
        <v>57</v>
      </c>
      <c r="L372" s="61">
        <v>34201</v>
      </c>
      <c r="M372" s="1">
        <v>30</v>
      </c>
      <c r="N372" s="1">
        <v>1400</v>
      </c>
      <c r="P372" s="1">
        <v>1990</v>
      </c>
      <c r="Q372" s="537"/>
      <c r="R372" s="1">
        <v>590</v>
      </c>
      <c r="S372"/>
      <c r="T372" t="s">
        <v>65</v>
      </c>
      <c r="U372" t="s">
        <v>2639</v>
      </c>
      <c r="V372" t="s">
        <v>65</v>
      </c>
      <c r="W372" s="1">
        <v>45366</v>
      </c>
      <c r="X372" s="537" t="s">
        <v>65</v>
      </c>
      <c r="Y372" s="537" t="s">
        <v>60</v>
      </c>
      <c r="Z372" s="1" t="s">
        <v>1508</v>
      </c>
      <c r="AA372" s="537" t="s">
        <v>1509</v>
      </c>
      <c r="AB372" s="537" t="s">
        <v>1510</v>
      </c>
      <c r="AD372" s="61">
        <v>44578</v>
      </c>
      <c r="AE372" s="61">
        <v>44742</v>
      </c>
      <c r="AF372" s="61"/>
      <c r="AG372" s="1">
        <v>22.04</v>
      </c>
      <c r="AH372" s="537"/>
      <c r="AI372" s="537"/>
      <c r="AK372" s="537"/>
      <c r="AM372" s="537" t="s">
        <v>64</v>
      </c>
      <c r="AN372" s="537"/>
    </row>
    <row r="373" spans="1:40" hidden="1">
      <c r="A373" s="537" t="s">
        <v>54</v>
      </c>
      <c r="B373" s="1">
        <v>220125</v>
      </c>
      <c r="C373" s="1">
        <v>8210033</v>
      </c>
      <c r="D373" s="537" t="s">
        <v>2644</v>
      </c>
      <c r="E373" s="537" t="s">
        <v>2676</v>
      </c>
      <c r="F373" s="1" t="s">
        <v>2676</v>
      </c>
      <c r="G373"/>
      <c r="H373" s="537" t="s">
        <v>1594</v>
      </c>
      <c r="I373" s="537" t="s">
        <v>1595</v>
      </c>
      <c r="J373" s="537" t="s">
        <v>18</v>
      </c>
      <c r="K373" s="537" t="s">
        <v>57</v>
      </c>
      <c r="L373" s="61">
        <v>35389</v>
      </c>
      <c r="M373" s="1">
        <v>27</v>
      </c>
      <c r="N373" s="1">
        <v>1400</v>
      </c>
      <c r="P373" s="1">
        <v>1990</v>
      </c>
      <c r="Q373" s="537"/>
      <c r="R373" s="1">
        <v>590</v>
      </c>
      <c r="S373">
        <v>340000</v>
      </c>
      <c r="T373">
        <v>17017</v>
      </c>
      <c r="U373" t="s">
        <v>2639</v>
      </c>
      <c r="V373">
        <v>31110</v>
      </c>
      <c r="W373" s="1">
        <v>45625</v>
      </c>
      <c r="X373" s="537" t="s">
        <v>65</v>
      </c>
      <c r="Y373" s="537" t="s">
        <v>60</v>
      </c>
      <c r="Z373" s="1" t="s">
        <v>1573</v>
      </c>
      <c r="AA373" s="537" t="s">
        <v>1574</v>
      </c>
      <c r="AB373" s="537" t="s">
        <v>1575</v>
      </c>
      <c r="AC373" s="1">
        <v>44582</v>
      </c>
      <c r="AD373" s="61">
        <v>44585</v>
      </c>
      <c r="AE373" s="61"/>
      <c r="AF373" s="61"/>
      <c r="AG373" s="1">
        <v>22.04</v>
      </c>
      <c r="AH373" s="537" t="s">
        <v>1596</v>
      </c>
      <c r="AI373" s="537" t="s">
        <v>86</v>
      </c>
      <c r="AJ373" s="1">
        <v>248</v>
      </c>
      <c r="AK373" s="537" t="s">
        <v>224</v>
      </c>
      <c r="AL373" s="1" t="s">
        <v>1597</v>
      </c>
      <c r="AM373" s="537" t="s">
        <v>64</v>
      </c>
      <c r="AN373" s="537"/>
    </row>
    <row r="374" spans="1:40" hidden="1">
      <c r="A374" s="537" t="s">
        <v>54</v>
      </c>
      <c r="B374" s="1">
        <v>220302</v>
      </c>
      <c r="C374" s="1">
        <v>8210034</v>
      </c>
      <c r="D374" s="537" t="s">
        <v>2644</v>
      </c>
      <c r="E374" s="537" t="s">
        <v>2645</v>
      </c>
      <c r="F374" s="1" t="s">
        <v>2645</v>
      </c>
      <c r="G374"/>
      <c r="H374" s="537" t="s">
        <v>1647</v>
      </c>
      <c r="I374" s="537" t="s">
        <v>1648</v>
      </c>
      <c r="J374" s="537" t="s">
        <v>18</v>
      </c>
      <c r="K374" s="537" t="s">
        <v>57</v>
      </c>
      <c r="L374" s="61">
        <v>34640</v>
      </c>
      <c r="M374" s="1">
        <v>29</v>
      </c>
      <c r="N374" s="1">
        <v>1400</v>
      </c>
      <c r="P374" s="1">
        <v>1990</v>
      </c>
      <c r="Q374" s="537"/>
      <c r="R374" s="1">
        <v>590</v>
      </c>
      <c r="S374">
        <v>340000</v>
      </c>
      <c r="T374">
        <v>17017</v>
      </c>
      <c r="U374" t="s">
        <v>2639</v>
      </c>
      <c r="V374">
        <v>31110</v>
      </c>
      <c r="W374" s="1">
        <v>45316</v>
      </c>
      <c r="X374" s="537" t="s">
        <v>59</v>
      </c>
      <c r="Y374" s="537" t="s">
        <v>60</v>
      </c>
      <c r="Z374" s="1" t="s">
        <v>1649</v>
      </c>
      <c r="AA374" s="537" t="s">
        <v>1650</v>
      </c>
      <c r="AB374" s="537" t="s">
        <v>1651</v>
      </c>
      <c r="AC374" s="1" t="s">
        <v>63</v>
      </c>
      <c r="AD374" s="61">
        <v>44621</v>
      </c>
      <c r="AE374" s="61"/>
      <c r="AF374" s="61"/>
      <c r="AG374" s="1">
        <v>22.05</v>
      </c>
      <c r="AH374" s="537" t="s">
        <v>1652</v>
      </c>
      <c r="AI374" s="537" t="s">
        <v>86</v>
      </c>
      <c r="AJ374" s="1">
        <v>18</v>
      </c>
      <c r="AK374" s="537" t="s">
        <v>294</v>
      </c>
      <c r="AL374" s="1" t="s">
        <v>1653</v>
      </c>
      <c r="AM374" s="537" t="s">
        <v>64</v>
      </c>
      <c r="AN374" s="537"/>
    </row>
    <row r="375" spans="1:40" hidden="1">
      <c r="A375" s="537" t="s">
        <v>179</v>
      </c>
      <c r="B375" s="1">
        <v>220304</v>
      </c>
      <c r="C375" s="1">
        <v>8210035</v>
      </c>
      <c r="D375" s="537" t="s">
        <v>2653</v>
      </c>
      <c r="E375" s="537" t="s">
        <v>1380</v>
      </c>
      <c r="F375"/>
      <c r="G375"/>
      <c r="H375" s="537" t="s">
        <v>1660</v>
      </c>
      <c r="I375" s="537" t="s">
        <v>1661</v>
      </c>
      <c r="J375" s="537" t="s">
        <v>18</v>
      </c>
      <c r="K375" s="537" t="s">
        <v>57</v>
      </c>
      <c r="L375" s="61">
        <v>34536</v>
      </c>
      <c r="M375" s="1">
        <v>29</v>
      </c>
      <c r="N375" s="1">
        <v>1400</v>
      </c>
      <c r="P375" s="1">
        <v>1990</v>
      </c>
      <c r="Q375" s="537"/>
      <c r="R375" s="1">
        <v>590</v>
      </c>
      <c r="S375"/>
      <c r="T375" t="s">
        <v>65</v>
      </c>
      <c r="U375" t="s">
        <v>2639</v>
      </c>
      <c r="V375" t="s">
        <v>65</v>
      </c>
      <c r="W375" s="1">
        <v>45340</v>
      </c>
      <c r="X375" s="537" t="s">
        <v>59</v>
      </c>
      <c r="Y375" s="537" t="s">
        <v>60</v>
      </c>
      <c r="Z375" s="1" t="s">
        <v>1662</v>
      </c>
      <c r="AA375" s="537" t="s">
        <v>1663</v>
      </c>
      <c r="AB375" s="537" t="s">
        <v>1664</v>
      </c>
      <c r="AC375" s="1">
        <v>44617</v>
      </c>
      <c r="AD375" s="61">
        <v>44621</v>
      </c>
      <c r="AE375" s="61">
        <v>44923</v>
      </c>
      <c r="AF375" s="61"/>
      <c r="AG375" s="1">
        <v>22.05</v>
      </c>
      <c r="AH375" s="537" t="s">
        <v>1661</v>
      </c>
      <c r="AI375" s="537" t="s">
        <v>86</v>
      </c>
      <c r="AJ375" s="1">
        <v>78</v>
      </c>
      <c r="AK375" s="537" t="s">
        <v>404</v>
      </c>
      <c r="AL375" s="1" t="s">
        <v>1665</v>
      </c>
      <c r="AM375" s="537" t="s">
        <v>64</v>
      </c>
      <c r="AN375" s="537" t="s">
        <v>1666</v>
      </c>
    </row>
    <row r="376" spans="1:40" hidden="1">
      <c r="A376" s="537" t="s">
        <v>54</v>
      </c>
      <c r="B376" s="1">
        <v>220304</v>
      </c>
      <c r="C376" s="1">
        <v>8210035</v>
      </c>
      <c r="D376" s="537" t="s">
        <v>2653</v>
      </c>
      <c r="E376" s="537" t="s">
        <v>1380</v>
      </c>
      <c r="F376" t="s">
        <v>2668</v>
      </c>
      <c r="G376"/>
      <c r="H376" s="537" t="s">
        <v>1660</v>
      </c>
      <c r="I376" s="537" t="s">
        <v>1661</v>
      </c>
      <c r="J376" s="537" t="s">
        <v>18</v>
      </c>
      <c r="K376" s="537" t="s">
        <v>57</v>
      </c>
      <c r="L376" s="61">
        <v>34536</v>
      </c>
      <c r="M376" s="1">
        <v>29</v>
      </c>
      <c r="N376" s="1">
        <v>1400</v>
      </c>
      <c r="P376" s="1">
        <v>1990</v>
      </c>
      <c r="Q376" s="537"/>
      <c r="R376" s="1">
        <v>590</v>
      </c>
      <c r="S376">
        <v>340000</v>
      </c>
      <c r="T376">
        <v>17017</v>
      </c>
      <c r="U376" t="s">
        <v>2639</v>
      </c>
      <c r="V376">
        <v>31110</v>
      </c>
      <c r="W376" s="1">
        <v>45340</v>
      </c>
      <c r="X376" s="537" t="s">
        <v>59</v>
      </c>
      <c r="Y376" s="537" t="s">
        <v>60</v>
      </c>
      <c r="Z376" s="1" t="s">
        <v>1706</v>
      </c>
      <c r="AA376" s="537" t="s">
        <v>1707</v>
      </c>
      <c r="AB376" s="537" t="s">
        <v>2813</v>
      </c>
      <c r="AC376" s="1" t="s">
        <v>63</v>
      </c>
      <c r="AD376" s="61">
        <v>44958</v>
      </c>
      <c r="AE376" s="61"/>
      <c r="AF376" s="61"/>
      <c r="AG376" s="1" t="s">
        <v>2814</v>
      </c>
      <c r="AH376" s="537"/>
      <c r="AI376" s="537"/>
      <c r="AK376" s="537"/>
      <c r="AM376" s="537" t="s">
        <v>2796</v>
      </c>
      <c r="AN376" s="537"/>
    </row>
    <row r="377" spans="1:40" hidden="1">
      <c r="A377" s="537" t="s">
        <v>179</v>
      </c>
      <c r="B377" s="1">
        <v>220303</v>
      </c>
      <c r="C377" s="1">
        <v>8210036</v>
      </c>
      <c r="D377" s="537" t="s">
        <v>2640</v>
      </c>
      <c r="E377" s="537" t="s">
        <v>925</v>
      </c>
      <c r="F377"/>
      <c r="G377"/>
      <c r="H377" s="537" t="s">
        <v>1654</v>
      </c>
      <c r="I377" s="537" t="s">
        <v>1655</v>
      </c>
      <c r="J377" s="537" t="s">
        <v>18</v>
      </c>
      <c r="K377" s="537" t="s">
        <v>57</v>
      </c>
      <c r="L377" s="61">
        <v>33068</v>
      </c>
      <c r="M377" s="1">
        <v>33</v>
      </c>
      <c r="N377" s="1">
        <v>1400</v>
      </c>
      <c r="P377" s="1">
        <v>1990</v>
      </c>
      <c r="Q377" s="537"/>
      <c r="R377" s="1">
        <v>590</v>
      </c>
      <c r="S377">
        <v>0</v>
      </c>
      <c r="T377">
        <v>0</v>
      </c>
      <c r="U377" t="s">
        <v>2639</v>
      </c>
      <c r="V377">
        <v>0</v>
      </c>
      <c r="W377" s="1">
        <v>45155</v>
      </c>
      <c r="X377" s="537" t="s">
        <v>59</v>
      </c>
      <c r="Y377" s="537" t="s">
        <v>60</v>
      </c>
      <c r="Z377" s="1" t="s">
        <v>929</v>
      </c>
      <c r="AA377" s="537" t="s">
        <v>1656</v>
      </c>
      <c r="AB377" s="537" t="s">
        <v>1657</v>
      </c>
      <c r="AC377" s="1">
        <v>44619</v>
      </c>
      <c r="AD377" s="61">
        <v>44621</v>
      </c>
      <c r="AE377" s="61">
        <v>44952</v>
      </c>
      <c r="AF377" s="61"/>
      <c r="AG377" s="1">
        <v>22.05</v>
      </c>
      <c r="AH377" s="537" t="s">
        <v>1658</v>
      </c>
      <c r="AI377" s="537" t="s">
        <v>86</v>
      </c>
      <c r="AJ377" s="1">
        <v>238</v>
      </c>
      <c r="AK377" s="537" t="s">
        <v>1109</v>
      </c>
      <c r="AL377" s="1" t="s">
        <v>1659</v>
      </c>
      <c r="AM377" s="537" t="s">
        <v>64</v>
      </c>
      <c r="AN377" s="537"/>
    </row>
    <row r="378" spans="1:40" hidden="1">
      <c r="A378" s="537" t="s">
        <v>54</v>
      </c>
      <c r="B378" s="1">
        <v>220303</v>
      </c>
      <c r="C378" s="1">
        <v>8210036</v>
      </c>
      <c r="D378" s="537" t="s">
        <v>2644</v>
      </c>
      <c r="E378" s="537" t="s">
        <v>2676</v>
      </c>
      <c r="F378" t="s">
        <v>2676</v>
      </c>
      <c r="G378"/>
      <c r="H378" s="537" t="s">
        <v>1654</v>
      </c>
      <c r="I378" s="537" t="s">
        <v>1655</v>
      </c>
      <c r="J378" s="537" t="s">
        <v>18</v>
      </c>
      <c r="K378" s="537" t="s">
        <v>57</v>
      </c>
      <c r="L378" s="61">
        <v>33068</v>
      </c>
      <c r="M378" s="1">
        <v>33</v>
      </c>
      <c r="N378" s="1">
        <v>1400</v>
      </c>
      <c r="P378" s="1">
        <v>1990</v>
      </c>
      <c r="Q378" s="537"/>
      <c r="R378" s="1">
        <v>590</v>
      </c>
      <c r="S378">
        <v>380000</v>
      </c>
      <c r="T378">
        <v>19019</v>
      </c>
      <c r="U378" t="s">
        <v>2639</v>
      </c>
      <c r="V378">
        <v>34770</v>
      </c>
      <c r="W378" s="1">
        <v>45521</v>
      </c>
      <c r="X378" s="537" t="s">
        <v>65</v>
      </c>
      <c r="Y378" s="537" t="s">
        <v>60</v>
      </c>
      <c r="Z378" s="1" t="s">
        <v>929</v>
      </c>
      <c r="AA378" s="537" t="s">
        <v>3131</v>
      </c>
      <c r="AB378" s="537" t="s">
        <v>1657</v>
      </c>
      <c r="AC378" s="1">
        <v>44971</v>
      </c>
      <c r="AD378" s="61">
        <v>44986</v>
      </c>
      <c r="AE378" s="61"/>
      <c r="AF378" s="61"/>
      <c r="AG378" s="1" t="s">
        <v>2877</v>
      </c>
      <c r="AH378" s="537"/>
      <c r="AI378" s="537"/>
      <c r="AK378" s="537"/>
      <c r="AM378" s="537" t="s">
        <v>2881</v>
      </c>
      <c r="AN378" s="537"/>
    </row>
    <row r="379" spans="1:40" hidden="1">
      <c r="A379" s="537" t="s">
        <v>179</v>
      </c>
      <c r="B379" s="1">
        <v>220315</v>
      </c>
      <c r="C379" s="1">
        <v>8210037</v>
      </c>
      <c r="D379" s="537" t="s">
        <v>2653</v>
      </c>
      <c r="E379" s="537" t="s">
        <v>1380</v>
      </c>
      <c r="F379"/>
      <c r="G379"/>
      <c r="H379" s="537" t="s">
        <v>1694</v>
      </c>
      <c r="I379" s="537" t="s">
        <v>1695</v>
      </c>
      <c r="J379" s="537" t="s">
        <v>18</v>
      </c>
      <c r="K379" s="537" t="s">
        <v>57</v>
      </c>
      <c r="L379" s="61">
        <v>34262</v>
      </c>
      <c r="M379" s="1">
        <v>30</v>
      </c>
      <c r="N379" s="1">
        <v>1400</v>
      </c>
      <c r="P379" s="1">
        <v>1960</v>
      </c>
      <c r="Q379" s="537"/>
      <c r="R379" s="1">
        <v>560</v>
      </c>
      <c r="S379"/>
      <c r="T379" t="s">
        <v>65</v>
      </c>
      <c r="U379" t="s">
        <v>2639</v>
      </c>
      <c r="V379" t="s">
        <v>65</v>
      </c>
      <c r="W379" s="1">
        <v>45482</v>
      </c>
      <c r="X379" s="537" t="s">
        <v>65</v>
      </c>
      <c r="Y379" s="537" t="s">
        <v>60</v>
      </c>
      <c r="Z379" s="1" t="s">
        <v>1382</v>
      </c>
      <c r="AA379" s="537" t="s">
        <v>1383</v>
      </c>
      <c r="AB379" s="537" t="s">
        <v>1384</v>
      </c>
      <c r="AC379" s="1">
        <v>44633</v>
      </c>
      <c r="AD379" s="61">
        <v>44634</v>
      </c>
      <c r="AE379" s="61">
        <v>44944</v>
      </c>
      <c r="AF379" s="61"/>
      <c r="AG379" s="1">
        <v>22.05</v>
      </c>
      <c r="AH379" s="537" t="s">
        <v>1696</v>
      </c>
      <c r="AI379" s="537" t="s">
        <v>86</v>
      </c>
      <c r="AJ379" s="1">
        <v>208</v>
      </c>
      <c r="AK379" s="537" t="s">
        <v>151</v>
      </c>
      <c r="AL379" s="1" t="s">
        <v>1697</v>
      </c>
      <c r="AM379" s="537" t="s">
        <v>64</v>
      </c>
      <c r="AN379" s="537"/>
    </row>
    <row r="380" spans="1:40" hidden="1">
      <c r="A380" s="537" t="s">
        <v>54</v>
      </c>
      <c r="B380" s="1">
        <v>220315</v>
      </c>
      <c r="C380" s="1">
        <v>8210037</v>
      </c>
      <c r="D380" s="537" t="s">
        <v>2653</v>
      </c>
      <c r="E380" s="537" t="s">
        <v>2668</v>
      </c>
      <c r="F380" t="s">
        <v>2668</v>
      </c>
      <c r="G380"/>
      <c r="H380" s="537" t="s">
        <v>1694</v>
      </c>
      <c r="I380" s="537" t="s">
        <v>1695</v>
      </c>
      <c r="J380" s="537" t="s">
        <v>18</v>
      </c>
      <c r="K380" s="537" t="s">
        <v>57</v>
      </c>
      <c r="L380" s="61">
        <v>34262</v>
      </c>
      <c r="M380" s="1">
        <v>30</v>
      </c>
      <c r="N380" s="1">
        <v>1400</v>
      </c>
      <c r="P380" s="1">
        <v>1990</v>
      </c>
      <c r="Q380" s="537"/>
      <c r="R380" s="1">
        <v>590</v>
      </c>
      <c r="S380">
        <v>320000</v>
      </c>
      <c r="T380">
        <v>16015.999999999998</v>
      </c>
      <c r="U380" t="s">
        <v>2639</v>
      </c>
      <c r="V380">
        <v>29280</v>
      </c>
      <c r="W380" s="1">
        <v>45482</v>
      </c>
      <c r="X380" s="537" t="s">
        <v>65</v>
      </c>
      <c r="Y380" s="537" t="s">
        <v>60</v>
      </c>
      <c r="Z380" s="1" t="s">
        <v>3052</v>
      </c>
      <c r="AA380" s="537" t="s">
        <v>3053</v>
      </c>
      <c r="AB380" s="537" t="s">
        <v>3054</v>
      </c>
      <c r="AD380" s="61">
        <v>44986</v>
      </c>
      <c r="AE380" s="61">
        <v>45275</v>
      </c>
      <c r="AF380" s="61"/>
      <c r="AG380" s="1" t="s">
        <v>2877</v>
      </c>
      <c r="AH380" s="537"/>
      <c r="AI380" s="537"/>
      <c r="AK380" s="537"/>
      <c r="AM380" s="537" t="s">
        <v>2834</v>
      </c>
      <c r="AN380" s="537"/>
    </row>
    <row r="381" spans="1:40" hidden="1">
      <c r="A381" s="537" t="s">
        <v>179</v>
      </c>
      <c r="B381" s="1">
        <v>220320</v>
      </c>
      <c r="C381" s="1">
        <v>8210038</v>
      </c>
      <c r="D381" s="537" t="s">
        <v>2644</v>
      </c>
      <c r="E381" s="537" t="s">
        <v>950</v>
      </c>
      <c r="F381" t="s">
        <v>2645</v>
      </c>
      <c r="G381"/>
      <c r="H381" s="537" t="s">
        <v>334</v>
      </c>
      <c r="I381" s="537" t="s">
        <v>335</v>
      </c>
      <c r="J381" s="537" t="s">
        <v>18</v>
      </c>
      <c r="K381" s="537" t="s">
        <v>57</v>
      </c>
      <c r="L381" s="61">
        <v>33921</v>
      </c>
      <c r="M381" s="1">
        <v>31</v>
      </c>
      <c r="N381" s="1">
        <v>1400</v>
      </c>
      <c r="P381" s="1">
        <v>1960</v>
      </c>
      <c r="Q381" s="537"/>
      <c r="R381" s="1">
        <v>560</v>
      </c>
      <c r="S381">
        <v>180000</v>
      </c>
      <c r="T381">
        <v>9009</v>
      </c>
      <c r="U381" t="s">
        <v>2639</v>
      </c>
      <c r="V381">
        <v>16470</v>
      </c>
      <c r="W381" s="1">
        <v>45691</v>
      </c>
      <c r="X381" s="537" t="s">
        <v>65</v>
      </c>
      <c r="Y381" s="537" t="s">
        <v>60</v>
      </c>
      <c r="Z381" s="1" t="s">
        <v>1706</v>
      </c>
      <c r="AA381" s="537" t="s">
        <v>1707</v>
      </c>
      <c r="AB381" s="537" t="s">
        <v>1708</v>
      </c>
      <c r="AC381" s="1" t="s">
        <v>63</v>
      </c>
      <c r="AD381" s="61">
        <v>44638</v>
      </c>
      <c r="AE381" s="61">
        <v>45119</v>
      </c>
      <c r="AF381" s="61"/>
      <c r="AG381" s="1">
        <v>22.06</v>
      </c>
      <c r="AH381" s="537" t="s">
        <v>335</v>
      </c>
      <c r="AI381" s="537" t="s">
        <v>86</v>
      </c>
      <c r="AJ381" s="1">
        <v>208</v>
      </c>
      <c r="AK381" s="537" t="s">
        <v>151</v>
      </c>
      <c r="AL381" s="1" t="s">
        <v>1709</v>
      </c>
      <c r="AM381" s="537" t="s">
        <v>64</v>
      </c>
      <c r="AN381" s="537"/>
    </row>
    <row r="382" spans="1:40" hidden="1">
      <c r="A382" s="537" t="s">
        <v>54</v>
      </c>
      <c r="B382" s="1">
        <v>220321</v>
      </c>
      <c r="C382" s="1">
        <v>8210039</v>
      </c>
      <c r="D382" s="537" t="s">
        <v>2655</v>
      </c>
      <c r="E382" s="537" t="s">
        <v>1710</v>
      </c>
      <c r="F382" t="s">
        <v>2685</v>
      </c>
      <c r="G382"/>
      <c r="H382" s="537" t="s">
        <v>1711</v>
      </c>
      <c r="I382" s="537" t="s">
        <v>1712</v>
      </c>
      <c r="J382" s="537" t="s">
        <v>18</v>
      </c>
      <c r="K382" s="537" t="s">
        <v>57</v>
      </c>
      <c r="L382" s="61">
        <v>35710</v>
      </c>
      <c r="M382" s="1">
        <v>26</v>
      </c>
      <c r="N382" s="1">
        <v>1400</v>
      </c>
      <c r="P382" s="1">
        <v>1960</v>
      </c>
      <c r="Q382" s="537"/>
      <c r="R382" s="1">
        <v>560</v>
      </c>
      <c r="S382">
        <v>360000</v>
      </c>
      <c r="T382">
        <v>18018</v>
      </c>
      <c r="U382" t="s">
        <v>2639</v>
      </c>
      <c r="V382">
        <v>32940</v>
      </c>
      <c r="W382" s="1">
        <v>45326</v>
      </c>
      <c r="X382" s="537" t="s">
        <v>59</v>
      </c>
      <c r="Y382" s="537" t="s">
        <v>60</v>
      </c>
      <c r="Z382" s="1" t="s">
        <v>1124</v>
      </c>
      <c r="AA382" s="537" t="s">
        <v>1713</v>
      </c>
      <c r="AB382" s="537" t="s">
        <v>1510</v>
      </c>
      <c r="AC382" s="1">
        <v>44955</v>
      </c>
      <c r="AD382" s="61">
        <v>44641</v>
      </c>
      <c r="AE382" s="61"/>
      <c r="AF382" s="61"/>
      <c r="AG382" s="1">
        <v>22.06</v>
      </c>
      <c r="AH382" s="537" t="s">
        <v>1714</v>
      </c>
      <c r="AI382" s="537" t="s">
        <v>86</v>
      </c>
      <c r="AJ382" s="1">
        <v>408</v>
      </c>
      <c r="AK382" s="537" t="s">
        <v>87</v>
      </c>
      <c r="AL382" s="1" t="s">
        <v>1715</v>
      </c>
      <c r="AM382" s="537" t="s">
        <v>64</v>
      </c>
      <c r="AN382" s="537" t="s">
        <v>1716</v>
      </c>
    </row>
    <row r="383" spans="1:40" hidden="1">
      <c r="A383" s="537" t="s">
        <v>54</v>
      </c>
      <c r="B383" s="1">
        <v>210412</v>
      </c>
      <c r="C383" s="1">
        <v>8210040</v>
      </c>
      <c r="D383" s="537" t="s">
        <v>2640</v>
      </c>
      <c r="E383" s="537" t="s">
        <v>2409</v>
      </c>
      <c r="F383" t="s">
        <v>2689</v>
      </c>
      <c r="G383"/>
      <c r="H383" s="537" t="s">
        <v>1122</v>
      </c>
      <c r="I383" s="537" t="s">
        <v>1123</v>
      </c>
      <c r="J383" s="537" t="s">
        <v>18</v>
      </c>
      <c r="K383" s="537" t="s">
        <v>57</v>
      </c>
      <c r="L383" s="61">
        <v>30793</v>
      </c>
      <c r="M383" s="1">
        <v>39</v>
      </c>
      <c r="N383" s="1">
        <v>1500</v>
      </c>
      <c r="O383" s="1" t="s">
        <v>2099</v>
      </c>
      <c r="P383" s="1">
        <v>1990</v>
      </c>
      <c r="Q383" s="537"/>
      <c r="R383" s="1">
        <v>490</v>
      </c>
      <c r="S383">
        <v>340000</v>
      </c>
      <c r="T383">
        <v>17017</v>
      </c>
      <c r="U383" t="s">
        <v>2639</v>
      </c>
      <c r="V383">
        <v>31110</v>
      </c>
      <c r="W383" s="1">
        <v>45388</v>
      </c>
      <c r="X383" s="537" t="s">
        <v>65</v>
      </c>
      <c r="Y383" s="537" t="s">
        <v>60</v>
      </c>
      <c r="Z383" s="1" t="s">
        <v>1508</v>
      </c>
      <c r="AA383" s="537" t="s">
        <v>1509</v>
      </c>
      <c r="AB383" s="537" t="s">
        <v>1510</v>
      </c>
      <c r="AC383" s="1">
        <v>44808</v>
      </c>
      <c r="AD383" s="61">
        <v>44713</v>
      </c>
      <c r="AE383" s="61"/>
      <c r="AF383" s="61"/>
      <c r="AG383" s="1">
        <v>44713</v>
      </c>
      <c r="AH383" s="537"/>
      <c r="AI383" s="537"/>
      <c r="AK383" s="537"/>
      <c r="AM383" s="537" t="s">
        <v>2096</v>
      </c>
      <c r="AN383" s="537" t="s">
        <v>2100</v>
      </c>
    </row>
    <row r="384" spans="1:40" hidden="1">
      <c r="A384" s="537" t="s">
        <v>179</v>
      </c>
      <c r="B384" s="1">
        <v>210710</v>
      </c>
      <c r="C384" s="1">
        <v>8210041</v>
      </c>
      <c r="D384" s="537" t="s">
        <v>2640</v>
      </c>
      <c r="E384" s="537" t="s">
        <v>2410</v>
      </c>
      <c r="F384"/>
      <c r="G384"/>
      <c r="H384" s="537" t="s">
        <v>1972</v>
      </c>
      <c r="I384" s="537" t="s">
        <v>1973</v>
      </c>
      <c r="J384" s="537" t="s">
        <v>18</v>
      </c>
      <c r="K384" s="537" t="s">
        <v>57</v>
      </c>
      <c r="L384" s="61">
        <v>33139</v>
      </c>
      <c r="M384" s="1">
        <v>33</v>
      </c>
      <c r="N384" s="1">
        <v>1400</v>
      </c>
      <c r="P384" s="1">
        <v>1990</v>
      </c>
      <c r="Q384" s="537"/>
      <c r="R384" s="1">
        <v>590</v>
      </c>
      <c r="S384">
        <v>240000</v>
      </c>
      <c r="T384">
        <v>12012</v>
      </c>
      <c r="U384" t="s">
        <v>2639</v>
      </c>
      <c r="V384">
        <v>21960</v>
      </c>
      <c r="W384" s="1">
        <v>45441</v>
      </c>
      <c r="X384" s="537" t="s">
        <v>65</v>
      </c>
      <c r="Y384" s="537" t="s">
        <v>60</v>
      </c>
      <c r="Z384" s="1" t="s">
        <v>1974</v>
      </c>
      <c r="AA384" s="537" t="s">
        <v>1975</v>
      </c>
      <c r="AB384" s="537" t="s">
        <v>1976</v>
      </c>
      <c r="AC384" s="1" t="s">
        <v>63</v>
      </c>
      <c r="AD384" s="61">
        <v>44713</v>
      </c>
      <c r="AE384" s="61">
        <v>44939</v>
      </c>
      <c r="AF384" s="61"/>
      <c r="AG384" s="1">
        <v>44713</v>
      </c>
      <c r="AH384" s="537" t="s">
        <v>1793</v>
      </c>
      <c r="AI384" s="537" t="s">
        <v>86</v>
      </c>
      <c r="AJ384" s="1">
        <v>98</v>
      </c>
      <c r="AK384" s="537" t="s">
        <v>1794</v>
      </c>
      <c r="AL384" s="1" t="s">
        <v>1795</v>
      </c>
      <c r="AM384" s="537" t="s">
        <v>2096</v>
      </c>
      <c r="AN384" s="537" t="s">
        <v>2098</v>
      </c>
    </row>
    <row r="385" spans="1:40" hidden="1">
      <c r="A385" s="537" t="s">
        <v>54</v>
      </c>
      <c r="B385" s="1">
        <v>230218</v>
      </c>
      <c r="C385" s="1">
        <v>8210042</v>
      </c>
      <c r="D385" s="537" t="s">
        <v>2644</v>
      </c>
      <c r="E385" s="537" t="s">
        <v>2645</v>
      </c>
      <c r="F385" t="s">
        <v>2645</v>
      </c>
      <c r="G385"/>
      <c r="H385" s="537" t="s">
        <v>2865</v>
      </c>
      <c r="I385" s="537" t="s">
        <v>2866</v>
      </c>
      <c r="J385" s="537" t="s">
        <v>18</v>
      </c>
      <c r="K385" s="537" t="s">
        <v>57</v>
      </c>
      <c r="L385" s="61">
        <v>35077</v>
      </c>
      <c r="M385" s="1">
        <v>27</v>
      </c>
      <c r="N385" s="1">
        <v>1400</v>
      </c>
      <c r="P385" s="1">
        <v>1990</v>
      </c>
      <c r="Q385" s="537"/>
      <c r="R385" s="1">
        <v>590</v>
      </c>
      <c r="S385">
        <v>320000</v>
      </c>
      <c r="T385">
        <v>16015.999999999998</v>
      </c>
      <c r="U385" t="s">
        <v>2639</v>
      </c>
      <c r="V385">
        <v>29280</v>
      </c>
      <c r="W385" s="1">
        <v>45528</v>
      </c>
      <c r="X385" s="537" t="s">
        <v>65</v>
      </c>
      <c r="Y385" s="537" t="s">
        <v>60</v>
      </c>
      <c r="Z385" s="1" t="s">
        <v>1573</v>
      </c>
      <c r="AA385" s="537" t="s">
        <v>1574</v>
      </c>
      <c r="AB385" s="537" t="s">
        <v>1575</v>
      </c>
      <c r="AC385" s="1">
        <v>44981</v>
      </c>
      <c r="AD385" s="61">
        <v>44984</v>
      </c>
      <c r="AE385" s="61"/>
      <c r="AF385" s="61"/>
      <c r="AG385" s="1" t="s">
        <v>2814</v>
      </c>
      <c r="AH385" s="537"/>
      <c r="AI385" s="537"/>
      <c r="AK385" s="537"/>
      <c r="AM385" s="537" t="s">
        <v>2834</v>
      </c>
      <c r="AN385" s="537"/>
    </row>
    <row r="386" spans="1:40" hidden="1">
      <c r="A386" s="537" t="s">
        <v>54</v>
      </c>
      <c r="B386" s="1">
        <v>230217</v>
      </c>
      <c r="C386" s="1">
        <v>8210043</v>
      </c>
      <c r="D386" s="537" t="s">
        <v>2640</v>
      </c>
      <c r="E386" s="537" t="s">
        <v>2861</v>
      </c>
      <c r="F386" s="1" t="s">
        <v>2861</v>
      </c>
      <c r="G386"/>
      <c r="H386" s="537" t="s">
        <v>2862</v>
      </c>
      <c r="I386" s="537" t="s">
        <v>2863</v>
      </c>
      <c r="J386" s="537" t="s">
        <v>18</v>
      </c>
      <c r="K386" s="537" t="s">
        <v>57</v>
      </c>
      <c r="L386" s="61">
        <v>32902</v>
      </c>
      <c r="M386" s="1">
        <v>33</v>
      </c>
      <c r="N386" s="1">
        <v>1460</v>
      </c>
      <c r="P386" s="1">
        <v>2050</v>
      </c>
      <c r="Q386" s="537"/>
      <c r="R386" s="1">
        <v>590</v>
      </c>
      <c r="S386">
        <v>360000</v>
      </c>
      <c r="T386">
        <v>18018</v>
      </c>
      <c r="U386" t="s">
        <v>2639</v>
      </c>
      <c r="V386">
        <v>32940</v>
      </c>
      <c r="W386" s="1">
        <v>45505</v>
      </c>
      <c r="X386" s="537" t="s">
        <v>65</v>
      </c>
      <c r="Y386" s="537" t="s">
        <v>60</v>
      </c>
      <c r="Z386" s="1" t="s">
        <v>1501</v>
      </c>
      <c r="AA386" s="537" t="s">
        <v>930</v>
      </c>
      <c r="AB386" s="537" t="s">
        <v>2864</v>
      </c>
      <c r="AC386" s="1" t="s">
        <v>63</v>
      </c>
      <c r="AD386" s="61">
        <v>44984</v>
      </c>
      <c r="AE386" s="61"/>
      <c r="AF386" s="61"/>
      <c r="AG386" s="1" t="s">
        <v>2860</v>
      </c>
      <c r="AH386" s="537"/>
      <c r="AI386" s="537"/>
      <c r="AK386" s="537"/>
      <c r="AM386" s="537" t="s">
        <v>2843</v>
      </c>
      <c r="AN386" s="537"/>
    </row>
    <row r="387" spans="1:40" hidden="1">
      <c r="A387" s="537" t="s">
        <v>54</v>
      </c>
      <c r="B387" s="1">
        <v>210404</v>
      </c>
      <c r="C387" s="1">
        <v>8210044</v>
      </c>
      <c r="D387" s="537" t="s">
        <v>2640</v>
      </c>
      <c r="E387" s="537" t="s">
        <v>2410</v>
      </c>
      <c r="F387" t="s">
        <v>2410</v>
      </c>
      <c r="G387"/>
      <c r="H387" s="537" t="s">
        <v>1097</v>
      </c>
      <c r="I387" s="537" t="s">
        <v>1098</v>
      </c>
      <c r="J387" s="537" t="s">
        <v>18</v>
      </c>
      <c r="K387" s="537" t="s">
        <v>57</v>
      </c>
      <c r="L387" s="61">
        <v>34845</v>
      </c>
      <c r="M387" s="1">
        <v>28</v>
      </c>
      <c r="N387" s="1">
        <v>1500</v>
      </c>
      <c r="P387" s="1">
        <v>1990</v>
      </c>
      <c r="Q387" s="537"/>
      <c r="R387" s="1">
        <v>490</v>
      </c>
      <c r="S387">
        <v>360000</v>
      </c>
      <c r="T387">
        <v>18018</v>
      </c>
      <c r="U387" t="s">
        <v>2639</v>
      </c>
      <c r="V387">
        <v>32940</v>
      </c>
      <c r="W387" s="1">
        <v>45486</v>
      </c>
      <c r="X387" s="537" t="s">
        <v>65</v>
      </c>
      <c r="Y387" s="537" t="s">
        <v>60</v>
      </c>
      <c r="Z387" s="1" t="s">
        <v>2892</v>
      </c>
      <c r="AA387" s="537" t="s">
        <v>2893</v>
      </c>
      <c r="AB387" s="537" t="s">
        <v>2919</v>
      </c>
      <c r="AC387" s="1">
        <v>44988</v>
      </c>
      <c r="AD387" s="61">
        <v>44991</v>
      </c>
      <c r="AE387" s="61"/>
      <c r="AF387" s="61"/>
      <c r="AG387" s="1" t="s">
        <v>2877</v>
      </c>
      <c r="AH387" s="537"/>
      <c r="AI387" s="537"/>
      <c r="AK387" s="537"/>
      <c r="AM387" s="537" t="s">
        <v>2881</v>
      </c>
      <c r="AN387" s="537"/>
    </row>
    <row r="388" spans="1:40" hidden="1">
      <c r="A388" s="537" t="s">
        <v>54</v>
      </c>
      <c r="B388" s="1">
        <v>230301</v>
      </c>
      <c r="C388" s="1">
        <v>8210045</v>
      </c>
      <c r="D388" s="537" t="s">
        <v>2655</v>
      </c>
      <c r="E388" s="537" t="s">
        <v>2685</v>
      </c>
      <c r="F388" t="s">
        <v>2685</v>
      </c>
      <c r="G388"/>
      <c r="H388" s="537" t="s">
        <v>2879</v>
      </c>
      <c r="I388" s="537" t="s">
        <v>2880</v>
      </c>
      <c r="J388" s="537" t="s">
        <v>18</v>
      </c>
      <c r="K388" s="537" t="s">
        <v>57</v>
      </c>
      <c r="L388" s="61">
        <v>33608</v>
      </c>
      <c r="M388" s="1">
        <v>31</v>
      </c>
      <c r="N388" s="1">
        <v>1430</v>
      </c>
      <c r="P388" s="1">
        <v>2020</v>
      </c>
      <c r="Q388" s="537"/>
      <c r="R388" s="1">
        <v>590</v>
      </c>
      <c r="S388">
        <v>360000</v>
      </c>
      <c r="T388">
        <v>18018</v>
      </c>
      <c r="U388" t="s">
        <v>2639</v>
      </c>
      <c r="V388">
        <v>32940</v>
      </c>
      <c r="W388" s="1">
        <v>46657</v>
      </c>
      <c r="X388" s="537" t="s">
        <v>65</v>
      </c>
      <c r="Y388" s="537" t="s">
        <v>60</v>
      </c>
      <c r="Z388" s="1" t="s">
        <v>1100</v>
      </c>
      <c r="AA388" s="537" t="s">
        <v>1101</v>
      </c>
      <c r="AB388" s="537" t="s">
        <v>1102</v>
      </c>
      <c r="AC388" s="1">
        <v>44985</v>
      </c>
      <c r="AD388" s="61">
        <v>44986</v>
      </c>
      <c r="AE388" s="61"/>
      <c r="AF388" s="61"/>
      <c r="AG388" s="1" t="s">
        <v>2877</v>
      </c>
      <c r="AH388" s="537"/>
      <c r="AI388" s="537"/>
      <c r="AK388" s="537"/>
      <c r="AM388" s="537" t="s">
        <v>2834</v>
      </c>
      <c r="AN388" s="537"/>
    </row>
    <row r="389" spans="1:40" hidden="1">
      <c r="A389" s="537" t="s">
        <v>54</v>
      </c>
      <c r="B389" s="1">
        <v>230302</v>
      </c>
      <c r="C389" s="1">
        <v>8210046</v>
      </c>
      <c r="D389" s="537" t="s">
        <v>2644</v>
      </c>
      <c r="E389" s="537" t="s">
        <v>2673</v>
      </c>
      <c r="F389" t="s">
        <v>2673</v>
      </c>
      <c r="G389"/>
      <c r="H389" s="537" t="s">
        <v>2882</v>
      </c>
      <c r="I389" s="537" t="s">
        <v>2883</v>
      </c>
      <c r="J389" s="537" t="s">
        <v>18</v>
      </c>
      <c r="K389" s="537" t="s">
        <v>57</v>
      </c>
      <c r="L389" s="61">
        <v>33126</v>
      </c>
      <c r="M389" s="1">
        <v>33</v>
      </c>
      <c r="N389" s="1">
        <v>1400</v>
      </c>
      <c r="P389" s="1">
        <v>1990</v>
      </c>
      <c r="Q389" s="537"/>
      <c r="R389" s="1">
        <v>590</v>
      </c>
      <c r="S389">
        <v>340000</v>
      </c>
      <c r="T389">
        <v>17017</v>
      </c>
      <c r="U389" t="s">
        <v>2639</v>
      </c>
      <c r="V389">
        <v>31110</v>
      </c>
      <c r="W389" s="1">
        <v>45528</v>
      </c>
      <c r="X389" s="537" t="s">
        <v>65</v>
      </c>
      <c r="Y389" s="537" t="s">
        <v>60</v>
      </c>
      <c r="Z389" s="1" t="s">
        <v>2892</v>
      </c>
      <c r="AA389" s="537" t="s">
        <v>2893</v>
      </c>
      <c r="AB389" s="537" t="s">
        <v>2894</v>
      </c>
      <c r="AC389" s="1">
        <v>45073</v>
      </c>
      <c r="AD389" s="61">
        <v>44986</v>
      </c>
      <c r="AE389" s="61"/>
      <c r="AF389" s="61"/>
      <c r="AG389" s="1" t="s">
        <v>2877</v>
      </c>
      <c r="AH389" s="537"/>
      <c r="AI389" s="537"/>
      <c r="AK389" s="537"/>
      <c r="AM389" s="537" t="s">
        <v>2881</v>
      </c>
      <c r="AN389" s="537"/>
    </row>
    <row r="390" spans="1:40" hidden="1">
      <c r="A390" s="537" t="s">
        <v>54</v>
      </c>
      <c r="B390" s="1">
        <v>230313</v>
      </c>
      <c r="C390" s="1">
        <v>8210047</v>
      </c>
      <c r="D390" s="537" t="s">
        <v>2644</v>
      </c>
      <c r="E390" s="537" t="s">
        <v>2673</v>
      </c>
      <c r="F390" t="s">
        <v>2673</v>
      </c>
      <c r="G390"/>
      <c r="H390" s="537" t="s">
        <v>2907</v>
      </c>
      <c r="I390" s="537" t="s">
        <v>2908</v>
      </c>
      <c r="J390" s="537" t="s">
        <v>18</v>
      </c>
      <c r="K390" s="537" t="s">
        <v>57</v>
      </c>
      <c r="L390" s="61">
        <v>31426</v>
      </c>
      <c r="M390" s="1">
        <v>37</v>
      </c>
      <c r="N390" s="1">
        <v>1400</v>
      </c>
      <c r="P390" s="1">
        <v>1990</v>
      </c>
      <c r="Q390" s="537"/>
      <c r="R390" s="1">
        <v>590</v>
      </c>
      <c r="S390">
        <v>340000</v>
      </c>
      <c r="T390">
        <v>17017</v>
      </c>
      <c r="U390" t="s">
        <v>2639</v>
      </c>
      <c r="V390">
        <v>31110</v>
      </c>
      <c r="W390" s="1">
        <v>45465</v>
      </c>
      <c r="X390" s="537" t="s">
        <v>65</v>
      </c>
      <c r="Y390" s="537" t="s">
        <v>60</v>
      </c>
      <c r="Z390" s="1" t="s">
        <v>1084</v>
      </c>
      <c r="AA390" s="537" t="s">
        <v>2909</v>
      </c>
      <c r="AB390" s="537" t="s">
        <v>2910</v>
      </c>
      <c r="AC390" s="1" t="s">
        <v>63</v>
      </c>
      <c r="AD390" s="61">
        <v>44998</v>
      </c>
      <c r="AE390" s="61"/>
      <c r="AF390" s="61"/>
      <c r="AG390" s="1" t="s">
        <v>2877</v>
      </c>
      <c r="AH390" s="537"/>
      <c r="AI390" s="537"/>
      <c r="AK390" s="537"/>
      <c r="AM390" s="537" t="s">
        <v>2899</v>
      </c>
      <c r="AN390" s="537"/>
    </row>
    <row r="391" spans="1:40" hidden="1">
      <c r="A391" s="537" t="s">
        <v>54</v>
      </c>
      <c r="B391" s="1">
        <v>230309</v>
      </c>
      <c r="C391" s="1">
        <v>8210048</v>
      </c>
      <c r="D391" s="537" t="s">
        <v>2653</v>
      </c>
      <c r="E391" s="537" t="s">
        <v>2648</v>
      </c>
      <c r="F391" t="s">
        <v>2648</v>
      </c>
      <c r="G391"/>
      <c r="H391" s="537" t="s">
        <v>2897</v>
      </c>
      <c r="I391" s="537" t="s">
        <v>2898</v>
      </c>
      <c r="J391" s="537" t="s">
        <v>18</v>
      </c>
      <c r="K391" s="537" t="s">
        <v>57</v>
      </c>
      <c r="L391" s="61">
        <v>34483</v>
      </c>
      <c r="M391" s="1">
        <v>29</v>
      </c>
      <c r="N391" s="1">
        <v>1400</v>
      </c>
      <c r="P391" s="1">
        <v>1990</v>
      </c>
      <c r="Q391" s="537"/>
      <c r="R391" s="1">
        <v>590</v>
      </c>
      <c r="S391">
        <v>320000</v>
      </c>
      <c r="T391">
        <v>16015.999999999998</v>
      </c>
      <c r="U391" t="s">
        <v>2639</v>
      </c>
      <c r="V391">
        <v>29280</v>
      </c>
      <c r="W391" s="1">
        <v>45541</v>
      </c>
      <c r="X391" s="537" t="s">
        <v>65</v>
      </c>
      <c r="Y391" s="537" t="s">
        <v>60</v>
      </c>
      <c r="Z391" s="1" t="s">
        <v>1706</v>
      </c>
      <c r="AA391" s="537" t="s">
        <v>3134</v>
      </c>
      <c r="AB391" s="537" t="s">
        <v>3135</v>
      </c>
      <c r="AC391" s="1" t="s">
        <v>63</v>
      </c>
      <c r="AD391" s="61">
        <v>44993</v>
      </c>
      <c r="AE391" s="61"/>
      <c r="AF391" s="61"/>
      <c r="AG391" s="1" t="s">
        <v>2877</v>
      </c>
      <c r="AH391" s="537"/>
      <c r="AI391" s="537"/>
      <c r="AK391" s="537"/>
      <c r="AM391" s="537" t="s">
        <v>2899</v>
      </c>
      <c r="AN391" s="537"/>
    </row>
    <row r="392" spans="1:40" hidden="1">
      <c r="A392" s="537" t="s">
        <v>179</v>
      </c>
      <c r="B392" s="1">
        <v>230310</v>
      </c>
      <c r="C392" s="1">
        <v>8210049</v>
      </c>
      <c r="D392" s="537" t="s">
        <v>2653</v>
      </c>
      <c r="E392" s="537" t="s">
        <v>2648</v>
      </c>
      <c r="F392" t="s">
        <v>2648</v>
      </c>
      <c r="G392"/>
      <c r="H392" s="537" t="s">
        <v>2900</v>
      </c>
      <c r="I392" s="537" t="s">
        <v>2901</v>
      </c>
      <c r="J392" s="537" t="s">
        <v>18</v>
      </c>
      <c r="K392" s="537" t="s">
        <v>57</v>
      </c>
      <c r="L392" s="61">
        <v>33402</v>
      </c>
      <c r="M392" s="1">
        <v>32</v>
      </c>
      <c r="N392" s="1">
        <v>1400</v>
      </c>
      <c r="P392" s="1">
        <v>1990</v>
      </c>
      <c r="Q392" s="537"/>
      <c r="R392" s="1">
        <v>590</v>
      </c>
      <c r="S392">
        <v>280000</v>
      </c>
      <c r="T392">
        <v>14014</v>
      </c>
      <c r="U392" t="s">
        <v>2639</v>
      </c>
      <c r="V392">
        <v>25620</v>
      </c>
      <c r="W392" s="1">
        <v>45513</v>
      </c>
      <c r="X392" s="537" t="s">
        <v>65</v>
      </c>
      <c r="Y392" s="537" t="s">
        <v>60</v>
      </c>
      <c r="Z392" s="1" t="s">
        <v>3136</v>
      </c>
      <c r="AA392" s="537" t="s">
        <v>3137</v>
      </c>
      <c r="AB392" s="537" t="s">
        <v>3138</v>
      </c>
      <c r="AC392" s="1" t="s">
        <v>63</v>
      </c>
      <c r="AD392" s="61">
        <v>44993</v>
      </c>
      <c r="AE392" s="61">
        <v>45240</v>
      </c>
      <c r="AF392" s="61"/>
      <c r="AG392" s="1" t="s">
        <v>2877</v>
      </c>
      <c r="AH392" s="537"/>
      <c r="AI392" s="537"/>
      <c r="AK392" s="537"/>
      <c r="AM392" s="537" t="s">
        <v>2899</v>
      </c>
      <c r="AN392" s="537"/>
    </row>
    <row r="393" spans="1:40" hidden="1">
      <c r="A393" s="537" t="s">
        <v>179</v>
      </c>
      <c r="B393" s="1">
        <v>230308</v>
      </c>
      <c r="C393" s="1">
        <v>8210051</v>
      </c>
      <c r="D393" s="537" t="s">
        <v>2644</v>
      </c>
      <c r="E393" s="537" t="s">
        <v>2645</v>
      </c>
      <c r="F393" t="s">
        <v>2645</v>
      </c>
      <c r="G393"/>
      <c r="H393" s="537" t="s">
        <v>2895</v>
      </c>
      <c r="I393" s="537" t="s">
        <v>2896</v>
      </c>
      <c r="J393" s="537" t="s">
        <v>18</v>
      </c>
      <c r="K393" s="537" t="s">
        <v>57</v>
      </c>
      <c r="L393" s="61">
        <v>34759</v>
      </c>
      <c r="M393" s="1">
        <v>28</v>
      </c>
      <c r="N393" s="1">
        <v>1450</v>
      </c>
      <c r="P393" s="1">
        <v>1990</v>
      </c>
      <c r="Q393" s="537"/>
      <c r="R393" s="1">
        <v>540</v>
      </c>
      <c r="S393">
        <v>180000</v>
      </c>
      <c r="T393">
        <v>9009</v>
      </c>
      <c r="U393" t="s">
        <v>2639</v>
      </c>
      <c r="V393">
        <v>16470</v>
      </c>
      <c r="W393" s="1">
        <v>46709</v>
      </c>
      <c r="X393" s="537" t="s">
        <v>65</v>
      </c>
      <c r="Y393" s="537" t="s">
        <v>60</v>
      </c>
      <c r="Z393" s="1" t="s">
        <v>2892</v>
      </c>
      <c r="AA393" s="537" t="s">
        <v>2893</v>
      </c>
      <c r="AB393" s="537" t="s">
        <v>2894</v>
      </c>
      <c r="AC393" s="1">
        <v>44991</v>
      </c>
      <c r="AD393" s="61">
        <v>44993</v>
      </c>
      <c r="AE393" s="61">
        <v>45043</v>
      </c>
      <c r="AF393" s="61"/>
      <c r="AG393" s="1" t="s">
        <v>2877</v>
      </c>
      <c r="AH393" s="537"/>
      <c r="AI393" s="537"/>
      <c r="AK393" s="537"/>
      <c r="AM393" s="537" t="s">
        <v>2881</v>
      </c>
      <c r="AN393" s="537"/>
    </row>
    <row r="394" spans="1:40" hidden="1">
      <c r="A394" s="537" t="s">
        <v>179</v>
      </c>
      <c r="B394" s="1">
        <v>220117</v>
      </c>
      <c r="C394" s="1">
        <v>8210052</v>
      </c>
      <c r="D394" s="537" t="s">
        <v>2640</v>
      </c>
      <c r="E394" s="537" t="s">
        <v>1548</v>
      </c>
      <c r="F394" t="s">
        <v>2913</v>
      </c>
      <c r="G394"/>
      <c r="H394" s="537" t="s">
        <v>1601</v>
      </c>
      <c r="I394" s="537" t="s">
        <v>1602</v>
      </c>
      <c r="J394" s="537" t="s">
        <v>18</v>
      </c>
      <c r="K394" s="537" t="s">
        <v>57</v>
      </c>
      <c r="L394" s="61">
        <v>34808</v>
      </c>
      <c r="M394" s="1">
        <v>28</v>
      </c>
      <c r="N394" s="1">
        <v>1400</v>
      </c>
      <c r="P394" s="1">
        <v>1990</v>
      </c>
      <c r="Q394" s="537"/>
      <c r="R394" s="1">
        <v>590</v>
      </c>
      <c r="S394">
        <v>180000</v>
      </c>
      <c r="T394">
        <v>9009</v>
      </c>
      <c r="U394" t="s">
        <v>2639</v>
      </c>
      <c r="V394">
        <v>16470</v>
      </c>
      <c r="W394" s="1">
        <v>45625</v>
      </c>
      <c r="X394" s="537" t="s">
        <v>65</v>
      </c>
      <c r="Y394" s="537" t="s">
        <v>60</v>
      </c>
      <c r="Z394" s="1" t="s">
        <v>2892</v>
      </c>
      <c r="AA394" s="537" t="s">
        <v>2893</v>
      </c>
      <c r="AB394" s="537" t="s">
        <v>2919</v>
      </c>
      <c r="AC394" s="1">
        <v>45002</v>
      </c>
      <c r="AD394" s="61">
        <v>45005</v>
      </c>
      <c r="AE394" s="61">
        <v>45198</v>
      </c>
      <c r="AF394" s="61"/>
      <c r="AG394" s="1" t="s">
        <v>2877</v>
      </c>
      <c r="AH394" s="537"/>
      <c r="AI394" s="537"/>
      <c r="AK394" s="537"/>
      <c r="AM394" s="537" t="s">
        <v>2899</v>
      </c>
      <c r="AN394" s="537"/>
    </row>
    <row r="395" spans="1:40" hidden="1">
      <c r="A395" s="537" t="s">
        <v>179</v>
      </c>
      <c r="B395" s="1">
        <v>230317</v>
      </c>
      <c r="C395" s="1">
        <v>8210053</v>
      </c>
      <c r="D395" s="537" t="s">
        <v>2655</v>
      </c>
      <c r="E395" s="537" t="s">
        <v>2878</v>
      </c>
      <c r="F395" t="s">
        <v>2878</v>
      </c>
      <c r="G395"/>
      <c r="H395" s="537" t="s">
        <v>2918</v>
      </c>
      <c r="I395" s="537" t="s">
        <v>1688</v>
      </c>
      <c r="J395" s="537" t="s">
        <v>18</v>
      </c>
      <c r="K395" s="537" t="s">
        <v>57</v>
      </c>
      <c r="L395" s="61">
        <v>34353</v>
      </c>
      <c r="M395" s="1">
        <v>29</v>
      </c>
      <c r="N395" s="1">
        <v>1400</v>
      </c>
      <c r="P395" s="1">
        <v>1990</v>
      </c>
      <c r="Q395" s="537"/>
      <c r="R395" s="1">
        <v>590</v>
      </c>
      <c r="S395">
        <v>180000</v>
      </c>
      <c r="T395">
        <v>9009</v>
      </c>
      <c r="U395" t="s">
        <v>2639</v>
      </c>
      <c r="V395">
        <v>16470</v>
      </c>
      <c r="W395" s="1">
        <v>45206</v>
      </c>
      <c r="X395" s="537" t="s">
        <v>59</v>
      </c>
      <c r="Y395" s="537" t="s">
        <v>60</v>
      </c>
      <c r="Z395" s="1" t="s">
        <v>2892</v>
      </c>
      <c r="AA395" s="537" t="s">
        <v>2893</v>
      </c>
      <c r="AB395" s="537" t="s">
        <v>2919</v>
      </c>
      <c r="AC395" s="1">
        <v>45009</v>
      </c>
      <c r="AD395" s="61">
        <v>45012</v>
      </c>
      <c r="AE395" s="61">
        <v>45058</v>
      </c>
      <c r="AF395" s="61"/>
      <c r="AG395" s="1" t="s">
        <v>2877</v>
      </c>
      <c r="AH395" s="537"/>
      <c r="AI395" s="537"/>
      <c r="AK395" s="537"/>
      <c r="AM395" s="537" t="s">
        <v>3139</v>
      </c>
      <c r="AN395" s="537"/>
    </row>
    <row r="396" spans="1:40" hidden="1">
      <c r="A396" s="537" t="s">
        <v>54</v>
      </c>
      <c r="B396" s="1">
        <v>210305</v>
      </c>
      <c r="C396" s="1">
        <v>8210054</v>
      </c>
      <c r="D396" s="537" t="s">
        <v>2653</v>
      </c>
      <c r="E396" s="537" t="s">
        <v>3051</v>
      </c>
      <c r="F396" t="s">
        <v>3051</v>
      </c>
      <c r="G396"/>
      <c r="H396" s="537" t="s">
        <v>192</v>
      </c>
      <c r="I396" s="537" t="s">
        <v>193</v>
      </c>
      <c r="J396" s="537" t="s">
        <v>18</v>
      </c>
      <c r="K396" s="537" t="s">
        <v>57</v>
      </c>
      <c r="L396" s="61">
        <v>34554</v>
      </c>
      <c r="M396" s="1">
        <v>29</v>
      </c>
      <c r="N396" s="1">
        <v>1400</v>
      </c>
      <c r="O396" s="1" t="s">
        <v>182</v>
      </c>
      <c r="P396" s="1">
        <v>1990</v>
      </c>
      <c r="Q396" s="537" t="s">
        <v>194</v>
      </c>
      <c r="R396" s="1">
        <v>590</v>
      </c>
      <c r="S396">
        <v>320000</v>
      </c>
      <c r="T396">
        <v>16015.999999999998</v>
      </c>
      <c r="U396" t="s">
        <v>2639</v>
      </c>
      <c r="V396">
        <v>29280</v>
      </c>
      <c r="W396" s="1">
        <v>45329</v>
      </c>
      <c r="X396" s="537" t="s">
        <v>59</v>
      </c>
      <c r="Y396" s="537" t="s">
        <v>60</v>
      </c>
      <c r="Z396" s="1" t="s">
        <v>3052</v>
      </c>
      <c r="AA396" s="537" t="s">
        <v>3053</v>
      </c>
      <c r="AB396" s="537" t="s">
        <v>3054</v>
      </c>
      <c r="AC396" s="1">
        <v>44931</v>
      </c>
      <c r="AD396" s="61">
        <v>44258</v>
      </c>
      <c r="AE396" s="61"/>
      <c r="AF396" s="61"/>
      <c r="AG396" s="1">
        <v>44317</v>
      </c>
      <c r="AH396" s="537" t="s">
        <v>193</v>
      </c>
      <c r="AI396" s="537" t="s">
        <v>145</v>
      </c>
      <c r="AJ396" s="1">
        <v>235</v>
      </c>
      <c r="AK396" s="537" t="s">
        <v>1048</v>
      </c>
      <c r="AL396" s="1" t="s">
        <v>1049</v>
      </c>
      <c r="AM396" s="537" t="s">
        <v>64</v>
      </c>
      <c r="AN396" s="537" t="s">
        <v>2654</v>
      </c>
    </row>
    <row r="397" spans="1:40" hidden="1">
      <c r="A397" s="537" t="s">
        <v>179</v>
      </c>
      <c r="B397" s="1">
        <v>230401</v>
      </c>
      <c r="C397" s="1">
        <v>8210055</v>
      </c>
      <c r="D397" s="537" t="s">
        <v>2653</v>
      </c>
      <c r="E397" s="537" t="s">
        <v>3143</v>
      </c>
      <c r="F397" t="s">
        <v>3144</v>
      </c>
      <c r="G397"/>
      <c r="H397" s="537" t="s">
        <v>2941</v>
      </c>
      <c r="I397" s="537" t="s">
        <v>2942</v>
      </c>
      <c r="J397" s="537" t="s">
        <v>18</v>
      </c>
      <c r="K397" s="537" t="s">
        <v>939</v>
      </c>
      <c r="L397" s="61">
        <v>36540</v>
      </c>
      <c r="M397" s="1">
        <v>23</v>
      </c>
      <c r="N397" s="1">
        <v>1400</v>
      </c>
      <c r="P397" s="1">
        <v>1990</v>
      </c>
      <c r="Q397" s="537"/>
      <c r="R397" s="1">
        <v>590</v>
      </c>
      <c r="S397">
        <v>260000</v>
      </c>
      <c r="T397">
        <v>13013</v>
      </c>
      <c r="U397" t="s">
        <v>2639</v>
      </c>
      <c r="V397">
        <v>23790</v>
      </c>
      <c r="W397" s="1">
        <v>45382</v>
      </c>
      <c r="X397" s="537" t="s">
        <v>65</v>
      </c>
      <c r="Y397" s="537" t="s">
        <v>1568</v>
      </c>
      <c r="Z397" s="1" t="s">
        <v>3462</v>
      </c>
      <c r="AA397" s="537" t="s">
        <v>3463</v>
      </c>
      <c r="AB397" s="537" t="s">
        <v>3464</v>
      </c>
      <c r="AC397" s="1" t="s">
        <v>63</v>
      </c>
      <c r="AD397" s="61">
        <v>45026</v>
      </c>
      <c r="AE397" s="61">
        <v>45219</v>
      </c>
      <c r="AF397" s="61"/>
      <c r="AG397" s="1" t="s">
        <v>3145</v>
      </c>
      <c r="AH397" s="537"/>
      <c r="AI397" s="537"/>
      <c r="AK397" s="537"/>
      <c r="AM397" s="537" t="s">
        <v>3146</v>
      </c>
      <c r="AN397" s="537"/>
    </row>
    <row r="398" spans="1:40" hidden="1">
      <c r="A398" s="537" t="s">
        <v>54</v>
      </c>
      <c r="B398" s="1">
        <v>210107</v>
      </c>
      <c r="C398" s="1">
        <v>8210056</v>
      </c>
      <c r="D398" s="537" t="s">
        <v>2644</v>
      </c>
      <c r="E398" s="537" t="s">
        <v>2645</v>
      </c>
      <c r="F398" t="s">
        <v>2645</v>
      </c>
      <c r="G398"/>
      <c r="H398" s="537" t="s">
        <v>983</v>
      </c>
      <c r="I398" s="537" t="s">
        <v>984</v>
      </c>
      <c r="J398" s="537" t="s">
        <v>18</v>
      </c>
      <c r="K398" s="537" t="s">
        <v>57</v>
      </c>
      <c r="L398" s="61">
        <v>33227</v>
      </c>
      <c r="M398" s="1">
        <v>32</v>
      </c>
      <c r="N398" s="1">
        <v>1430</v>
      </c>
      <c r="P398" s="1">
        <v>2020</v>
      </c>
      <c r="Q398" s="537"/>
      <c r="R398" s="1">
        <v>590</v>
      </c>
      <c r="S398">
        <v>180000</v>
      </c>
      <c r="T398">
        <v>9009</v>
      </c>
      <c r="U398" t="s">
        <v>2639</v>
      </c>
      <c r="V398">
        <v>16470</v>
      </c>
      <c r="W398" s="1">
        <v>45443</v>
      </c>
      <c r="X398" s="537" t="s">
        <v>65</v>
      </c>
      <c r="Y398" s="537" t="s">
        <v>60</v>
      </c>
      <c r="Z398" s="1" t="s">
        <v>2892</v>
      </c>
      <c r="AA398" s="537" t="s">
        <v>2893</v>
      </c>
      <c r="AB398" s="537" t="s">
        <v>2894</v>
      </c>
      <c r="AC398" s="1">
        <v>45073</v>
      </c>
      <c r="AD398" s="61">
        <v>45064</v>
      </c>
      <c r="AE398" s="61"/>
      <c r="AF398" s="61"/>
      <c r="AG398" s="1" t="s">
        <v>3171</v>
      </c>
      <c r="AH398" s="537"/>
      <c r="AI398" s="537"/>
      <c r="AK398" s="537"/>
      <c r="AM398" s="537" t="s">
        <v>3172</v>
      </c>
      <c r="AN398" s="537"/>
    </row>
    <row r="399" spans="1:40" hidden="1">
      <c r="A399" s="537" t="s">
        <v>54</v>
      </c>
      <c r="B399" s="1">
        <v>230601</v>
      </c>
      <c r="C399" s="1">
        <v>8210057</v>
      </c>
      <c r="D399" s="537" t="s">
        <v>2644</v>
      </c>
      <c r="E399" s="537" t="s">
        <v>2673</v>
      </c>
      <c r="F399" t="s">
        <v>2673</v>
      </c>
      <c r="G399"/>
      <c r="H399" s="537" t="s">
        <v>3199</v>
      </c>
      <c r="I399" s="537" t="s">
        <v>3200</v>
      </c>
      <c r="J399" s="537" t="s">
        <v>18</v>
      </c>
      <c r="K399" s="537" t="s">
        <v>57</v>
      </c>
      <c r="L399" s="61">
        <v>30966</v>
      </c>
      <c r="M399" s="1">
        <v>39</v>
      </c>
      <c r="N399" s="1">
        <v>1430</v>
      </c>
      <c r="P399" s="1">
        <v>2020</v>
      </c>
      <c r="Q399" s="537"/>
      <c r="R399" s="1">
        <v>590</v>
      </c>
      <c r="S399">
        <v>180000</v>
      </c>
      <c r="T399">
        <v>9009</v>
      </c>
      <c r="U399" t="s">
        <v>2639</v>
      </c>
      <c r="V399">
        <v>16470</v>
      </c>
      <c r="W399" s="1">
        <v>45701</v>
      </c>
      <c r="X399" s="537" t="s">
        <v>65</v>
      </c>
      <c r="Y399" s="537" t="s">
        <v>60</v>
      </c>
      <c r="Z399" s="1" t="s">
        <v>2892</v>
      </c>
      <c r="AA399" s="537" t="s">
        <v>2893</v>
      </c>
      <c r="AB399" s="537" t="s">
        <v>2902</v>
      </c>
      <c r="AC399" s="1">
        <v>45077</v>
      </c>
      <c r="AD399" s="61">
        <v>45078</v>
      </c>
      <c r="AE399" s="61"/>
      <c r="AF399" s="61"/>
      <c r="AG399" s="1" t="s">
        <v>3171</v>
      </c>
      <c r="AH399" s="537"/>
      <c r="AI399" s="537"/>
      <c r="AK399" s="537"/>
      <c r="AM399" s="537" t="s">
        <v>3201</v>
      </c>
      <c r="AN399" s="537"/>
    </row>
    <row r="400" spans="1:40" hidden="1">
      <c r="A400" s="537" t="s">
        <v>54</v>
      </c>
      <c r="B400" s="1">
        <v>230603</v>
      </c>
      <c r="C400" s="1">
        <v>8210058</v>
      </c>
      <c r="D400" s="537" t="s">
        <v>2653</v>
      </c>
      <c r="E400" s="537" t="s">
        <v>2648</v>
      </c>
      <c r="F400" s="1" t="s">
        <v>2648</v>
      </c>
      <c r="G400"/>
      <c r="H400" s="537" t="s">
        <v>3209</v>
      </c>
      <c r="I400" s="537" t="s">
        <v>3210</v>
      </c>
      <c r="J400" s="537" t="s">
        <v>18</v>
      </c>
      <c r="K400" s="537" t="s">
        <v>57</v>
      </c>
      <c r="L400" s="61">
        <v>34115</v>
      </c>
      <c r="M400" s="1">
        <v>30</v>
      </c>
      <c r="N400" s="1">
        <v>1400</v>
      </c>
      <c r="P400" s="1">
        <v>1960</v>
      </c>
      <c r="Q400" s="537"/>
      <c r="R400" s="1">
        <v>560</v>
      </c>
      <c r="S400">
        <v>180000</v>
      </c>
      <c r="T400">
        <v>9009</v>
      </c>
      <c r="U400" t="s">
        <v>2639</v>
      </c>
      <c r="V400">
        <v>16470</v>
      </c>
      <c r="W400" s="1">
        <v>45513</v>
      </c>
      <c r="X400" s="537" t="s">
        <v>65</v>
      </c>
      <c r="Y400" s="537" t="s">
        <v>60</v>
      </c>
      <c r="Z400" s="1" t="s">
        <v>3211</v>
      </c>
      <c r="AA400" s="537" t="s">
        <v>3212</v>
      </c>
      <c r="AB400" s="537" t="s">
        <v>3213</v>
      </c>
      <c r="AC400" s="1">
        <v>45099</v>
      </c>
      <c r="AD400" s="61">
        <v>45089</v>
      </c>
      <c r="AE400" s="61"/>
      <c r="AF400" s="61"/>
      <c r="AG400" s="1" t="s">
        <v>3214</v>
      </c>
      <c r="AH400" s="537"/>
      <c r="AI400" s="537"/>
      <c r="AK400" s="537"/>
      <c r="AM400" s="537" t="s">
        <v>3215</v>
      </c>
      <c r="AN400" s="537"/>
    </row>
    <row r="401" spans="1:40" hidden="1">
      <c r="A401" s="537" t="s">
        <v>54</v>
      </c>
      <c r="B401" s="1">
        <v>210609</v>
      </c>
      <c r="C401" s="1">
        <v>8210059</v>
      </c>
      <c r="D401" s="537" t="s">
        <v>2653</v>
      </c>
      <c r="E401" s="537" t="s">
        <v>3051</v>
      </c>
      <c r="F401" t="s">
        <v>3051</v>
      </c>
      <c r="G401"/>
      <c r="H401" s="537" t="s">
        <v>1206</v>
      </c>
      <c r="I401" s="537" t="s">
        <v>135</v>
      </c>
      <c r="J401" s="537" t="s">
        <v>18</v>
      </c>
      <c r="K401" s="537" t="s">
        <v>57</v>
      </c>
      <c r="L401" s="61">
        <v>34826</v>
      </c>
      <c r="M401" s="1">
        <v>28</v>
      </c>
      <c r="N401" s="1">
        <v>1400</v>
      </c>
      <c r="P401" s="1">
        <v>1960</v>
      </c>
      <c r="Q401" s="537"/>
      <c r="R401" s="1">
        <v>560</v>
      </c>
      <c r="S401">
        <v>220000</v>
      </c>
      <c r="T401">
        <v>11011</v>
      </c>
      <c r="U401" t="s">
        <v>2639</v>
      </c>
      <c r="V401">
        <v>20130</v>
      </c>
      <c r="W401" s="1">
        <v>45418</v>
      </c>
      <c r="X401" s="537" t="s">
        <v>65</v>
      </c>
      <c r="Y401" s="537" t="s">
        <v>60</v>
      </c>
      <c r="Z401" s="1" t="s">
        <v>3211</v>
      </c>
      <c r="AA401" s="537" t="s">
        <v>3212</v>
      </c>
      <c r="AB401" s="537" t="s">
        <v>3213</v>
      </c>
      <c r="AC401" s="1">
        <v>45099</v>
      </c>
      <c r="AD401" s="61">
        <v>45103</v>
      </c>
      <c r="AE401" s="61"/>
      <c r="AF401" s="61"/>
      <c r="AG401" s="1" t="s">
        <v>3234</v>
      </c>
      <c r="AH401" s="537"/>
      <c r="AI401" s="537"/>
      <c r="AK401" s="537"/>
      <c r="AM401" s="537" t="s">
        <v>3235</v>
      </c>
      <c r="AN401" s="537"/>
    </row>
    <row r="402" spans="1:40" hidden="1">
      <c r="A402" s="537" t="s">
        <v>54</v>
      </c>
      <c r="B402" s="1">
        <v>230703</v>
      </c>
      <c r="C402" s="1">
        <v>8210061</v>
      </c>
      <c r="D402" s="537" t="s">
        <v>2640</v>
      </c>
      <c r="E402" s="537" t="s">
        <v>2657</v>
      </c>
      <c r="F402" t="s">
        <v>2657</v>
      </c>
      <c r="G402"/>
      <c r="H402" s="537" t="s">
        <v>3249</v>
      </c>
      <c r="I402" s="537" t="s">
        <v>3250</v>
      </c>
      <c r="J402" s="537" t="s">
        <v>18</v>
      </c>
      <c r="K402" s="537" t="s">
        <v>57</v>
      </c>
      <c r="L402" s="61">
        <v>34476</v>
      </c>
      <c r="M402" s="1">
        <v>29</v>
      </c>
      <c r="N402" s="1">
        <v>1400</v>
      </c>
      <c r="P402" s="1">
        <v>1990</v>
      </c>
      <c r="Q402" s="537"/>
      <c r="R402" s="1">
        <v>590</v>
      </c>
      <c r="S402">
        <v>220000</v>
      </c>
      <c r="T402">
        <v>11011</v>
      </c>
      <c r="U402" t="s">
        <v>2639</v>
      </c>
      <c r="V402">
        <v>20130</v>
      </c>
      <c r="W402" s="1">
        <v>45359</v>
      </c>
      <c r="X402" s="537" t="s">
        <v>59</v>
      </c>
      <c r="Y402" s="537" t="s">
        <v>60</v>
      </c>
      <c r="Z402" s="1" t="s">
        <v>2892</v>
      </c>
      <c r="AA402" s="537" t="s">
        <v>2893</v>
      </c>
      <c r="AB402" s="537" t="s">
        <v>2902</v>
      </c>
      <c r="AC402" s="1">
        <v>45109</v>
      </c>
      <c r="AD402" s="61">
        <v>45110</v>
      </c>
      <c r="AE402" s="61"/>
      <c r="AF402" s="61"/>
      <c r="AG402" s="1" t="s">
        <v>3247</v>
      </c>
      <c r="AH402" s="537"/>
      <c r="AI402" s="537"/>
      <c r="AK402" s="537"/>
      <c r="AM402" s="537" t="s">
        <v>3248</v>
      </c>
      <c r="AN402" s="537"/>
    </row>
    <row r="403" spans="1:40" hidden="1">
      <c r="A403" s="537" t="s">
        <v>54</v>
      </c>
      <c r="B403" s="1">
        <v>210710</v>
      </c>
      <c r="C403" s="1">
        <v>8210062</v>
      </c>
      <c r="D403" s="537" t="s">
        <v>2640</v>
      </c>
      <c r="E403" s="537" t="s">
        <v>3051</v>
      </c>
      <c r="F403" t="s">
        <v>3051</v>
      </c>
      <c r="G403"/>
      <c r="H403" s="537" t="s">
        <v>1972</v>
      </c>
      <c r="I403" s="537" t="s">
        <v>1973</v>
      </c>
      <c r="J403" s="537" t="s">
        <v>18</v>
      </c>
      <c r="K403" s="537" t="s">
        <v>57</v>
      </c>
      <c r="L403" s="61">
        <v>33139</v>
      </c>
      <c r="M403" s="1">
        <v>33</v>
      </c>
      <c r="N403" s="1">
        <v>1450</v>
      </c>
      <c r="P403" s="1">
        <v>1990</v>
      </c>
      <c r="Q403" s="537"/>
      <c r="R403" s="1">
        <v>540</v>
      </c>
      <c r="S403">
        <v>240000</v>
      </c>
      <c r="T403">
        <v>12012</v>
      </c>
      <c r="U403" t="s">
        <v>2639</v>
      </c>
      <c r="V403">
        <v>21960</v>
      </c>
      <c r="W403" s="1">
        <v>45441</v>
      </c>
      <c r="X403" s="537" t="s">
        <v>65</v>
      </c>
      <c r="Y403" s="537" t="s">
        <v>60</v>
      </c>
      <c r="Z403" s="1" t="s">
        <v>1501</v>
      </c>
      <c r="AA403" s="537" t="s">
        <v>3245</v>
      </c>
      <c r="AB403" s="537" t="s">
        <v>3246</v>
      </c>
      <c r="AC403" s="1" t="s">
        <v>63</v>
      </c>
      <c r="AD403" s="61">
        <v>45110</v>
      </c>
      <c r="AE403" s="61"/>
      <c r="AF403" s="61"/>
      <c r="AG403" s="1" t="s">
        <v>3247</v>
      </c>
      <c r="AH403" s="537"/>
      <c r="AI403" s="537"/>
      <c r="AK403" s="537"/>
      <c r="AM403" s="537" t="s">
        <v>3248</v>
      </c>
      <c r="AN403" s="537"/>
    </row>
    <row r="404" spans="1:40" hidden="1">
      <c r="A404" s="537" t="s">
        <v>54</v>
      </c>
      <c r="B404" s="1">
        <v>230702</v>
      </c>
      <c r="C404" s="1">
        <v>8210063</v>
      </c>
      <c r="D404" s="537" t="s">
        <v>2653</v>
      </c>
      <c r="E404" s="537" t="s">
        <v>3051</v>
      </c>
      <c r="F404" t="s">
        <v>3051</v>
      </c>
      <c r="G404"/>
      <c r="H404" s="537" t="s">
        <v>3251</v>
      </c>
      <c r="I404" s="537" t="s">
        <v>3252</v>
      </c>
      <c r="J404" s="537" t="s">
        <v>18</v>
      </c>
      <c r="K404" s="537" t="s">
        <v>57</v>
      </c>
      <c r="L404" s="61">
        <v>32063</v>
      </c>
      <c r="M404" s="1">
        <v>36</v>
      </c>
      <c r="N404" s="1">
        <v>1400</v>
      </c>
      <c r="P404" s="1">
        <v>1960</v>
      </c>
      <c r="Q404" s="537"/>
      <c r="R404" s="1">
        <v>560</v>
      </c>
      <c r="S404">
        <v>220000</v>
      </c>
      <c r="T404">
        <v>11011</v>
      </c>
      <c r="U404" t="s">
        <v>2639</v>
      </c>
      <c r="V404">
        <v>20130</v>
      </c>
      <c r="W404" s="1">
        <v>45779</v>
      </c>
      <c r="X404" s="537" t="s">
        <v>65</v>
      </c>
      <c r="Y404" s="537" t="s">
        <v>60</v>
      </c>
      <c r="Z404" s="1" t="s">
        <v>3082</v>
      </c>
      <c r="AA404" s="537" t="s">
        <v>3083</v>
      </c>
      <c r="AB404" s="537" t="s">
        <v>3084</v>
      </c>
      <c r="AC404" s="1">
        <v>45122</v>
      </c>
      <c r="AD404" s="61">
        <v>45110</v>
      </c>
      <c r="AE404" s="61"/>
      <c r="AF404" s="61"/>
      <c r="AG404" s="1" t="s">
        <v>3247</v>
      </c>
      <c r="AH404" s="537"/>
      <c r="AI404" s="537"/>
      <c r="AK404" s="537"/>
      <c r="AM404" s="537" t="s">
        <v>3248</v>
      </c>
      <c r="AN404" s="537"/>
    </row>
    <row r="405" spans="1:40" hidden="1">
      <c r="A405" s="537" t="s">
        <v>179</v>
      </c>
      <c r="B405" s="1">
        <v>230711</v>
      </c>
      <c r="C405" s="1">
        <v>8210064</v>
      </c>
      <c r="D405" s="537" t="s">
        <v>2655</v>
      </c>
      <c r="E405" s="537"/>
      <c r="F405"/>
      <c r="G405"/>
      <c r="H405" s="537" t="s">
        <v>3285</v>
      </c>
      <c r="I405" s="537" t="s">
        <v>3286</v>
      </c>
      <c r="J405" s="537" t="s">
        <v>18</v>
      </c>
      <c r="K405" s="537" t="s">
        <v>57</v>
      </c>
      <c r="L405" s="61">
        <v>34375</v>
      </c>
      <c r="M405" s="1">
        <v>29</v>
      </c>
      <c r="N405" s="1">
        <v>1400</v>
      </c>
      <c r="P405" s="1">
        <v>1990</v>
      </c>
      <c r="Q405" s="537"/>
      <c r="R405" s="1">
        <v>590</v>
      </c>
      <c r="S405">
        <v>0</v>
      </c>
      <c r="T405">
        <v>0</v>
      </c>
      <c r="U405" t="s">
        <v>2639</v>
      </c>
      <c r="V405">
        <v>0</v>
      </c>
      <c r="W405" s="1">
        <v>45620</v>
      </c>
      <c r="X405" s="537" t="s">
        <v>65</v>
      </c>
      <c r="Y405" s="537" t="s">
        <v>60</v>
      </c>
      <c r="Z405" s="1" t="s">
        <v>2892</v>
      </c>
      <c r="AA405" s="537" t="s">
        <v>2893</v>
      </c>
      <c r="AB405" s="537" t="s">
        <v>2919</v>
      </c>
      <c r="AC405" s="1">
        <v>45131</v>
      </c>
      <c r="AD405" s="61">
        <v>45133</v>
      </c>
      <c r="AE405" s="61">
        <v>45149</v>
      </c>
      <c r="AF405" s="61"/>
      <c r="AH405" s="537"/>
      <c r="AI405" s="537"/>
      <c r="AK405" s="537"/>
      <c r="AM405" s="537"/>
      <c r="AN405" s="537"/>
    </row>
    <row r="406" spans="1:40" hidden="1">
      <c r="A406" s="537" t="s">
        <v>179</v>
      </c>
      <c r="B406" s="1">
        <v>230712</v>
      </c>
      <c r="C406" s="1">
        <v>8210065</v>
      </c>
      <c r="D406" s="537" t="s">
        <v>2640</v>
      </c>
      <c r="E406" s="537"/>
      <c r="F406"/>
      <c r="G406"/>
      <c r="H406" s="537" t="s">
        <v>3287</v>
      </c>
      <c r="I406" s="537" t="s">
        <v>3288</v>
      </c>
      <c r="J406" s="537" t="s">
        <v>18</v>
      </c>
      <c r="K406" s="537" t="s">
        <v>57</v>
      </c>
      <c r="L406" s="61">
        <v>34848</v>
      </c>
      <c r="M406" s="1">
        <v>28</v>
      </c>
      <c r="N406" s="1">
        <v>1400</v>
      </c>
      <c r="P406" s="1">
        <v>1990</v>
      </c>
      <c r="Q406" s="537"/>
      <c r="R406" s="1">
        <v>590</v>
      </c>
      <c r="S406">
        <v>220000</v>
      </c>
      <c r="T406">
        <v>11011</v>
      </c>
      <c r="U406" t="s">
        <v>2639</v>
      </c>
      <c r="V406">
        <v>20130</v>
      </c>
      <c r="W406" s="1">
        <v>45795</v>
      </c>
      <c r="X406" s="537" t="s">
        <v>65</v>
      </c>
      <c r="Y406" s="537" t="s">
        <v>60</v>
      </c>
      <c r="Z406" s="1" t="s">
        <v>2892</v>
      </c>
      <c r="AA406" s="537" t="s">
        <v>2893</v>
      </c>
      <c r="AB406" s="537" t="s">
        <v>2902</v>
      </c>
      <c r="AC406" s="1">
        <v>45131</v>
      </c>
      <c r="AD406" s="61">
        <v>45133</v>
      </c>
      <c r="AE406" s="61">
        <v>45219</v>
      </c>
      <c r="AF406" s="61"/>
      <c r="AG406" s="1" t="s">
        <v>3289</v>
      </c>
      <c r="AH406" s="537"/>
      <c r="AI406" s="537"/>
      <c r="AK406" s="537"/>
      <c r="AM406" s="537" t="s">
        <v>3290</v>
      </c>
      <c r="AN406" s="537"/>
    </row>
    <row r="407" spans="1:40" hidden="1">
      <c r="A407" s="537" t="s">
        <v>54</v>
      </c>
      <c r="B407" s="1">
        <v>220308</v>
      </c>
      <c r="C407" s="1">
        <v>8210066</v>
      </c>
      <c r="D407" s="537" t="s">
        <v>2653</v>
      </c>
      <c r="E407" s="537" t="s">
        <v>3051</v>
      </c>
      <c r="F407" t="s">
        <v>3051</v>
      </c>
      <c r="G407"/>
      <c r="H407" s="537" t="s">
        <v>1671</v>
      </c>
      <c r="I407" s="537" t="s">
        <v>1672</v>
      </c>
      <c r="J407" s="537" t="s">
        <v>18</v>
      </c>
      <c r="K407" s="537" t="s">
        <v>57</v>
      </c>
      <c r="L407" s="61">
        <v>32237</v>
      </c>
      <c r="M407" s="1">
        <v>35</v>
      </c>
      <c r="N407" s="1">
        <v>1450</v>
      </c>
      <c r="O407" s="1" t="s">
        <v>1673</v>
      </c>
      <c r="P407" s="1">
        <v>1960</v>
      </c>
      <c r="Q407" s="537"/>
      <c r="R407" s="1">
        <v>510</v>
      </c>
      <c r="S407">
        <v>260000</v>
      </c>
      <c r="T407">
        <v>13013</v>
      </c>
      <c r="U407" t="s">
        <v>2639</v>
      </c>
      <c r="V407">
        <v>23790</v>
      </c>
      <c r="W407" s="1">
        <v>45318</v>
      </c>
      <c r="X407" s="537" t="s">
        <v>59</v>
      </c>
      <c r="Y407" s="537" t="s">
        <v>60</v>
      </c>
      <c r="Z407" s="1" t="s">
        <v>3082</v>
      </c>
      <c r="AA407" s="537" t="s">
        <v>3083</v>
      </c>
      <c r="AB407" s="537" t="s">
        <v>3084</v>
      </c>
      <c r="AC407" s="1">
        <v>45044</v>
      </c>
      <c r="AD407" s="61">
        <v>44623</v>
      </c>
      <c r="AE407" s="61"/>
      <c r="AF407" s="61"/>
      <c r="AG407" s="1">
        <v>22.05</v>
      </c>
      <c r="AH407" s="537" t="s">
        <v>1672</v>
      </c>
      <c r="AI407" s="537" t="s">
        <v>86</v>
      </c>
      <c r="AJ407" s="1">
        <v>208</v>
      </c>
      <c r="AK407" s="537" t="s">
        <v>151</v>
      </c>
      <c r="AL407" s="1" t="s">
        <v>1674</v>
      </c>
      <c r="AM407" s="537" t="s">
        <v>64</v>
      </c>
      <c r="AN407" s="537" t="s">
        <v>3085</v>
      </c>
    </row>
    <row r="408" spans="1:40" hidden="1">
      <c r="A408" s="537" t="s">
        <v>54</v>
      </c>
      <c r="B408" s="1">
        <v>210301</v>
      </c>
      <c r="C408" s="1">
        <v>8210067</v>
      </c>
      <c r="D408" s="537" t="s">
        <v>2640</v>
      </c>
      <c r="E408" s="537" t="s">
        <v>2409</v>
      </c>
      <c r="F408" t="s">
        <v>2409</v>
      </c>
      <c r="G408"/>
      <c r="H408" s="537" t="s">
        <v>177</v>
      </c>
      <c r="I408" s="537" t="s">
        <v>178</v>
      </c>
      <c r="J408" s="537" t="s">
        <v>18</v>
      </c>
      <c r="K408" s="537" t="s">
        <v>57</v>
      </c>
      <c r="L408" s="61">
        <v>34922</v>
      </c>
      <c r="M408" s="1">
        <v>28</v>
      </c>
      <c r="N408" s="1">
        <v>1400</v>
      </c>
      <c r="O408" s="1" t="s">
        <v>1044</v>
      </c>
      <c r="P408" s="1">
        <v>1960</v>
      </c>
      <c r="Q408" s="537"/>
      <c r="R408" s="1">
        <v>560</v>
      </c>
      <c r="S408">
        <v>220000</v>
      </c>
      <c r="T408">
        <v>11011</v>
      </c>
      <c r="U408" t="s">
        <v>2639</v>
      </c>
      <c r="V408">
        <v>20130</v>
      </c>
      <c r="W408" s="1">
        <v>45527</v>
      </c>
      <c r="X408" s="537" t="s">
        <v>65</v>
      </c>
      <c r="Y408" s="537" t="s">
        <v>60</v>
      </c>
      <c r="Z408" s="1" t="s">
        <v>1501</v>
      </c>
      <c r="AA408" s="537" t="s">
        <v>930</v>
      </c>
      <c r="AB408" s="537" t="s">
        <v>3450</v>
      </c>
      <c r="AC408" s="1" t="s">
        <v>63</v>
      </c>
      <c r="AD408" s="61">
        <v>44256</v>
      </c>
      <c r="AE408" s="61"/>
      <c r="AF408" s="61"/>
      <c r="AG408" s="1">
        <v>44287</v>
      </c>
      <c r="AH408" s="537" t="s">
        <v>178</v>
      </c>
      <c r="AI408" s="537" t="s">
        <v>86</v>
      </c>
      <c r="AJ408" s="1">
        <v>468</v>
      </c>
      <c r="AK408" s="537" t="s">
        <v>158</v>
      </c>
      <c r="AL408" s="1" t="s">
        <v>1045</v>
      </c>
      <c r="AM408" s="537" t="s">
        <v>64</v>
      </c>
      <c r="AN408" s="537" t="s">
        <v>3050</v>
      </c>
    </row>
    <row r="409" spans="1:40" hidden="1">
      <c r="A409" s="537" t="s">
        <v>54</v>
      </c>
      <c r="B409" s="1">
        <v>230801</v>
      </c>
      <c r="C409" s="1">
        <v>8210068</v>
      </c>
      <c r="D409" s="537" t="s">
        <v>2653</v>
      </c>
      <c r="E409" s="537" t="s">
        <v>3051</v>
      </c>
      <c r="F409" t="s">
        <v>3051</v>
      </c>
      <c r="G409"/>
      <c r="H409" s="537" t="s">
        <v>3299</v>
      </c>
      <c r="I409" s="537" t="s">
        <v>3300</v>
      </c>
      <c r="J409" s="537" t="s">
        <v>18</v>
      </c>
      <c r="K409" s="537" t="s">
        <v>57</v>
      </c>
      <c r="L409" s="61">
        <v>35830</v>
      </c>
      <c r="M409" s="1">
        <v>25</v>
      </c>
      <c r="N409" s="1">
        <v>1400</v>
      </c>
      <c r="P409" s="1">
        <v>1960</v>
      </c>
      <c r="Q409" s="537"/>
      <c r="R409" s="1">
        <v>560</v>
      </c>
      <c r="S409">
        <v>200000</v>
      </c>
      <c r="T409">
        <v>10010</v>
      </c>
      <c r="U409" t="s">
        <v>2639</v>
      </c>
      <c r="V409">
        <v>18300</v>
      </c>
      <c r="W409" s="1">
        <v>45382</v>
      </c>
      <c r="X409" s="537" t="s">
        <v>65</v>
      </c>
      <c r="Y409" s="537" t="s">
        <v>60</v>
      </c>
      <c r="Z409" s="1" t="s">
        <v>3301</v>
      </c>
      <c r="AA409" s="537" t="s">
        <v>3302</v>
      </c>
      <c r="AB409" s="537" t="s">
        <v>3303</v>
      </c>
      <c r="AC409" s="1">
        <v>45140</v>
      </c>
      <c r="AD409" s="61">
        <v>45139</v>
      </c>
      <c r="AE409" s="61"/>
      <c r="AF409" s="61"/>
      <c r="AG409" s="1" t="s">
        <v>3294</v>
      </c>
      <c r="AH409" s="537"/>
      <c r="AI409" s="537"/>
      <c r="AK409" s="537"/>
      <c r="AM409" s="537" t="s">
        <v>3304</v>
      </c>
      <c r="AN409" s="537"/>
    </row>
    <row r="410" spans="1:40" hidden="1">
      <c r="A410" s="537" t="s">
        <v>54</v>
      </c>
      <c r="B410" s="1">
        <v>230802</v>
      </c>
      <c r="C410" s="1">
        <v>8210069</v>
      </c>
      <c r="D410" s="537" t="s">
        <v>2653</v>
      </c>
      <c r="E410" s="537" t="s">
        <v>3051</v>
      </c>
      <c r="F410" t="s">
        <v>3051</v>
      </c>
      <c r="G410"/>
      <c r="H410" s="537" t="s">
        <v>3305</v>
      </c>
      <c r="I410" s="537" t="s">
        <v>3306</v>
      </c>
      <c r="J410" s="537" t="s">
        <v>18</v>
      </c>
      <c r="K410" s="537" t="s">
        <v>57</v>
      </c>
      <c r="L410" s="61">
        <v>35119</v>
      </c>
      <c r="M410" s="1">
        <v>27</v>
      </c>
      <c r="N410" s="1">
        <v>1400</v>
      </c>
      <c r="P410" s="1">
        <v>1960</v>
      </c>
      <c r="Q410" s="537"/>
      <c r="R410" s="1">
        <v>560</v>
      </c>
      <c r="S410">
        <v>200000</v>
      </c>
      <c r="T410">
        <v>10010</v>
      </c>
      <c r="U410" t="s">
        <v>2639</v>
      </c>
      <c r="V410">
        <v>18300</v>
      </c>
      <c r="W410" s="1">
        <v>46119</v>
      </c>
      <c r="X410" s="537" t="s">
        <v>65</v>
      </c>
      <c r="Y410" s="537" t="s">
        <v>60</v>
      </c>
      <c r="Z410" s="1" t="s">
        <v>3301</v>
      </c>
      <c r="AA410" s="537" t="s">
        <v>3302</v>
      </c>
      <c r="AB410" s="537" t="s">
        <v>3303</v>
      </c>
      <c r="AC410" s="1">
        <v>45140</v>
      </c>
      <c r="AD410" s="61">
        <v>45139</v>
      </c>
      <c r="AE410" s="61"/>
      <c r="AF410" s="61"/>
      <c r="AG410" s="1" t="s">
        <v>3294</v>
      </c>
      <c r="AH410" s="537"/>
      <c r="AI410" s="537"/>
      <c r="AK410" s="537"/>
      <c r="AM410" s="537" t="s">
        <v>3304</v>
      </c>
      <c r="AN410" s="537"/>
    </row>
    <row r="411" spans="1:40" hidden="1">
      <c r="A411" s="537" t="s">
        <v>54</v>
      </c>
      <c r="B411" s="1">
        <v>230817</v>
      </c>
      <c r="C411" s="1">
        <v>8210070</v>
      </c>
      <c r="D411" s="537" t="s">
        <v>2653</v>
      </c>
      <c r="E411" s="537" t="s">
        <v>3051</v>
      </c>
      <c r="F411" t="s">
        <v>3051</v>
      </c>
      <c r="G411"/>
      <c r="H411" s="537" t="s">
        <v>3343</v>
      </c>
      <c r="I411" s="537" t="s">
        <v>3344</v>
      </c>
      <c r="J411" s="537" t="s">
        <v>18</v>
      </c>
      <c r="K411" s="537" t="s">
        <v>57</v>
      </c>
      <c r="L411" s="61">
        <v>35362</v>
      </c>
      <c r="M411" s="1">
        <v>27</v>
      </c>
      <c r="N411" s="1">
        <v>1400</v>
      </c>
      <c r="P411" s="1">
        <v>1960</v>
      </c>
      <c r="Q411" s="537"/>
      <c r="R411" s="1">
        <v>560</v>
      </c>
      <c r="S411">
        <v>200000</v>
      </c>
      <c r="T411">
        <v>10010</v>
      </c>
      <c r="U411" t="s">
        <v>2639</v>
      </c>
      <c r="V411">
        <v>18300</v>
      </c>
      <c r="W411" s="1">
        <v>45316</v>
      </c>
      <c r="X411" s="537" t="s">
        <v>59</v>
      </c>
      <c r="Y411" s="537" t="s">
        <v>60</v>
      </c>
      <c r="Z411" s="1" t="s">
        <v>3301</v>
      </c>
      <c r="AA411" s="537" t="s">
        <v>3302</v>
      </c>
      <c r="AB411" s="537" t="s">
        <v>3303</v>
      </c>
      <c r="AC411" s="1">
        <v>45140</v>
      </c>
      <c r="AD411" s="61">
        <v>45145</v>
      </c>
      <c r="AE411" s="61"/>
      <c r="AF411" s="61"/>
      <c r="AG411" s="1" t="s">
        <v>3345</v>
      </c>
      <c r="AH411" s="537"/>
      <c r="AI411" s="537"/>
      <c r="AK411" s="537"/>
      <c r="AM411" s="537" t="s">
        <v>3312</v>
      </c>
      <c r="AN411" s="537"/>
    </row>
    <row r="412" spans="1:40" hidden="1">
      <c r="A412" s="537" t="s">
        <v>179</v>
      </c>
      <c r="B412" s="1">
        <v>230819</v>
      </c>
      <c r="C412" s="1">
        <v>8210071</v>
      </c>
      <c r="D412" s="537" t="s">
        <v>2653</v>
      </c>
      <c r="E412" s="537" t="s">
        <v>3051</v>
      </c>
      <c r="F412" t="s">
        <v>3051</v>
      </c>
      <c r="G412"/>
      <c r="H412" s="537" t="s">
        <v>181</v>
      </c>
      <c r="I412" s="537" t="s">
        <v>3349</v>
      </c>
      <c r="J412" s="537" t="s">
        <v>18</v>
      </c>
      <c r="K412" s="537" t="s">
        <v>57</v>
      </c>
      <c r="L412" s="61">
        <v>33046</v>
      </c>
      <c r="M412" s="1">
        <v>33</v>
      </c>
      <c r="N412" s="1">
        <v>1400</v>
      </c>
      <c r="P412" s="1">
        <v>1960</v>
      </c>
      <c r="Q412" s="537"/>
      <c r="R412" s="1">
        <v>560</v>
      </c>
      <c r="S412">
        <v>200000</v>
      </c>
      <c r="T412">
        <v>10010</v>
      </c>
      <c r="U412" t="s">
        <v>2639</v>
      </c>
      <c r="V412">
        <v>18300</v>
      </c>
      <c r="W412" s="1">
        <v>45436</v>
      </c>
      <c r="X412" s="537" t="s">
        <v>65</v>
      </c>
      <c r="Y412" s="537" t="s">
        <v>60</v>
      </c>
      <c r="Z412" s="1" t="s">
        <v>3350</v>
      </c>
      <c r="AA412" s="537" t="s">
        <v>3351</v>
      </c>
      <c r="AB412" s="537" t="s">
        <v>3352</v>
      </c>
      <c r="AC412" s="1" t="s">
        <v>63</v>
      </c>
      <c r="AD412" s="61">
        <v>45159</v>
      </c>
      <c r="AE412" s="61">
        <v>45258</v>
      </c>
      <c r="AF412" s="61"/>
      <c r="AG412" s="1" t="s">
        <v>3348</v>
      </c>
      <c r="AH412" s="537"/>
      <c r="AI412" s="537"/>
      <c r="AK412" s="537"/>
      <c r="AM412" s="537" t="s">
        <v>828</v>
      </c>
      <c r="AN412" s="537"/>
    </row>
    <row r="413" spans="1:40" hidden="1">
      <c r="A413" s="537" t="s">
        <v>54</v>
      </c>
      <c r="B413" s="1">
        <v>230818</v>
      </c>
      <c r="C413" s="1">
        <v>8210072</v>
      </c>
      <c r="D413" s="537" t="s">
        <v>2644</v>
      </c>
      <c r="E413" s="537" t="s">
        <v>2673</v>
      </c>
      <c r="F413" t="s">
        <v>2673</v>
      </c>
      <c r="G413"/>
      <c r="H413" s="537" t="s">
        <v>3346</v>
      </c>
      <c r="I413" s="537" t="s">
        <v>3347</v>
      </c>
      <c r="J413" s="537" t="s">
        <v>18</v>
      </c>
      <c r="K413" s="537" t="s">
        <v>57</v>
      </c>
      <c r="L413" s="61">
        <v>33188</v>
      </c>
      <c r="M413" s="1">
        <v>33</v>
      </c>
      <c r="N413" s="1">
        <v>1400</v>
      </c>
      <c r="P413" s="1">
        <v>2050</v>
      </c>
      <c r="Q413" s="537"/>
      <c r="R413" s="1">
        <v>650</v>
      </c>
      <c r="S413">
        <v>200000</v>
      </c>
      <c r="T413">
        <v>10010</v>
      </c>
      <c r="U413" t="s">
        <v>2639</v>
      </c>
      <c r="V413">
        <v>18300</v>
      </c>
      <c r="W413" s="1">
        <v>45466</v>
      </c>
      <c r="X413" s="537" t="s">
        <v>65</v>
      </c>
      <c r="Y413" s="537" t="s">
        <v>60</v>
      </c>
      <c r="Z413" s="1" t="s">
        <v>2892</v>
      </c>
      <c r="AA413" s="537" t="s">
        <v>2893</v>
      </c>
      <c r="AB413" s="537" t="s">
        <v>2894</v>
      </c>
      <c r="AC413" s="1">
        <v>45152</v>
      </c>
      <c r="AD413" s="61">
        <v>45159</v>
      </c>
      <c r="AE413" s="61"/>
      <c r="AF413" s="61"/>
      <c r="AG413" s="1" t="s">
        <v>3348</v>
      </c>
      <c r="AH413" s="537"/>
      <c r="AI413" s="537"/>
      <c r="AK413" s="537"/>
      <c r="AM413" s="537" t="s">
        <v>828</v>
      </c>
      <c r="AN413" s="537"/>
    </row>
    <row r="414" spans="1:40" hidden="1">
      <c r="A414" s="537" t="s">
        <v>54</v>
      </c>
      <c r="B414" s="1">
        <v>230820</v>
      </c>
      <c r="C414" s="1">
        <v>8210073</v>
      </c>
      <c r="D414" s="537" t="s">
        <v>2655</v>
      </c>
      <c r="E414" s="537" t="s">
        <v>2656</v>
      </c>
      <c r="F414" s="1" t="s">
        <v>2656</v>
      </c>
      <c r="G414"/>
      <c r="H414" s="537" t="s">
        <v>3353</v>
      </c>
      <c r="I414" s="537" t="s">
        <v>3354</v>
      </c>
      <c r="J414" s="537" t="s">
        <v>18</v>
      </c>
      <c r="K414" s="537" t="s">
        <v>57</v>
      </c>
      <c r="L414" s="61">
        <v>32587</v>
      </c>
      <c r="M414" s="1">
        <v>34</v>
      </c>
      <c r="N414" s="1">
        <v>1400</v>
      </c>
      <c r="P414" s="1">
        <v>1960</v>
      </c>
      <c r="Q414" s="537"/>
      <c r="R414" s="1">
        <v>560</v>
      </c>
      <c r="S414">
        <v>200000</v>
      </c>
      <c r="T414">
        <v>10010</v>
      </c>
      <c r="U414" t="s">
        <v>2639</v>
      </c>
      <c r="V414">
        <v>18300</v>
      </c>
      <c r="W414" s="1">
        <v>45979</v>
      </c>
      <c r="X414" s="537" t="s">
        <v>65</v>
      </c>
      <c r="Y414" s="537" t="s">
        <v>60</v>
      </c>
      <c r="Z414" s="1" t="s">
        <v>3355</v>
      </c>
      <c r="AA414" s="537" t="s">
        <v>3356</v>
      </c>
      <c r="AB414" s="537" t="s">
        <v>3357</v>
      </c>
      <c r="AC414" s="1" t="s">
        <v>63</v>
      </c>
      <c r="AD414" s="61">
        <v>45159</v>
      </c>
      <c r="AE414" s="61"/>
      <c r="AF414" s="61"/>
      <c r="AG414" s="1" t="s">
        <v>3348</v>
      </c>
      <c r="AH414" s="537"/>
      <c r="AI414" s="537"/>
      <c r="AK414" s="537"/>
      <c r="AM414" s="537" t="s">
        <v>828</v>
      </c>
      <c r="AN414" s="537"/>
    </row>
    <row r="415" spans="1:40" hidden="1">
      <c r="A415" s="537" t="s">
        <v>54</v>
      </c>
      <c r="B415" s="1">
        <v>230906</v>
      </c>
      <c r="C415" s="1">
        <v>8210074</v>
      </c>
      <c r="D415" s="537" t="s">
        <v>2655</v>
      </c>
      <c r="E415" s="537" t="s">
        <v>2656</v>
      </c>
      <c r="F415" t="s">
        <v>2656</v>
      </c>
      <c r="G415"/>
      <c r="H415" s="537" t="s">
        <v>3384</v>
      </c>
      <c r="I415" s="537" t="s">
        <v>3385</v>
      </c>
      <c r="J415" s="537" t="s">
        <v>18</v>
      </c>
      <c r="K415" s="537" t="s">
        <v>57</v>
      </c>
      <c r="L415" s="61">
        <v>34237</v>
      </c>
      <c r="M415" s="1">
        <v>30</v>
      </c>
      <c r="N415" s="1">
        <v>1400</v>
      </c>
      <c r="P415" s="1">
        <v>1960</v>
      </c>
      <c r="Q415" s="537"/>
      <c r="R415" s="1">
        <v>560</v>
      </c>
      <c r="S415">
        <v>240000</v>
      </c>
      <c r="T415">
        <v>12012</v>
      </c>
      <c r="U415" t="s">
        <v>2639</v>
      </c>
      <c r="V415">
        <v>21960</v>
      </c>
      <c r="W415" s="1">
        <v>46915</v>
      </c>
      <c r="X415" s="537" t="s">
        <v>65</v>
      </c>
      <c r="Y415" s="537" t="s">
        <v>60</v>
      </c>
      <c r="Z415" s="1" t="s">
        <v>3379</v>
      </c>
      <c r="AA415" s="537" t="s">
        <v>3380</v>
      </c>
      <c r="AB415" s="537" t="s">
        <v>3381</v>
      </c>
      <c r="AD415" s="61">
        <v>45180</v>
      </c>
      <c r="AE415" s="61"/>
      <c r="AF415" s="61"/>
      <c r="AG415" s="1" t="s">
        <v>3382</v>
      </c>
      <c r="AH415" s="537"/>
      <c r="AI415" s="537"/>
      <c r="AK415" s="537"/>
      <c r="AM415" s="537" t="s">
        <v>3383</v>
      </c>
      <c r="AN415" s="537"/>
    </row>
    <row r="416" spans="1:40" hidden="1">
      <c r="A416" s="537" t="s">
        <v>54</v>
      </c>
      <c r="B416" s="1">
        <v>230905</v>
      </c>
      <c r="C416" s="1">
        <v>8210075</v>
      </c>
      <c r="D416" s="537" t="s">
        <v>2653</v>
      </c>
      <c r="E416" s="537" t="s">
        <v>2668</v>
      </c>
      <c r="F416" t="s">
        <v>2668</v>
      </c>
      <c r="G416"/>
      <c r="H416" s="537" t="s">
        <v>3377</v>
      </c>
      <c r="I416" s="537" t="s">
        <v>3378</v>
      </c>
      <c r="J416" s="537" t="s">
        <v>18</v>
      </c>
      <c r="K416" s="537" t="s">
        <v>57</v>
      </c>
      <c r="L416" s="61">
        <v>32065</v>
      </c>
      <c r="M416" s="1">
        <v>36</v>
      </c>
      <c r="N416" s="1">
        <v>1400</v>
      </c>
      <c r="P416" s="1">
        <v>1960</v>
      </c>
      <c r="Q416" s="537"/>
      <c r="R416" s="1">
        <v>560</v>
      </c>
      <c r="S416">
        <v>240000</v>
      </c>
      <c r="T416">
        <v>12012</v>
      </c>
      <c r="U416" t="s">
        <v>2639</v>
      </c>
      <c r="V416">
        <v>21960</v>
      </c>
      <c r="W416" s="1">
        <v>45463</v>
      </c>
      <c r="X416" s="537" t="s">
        <v>65</v>
      </c>
      <c r="Y416" s="537" t="s">
        <v>60</v>
      </c>
      <c r="Z416" s="1" t="s">
        <v>3379</v>
      </c>
      <c r="AA416" s="537" t="s">
        <v>3380</v>
      </c>
      <c r="AB416" s="537" t="s">
        <v>3381</v>
      </c>
      <c r="AD416" s="61">
        <v>45180</v>
      </c>
      <c r="AE416" s="61"/>
      <c r="AF416" s="61"/>
      <c r="AG416" s="1" t="s">
        <v>3382</v>
      </c>
      <c r="AH416" s="537"/>
      <c r="AI416" s="537"/>
      <c r="AK416" s="537"/>
      <c r="AM416" s="537" t="s">
        <v>3383</v>
      </c>
      <c r="AN416" s="537"/>
    </row>
    <row r="417" spans="1:40" hidden="1">
      <c r="A417" s="537" t="s">
        <v>54</v>
      </c>
      <c r="B417" s="1">
        <v>230907</v>
      </c>
      <c r="C417" s="1">
        <v>8210076</v>
      </c>
      <c r="D417" s="537" t="s">
        <v>2640</v>
      </c>
      <c r="E417" s="537" t="s">
        <v>2673</v>
      </c>
      <c r="F417" t="s">
        <v>2673</v>
      </c>
      <c r="G417"/>
      <c r="H417" s="537" t="s">
        <v>3386</v>
      </c>
      <c r="I417" s="537" t="s">
        <v>3387</v>
      </c>
      <c r="J417" s="537" t="s">
        <v>18</v>
      </c>
      <c r="K417" s="537" t="s">
        <v>57</v>
      </c>
      <c r="L417" s="61">
        <v>35182</v>
      </c>
      <c r="M417" s="1">
        <v>27</v>
      </c>
      <c r="N417" s="1">
        <v>1400</v>
      </c>
      <c r="P417" s="1">
        <v>1960</v>
      </c>
      <c r="Q417" s="537"/>
      <c r="R417" s="1">
        <v>560</v>
      </c>
      <c r="S417">
        <v>240000</v>
      </c>
      <c r="T417">
        <v>12012</v>
      </c>
      <c r="U417" t="s">
        <v>2639</v>
      </c>
      <c r="V417">
        <v>21960</v>
      </c>
      <c r="W417" s="1">
        <v>45373</v>
      </c>
      <c r="X417" s="537" t="s">
        <v>65</v>
      </c>
      <c r="Y417" s="537" t="s">
        <v>60</v>
      </c>
      <c r="Z417" s="1" t="s">
        <v>1573</v>
      </c>
      <c r="AA417" s="537" t="s">
        <v>1574</v>
      </c>
      <c r="AB417" s="537" t="s">
        <v>1575</v>
      </c>
      <c r="AC417" s="1">
        <v>45180</v>
      </c>
      <c r="AD417" s="61">
        <v>45180</v>
      </c>
      <c r="AE417" s="61"/>
      <c r="AF417" s="61"/>
      <c r="AG417" s="1" t="s">
        <v>3382</v>
      </c>
      <c r="AH417" s="537"/>
      <c r="AI417" s="537"/>
      <c r="AK417" s="537"/>
      <c r="AM417" s="537" t="s">
        <v>3383</v>
      </c>
      <c r="AN417" s="537"/>
    </row>
    <row r="418" spans="1:40" hidden="1">
      <c r="A418" s="537" t="s">
        <v>54</v>
      </c>
      <c r="B418" s="1">
        <v>230916</v>
      </c>
      <c r="C418" s="1">
        <v>8210077</v>
      </c>
      <c r="D418" s="537" t="s">
        <v>2640</v>
      </c>
      <c r="E418" s="537" t="s">
        <v>2657</v>
      </c>
      <c r="F418" t="s">
        <v>2657</v>
      </c>
      <c r="G418"/>
      <c r="H418" s="537" t="s">
        <v>3416</v>
      </c>
      <c r="I418" s="537" t="s">
        <v>3417</v>
      </c>
      <c r="J418" s="537" t="s">
        <v>18</v>
      </c>
      <c r="K418" s="537" t="s">
        <v>57</v>
      </c>
      <c r="L418" s="61">
        <v>36369</v>
      </c>
      <c r="M418" s="1">
        <v>24</v>
      </c>
      <c r="N418" s="1">
        <v>1400</v>
      </c>
      <c r="P418" s="1">
        <v>1960</v>
      </c>
      <c r="Q418" s="537"/>
      <c r="R418" s="1">
        <v>560</v>
      </c>
      <c r="S418">
        <v>240000</v>
      </c>
      <c r="T418">
        <v>12012</v>
      </c>
      <c r="U418" t="s">
        <v>2639</v>
      </c>
      <c r="V418">
        <v>21960</v>
      </c>
      <c r="W418" s="1">
        <v>45407</v>
      </c>
      <c r="X418" s="537" t="s">
        <v>65</v>
      </c>
      <c r="Y418" s="537" t="s">
        <v>60</v>
      </c>
      <c r="Z418" s="1" t="s">
        <v>2892</v>
      </c>
      <c r="AA418" s="537" t="s">
        <v>2893</v>
      </c>
      <c r="AB418" s="537" t="s">
        <v>2919</v>
      </c>
      <c r="AC418" s="1">
        <v>45187</v>
      </c>
      <c r="AD418" s="61">
        <v>45194</v>
      </c>
      <c r="AE418" s="61"/>
      <c r="AF418" s="61"/>
      <c r="AG418" s="1" t="s">
        <v>3418</v>
      </c>
      <c r="AH418" s="537"/>
      <c r="AI418" s="537"/>
      <c r="AK418" s="537"/>
      <c r="AM418" s="537" t="s">
        <v>3413</v>
      </c>
      <c r="AN418" s="537"/>
    </row>
    <row r="419" spans="1:40" hidden="1">
      <c r="A419" s="537" t="s">
        <v>54</v>
      </c>
      <c r="B419" s="1">
        <v>231002</v>
      </c>
      <c r="C419" s="1">
        <v>8210078</v>
      </c>
      <c r="D419" s="537" t="s">
        <v>2640</v>
      </c>
      <c r="E419" s="537" t="s">
        <v>2668</v>
      </c>
      <c r="F419" t="s">
        <v>2668</v>
      </c>
      <c r="G419"/>
      <c r="H419" s="537" t="s">
        <v>3433</v>
      </c>
      <c r="I419" s="537" t="s">
        <v>3434</v>
      </c>
      <c r="J419" s="537" t="s">
        <v>18</v>
      </c>
      <c r="K419" s="537" t="s">
        <v>57</v>
      </c>
      <c r="L419" s="61">
        <v>35078</v>
      </c>
      <c r="M419" s="1">
        <v>27</v>
      </c>
      <c r="N419" s="1">
        <v>1400</v>
      </c>
      <c r="P419" s="1">
        <v>1960</v>
      </c>
      <c r="Q419" s="537"/>
      <c r="R419" s="1">
        <v>560</v>
      </c>
      <c r="S419">
        <v>240000</v>
      </c>
      <c r="T419">
        <v>12012</v>
      </c>
      <c r="U419" t="s">
        <v>2639</v>
      </c>
      <c r="V419">
        <v>21960</v>
      </c>
      <c r="W419" s="1">
        <v>45575</v>
      </c>
      <c r="X419" s="537" t="s">
        <v>65</v>
      </c>
      <c r="Y419" s="537" t="s">
        <v>60</v>
      </c>
      <c r="Z419" s="1" t="s">
        <v>2892</v>
      </c>
      <c r="AA419" s="537" t="s">
        <v>2893</v>
      </c>
      <c r="AB419" s="537" t="s">
        <v>2919</v>
      </c>
      <c r="AD419" s="61">
        <v>45215</v>
      </c>
      <c r="AE419" s="61"/>
      <c r="AF419" s="61"/>
      <c r="AG419" s="1" t="s">
        <v>3473</v>
      </c>
      <c r="AH419" s="537"/>
      <c r="AI419" s="537"/>
      <c r="AK419" s="537"/>
      <c r="AM419" s="537" t="s">
        <v>3469</v>
      </c>
      <c r="AN419" s="537"/>
    </row>
    <row r="420" spans="1:40" hidden="1">
      <c r="A420" s="537" t="s">
        <v>179</v>
      </c>
      <c r="B420" s="1">
        <v>231003</v>
      </c>
      <c r="C420" s="1">
        <v>8210079</v>
      </c>
      <c r="D420" s="537" t="s">
        <v>2640</v>
      </c>
      <c r="E420" s="537"/>
      <c r="F420"/>
      <c r="G420"/>
      <c r="H420" s="537" t="s">
        <v>3435</v>
      </c>
      <c r="I420" s="537" t="s">
        <v>3436</v>
      </c>
      <c r="J420" s="537" t="s">
        <v>18</v>
      </c>
      <c r="K420" s="537" t="s">
        <v>57</v>
      </c>
      <c r="L420" s="61">
        <v>36039</v>
      </c>
      <c r="M420" s="1">
        <v>25</v>
      </c>
      <c r="N420" s="1">
        <v>1400</v>
      </c>
      <c r="P420" s="1">
        <v>1990</v>
      </c>
      <c r="Q420" s="537"/>
      <c r="R420" s="1">
        <v>590</v>
      </c>
      <c r="S420">
        <v>0</v>
      </c>
      <c r="T420">
        <v>0</v>
      </c>
      <c r="U420" t="s">
        <v>2639</v>
      </c>
      <c r="V420">
        <v>0</v>
      </c>
      <c r="W420" s="1">
        <v>45575</v>
      </c>
      <c r="X420" s="537" t="s">
        <v>65</v>
      </c>
      <c r="Y420" s="537" t="s">
        <v>60</v>
      </c>
      <c r="Z420" s="1" t="s">
        <v>2892</v>
      </c>
      <c r="AA420" s="537" t="s">
        <v>2893</v>
      </c>
      <c r="AB420" s="537" t="s">
        <v>2919</v>
      </c>
      <c r="AD420" s="61">
        <v>45215</v>
      </c>
      <c r="AE420" s="61">
        <v>45219</v>
      </c>
      <c r="AF420" s="61"/>
      <c r="AH420" s="537"/>
      <c r="AI420" s="537"/>
      <c r="AK420" s="537"/>
      <c r="AM420" s="537"/>
      <c r="AN420" s="537"/>
    </row>
    <row r="421" spans="1:40" hidden="1">
      <c r="A421" s="537" t="s">
        <v>54</v>
      </c>
      <c r="B421" s="1">
        <v>231008</v>
      </c>
      <c r="C421" s="1">
        <v>8210080</v>
      </c>
      <c r="D421" s="537" t="s">
        <v>2644</v>
      </c>
      <c r="E421" s="537" t="s">
        <v>2645</v>
      </c>
      <c r="F421" t="s">
        <v>2645</v>
      </c>
      <c r="G421"/>
      <c r="H421" s="537" t="s">
        <v>3441</v>
      </c>
      <c r="I421" s="537" t="s">
        <v>3442</v>
      </c>
      <c r="J421" s="537" t="s">
        <v>18</v>
      </c>
      <c r="K421" s="537" t="s">
        <v>57</v>
      </c>
      <c r="L421" s="61">
        <v>33460</v>
      </c>
      <c r="M421" s="1">
        <v>32</v>
      </c>
      <c r="N421" s="1">
        <v>1400</v>
      </c>
      <c r="P421" s="1">
        <v>1990</v>
      </c>
      <c r="Q421" s="537"/>
      <c r="R421" s="1">
        <v>590</v>
      </c>
      <c r="S421">
        <v>240000</v>
      </c>
      <c r="T421">
        <v>12012</v>
      </c>
      <c r="U421" t="s">
        <v>2639</v>
      </c>
      <c r="V421">
        <v>21960</v>
      </c>
      <c r="W421" s="1">
        <v>45325</v>
      </c>
      <c r="X421" s="537" t="s">
        <v>59</v>
      </c>
      <c r="Y421" s="537" t="s">
        <v>60</v>
      </c>
      <c r="Z421" s="1" t="s">
        <v>3443</v>
      </c>
      <c r="AA421" s="537" t="s">
        <v>3444</v>
      </c>
      <c r="AB421" s="537" t="s">
        <v>3445</v>
      </c>
      <c r="AC421" s="1" t="s">
        <v>63</v>
      </c>
      <c r="AD421" s="61">
        <v>45223</v>
      </c>
      <c r="AE421" s="61"/>
      <c r="AF421" s="61"/>
      <c r="AG421" s="1" t="s">
        <v>3480</v>
      </c>
      <c r="AH421" s="537"/>
      <c r="AI421" s="537"/>
      <c r="AK421" s="537"/>
      <c r="AM421" s="537" t="s">
        <v>3481</v>
      </c>
      <c r="AN421" s="537"/>
    </row>
    <row r="422" spans="1:40" hidden="1">
      <c r="A422" s="537" t="s">
        <v>54</v>
      </c>
      <c r="B422" s="1">
        <v>231010</v>
      </c>
      <c r="C422" s="1">
        <v>8210081</v>
      </c>
      <c r="D422" s="537" t="s">
        <v>2644</v>
      </c>
      <c r="E422" s="537" t="s">
        <v>2645</v>
      </c>
      <c r="F422" t="s">
        <v>2645</v>
      </c>
      <c r="G422"/>
      <c r="H422" s="537" t="s">
        <v>3482</v>
      </c>
      <c r="I422" s="537" t="s">
        <v>3483</v>
      </c>
      <c r="J422" s="537" t="s">
        <v>18</v>
      </c>
      <c r="K422" s="537" t="s">
        <v>57</v>
      </c>
      <c r="L422" s="61">
        <v>35727</v>
      </c>
      <c r="M422" s="1">
        <v>26</v>
      </c>
      <c r="N422" s="1">
        <v>1400</v>
      </c>
      <c r="P422" s="1">
        <v>1960</v>
      </c>
      <c r="Q422" s="537"/>
      <c r="R422" s="1">
        <v>560</v>
      </c>
      <c r="S422">
        <v>240000</v>
      </c>
      <c r="T422">
        <v>12012</v>
      </c>
      <c r="U422" t="s">
        <v>2639</v>
      </c>
      <c r="V422">
        <v>21960</v>
      </c>
      <c r="W422" s="1">
        <v>45536</v>
      </c>
      <c r="X422" s="537" t="s">
        <v>65</v>
      </c>
      <c r="Y422" s="537" t="s">
        <v>60</v>
      </c>
      <c r="Z422" s="1" t="s">
        <v>3484</v>
      </c>
      <c r="AA422" s="537" t="s">
        <v>3485</v>
      </c>
      <c r="AB422" s="537" t="s">
        <v>3486</v>
      </c>
      <c r="AD422" s="61">
        <v>45225</v>
      </c>
      <c r="AE422" s="61"/>
      <c r="AF422" s="61"/>
      <c r="AG422" s="1" t="s">
        <v>3487</v>
      </c>
      <c r="AH422" s="537"/>
      <c r="AI422" s="537"/>
      <c r="AK422" s="537"/>
      <c r="AM422" s="537" t="s">
        <v>3488</v>
      </c>
      <c r="AN422" s="537"/>
    </row>
    <row r="423" spans="1:40" hidden="1">
      <c r="A423" s="537" t="s">
        <v>54</v>
      </c>
      <c r="B423" s="1">
        <v>231011</v>
      </c>
      <c r="C423" s="1">
        <v>8210082</v>
      </c>
      <c r="D423" s="537" t="s">
        <v>2640</v>
      </c>
      <c r="E423" s="537" t="s">
        <v>3447</v>
      </c>
      <c r="F423" t="s">
        <v>3448</v>
      </c>
      <c r="G423"/>
      <c r="H423" s="537" t="s">
        <v>3489</v>
      </c>
      <c r="I423" s="537" t="s">
        <v>3490</v>
      </c>
      <c r="J423" s="537" t="s">
        <v>18</v>
      </c>
      <c r="K423" s="537" t="s">
        <v>57</v>
      </c>
      <c r="L423" s="61">
        <v>31659</v>
      </c>
      <c r="M423" s="1">
        <v>37</v>
      </c>
      <c r="N423" s="1">
        <v>1400</v>
      </c>
      <c r="P423" s="1">
        <v>1960</v>
      </c>
      <c r="Q423" s="537"/>
      <c r="R423" s="1">
        <v>560</v>
      </c>
      <c r="S423">
        <v>240000</v>
      </c>
      <c r="T423">
        <v>12012</v>
      </c>
      <c r="U423" t="s">
        <v>2639</v>
      </c>
      <c r="V423">
        <v>21960</v>
      </c>
      <c r="W423" s="1">
        <v>45548</v>
      </c>
      <c r="X423" s="537" t="s">
        <v>65</v>
      </c>
      <c r="Y423" s="537" t="s">
        <v>60</v>
      </c>
      <c r="Z423" s="1" t="s">
        <v>3484</v>
      </c>
      <c r="AA423" s="537" t="s">
        <v>3485</v>
      </c>
      <c r="AB423" s="537" t="s">
        <v>3486</v>
      </c>
      <c r="AD423" s="61">
        <v>45229</v>
      </c>
      <c r="AE423" s="61"/>
      <c r="AF423" s="61"/>
      <c r="AG423" s="1" t="s">
        <v>3491</v>
      </c>
      <c r="AH423" s="537"/>
      <c r="AI423" s="537"/>
      <c r="AK423" s="537"/>
      <c r="AM423" s="537" t="s">
        <v>3481</v>
      </c>
      <c r="AN423" s="537"/>
    </row>
    <row r="424" spans="1:40" hidden="1">
      <c r="A424" s="537" t="s">
        <v>54</v>
      </c>
      <c r="B424" s="1">
        <v>210210</v>
      </c>
      <c r="C424" s="1">
        <v>8210083</v>
      </c>
      <c r="D424" s="537" t="s">
        <v>2653</v>
      </c>
      <c r="E424" s="537"/>
      <c r="F424"/>
      <c r="G424"/>
      <c r="H424" s="537" t="s">
        <v>172</v>
      </c>
      <c r="I424" s="537" t="s">
        <v>173</v>
      </c>
      <c r="J424" s="537" t="s">
        <v>18</v>
      </c>
      <c r="K424" s="537" t="s">
        <v>57</v>
      </c>
      <c r="L424" s="61">
        <v>34707</v>
      </c>
      <c r="M424" s="1">
        <v>28</v>
      </c>
      <c r="N424" s="1">
        <v>1350</v>
      </c>
      <c r="O424" s="1" t="s">
        <v>91</v>
      </c>
      <c r="P424" s="1">
        <v>1750</v>
      </c>
      <c r="Q424" s="537"/>
      <c r="R424" s="1">
        <v>400</v>
      </c>
      <c r="S424">
        <v>280000</v>
      </c>
      <c r="T424">
        <v>14014</v>
      </c>
      <c r="U424" t="s">
        <v>2639</v>
      </c>
      <c r="V424">
        <v>25620</v>
      </c>
      <c r="W424" s="1">
        <v>45305</v>
      </c>
      <c r="X424" s="537" t="s">
        <v>59</v>
      </c>
      <c r="Y424" s="537" t="s">
        <v>60</v>
      </c>
      <c r="Z424" s="1" t="s">
        <v>174</v>
      </c>
      <c r="AA424" s="537" t="s">
        <v>175</v>
      </c>
      <c r="AB424" s="537" t="s">
        <v>176</v>
      </c>
      <c r="AC424" s="1">
        <v>44440</v>
      </c>
      <c r="AD424" s="61">
        <v>44251</v>
      </c>
      <c r="AE424" s="61"/>
      <c r="AF424" s="61"/>
      <c r="AG424" s="1">
        <v>44317</v>
      </c>
      <c r="AH424" s="537" t="s">
        <v>173</v>
      </c>
      <c r="AI424" s="537" t="s">
        <v>86</v>
      </c>
      <c r="AJ424" s="1">
        <v>868</v>
      </c>
      <c r="AK424" s="537" t="s">
        <v>1040</v>
      </c>
      <c r="AL424" s="1" t="s">
        <v>1043</v>
      </c>
      <c r="AM424" s="537" t="s">
        <v>64</v>
      </c>
      <c r="AN424" s="537" t="s">
        <v>3449</v>
      </c>
    </row>
    <row r="425" spans="1:40" hidden="1">
      <c r="A425" s="537" t="s">
        <v>54</v>
      </c>
      <c r="B425" s="1">
        <v>231112</v>
      </c>
      <c r="C425" s="1">
        <v>8210084</v>
      </c>
      <c r="D425" s="537" t="s">
        <v>2653</v>
      </c>
      <c r="E425" s="537"/>
      <c r="F425"/>
      <c r="G425"/>
      <c r="H425" s="537" t="s">
        <v>3532</v>
      </c>
      <c r="I425" s="537" t="s">
        <v>3533</v>
      </c>
      <c r="J425" s="537" t="s">
        <v>18</v>
      </c>
      <c r="K425" s="537" t="s">
        <v>57</v>
      </c>
      <c r="L425" s="61">
        <v>33293</v>
      </c>
      <c r="M425" s="1">
        <v>32</v>
      </c>
      <c r="N425" s="1">
        <v>1400</v>
      </c>
      <c r="P425" s="1">
        <v>1960</v>
      </c>
      <c r="Q425" s="537"/>
      <c r="R425" s="1">
        <v>560</v>
      </c>
      <c r="S425">
        <v>240000</v>
      </c>
      <c r="T425">
        <v>12012</v>
      </c>
      <c r="U425" t="s">
        <v>2639</v>
      </c>
      <c r="V425">
        <v>21960</v>
      </c>
      <c r="W425" s="1">
        <v>45437</v>
      </c>
      <c r="X425" s="537" t="s">
        <v>65</v>
      </c>
      <c r="Y425" s="537" t="s">
        <v>60</v>
      </c>
      <c r="Z425" s="1" t="s">
        <v>3379</v>
      </c>
      <c r="AA425" s="537" t="s">
        <v>3380</v>
      </c>
      <c r="AB425" s="537" t="s">
        <v>3381</v>
      </c>
      <c r="AD425" s="61">
        <v>45243</v>
      </c>
      <c r="AE425" s="61"/>
      <c r="AF425" s="61"/>
      <c r="AG425" s="1" t="s">
        <v>3534</v>
      </c>
      <c r="AH425" s="537"/>
      <c r="AI425" s="537"/>
      <c r="AK425" s="537"/>
      <c r="AM425" s="537" t="s">
        <v>3535</v>
      </c>
      <c r="AN425" s="537"/>
    </row>
    <row r="426" spans="1:40" hidden="1">
      <c r="A426" s="537" t="s">
        <v>54</v>
      </c>
      <c r="B426" s="1">
        <v>231113</v>
      </c>
      <c r="C426" s="1">
        <v>8210085</v>
      </c>
      <c r="D426" s="537" t="s">
        <v>2640</v>
      </c>
      <c r="E426" s="537"/>
      <c r="F426"/>
      <c r="G426"/>
      <c r="H426" s="537" t="s">
        <v>3537</v>
      </c>
      <c r="I426" s="537" t="s">
        <v>3538</v>
      </c>
      <c r="J426" s="537" t="s">
        <v>18</v>
      </c>
      <c r="K426" s="537" t="s">
        <v>57</v>
      </c>
      <c r="L426" s="61">
        <v>35781</v>
      </c>
      <c r="M426" s="1">
        <v>25</v>
      </c>
      <c r="N426" s="1">
        <v>1400</v>
      </c>
      <c r="P426" s="1">
        <v>1960</v>
      </c>
      <c r="Q426" s="537"/>
      <c r="R426" s="1">
        <v>560</v>
      </c>
      <c r="S426">
        <v>240000</v>
      </c>
      <c r="T426">
        <v>12012</v>
      </c>
      <c r="U426" t="s">
        <v>2639</v>
      </c>
      <c r="V426">
        <v>21960</v>
      </c>
      <c r="W426" s="1">
        <v>45463</v>
      </c>
      <c r="X426" s="537" t="s">
        <v>65</v>
      </c>
      <c r="Y426" s="537" t="s">
        <v>60</v>
      </c>
      <c r="Z426" s="1" t="s">
        <v>1508</v>
      </c>
      <c r="AA426" s="537" t="s">
        <v>1509</v>
      </c>
      <c r="AB426" s="537" t="s">
        <v>1510</v>
      </c>
      <c r="AD426" s="61">
        <v>45250</v>
      </c>
      <c r="AE426" s="61"/>
      <c r="AF426" s="61"/>
      <c r="AG426" s="1" t="s">
        <v>3539</v>
      </c>
      <c r="AH426" s="537"/>
      <c r="AI426" s="537"/>
      <c r="AK426" s="537"/>
      <c r="AM426" s="537" t="s">
        <v>3535</v>
      </c>
      <c r="AN426" s="537"/>
    </row>
    <row r="427" spans="1:40" hidden="1">
      <c r="A427" s="537" t="s">
        <v>54</v>
      </c>
      <c r="B427" s="1">
        <v>201002</v>
      </c>
      <c r="C427" s="1">
        <v>9330002</v>
      </c>
      <c r="D427" s="537" t="s">
        <v>935</v>
      </c>
      <c r="E427" s="537" t="s">
        <v>936</v>
      </c>
      <c r="F427" t="s">
        <v>3446</v>
      </c>
      <c r="G427" t="s">
        <v>3042</v>
      </c>
      <c r="H427" s="537" t="s">
        <v>937</v>
      </c>
      <c r="I427" s="537" t="s">
        <v>938</v>
      </c>
      <c r="J427" s="537" t="s">
        <v>18</v>
      </c>
      <c r="K427" s="537" t="s">
        <v>939</v>
      </c>
      <c r="L427" s="61">
        <v>24193</v>
      </c>
      <c r="M427" s="1">
        <v>57</v>
      </c>
      <c r="N427" s="1">
        <v>1400</v>
      </c>
      <c r="O427" s="1" t="s">
        <v>940</v>
      </c>
      <c r="P427" s="1">
        <v>1872</v>
      </c>
      <c r="Q427" s="537"/>
      <c r="R427" s="1">
        <v>472</v>
      </c>
      <c r="S427">
        <v>340000</v>
      </c>
      <c r="T427">
        <v>17017</v>
      </c>
      <c r="U427">
        <v>3093.9999999999964</v>
      </c>
      <c r="V427">
        <v>31110</v>
      </c>
      <c r="W427" s="1" t="s">
        <v>71</v>
      </c>
      <c r="X427" s="537" t="s">
        <v>65</v>
      </c>
      <c r="Y427" s="537" t="s">
        <v>71</v>
      </c>
      <c r="Z427" s="1" t="s">
        <v>941</v>
      </c>
      <c r="AA427" s="537" t="s">
        <v>942</v>
      </c>
      <c r="AB427" s="537" t="s">
        <v>943</v>
      </c>
      <c r="AC427" s="1" t="s">
        <v>63</v>
      </c>
      <c r="AD427" s="61">
        <v>44130</v>
      </c>
      <c r="AE427" s="61"/>
      <c r="AF427" s="61"/>
      <c r="AG427" s="1">
        <v>44166</v>
      </c>
      <c r="AH427" s="537" t="s">
        <v>944</v>
      </c>
      <c r="AI427" s="537" t="s">
        <v>945</v>
      </c>
      <c r="AK427" s="537" t="s">
        <v>946</v>
      </c>
      <c r="AL427" s="1" t="s">
        <v>947</v>
      </c>
      <c r="AM427" s="537" t="s">
        <v>64</v>
      </c>
      <c r="AN427" s="537"/>
    </row>
    <row r="428" spans="1:40" hidden="1">
      <c r="A428" s="537" t="s">
        <v>179</v>
      </c>
      <c r="B428" s="1">
        <v>200805</v>
      </c>
      <c r="D428" s="537" t="s">
        <v>2638</v>
      </c>
      <c r="E428" s="537"/>
      <c r="F428"/>
      <c r="G428"/>
      <c r="H428" s="537" t="s">
        <v>1796</v>
      </c>
      <c r="I428" s="537" t="s">
        <v>1797</v>
      </c>
      <c r="J428" s="537" t="s">
        <v>17</v>
      </c>
      <c r="K428" s="537" t="s">
        <v>57</v>
      </c>
      <c r="L428" s="61">
        <v>34359</v>
      </c>
      <c r="M428" s="1">
        <v>29</v>
      </c>
      <c r="N428" s="1">
        <v>1300</v>
      </c>
      <c r="O428" s="1" t="s">
        <v>1798</v>
      </c>
      <c r="P428" s="1">
        <v>1750</v>
      </c>
      <c r="Q428" s="537"/>
      <c r="R428" s="1">
        <v>450</v>
      </c>
      <c r="S428"/>
      <c r="T428" t="s">
        <v>65</v>
      </c>
      <c r="U428" t="s">
        <v>2639</v>
      </c>
      <c r="V428" t="s">
        <v>65</v>
      </c>
      <c r="W428" s="1">
        <v>44697</v>
      </c>
      <c r="X428" s="537" t="s">
        <v>59</v>
      </c>
      <c r="Y428" s="537" t="s">
        <v>60</v>
      </c>
      <c r="Z428" s="1" t="s">
        <v>61</v>
      </c>
      <c r="AA428" s="537" t="s">
        <v>69</v>
      </c>
      <c r="AB428" s="537" t="s">
        <v>1799</v>
      </c>
      <c r="AC428" s="1">
        <v>44060</v>
      </c>
      <c r="AD428" s="61">
        <v>44061</v>
      </c>
      <c r="AE428" s="61">
        <v>44317</v>
      </c>
      <c r="AF428" s="61"/>
      <c r="AG428" s="1" t="s">
        <v>64</v>
      </c>
      <c r="AH428" s="537" t="s">
        <v>1793</v>
      </c>
      <c r="AI428" s="537" t="s">
        <v>86</v>
      </c>
      <c r="AJ428" s="1">
        <v>98</v>
      </c>
      <c r="AK428" s="537" t="s">
        <v>1794</v>
      </c>
      <c r="AL428" s="1" t="s">
        <v>1795</v>
      </c>
      <c r="AM428" s="537"/>
      <c r="AN428" s="537"/>
    </row>
    <row r="429" spans="1:40" hidden="1">
      <c r="A429" s="537" t="s">
        <v>179</v>
      </c>
      <c r="B429" s="1">
        <v>200801</v>
      </c>
      <c r="D429" s="537" t="s">
        <v>2638</v>
      </c>
      <c r="E429" s="537"/>
      <c r="F429"/>
      <c r="G429"/>
      <c r="H429" s="537" t="s">
        <v>475</v>
      </c>
      <c r="I429" s="537" t="s">
        <v>476</v>
      </c>
      <c r="J429" s="537" t="s">
        <v>18</v>
      </c>
      <c r="K429" s="537" t="s">
        <v>57</v>
      </c>
      <c r="L429" s="61">
        <v>32431</v>
      </c>
      <c r="M429" s="1">
        <v>35</v>
      </c>
      <c r="N429" s="1">
        <v>1250</v>
      </c>
      <c r="O429" s="1" t="s">
        <v>1798</v>
      </c>
      <c r="P429" s="1">
        <v>1750</v>
      </c>
      <c r="Q429" s="537" t="s">
        <v>1800</v>
      </c>
      <c r="R429" s="1">
        <v>500</v>
      </c>
      <c r="S429"/>
      <c r="T429" t="s">
        <v>65</v>
      </c>
      <c r="U429" t="s">
        <v>2639</v>
      </c>
      <c r="V429" t="s">
        <v>65</v>
      </c>
      <c r="W429" s="1">
        <v>44848</v>
      </c>
      <c r="X429" s="537" t="s">
        <v>59</v>
      </c>
      <c r="Y429" s="537" t="s">
        <v>60</v>
      </c>
      <c r="Z429" s="1" t="s">
        <v>61</v>
      </c>
      <c r="AA429" s="537" t="s">
        <v>69</v>
      </c>
      <c r="AB429" s="537" t="s">
        <v>244</v>
      </c>
      <c r="AC429" s="1">
        <v>44060</v>
      </c>
      <c r="AD429" s="61">
        <v>44064</v>
      </c>
      <c r="AE429" s="61">
        <v>44286</v>
      </c>
      <c r="AF429" s="61">
        <v>44289</v>
      </c>
      <c r="AG429" s="1" t="s">
        <v>64</v>
      </c>
      <c r="AH429" s="537" t="s">
        <v>1791</v>
      </c>
      <c r="AI429" s="537" t="s">
        <v>86</v>
      </c>
      <c r="AJ429" s="1">
        <v>408</v>
      </c>
      <c r="AK429" s="537" t="s">
        <v>87</v>
      </c>
      <c r="AL429" s="1" t="s">
        <v>1792</v>
      </c>
      <c r="AM429" s="537"/>
      <c r="AN429" s="537"/>
    </row>
    <row r="430" spans="1:40" hidden="1">
      <c r="A430" s="537" t="s">
        <v>179</v>
      </c>
      <c r="B430" s="1">
        <v>200802</v>
      </c>
      <c r="D430" s="537" t="s">
        <v>2638</v>
      </c>
      <c r="E430" s="537"/>
      <c r="F430"/>
      <c r="G430"/>
      <c r="H430" s="537" t="s">
        <v>1801</v>
      </c>
      <c r="I430" s="537" t="s">
        <v>1802</v>
      </c>
      <c r="J430" s="537" t="s">
        <v>18</v>
      </c>
      <c r="K430" s="537" t="s">
        <v>57</v>
      </c>
      <c r="L430" s="61">
        <v>34212</v>
      </c>
      <c r="M430" s="1">
        <v>30</v>
      </c>
      <c r="N430" s="1">
        <v>1200</v>
      </c>
      <c r="P430" s="1">
        <v>1750</v>
      </c>
      <c r="Q430" s="537" t="s">
        <v>1803</v>
      </c>
      <c r="R430" s="1">
        <v>550</v>
      </c>
      <c r="S430"/>
      <c r="T430" t="s">
        <v>65</v>
      </c>
      <c r="U430" t="s">
        <v>2639</v>
      </c>
      <c r="V430" t="s">
        <v>65</v>
      </c>
      <c r="W430" s="1">
        <v>44332</v>
      </c>
      <c r="X430" s="537" t="s">
        <v>59</v>
      </c>
      <c r="Y430" s="537" t="s">
        <v>60</v>
      </c>
      <c r="AA430" s="537" t="s">
        <v>69</v>
      </c>
      <c r="AB430" s="537" t="s">
        <v>244</v>
      </c>
      <c r="AC430" s="1">
        <v>44062</v>
      </c>
      <c r="AD430" s="61">
        <v>44064</v>
      </c>
      <c r="AE430" s="61">
        <v>44092</v>
      </c>
      <c r="AF430" s="61">
        <v>44093</v>
      </c>
      <c r="AH430" s="537" t="s">
        <v>1793</v>
      </c>
      <c r="AI430" s="537" t="s">
        <v>86</v>
      </c>
      <c r="AJ430" s="1">
        <v>98</v>
      </c>
      <c r="AK430" s="537" t="s">
        <v>1794</v>
      </c>
      <c r="AL430" s="1" t="s">
        <v>1795</v>
      </c>
      <c r="AM430" s="537"/>
      <c r="AN430" s="537"/>
    </row>
    <row r="431" spans="1:40" hidden="1">
      <c r="A431" s="537" t="s">
        <v>179</v>
      </c>
      <c r="B431" s="1">
        <v>200804</v>
      </c>
      <c r="D431" s="537" t="s">
        <v>2638</v>
      </c>
      <c r="E431" s="537"/>
      <c r="F431"/>
      <c r="G431"/>
      <c r="H431" s="537" t="s">
        <v>1804</v>
      </c>
      <c r="I431" s="537" t="s">
        <v>1805</v>
      </c>
      <c r="J431" s="537" t="s">
        <v>18</v>
      </c>
      <c r="K431" s="537" t="s">
        <v>57</v>
      </c>
      <c r="L431" s="61">
        <v>33172</v>
      </c>
      <c r="M431" s="1">
        <v>33</v>
      </c>
      <c r="N431" s="1">
        <v>1300</v>
      </c>
      <c r="O431" s="1" t="s">
        <v>1798</v>
      </c>
      <c r="P431" s="1">
        <v>1750</v>
      </c>
      <c r="Q431" s="537" t="s">
        <v>1800</v>
      </c>
      <c r="R431" s="1">
        <v>450</v>
      </c>
      <c r="S431"/>
      <c r="T431" t="s">
        <v>65</v>
      </c>
      <c r="U431" t="s">
        <v>2639</v>
      </c>
      <c r="V431" t="s">
        <v>65</v>
      </c>
      <c r="W431" s="1">
        <v>44528</v>
      </c>
      <c r="X431" s="537" t="s">
        <v>59</v>
      </c>
      <c r="Y431" s="537" t="s">
        <v>60</v>
      </c>
      <c r="Z431" s="1" t="s">
        <v>61</v>
      </c>
      <c r="AA431" s="537" t="s">
        <v>69</v>
      </c>
      <c r="AB431" s="537" t="s">
        <v>1799</v>
      </c>
      <c r="AC431" s="1">
        <v>44060</v>
      </c>
      <c r="AD431" s="61">
        <v>44064</v>
      </c>
      <c r="AE431" s="61">
        <v>44317</v>
      </c>
      <c r="AF431" s="61"/>
      <c r="AG431" s="1" t="s">
        <v>64</v>
      </c>
      <c r="AH431" s="537" t="s">
        <v>1791</v>
      </c>
      <c r="AI431" s="537" t="s">
        <v>86</v>
      </c>
      <c r="AJ431" s="1">
        <v>408</v>
      </c>
      <c r="AK431" s="537" t="s">
        <v>87</v>
      </c>
      <c r="AL431" s="1" t="s">
        <v>1792</v>
      </c>
      <c r="AM431" s="537"/>
      <c r="AN431" s="537"/>
    </row>
    <row r="432" spans="1:40" hidden="1">
      <c r="A432" s="537" t="s">
        <v>179</v>
      </c>
      <c r="B432" s="1">
        <v>200902</v>
      </c>
      <c r="D432" s="537" t="s">
        <v>2638</v>
      </c>
      <c r="E432" s="537"/>
      <c r="F432"/>
      <c r="G432"/>
      <c r="H432" s="537" t="s">
        <v>1806</v>
      </c>
      <c r="I432" s="537" t="s">
        <v>1807</v>
      </c>
      <c r="J432" s="537" t="s">
        <v>18</v>
      </c>
      <c r="K432" s="537" t="s">
        <v>57</v>
      </c>
      <c r="L432" s="61">
        <v>33125</v>
      </c>
      <c r="M432" s="1">
        <v>33</v>
      </c>
      <c r="N432" s="1">
        <v>1350</v>
      </c>
      <c r="O432" s="1" t="s">
        <v>1808</v>
      </c>
      <c r="P432" s="1">
        <v>1800</v>
      </c>
      <c r="Q432" s="537" t="s">
        <v>1800</v>
      </c>
      <c r="R432" s="1">
        <v>450</v>
      </c>
      <c r="S432"/>
      <c r="T432" t="s">
        <v>65</v>
      </c>
      <c r="U432" t="s">
        <v>2639</v>
      </c>
      <c r="V432" t="s">
        <v>65</v>
      </c>
      <c r="W432" s="1">
        <v>450</v>
      </c>
      <c r="X432" s="537" t="s">
        <v>59</v>
      </c>
      <c r="Y432" s="537" t="s">
        <v>60</v>
      </c>
      <c r="Z432" s="1" t="s">
        <v>61</v>
      </c>
      <c r="AA432" s="537" t="s">
        <v>69</v>
      </c>
      <c r="AB432" s="537" t="s">
        <v>244</v>
      </c>
      <c r="AC432" s="1">
        <v>44094</v>
      </c>
      <c r="AD432" s="61">
        <v>44095</v>
      </c>
      <c r="AE432" s="61">
        <v>44540</v>
      </c>
      <c r="AF432" s="61"/>
      <c r="AG432" s="1">
        <v>44166</v>
      </c>
      <c r="AH432" s="537" t="s">
        <v>1793</v>
      </c>
      <c r="AI432" s="537" t="s">
        <v>86</v>
      </c>
      <c r="AJ432" s="1">
        <v>98</v>
      </c>
      <c r="AK432" s="537" t="s">
        <v>1794</v>
      </c>
      <c r="AL432" s="1" t="s">
        <v>1795</v>
      </c>
      <c r="AM432" s="537"/>
      <c r="AN432" s="537"/>
    </row>
    <row r="433" spans="1:40" hidden="1">
      <c r="A433" s="537" t="s">
        <v>179</v>
      </c>
      <c r="B433" s="1">
        <v>201003</v>
      </c>
      <c r="D433" s="537" t="s">
        <v>935</v>
      </c>
      <c r="E433" s="537"/>
      <c r="F433"/>
      <c r="G433"/>
      <c r="H433" s="537" t="s">
        <v>1809</v>
      </c>
      <c r="I433" s="537" t="s">
        <v>1809</v>
      </c>
      <c r="J433" s="537" t="s">
        <v>18</v>
      </c>
      <c r="K433" s="537" t="s">
        <v>939</v>
      </c>
      <c r="L433" s="61">
        <v>26893</v>
      </c>
      <c r="M433" s="1">
        <v>50</v>
      </c>
      <c r="N433" s="1">
        <v>1350</v>
      </c>
      <c r="P433" s="1">
        <v>1872</v>
      </c>
      <c r="Q433" s="537"/>
      <c r="R433" s="1">
        <v>522</v>
      </c>
      <c r="S433"/>
      <c r="T433" t="s">
        <v>65</v>
      </c>
      <c r="U433" t="s">
        <v>65</v>
      </c>
      <c r="V433" t="s">
        <v>65</v>
      </c>
      <c r="W433" s="1" t="s">
        <v>71</v>
      </c>
      <c r="X433" s="537" t="s">
        <v>65</v>
      </c>
      <c r="Y433" s="537" t="s">
        <v>71</v>
      </c>
      <c r="Z433" s="1" t="s">
        <v>1810</v>
      </c>
      <c r="AA433" s="537" t="s">
        <v>1811</v>
      </c>
      <c r="AB433" s="537" t="s">
        <v>1812</v>
      </c>
      <c r="AD433" s="61">
        <v>44130</v>
      </c>
      <c r="AE433" s="61">
        <v>44469</v>
      </c>
      <c r="AF433" s="61"/>
      <c r="AG433" s="1" t="s">
        <v>64</v>
      </c>
      <c r="AH433" s="537" t="s">
        <v>1791</v>
      </c>
      <c r="AI433" s="537" t="s">
        <v>86</v>
      </c>
      <c r="AJ433" s="1">
        <v>408</v>
      </c>
      <c r="AK433" s="537" t="s">
        <v>87</v>
      </c>
      <c r="AL433" s="1" t="s">
        <v>1792</v>
      </c>
      <c r="AM433" s="537"/>
      <c r="AN433" s="537"/>
    </row>
    <row r="434" spans="1:40" hidden="1">
      <c r="A434" s="537" t="s">
        <v>179</v>
      </c>
      <c r="B434" s="1">
        <v>201101</v>
      </c>
      <c r="D434" s="537" t="s">
        <v>105</v>
      </c>
      <c r="E434" s="537"/>
      <c r="F434"/>
      <c r="G434"/>
      <c r="H434" s="537" t="s">
        <v>1813</v>
      </c>
      <c r="I434" s="537" t="s">
        <v>1814</v>
      </c>
      <c r="J434" s="537" t="s">
        <v>18</v>
      </c>
      <c r="K434" s="537" t="s">
        <v>277</v>
      </c>
      <c r="L434" s="61">
        <v>30431</v>
      </c>
      <c r="M434" s="1">
        <v>40</v>
      </c>
      <c r="N434" s="1">
        <v>1200</v>
      </c>
      <c r="O434" s="1" t="s">
        <v>1567</v>
      </c>
      <c r="P434" s="1">
        <v>1700</v>
      </c>
      <c r="Q434" s="537" t="s">
        <v>1815</v>
      </c>
      <c r="R434" s="1">
        <v>500</v>
      </c>
      <c r="S434"/>
      <c r="T434" t="s">
        <v>65</v>
      </c>
      <c r="U434" t="s">
        <v>65</v>
      </c>
      <c r="V434" t="s">
        <v>65</v>
      </c>
      <c r="W434" s="1" t="s">
        <v>1816</v>
      </c>
      <c r="X434" s="537"/>
      <c r="Y434" s="537"/>
      <c r="AA434" s="537" t="s">
        <v>1817</v>
      </c>
      <c r="AB434" s="537"/>
      <c r="AD434" s="61">
        <v>44144</v>
      </c>
      <c r="AE434" s="61">
        <v>44211</v>
      </c>
      <c r="AF434" s="61"/>
      <c r="AG434" s="1" t="s">
        <v>1818</v>
      </c>
      <c r="AH434" s="537" t="s">
        <v>1793</v>
      </c>
      <c r="AI434" s="537" t="s">
        <v>86</v>
      </c>
      <c r="AJ434" s="1">
        <v>98</v>
      </c>
      <c r="AK434" s="537" t="s">
        <v>1794</v>
      </c>
      <c r="AL434" s="1" t="s">
        <v>1795</v>
      </c>
      <c r="AM434" s="537"/>
      <c r="AN434" s="537"/>
    </row>
    <row r="435" spans="1:40" hidden="1">
      <c r="A435" s="537" t="s">
        <v>179</v>
      </c>
      <c r="B435" s="1">
        <v>201102</v>
      </c>
      <c r="D435" s="537" t="s">
        <v>79</v>
      </c>
      <c r="E435" s="537"/>
      <c r="F435"/>
      <c r="G435"/>
      <c r="H435" s="537" t="s">
        <v>1819</v>
      </c>
      <c r="I435" s="537" t="s">
        <v>1819</v>
      </c>
      <c r="J435" s="537" t="s">
        <v>18</v>
      </c>
      <c r="K435" s="537" t="s">
        <v>939</v>
      </c>
      <c r="L435" s="61">
        <v>29783</v>
      </c>
      <c r="M435" s="1">
        <v>42</v>
      </c>
      <c r="N435" s="1">
        <v>1300</v>
      </c>
      <c r="P435" s="1">
        <v>1650</v>
      </c>
      <c r="Q435" s="537"/>
      <c r="R435" s="1">
        <v>350</v>
      </c>
      <c r="S435"/>
      <c r="T435" t="s">
        <v>65</v>
      </c>
      <c r="U435" t="s">
        <v>65</v>
      </c>
      <c r="V435" t="s">
        <v>65</v>
      </c>
      <c r="W435" s="1" t="s">
        <v>1568</v>
      </c>
      <c r="X435" s="537" t="s">
        <v>65</v>
      </c>
      <c r="Y435" s="537" t="s">
        <v>1568</v>
      </c>
      <c r="Z435" s="1" t="s">
        <v>84</v>
      </c>
      <c r="AA435" s="537" t="s">
        <v>1820</v>
      </c>
      <c r="AB435" s="537" t="s">
        <v>1821</v>
      </c>
      <c r="AC435" s="1">
        <v>44144</v>
      </c>
      <c r="AD435" s="61">
        <v>44146</v>
      </c>
      <c r="AE435" s="61">
        <v>44316</v>
      </c>
      <c r="AF435" s="61">
        <v>44317</v>
      </c>
      <c r="AG435" s="1">
        <v>44197</v>
      </c>
      <c r="AH435" s="537" t="s">
        <v>1791</v>
      </c>
      <c r="AI435" s="537" t="s">
        <v>86</v>
      </c>
      <c r="AJ435" s="1">
        <v>408</v>
      </c>
      <c r="AK435" s="537" t="s">
        <v>87</v>
      </c>
      <c r="AL435" s="1" t="s">
        <v>1792</v>
      </c>
      <c r="AM435" s="537"/>
      <c r="AN435" s="537"/>
    </row>
    <row r="436" spans="1:40" hidden="1">
      <c r="A436" s="537" t="s">
        <v>179</v>
      </c>
      <c r="B436" s="1">
        <v>201103</v>
      </c>
      <c r="D436" s="537" t="s">
        <v>79</v>
      </c>
      <c r="E436" s="537"/>
      <c r="F436"/>
      <c r="G436"/>
      <c r="H436" s="537" t="s">
        <v>1822</v>
      </c>
      <c r="I436" s="537" t="s">
        <v>1823</v>
      </c>
      <c r="J436" s="537" t="s">
        <v>18</v>
      </c>
      <c r="K436" s="537" t="s">
        <v>57</v>
      </c>
      <c r="L436" s="61">
        <v>30103</v>
      </c>
      <c r="M436" s="1">
        <v>41</v>
      </c>
      <c r="N436" s="1">
        <v>1200</v>
      </c>
      <c r="P436" s="1">
        <v>1600</v>
      </c>
      <c r="Q436" s="537" t="s">
        <v>1824</v>
      </c>
      <c r="R436" s="1">
        <v>400</v>
      </c>
      <c r="S436"/>
      <c r="T436" t="s">
        <v>65</v>
      </c>
      <c r="U436" t="s">
        <v>65</v>
      </c>
      <c r="V436" t="s">
        <v>65</v>
      </c>
      <c r="W436" s="1">
        <v>45014</v>
      </c>
      <c r="X436" s="537" t="s">
        <v>59</v>
      </c>
      <c r="Y436" s="537" t="s">
        <v>60</v>
      </c>
      <c r="AA436" s="537" t="s">
        <v>1825</v>
      </c>
      <c r="AB436" s="537" t="s">
        <v>1826</v>
      </c>
      <c r="AD436" s="61">
        <v>44151</v>
      </c>
      <c r="AE436" s="61">
        <v>44164</v>
      </c>
      <c r="AF436" s="61"/>
      <c r="AG436" s="1" t="s">
        <v>1818</v>
      </c>
      <c r="AH436" s="537" t="s">
        <v>1793</v>
      </c>
      <c r="AI436" s="537" t="s">
        <v>86</v>
      </c>
      <c r="AJ436" s="1">
        <v>98</v>
      </c>
      <c r="AK436" s="537" t="s">
        <v>1794</v>
      </c>
      <c r="AL436" s="1" t="s">
        <v>1795</v>
      </c>
      <c r="AM436" s="537"/>
      <c r="AN436" s="537"/>
    </row>
    <row r="437" spans="1:40" hidden="1">
      <c r="A437" s="537" t="s">
        <v>179</v>
      </c>
      <c r="B437" s="1">
        <v>201104</v>
      </c>
      <c r="D437" s="537" t="s">
        <v>962</v>
      </c>
      <c r="E437" s="537" t="s">
        <v>3043</v>
      </c>
      <c r="F437" t="s">
        <v>3044</v>
      </c>
      <c r="G437" t="s">
        <v>3045</v>
      </c>
      <c r="H437" s="537" t="s">
        <v>1827</v>
      </c>
      <c r="I437" s="537" t="s">
        <v>1828</v>
      </c>
      <c r="J437" s="537" t="s">
        <v>18</v>
      </c>
      <c r="K437" s="537" t="s">
        <v>57</v>
      </c>
      <c r="L437" s="61">
        <v>34711</v>
      </c>
      <c r="M437" s="1">
        <v>28</v>
      </c>
      <c r="N437" s="1">
        <v>1200</v>
      </c>
      <c r="O437" s="1" t="s">
        <v>1567</v>
      </c>
      <c r="P437" s="1">
        <v>1600</v>
      </c>
      <c r="Q437" s="537" t="s">
        <v>1824</v>
      </c>
      <c r="R437" s="1">
        <v>400</v>
      </c>
      <c r="S437"/>
      <c r="T437" t="s">
        <v>65</v>
      </c>
      <c r="U437" t="s">
        <v>2639</v>
      </c>
      <c r="V437" t="s">
        <v>65</v>
      </c>
      <c r="W437" s="1">
        <v>44370</v>
      </c>
      <c r="X437" s="537" t="s">
        <v>59</v>
      </c>
      <c r="Y437" s="537" t="s">
        <v>60</v>
      </c>
      <c r="AA437" s="537" t="s">
        <v>1616</v>
      </c>
      <c r="AB437" s="537" t="s">
        <v>1617</v>
      </c>
      <c r="AC437" s="1">
        <v>44152</v>
      </c>
      <c r="AD437" s="61">
        <v>44153</v>
      </c>
      <c r="AE437" s="61">
        <v>44175</v>
      </c>
      <c r="AF437" s="61">
        <v>44206</v>
      </c>
      <c r="AG437" s="1" t="s">
        <v>1829</v>
      </c>
      <c r="AH437" s="537"/>
      <c r="AI437" s="537"/>
      <c r="AK437" s="537"/>
      <c r="AL437" s="1" t="s">
        <v>1792</v>
      </c>
      <c r="AM437" s="537"/>
      <c r="AN437" s="537"/>
    </row>
    <row r="438" spans="1:40" hidden="1">
      <c r="A438" s="537" t="s">
        <v>179</v>
      </c>
      <c r="B438" s="1">
        <v>201105</v>
      </c>
      <c r="D438" s="537" t="s">
        <v>962</v>
      </c>
      <c r="E438" s="537" t="s">
        <v>3043</v>
      </c>
      <c r="F438" t="s">
        <v>3044</v>
      </c>
      <c r="G438" t="s">
        <v>3045</v>
      </c>
      <c r="H438" s="537" t="s">
        <v>1830</v>
      </c>
      <c r="I438" s="537" t="s">
        <v>1831</v>
      </c>
      <c r="J438" s="537" t="s">
        <v>18</v>
      </c>
      <c r="K438" s="537" t="s">
        <v>57</v>
      </c>
      <c r="L438" s="61">
        <v>33794</v>
      </c>
      <c r="M438" s="1">
        <v>31</v>
      </c>
      <c r="N438" s="1">
        <v>1250</v>
      </c>
      <c r="P438" s="1">
        <v>1650</v>
      </c>
      <c r="Q438" s="537" t="s">
        <v>954</v>
      </c>
      <c r="R438" s="1">
        <v>400</v>
      </c>
      <c r="S438"/>
      <c r="T438" t="s">
        <v>65</v>
      </c>
      <c r="U438" t="s">
        <v>2639</v>
      </c>
      <c r="V438" t="s">
        <v>65</v>
      </c>
      <c r="W438" s="1">
        <v>45197</v>
      </c>
      <c r="X438" s="537" t="s">
        <v>59</v>
      </c>
      <c r="Y438" s="537" t="s">
        <v>60</v>
      </c>
      <c r="Z438" s="1" t="s">
        <v>965</v>
      </c>
      <c r="AA438" s="537" t="s">
        <v>966</v>
      </c>
      <c r="AB438" s="537" t="s">
        <v>967</v>
      </c>
      <c r="AC438" s="1">
        <v>44153</v>
      </c>
      <c r="AD438" s="61">
        <v>44154</v>
      </c>
      <c r="AE438" s="61">
        <v>44464</v>
      </c>
      <c r="AF438" s="61">
        <v>44464</v>
      </c>
      <c r="AG438" s="1">
        <v>44197</v>
      </c>
      <c r="AH438" s="537"/>
      <c r="AI438" s="537"/>
      <c r="AK438" s="537"/>
      <c r="AL438" s="1" t="s">
        <v>1795</v>
      </c>
      <c r="AM438" s="537"/>
      <c r="AN438" s="537"/>
    </row>
    <row r="439" spans="1:40" hidden="1">
      <c r="A439" s="537" t="s">
        <v>179</v>
      </c>
      <c r="B439" s="1">
        <v>201203</v>
      </c>
      <c r="D439" s="537" t="s">
        <v>935</v>
      </c>
      <c r="E439" s="537"/>
      <c r="F439"/>
      <c r="G439"/>
      <c r="H439" s="537" t="s">
        <v>1843</v>
      </c>
      <c r="I439" s="537" t="s">
        <v>1843</v>
      </c>
      <c r="J439" s="537" t="s">
        <v>18</v>
      </c>
      <c r="K439" s="537" t="s">
        <v>939</v>
      </c>
      <c r="L439" s="61">
        <v>27276</v>
      </c>
      <c r="M439" s="1">
        <v>49</v>
      </c>
      <c r="N439" s="1">
        <v>1300</v>
      </c>
      <c r="P439" s="1">
        <v>1872</v>
      </c>
      <c r="Q439" s="537" t="s">
        <v>1844</v>
      </c>
      <c r="R439" s="1">
        <v>572</v>
      </c>
      <c r="S439"/>
      <c r="T439" t="s">
        <v>65</v>
      </c>
      <c r="U439" t="s">
        <v>65</v>
      </c>
      <c r="V439" t="s">
        <v>65</v>
      </c>
      <c r="W439" s="1">
        <v>45436</v>
      </c>
      <c r="X439" s="537" t="s">
        <v>65</v>
      </c>
      <c r="Y439" s="537" t="s">
        <v>1568</v>
      </c>
      <c r="Z439" s="1" t="s">
        <v>1845</v>
      </c>
      <c r="AA439" s="537" t="s">
        <v>1846</v>
      </c>
      <c r="AB439" s="537" t="s">
        <v>1847</v>
      </c>
      <c r="AD439" s="61">
        <v>44166</v>
      </c>
      <c r="AE439" s="61">
        <v>44424</v>
      </c>
      <c r="AF439" s="61"/>
      <c r="AG439" s="1">
        <v>44228</v>
      </c>
      <c r="AH439" s="537" t="s">
        <v>1791</v>
      </c>
      <c r="AI439" s="537" t="s">
        <v>86</v>
      </c>
      <c r="AJ439" s="1">
        <v>408</v>
      </c>
      <c r="AK439" s="537" t="s">
        <v>87</v>
      </c>
      <c r="AL439" s="1" t="s">
        <v>1792</v>
      </c>
      <c r="AM439" s="537"/>
      <c r="AN439" s="537"/>
    </row>
    <row r="440" spans="1:40" hidden="1">
      <c r="A440" s="537" t="s">
        <v>54</v>
      </c>
      <c r="B440" s="1">
        <v>201204</v>
      </c>
      <c r="D440" s="537" t="s">
        <v>962</v>
      </c>
      <c r="E440" s="537" t="s">
        <v>3043</v>
      </c>
      <c r="F440" t="s">
        <v>3044</v>
      </c>
      <c r="G440" t="s">
        <v>3045</v>
      </c>
      <c r="H440" s="537" t="s">
        <v>963</v>
      </c>
      <c r="I440" s="537" t="s">
        <v>964</v>
      </c>
      <c r="J440" s="537" t="s">
        <v>18</v>
      </c>
      <c r="K440" s="537" t="s">
        <v>57</v>
      </c>
      <c r="L440" s="61">
        <v>33003</v>
      </c>
      <c r="M440" s="1">
        <v>33</v>
      </c>
      <c r="N440" s="1">
        <v>1300</v>
      </c>
      <c r="O440" s="1">
        <v>0.5</v>
      </c>
      <c r="P440" s="1">
        <v>1650</v>
      </c>
      <c r="Q440" s="537" t="s">
        <v>954</v>
      </c>
      <c r="R440" s="1">
        <v>350</v>
      </c>
      <c r="S440">
        <v>300000</v>
      </c>
      <c r="T440">
        <v>15014.999999999998</v>
      </c>
      <c r="U440" t="s">
        <v>2639</v>
      </c>
      <c r="V440">
        <v>27450</v>
      </c>
      <c r="W440" s="1">
        <v>45312</v>
      </c>
      <c r="X440" s="537" t="s">
        <v>59</v>
      </c>
      <c r="Y440" s="537" t="s">
        <v>60</v>
      </c>
      <c r="Z440" s="1" t="s">
        <v>1312</v>
      </c>
      <c r="AA440" s="537" t="s">
        <v>2646</v>
      </c>
      <c r="AB440" s="537" t="s">
        <v>2647</v>
      </c>
      <c r="AC440" s="1" t="s">
        <v>63</v>
      </c>
      <c r="AD440" s="61">
        <v>44166</v>
      </c>
      <c r="AE440" s="61"/>
      <c r="AF440" s="61"/>
      <c r="AG440" s="1">
        <v>44228</v>
      </c>
      <c r="AH440" s="537" t="s">
        <v>968</v>
      </c>
      <c r="AI440" s="537" t="s">
        <v>86</v>
      </c>
      <c r="AJ440" s="1">
        <v>728</v>
      </c>
      <c r="AK440" s="537" t="s">
        <v>460</v>
      </c>
      <c r="AL440" s="1" t="s">
        <v>969</v>
      </c>
      <c r="AM440" s="537" t="s">
        <v>64</v>
      </c>
      <c r="AN440" s="537"/>
    </row>
    <row r="441" spans="1:40" hidden="1">
      <c r="A441" s="537" t="s">
        <v>179</v>
      </c>
      <c r="B441" s="1">
        <v>201201</v>
      </c>
      <c r="D441" s="537" t="s">
        <v>962</v>
      </c>
      <c r="E441" s="537" t="s">
        <v>3043</v>
      </c>
      <c r="F441" t="s">
        <v>3044</v>
      </c>
      <c r="G441" t="s">
        <v>3045</v>
      </c>
      <c r="H441" s="537" t="s">
        <v>1838</v>
      </c>
      <c r="I441" s="537" t="s">
        <v>1839</v>
      </c>
      <c r="J441" s="537" t="s">
        <v>18</v>
      </c>
      <c r="K441" s="537" t="s">
        <v>277</v>
      </c>
      <c r="L441" s="61">
        <v>25491</v>
      </c>
      <c r="M441" s="1">
        <v>54</v>
      </c>
      <c r="N441" s="1">
        <v>1200</v>
      </c>
      <c r="O441" s="1" t="s">
        <v>1840</v>
      </c>
      <c r="P441" s="1">
        <v>1650</v>
      </c>
      <c r="Q441" s="537"/>
      <c r="R441" s="1">
        <v>450</v>
      </c>
      <c r="S441"/>
      <c r="T441" t="s">
        <v>65</v>
      </c>
      <c r="U441" t="s">
        <v>65</v>
      </c>
      <c r="V441" t="s">
        <v>65</v>
      </c>
      <c r="W441" s="1">
        <v>450</v>
      </c>
      <c r="X441" s="537" t="s">
        <v>59</v>
      </c>
      <c r="Y441" s="537"/>
      <c r="Z441" s="1" t="s">
        <v>136</v>
      </c>
      <c r="AA441" s="537" t="s">
        <v>1841</v>
      </c>
      <c r="AB441" s="537" t="s">
        <v>1842</v>
      </c>
      <c r="AC441" s="1">
        <v>44165</v>
      </c>
      <c r="AD441" s="61">
        <v>44166</v>
      </c>
      <c r="AE441" s="61">
        <v>44573</v>
      </c>
      <c r="AF441" s="61"/>
      <c r="AG441" s="1">
        <v>44287</v>
      </c>
      <c r="AH441" s="537"/>
      <c r="AI441" s="537"/>
      <c r="AK441" s="537"/>
      <c r="AL441" s="1" t="s">
        <v>1795</v>
      </c>
      <c r="AM441" s="537"/>
      <c r="AN441" s="537"/>
    </row>
    <row r="442" spans="1:40" hidden="1">
      <c r="A442" s="537" t="s">
        <v>179</v>
      </c>
      <c r="B442" s="1">
        <v>5</v>
      </c>
      <c r="D442" s="537" t="s">
        <v>1832</v>
      </c>
      <c r="E442" s="537"/>
      <c r="F442"/>
      <c r="G442"/>
      <c r="H442" s="537" t="s">
        <v>1833</v>
      </c>
      <c r="I442" s="537" t="s">
        <v>1834</v>
      </c>
      <c r="J442" s="537" t="s">
        <v>18</v>
      </c>
      <c r="K442" s="537" t="s">
        <v>277</v>
      </c>
      <c r="L442" s="61">
        <v>20743</v>
      </c>
      <c r="M442" s="1">
        <v>67</v>
      </c>
      <c r="Q442" s="537"/>
      <c r="R442" s="1">
        <v>0</v>
      </c>
      <c r="S442"/>
      <c r="T442" t="s">
        <v>65</v>
      </c>
      <c r="U442" t="s">
        <v>65</v>
      </c>
      <c r="V442" t="s">
        <v>65</v>
      </c>
      <c r="X442" s="537" t="s">
        <v>65</v>
      </c>
      <c r="Y442" s="537"/>
      <c r="Z442" s="1" t="s">
        <v>1835</v>
      </c>
      <c r="AA442" s="537" t="s">
        <v>1836</v>
      </c>
      <c r="AB442" s="537" t="s">
        <v>1837</v>
      </c>
      <c r="AC442" s="1">
        <v>44166</v>
      </c>
      <c r="AD442" s="61">
        <v>44166</v>
      </c>
      <c r="AE442" s="61">
        <v>44377</v>
      </c>
      <c r="AF442" s="61"/>
      <c r="AH442" s="537" t="s">
        <v>1791</v>
      </c>
      <c r="AI442" s="537" t="s">
        <v>86</v>
      </c>
      <c r="AJ442" s="1">
        <v>408</v>
      </c>
      <c r="AK442" s="537" t="s">
        <v>87</v>
      </c>
      <c r="AL442" s="1" t="s">
        <v>1792</v>
      </c>
      <c r="AM442" s="537"/>
      <c r="AN442" s="537"/>
    </row>
    <row r="443" spans="1:40" hidden="1">
      <c r="A443" s="537" t="s">
        <v>179</v>
      </c>
      <c r="B443" s="1">
        <v>201205</v>
      </c>
      <c r="D443" s="537" t="s">
        <v>79</v>
      </c>
      <c r="E443" s="537"/>
      <c r="F443"/>
      <c r="G443"/>
      <c r="H443" s="537" t="s">
        <v>1848</v>
      </c>
      <c r="I443" s="537" t="s">
        <v>1849</v>
      </c>
      <c r="J443" s="537" t="s">
        <v>18</v>
      </c>
      <c r="K443" s="537" t="s">
        <v>57</v>
      </c>
      <c r="L443" s="61">
        <v>34020</v>
      </c>
      <c r="M443" s="1">
        <v>30</v>
      </c>
      <c r="N443" s="1">
        <v>1250</v>
      </c>
      <c r="P443" s="1">
        <v>1600</v>
      </c>
      <c r="Q443" s="537"/>
      <c r="R443" s="1">
        <v>350</v>
      </c>
      <c r="S443"/>
      <c r="T443" t="s">
        <v>65</v>
      </c>
      <c r="U443" t="s">
        <v>2639</v>
      </c>
      <c r="V443" t="s">
        <v>65</v>
      </c>
      <c r="W443" s="1">
        <v>44734</v>
      </c>
      <c r="X443" s="537" t="s">
        <v>59</v>
      </c>
      <c r="Y443" s="537" t="s">
        <v>60</v>
      </c>
      <c r="Z443" s="1" t="s">
        <v>114</v>
      </c>
      <c r="AA443" s="537" t="s">
        <v>115</v>
      </c>
      <c r="AB443" s="537" t="s">
        <v>116</v>
      </c>
      <c r="AC443" s="1">
        <v>44166</v>
      </c>
      <c r="AD443" s="61">
        <v>44167</v>
      </c>
      <c r="AE443" s="61">
        <v>44463</v>
      </c>
      <c r="AF443" s="61">
        <v>44464</v>
      </c>
      <c r="AG443" s="1">
        <v>44197</v>
      </c>
      <c r="AH443" s="537" t="s">
        <v>1793</v>
      </c>
      <c r="AI443" s="537" t="s">
        <v>86</v>
      </c>
      <c r="AJ443" s="1">
        <v>98</v>
      </c>
      <c r="AK443" s="537" t="s">
        <v>1794</v>
      </c>
      <c r="AL443" s="1" t="s">
        <v>1795</v>
      </c>
      <c r="AM443" s="537"/>
      <c r="AN443" s="537"/>
    </row>
    <row r="444" spans="1:40" hidden="1">
      <c r="A444" s="537" t="s">
        <v>179</v>
      </c>
      <c r="B444" s="1">
        <v>201209</v>
      </c>
      <c r="D444" s="537" t="s">
        <v>962</v>
      </c>
      <c r="E444" s="537" t="s">
        <v>3043</v>
      </c>
      <c r="F444" t="s">
        <v>3044</v>
      </c>
      <c r="G444" t="s">
        <v>3045</v>
      </c>
      <c r="H444" s="537" t="s">
        <v>1850</v>
      </c>
      <c r="I444" s="537" t="s">
        <v>1851</v>
      </c>
      <c r="J444" s="537" t="s">
        <v>18</v>
      </c>
      <c r="K444" s="537" t="s">
        <v>57</v>
      </c>
      <c r="L444" s="61">
        <v>34529</v>
      </c>
      <c r="M444" s="1">
        <v>29</v>
      </c>
      <c r="N444" s="1">
        <v>1200</v>
      </c>
      <c r="P444" s="1">
        <v>1600</v>
      </c>
      <c r="Q444" s="537" t="s">
        <v>1824</v>
      </c>
      <c r="R444" s="1">
        <v>400</v>
      </c>
      <c r="S444"/>
      <c r="T444" t="s">
        <v>65</v>
      </c>
      <c r="U444" t="s">
        <v>2639</v>
      </c>
      <c r="V444" t="s">
        <v>65</v>
      </c>
      <c r="W444" s="1">
        <v>44518</v>
      </c>
      <c r="X444" s="537" t="s">
        <v>59</v>
      </c>
      <c r="Y444" s="537" t="s">
        <v>60</v>
      </c>
      <c r="AA444" s="537" t="s">
        <v>1616</v>
      </c>
      <c r="AB444" s="537" t="s">
        <v>1617</v>
      </c>
      <c r="AC444" s="1">
        <v>44175</v>
      </c>
      <c r="AD444" s="61">
        <v>44175</v>
      </c>
      <c r="AE444" s="61">
        <v>44187</v>
      </c>
      <c r="AF444" s="61">
        <v>44219</v>
      </c>
      <c r="AH444" s="537"/>
      <c r="AI444" s="537"/>
      <c r="AK444" s="537"/>
      <c r="AL444" s="1" t="s">
        <v>1792</v>
      </c>
      <c r="AM444" s="537"/>
      <c r="AN444" s="537"/>
    </row>
    <row r="445" spans="1:40" hidden="1">
      <c r="A445" s="537" t="s">
        <v>179</v>
      </c>
      <c r="B445" s="1">
        <v>201210</v>
      </c>
      <c r="D445" s="537" t="s">
        <v>105</v>
      </c>
      <c r="E445" s="537"/>
      <c r="F445"/>
      <c r="G445"/>
      <c r="H445" s="537" t="s">
        <v>1852</v>
      </c>
      <c r="I445" s="537" t="s">
        <v>1853</v>
      </c>
      <c r="J445" s="537" t="s">
        <v>18</v>
      </c>
      <c r="K445" s="537" t="s">
        <v>939</v>
      </c>
      <c r="L445" s="61">
        <v>25114</v>
      </c>
      <c r="M445" s="1">
        <v>55</v>
      </c>
      <c r="N445" s="1">
        <v>1200</v>
      </c>
      <c r="P445" s="1">
        <v>1650</v>
      </c>
      <c r="Q445" s="537" t="s">
        <v>1854</v>
      </c>
      <c r="R445" s="1">
        <v>450</v>
      </c>
      <c r="S445"/>
      <c r="T445" t="s">
        <v>65</v>
      </c>
      <c r="U445" t="s">
        <v>65</v>
      </c>
      <c r="V445" t="s">
        <v>65</v>
      </c>
      <c r="W445" s="1">
        <v>45322</v>
      </c>
      <c r="X445" s="537" t="s">
        <v>59</v>
      </c>
      <c r="Y445" s="537" t="s">
        <v>71</v>
      </c>
      <c r="AA445" s="537" t="s">
        <v>1855</v>
      </c>
      <c r="AB445" s="537" t="s">
        <v>1856</v>
      </c>
      <c r="AD445" s="61">
        <v>44179</v>
      </c>
      <c r="AE445" s="61">
        <v>44180</v>
      </c>
      <c r="AF445" s="61"/>
      <c r="AG445" s="1" t="s">
        <v>1857</v>
      </c>
      <c r="AH445" s="537" t="s">
        <v>1793</v>
      </c>
      <c r="AI445" s="537" t="s">
        <v>86</v>
      </c>
      <c r="AJ445" s="1">
        <v>98</v>
      </c>
      <c r="AK445" s="537" t="s">
        <v>1794</v>
      </c>
      <c r="AL445" s="1" t="s">
        <v>1795</v>
      </c>
      <c r="AM445" s="537"/>
      <c r="AN445" s="537"/>
    </row>
    <row r="446" spans="1:40" hidden="1">
      <c r="A446" s="537" t="s">
        <v>179</v>
      </c>
      <c r="B446" s="1">
        <v>201206</v>
      </c>
      <c r="D446" s="537" t="s">
        <v>79</v>
      </c>
      <c r="E446" s="537"/>
      <c r="F446"/>
      <c r="G446"/>
      <c r="H446" s="537" t="s">
        <v>1858</v>
      </c>
      <c r="I446" s="537" t="s">
        <v>1859</v>
      </c>
      <c r="J446" s="537" t="s">
        <v>18</v>
      </c>
      <c r="K446" s="537" t="s">
        <v>57</v>
      </c>
      <c r="L446" s="61">
        <v>34801</v>
      </c>
      <c r="M446" s="1">
        <v>28</v>
      </c>
      <c r="N446" s="1">
        <v>1250</v>
      </c>
      <c r="P446" s="1">
        <v>1600</v>
      </c>
      <c r="Q446" s="537"/>
      <c r="R446" s="1">
        <v>350</v>
      </c>
      <c r="S446"/>
      <c r="T446" t="s">
        <v>65</v>
      </c>
      <c r="U446" t="s">
        <v>2639</v>
      </c>
      <c r="V446" t="s">
        <v>65</v>
      </c>
      <c r="W446" s="1">
        <v>45162</v>
      </c>
      <c r="X446" s="537" t="s">
        <v>59</v>
      </c>
      <c r="Y446" s="537" t="s">
        <v>60</v>
      </c>
      <c r="Z446" s="1" t="s">
        <v>114</v>
      </c>
      <c r="AA446" s="537" t="s">
        <v>115</v>
      </c>
      <c r="AB446" s="537" t="s">
        <v>116</v>
      </c>
      <c r="AC446" s="1">
        <v>44186</v>
      </c>
      <c r="AD446" s="61">
        <v>44187</v>
      </c>
      <c r="AE446" s="61">
        <v>44456</v>
      </c>
      <c r="AF446" s="61">
        <v>44456</v>
      </c>
      <c r="AG446" s="1">
        <v>44228</v>
      </c>
      <c r="AH446" s="537" t="s">
        <v>1791</v>
      </c>
      <c r="AI446" s="537" t="s">
        <v>86</v>
      </c>
      <c r="AJ446" s="1">
        <v>408</v>
      </c>
      <c r="AK446" s="537" t="s">
        <v>87</v>
      </c>
      <c r="AL446" s="1" t="s">
        <v>1792</v>
      </c>
      <c r="AM446" s="537"/>
      <c r="AN446" s="537"/>
    </row>
    <row r="447" spans="1:40" hidden="1">
      <c r="A447" s="537" t="s">
        <v>179</v>
      </c>
      <c r="B447" s="1">
        <v>210103</v>
      </c>
      <c r="D447" s="537" t="s">
        <v>118</v>
      </c>
      <c r="E447" s="537"/>
      <c r="F447"/>
      <c r="G447"/>
      <c r="H447" s="537" t="s">
        <v>1862</v>
      </c>
      <c r="I447" s="537" t="s">
        <v>1863</v>
      </c>
      <c r="J447" s="537" t="s">
        <v>18</v>
      </c>
      <c r="K447" s="537" t="s">
        <v>57</v>
      </c>
      <c r="L447" s="61">
        <v>33850</v>
      </c>
      <c r="M447" s="1">
        <v>31</v>
      </c>
      <c r="N447" s="1">
        <v>1250</v>
      </c>
      <c r="P447" s="1">
        <v>1750</v>
      </c>
      <c r="Q447" s="537"/>
      <c r="R447" s="1">
        <v>500</v>
      </c>
      <c r="S447"/>
      <c r="T447" t="s">
        <v>65</v>
      </c>
      <c r="U447" t="s">
        <v>2639</v>
      </c>
      <c r="V447" t="s">
        <v>65</v>
      </c>
      <c r="W447" s="1">
        <v>45178</v>
      </c>
      <c r="X447" s="537" t="s">
        <v>59</v>
      </c>
      <c r="Y447" s="537" t="s">
        <v>60</v>
      </c>
      <c r="Z447" s="1" t="s">
        <v>199</v>
      </c>
      <c r="AA447" s="537" t="s">
        <v>233</v>
      </c>
      <c r="AB447" s="537" t="s">
        <v>1864</v>
      </c>
      <c r="AC447" s="1">
        <v>44443</v>
      </c>
      <c r="AD447" s="61">
        <v>44201</v>
      </c>
      <c r="AE447" s="61">
        <v>44499</v>
      </c>
      <c r="AF447" s="61"/>
      <c r="AG447" s="1">
        <v>44256</v>
      </c>
      <c r="AH447" s="537" t="s">
        <v>1791</v>
      </c>
      <c r="AI447" s="537" t="s">
        <v>86</v>
      </c>
      <c r="AJ447" s="1">
        <v>408</v>
      </c>
      <c r="AK447" s="537" t="s">
        <v>87</v>
      </c>
      <c r="AL447" s="1" t="s">
        <v>1792</v>
      </c>
      <c r="AM447" s="537"/>
      <c r="AN447" s="537"/>
    </row>
    <row r="448" spans="1:40" hidden="1">
      <c r="A448" s="537" t="s">
        <v>179</v>
      </c>
      <c r="B448" s="1">
        <v>210104</v>
      </c>
      <c r="D448" s="537" t="s">
        <v>79</v>
      </c>
      <c r="E448" s="537"/>
      <c r="F448"/>
      <c r="G448"/>
      <c r="H448" s="537" t="s">
        <v>1865</v>
      </c>
      <c r="I448" s="537" t="s">
        <v>1866</v>
      </c>
      <c r="J448" s="537" t="s">
        <v>18</v>
      </c>
      <c r="K448" s="537" t="s">
        <v>939</v>
      </c>
      <c r="L448" s="61">
        <v>23635</v>
      </c>
      <c r="M448" s="1">
        <v>59</v>
      </c>
      <c r="N448" s="1">
        <v>1300</v>
      </c>
      <c r="O448" s="1" t="s">
        <v>1867</v>
      </c>
      <c r="P448" s="1">
        <v>1650</v>
      </c>
      <c r="Q448" s="537"/>
      <c r="R448" s="1">
        <v>350</v>
      </c>
      <c r="S448"/>
      <c r="T448" t="s">
        <v>65</v>
      </c>
      <c r="U448" t="s">
        <v>65</v>
      </c>
      <c r="V448" t="s">
        <v>65</v>
      </c>
      <c r="W448" s="1">
        <v>45873</v>
      </c>
      <c r="X448" s="537" t="s">
        <v>65</v>
      </c>
      <c r="Y448" s="537" t="s">
        <v>1637</v>
      </c>
      <c r="Z448" s="1" t="s">
        <v>84</v>
      </c>
      <c r="AA448" s="537" t="s">
        <v>85</v>
      </c>
      <c r="AB448" s="537" t="s">
        <v>1868</v>
      </c>
      <c r="AC448" s="1">
        <v>44194</v>
      </c>
      <c r="AD448" s="61">
        <v>44201</v>
      </c>
      <c r="AE448" s="61">
        <v>44274</v>
      </c>
      <c r="AF448" s="61">
        <v>44276</v>
      </c>
      <c r="AG448" s="1">
        <v>44287</v>
      </c>
      <c r="AH448" s="537" t="s">
        <v>1793</v>
      </c>
      <c r="AI448" s="537" t="s">
        <v>86</v>
      </c>
      <c r="AJ448" s="1">
        <v>98</v>
      </c>
      <c r="AK448" s="537" t="s">
        <v>1794</v>
      </c>
      <c r="AL448" s="1" t="s">
        <v>1795</v>
      </c>
      <c r="AM448" s="537"/>
      <c r="AN448" s="537"/>
    </row>
    <row r="449" spans="1:40" hidden="1">
      <c r="A449" s="537" t="s">
        <v>179</v>
      </c>
      <c r="B449" s="1">
        <v>210101</v>
      </c>
      <c r="D449" s="537" t="s">
        <v>105</v>
      </c>
      <c r="E449" s="537"/>
      <c r="F449"/>
      <c r="G449"/>
      <c r="H449" s="537" t="s">
        <v>1860</v>
      </c>
      <c r="I449" s="537" t="s">
        <v>1861</v>
      </c>
      <c r="J449" s="537" t="s">
        <v>18</v>
      </c>
      <c r="K449" s="537" t="s">
        <v>57</v>
      </c>
      <c r="L449" s="61">
        <v>34673</v>
      </c>
      <c r="M449" s="1">
        <v>29</v>
      </c>
      <c r="N449" s="1">
        <v>1300</v>
      </c>
      <c r="P449" s="1">
        <v>1600</v>
      </c>
      <c r="Q449" s="537"/>
      <c r="R449" s="1">
        <v>300</v>
      </c>
      <c r="S449"/>
      <c r="T449" t="s">
        <v>65</v>
      </c>
      <c r="U449" t="s">
        <v>2639</v>
      </c>
      <c r="V449" t="s">
        <v>65</v>
      </c>
      <c r="W449" s="1">
        <v>45157</v>
      </c>
      <c r="X449" s="537" t="s">
        <v>59</v>
      </c>
      <c r="Y449" s="537" t="s">
        <v>60</v>
      </c>
      <c r="Z449" s="1" t="s">
        <v>84</v>
      </c>
      <c r="AA449" s="537" t="s">
        <v>490</v>
      </c>
      <c r="AB449" s="537" t="s">
        <v>491</v>
      </c>
      <c r="AC449" s="1">
        <v>44193</v>
      </c>
      <c r="AD449" s="61">
        <v>44201</v>
      </c>
      <c r="AE449" s="61">
        <v>44415</v>
      </c>
      <c r="AF449" s="61"/>
      <c r="AG449" s="1">
        <v>44256</v>
      </c>
      <c r="AH449" s="537" t="s">
        <v>1793</v>
      </c>
      <c r="AI449" s="537" t="s">
        <v>86</v>
      </c>
      <c r="AJ449" s="1">
        <v>98</v>
      </c>
      <c r="AK449" s="537" t="s">
        <v>1794</v>
      </c>
      <c r="AL449" s="1" t="s">
        <v>1795</v>
      </c>
      <c r="AM449" s="537"/>
      <c r="AN449" s="537"/>
    </row>
    <row r="450" spans="1:40" hidden="1">
      <c r="A450" s="537" t="s">
        <v>179</v>
      </c>
      <c r="B450" s="1">
        <v>210105</v>
      </c>
      <c r="D450" s="537" t="s">
        <v>962</v>
      </c>
      <c r="E450" s="537" t="s">
        <v>3043</v>
      </c>
      <c r="F450" t="s">
        <v>3044</v>
      </c>
      <c r="G450" t="s">
        <v>3045</v>
      </c>
      <c r="H450" s="537" t="s">
        <v>497</v>
      </c>
      <c r="I450" s="537" t="s">
        <v>498</v>
      </c>
      <c r="J450" s="537" t="s">
        <v>18</v>
      </c>
      <c r="K450" s="537" t="s">
        <v>57</v>
      </c>
      <c r="L450" s="61">
        <v>35053</v>
      </c>
      <c r="M450" s="1">
        <v>27</v>
      </c>
      <c r="N450" s="1">
        <v>1250</v>
      </c>
      <c r="P450" s="1">
        <v>1600</v>
      </c>
      <c r="Q450" s="537"/>
      <c r="R450" s="1">
        <v>350</v>
      </c>
      <c r="S450"/>
      <c r="T450" t="s">
        <v>65</v>
      </c>
      <c r="U450" t="s">
        <v>2639</v>
      </c>
      <c r="V450" t="s">
        <v>65</v>
      </c>
      <c r="W450" s="1">
        <v>44990</v>
      </c>
      <c r="X450" s="537" t="s">
        <v>59</v>
      </c>
      <c r="Y450" s="537" t="s">
        <v>60</v>
      </c>
      <c r="Z450" s="1" t="s">
        <v>1615</v>
      </c>
      <c r="AA450" s="537" t="s">
        <v>1616</v>
      </c>
      <c r="AB450" s="537" t="s">
        <v>1617</v>
      </c>
      <c r="AC450" s="1">
        <v>44201</v>
      </c>
      <c r="AD450" s="61">
        <v>44202</v>
      </c>
      <c r="AE450" s="61">
        <v>44309</v>
      </c>
      <c r="AF450" s="61"/>
      <c r="AG450" s="1">
        <v>44256</v>
      </c>
      <c r="AH450" s="537"/>
      <c r="AI450" s="537"/>
      <c r="AK450" s="537"/>
      <c r="AL450" s="1" t="s">
        <v>1792</v>
      </c>
      <c r="AM450" s="537"/>
      <c r="AN450" s="537"/>
    </row>
    <row r="451" spans="1:40" hidden="1">
      <c r="A451" s="537" t="s">
        <v>179</v>
      </c>
      <c r="B451" s="1">
        <v>210111</v>
      </c>
      <c r="D451" s="537" t="s">
        <v>88</v>
      </c>
      <c r="E451" s="537"/>
      <c r="F451"/>
      <c r="G451"/>
      <c r="H451" s="537" t="s">
        <v>1869</v>
      </c>
      <c r="I451" s="537" t="s">
        <v>1870</v>
      </c>
      <c r="J451" s="537" t="s">
        <v>18</v>
      </c>
      <c r="K451" s="537" t="s">
        <v>57</v>
      </c>
      <c r="L451" s="61">
        <v>35358</v>
      </c>
      <c r="M451" s="1">
        <v>27</v>
      </c>
      <c r="N451" s="1">
        <v>1200</v>
      </c>
      <c r="P451" s="1">
        <v>1600</v>
      </c>
      <c r="Q451" s="537"/>
      <c r="R451" s="1">
        <v>400</v>
      </c>
      <c r="S451"/>
      <c r="T451" t="s">
        <v>65</v>
      </c>
      <c r="U451" t="s">
        <v>2639</v>
      </c>
      <c r="V451" t="s">
        <v>65</v>
      </c>
      <c r="W451" s="1">
        <v>45267</v>
      </c>
      <c r="X451" s="537" t="s">
        <v>59</v>
      </c>
      <c r="Y451" s="537" t="s">
        <v>60</v>
      </c>
      <c r="Z451" s="1" t="s">
        <v>1245</v>
      </c>
      <c r="AA451" s="537" t="s">
        <v>1246</v>
      </c>
      <c r="AB451" s="537" t="s">
        <v>1247</v>
      </c>
      <c r="AC451" s="1">
        <v>44202</v>
      </c>
      <c r="AD451" s="61">
        <v>44207</v>
      </c>
      <c r="AE451" s="61">
        <v>44295</v>
      </c>
      <c r="AF451" s="61">
        <v>44296</v>
      </c>
      <c r="AG451" s="1">
        <v>44256</v>
      </c>
      <c r="AH451" s="537" t="s">
        <v>1793</v>
      </c>
      <c r="AI451" s="537" t="s">
        <v>86</v>
      </c>
      <c r="AJ451" s="1">
        <v>98</v>
      </c>
      <c r="AK451" s="537" t="s">
        <v>1794</v>
      </c>
      <c r="AL451" s="1" t="s">
        <v>1795</v>
      </c>
      <c r="AM451" s="537"/>
      <c r="AN451" s="537"/>
    </row>
    <row r="452" spans="1:40" hidden="1">
      <c r="A452" s="537" t="s">
        <v>179</v>
      </c>
      <c r="B452" s="1">
        <v>210115</v>
      </c>
      <c r="D452" s="537" t="s">
        <v>88</v>
      </c>
      <c r="E452" s="537"/>
      <c r="F452"/>
      <c r="G452"/>
      <c r="H452" s="537" t="s">
        <v>1871</v>
      </c>
      <c r="I452" s="537" t="s">
        <v>1872</v>
      </c>
      <c r="J452" s="537" t="s">
        <v>18</v>
      </c>
      <c r="K452" s="537" t="s">
        <v>939</v>
      </c>
      <c r="L452" s="61">
        <v>22373</v>
      </c>
      <c r="M452" s="1">
        <v>62</v>
      </c>
      <c r="N452" s="1">
        <v>1250</v>
      </c>
      <c r="P452" s="1">
        <v>1650</v>
      </c>
      <c r="Q452" s="537" t="s">
        <v>1824</v>
      </c>
      <c r="R452" s="1">
        <v>400</v>
      </c>
      <c r="S452"/>
      <c r="T452" t="s">
        <v>65</v>
      </c>
      <c r="U452" t="s">
        <v>65</v>
      </c>
      <c r="V452" t="s">
        <v>65</v>
      </c>
      <c r="W452" s="1">
        <v>45277</v>
      </c>
      <c r="X452" s="537" t="s">
        <v>59</v>
      </c>
      <c r="Y452" s="537" t="s">
        <v>1637</v>
      </c>
      <c r="Z452" s="1" t="s">
        <v>1139</v>
      </c>
      <c r="AA452" s="537" t="s">
        <v>1686</v>
      </c>
      <c r="AB452" s="537" t="s">
        <v>1687</v>
      </c>
      <c r="AC452" s="1">
        <v>44204</v>
      </c>
      <c r="AD452" s="61">
        <v>44207</v>
      </c>
      <c r="AE452" s="61">
        <v>44252</v>
      </c>
      <c r="AF452" s="61">
        <v>44254</v>
      </c>
      <c r="AG452" s="1">
        <v>44207</v>
      </c>
      <c r="AH452" s="537" t="s">
        <v>1791</v>
      </c>
      <c r="AI452" s="537" t="s">
        <v>86</v>
      </c>
      <c r="AJ452" s="1">
        <v>408</v>
      </c>
      <c r="AK452" s="537" t="s">
        <v>87</v>
      </c>
      <c r="AL452" s="1" t="s">
        <v>1792</v>
      </c>
      <c r="AM452" s="537"/>
      <c r="AN452" s="537"/>
    </row>
    <row r="453" spans="1:40" hidden="1">
      <c r="A453" s="537" t="s">
        <v>54</v>
      </c>
      <c r="B453" s="1">
        <v>210116</v>
      </c>
      <c r="D453" s="537" t="s">
        <v>962</v>
      </c>
      <c r="E453" s="537" t="s">
        <v>3043</v>
      </c>
      <c r="F453" t="s">
        <v>3044</v>
      </c>
      <c r="G453" t="s">
        <v>3045</v>
      </c>
      <c r="H453" s="537" t="s">
        <v>1011</v>
      </c>
      <c r="I453" s="537" t="s">
        <v>1012</v>
      </c>
      <c r="J453" s="537" t="s">
        <v>18</v>
      </c>
      <c r="K453" s="537" t="s">
        <v>939</v>
      </c>
      <c r="L453" s="61">
        <v>16690</v>
      </c>
      <c r="M453" s="1">
        <v>78</v>
      </c>
      <c r="N453" s="1">
        <v>1250</v>
      </c>
      <c r="P453" s="1">
        <v>1650</v>
      </c>
      <c r="Q453" s="537"/>
      <c r="R453" s="1">
        <v>400</v>
      </c>
      <c r="S453"/>
      <c r="T453" t="s">
        <v>65</v>
      </c>
      <c r="U453" t="s">
        <v>65</v>
      </c>
      <c r="V453" t="s">
        <v>2639</v>
      </c>
      <c r="W453" s="1">
        <v>46869</v>
      </c>
      <c r="X453" s="537" t="s">
        <v>65</v>
      </c>
      <c r="Y453" s="537" t="s">
        <v>71</v>
      </c>
      <c r="Z453" s="1" t="s">
        <v>1013</v>
      </c>
      <c r="AA453" s="537" t="s">
        <v>1014</v>
      </c>
      <c r="AB453" s="537" t="s">
        <v>1015</v>
      </c>
      <c r="AC453" s="1" t="s">
        <v>63</v>
      </c>
      <c r="AD453" s="61">
        <v>44214</v>
      </c>
      <c r="AE453" s="61"/>
      <c r="AF453" s="61"/>
      <c r="AG453" s="1" t="s">
        <v>1016</v>
      </c>
      <c r="AH453" s="537" t="s">
        <v>1017</v>
      </c>
      <c r="AI453" s="537" t="s">
        <v>145</v>
      </c>
      <c r="AJ453" s="1">
        <v>288</v>
      </c>
      <c r="AK453" s="537"/>
      <c r="AL453" s="1" t="s">
        <v>1018</v>
      </c>
      <c r="AM453" s="537" t="s">
        <v>64</v>
      </c>
      <c r="AN453" s="537"/>
    </row>
    <row r="454" spans="1:40" hidden="1">
      <c r="A454" s="537" t="s">
        <v>54</v>
      </c>
      <c r="B454" s="1">
        <v>210119</v>
      </c>
      <c r="D454" s="537" t="s">
        <v>1019</v>
      </c>
      <c r="E454" s="537" t="s">
        <v>1020</v>
      </c>
      <c r="F454"/>
      <c r="G454"/>
      <c r="H454" s="537" t="s">
        <v>1021</v>
      </c>
      <c r="I454" s="537" t="s">
        <v>1022</v>
      </c>
      <c r="J454" s="537" t="s">
        <v>18</v>
      </c>
      <c r="K454" s="537" t="s">
        <v>57</v>
      </c>
      <c r="L454" s="61">
        <v>30753</v>
      </c>
      <c r="M454" s="1">
        <v>39</v>
      </c>
      <c r="N454" s="1">
        <v>1500</v>
      </c>
      <c r="O454" s="1" t="s">
        <v>1023</v>
      </c>
      <c r="P454" s="1">
        <v>2000</v>
      </c>
      <c r="Q454" s="537" t="s">
        <v>92</v>
      </c>
      <c r="R454" s="1">
        <v>500</v>
      </c>
      <c r="S454">
        <v>320000</v>
      </c>
      <c r="T454">
        <v>16015.999999999998</v>
      </c>
      <c r="U454" t="s">
        <v>2639</v>
      </c>
      <c r="V454">
        <v>29280</v>
      </c>
      <c r="W454" s="1">
        <v>46056</v>
      </c>
      <c r="X454" s="537" t="s">
        <v>65</v>
      </c>
      <c r="Y454" s="537" t="s">
        <v>60</v>
      </c>
      <c r="Z454" s="1" t="s">
        <v>1024</v>
      </c>
      <c r="AA454" s="537" t="s">
        <v>1025</v>
      </c>
      <c r="AB454" s="537" t="s">
        <v>1026</v>
      </c>
      <c r="AC454" s="1">
        <v>44212</v>
      </c>
      <c r="AD454" s="61">
        <v>44221</v>
      </c>
      <c r="AE454" s="61"/>
      <c r="AF454" s="61"/>
      <c r="AG454" s="1">
        <v>44228</v>
      </c>
      <c r="AH454" s="537" t="s">
        <v>2649</v>
      </c>
      <c r="AI454" s="537" t="s">
        <v>86</v>
      </c>
      <c r="AJ454" s="1">
        <v>548</v>
      </c>
      <c r="AK454" s="537" t="s">
        <v>125</v>
      </c>
      <c r="AL454" s="1" t="s">
        <v>2650</v>
      </c>
      <c r="AM454" s="537" t="s">
        <v>64</v>
      </c>
      <c r="AN454" s="537" t="s">
        <v>1027</v>
      </c>
    </row>
    <row r="455" spans="1:40" hidden="1">
      <c r="A455" s="537" t="s">
        <v>179</v>
      </c>
      <c r="B455" s="1">
        <v>210204</v>
      </c>
      <c r="D455" s="537" t="s">
        <v>935</v>
      </c>
      <c r="E455" s="537"/>
      <c r="F455"/>
      <c r="G455"/>
      <c r="H455" s="537" t="s">
        <v>1873</v>
      </c>
      <c r="I455" s="537" t="s">
        <v>1874</v>
      </c>
      <c r="J455" s="537" t="s">
        <v>18</v>
      </c>
      <c r="K455" s="537" t="s">
        <v>939</v>
      </c>
      <c r="L455" s="61">
        <v>23316</v>
      </c>
      <c r="M455" s="1">
        <v>60</v>
      </c>
      <c r="N455" s="1">
        <v>1300</v>
      </c>
      <c r="P455" s="1">
        <v>1872</v>
      </c>
      <c r="Q455" s="537"/>
      <c r="R455" s="1">
        <v>572</v>
      </c>
      <c r="S455"/>
      <c r="T455" t="s">
        <v>65</v>
      </c>
      <c r="U455" t="s">
        <v>65</v>
      </c>
      <c r="V455" t="s">
        <v>65</v>
      </c>
      <c r="W455" s="1">
        <v>44505</v>
      </c>
      <c r="X455" s="537" t="s">
        <v>59</v>
      </c>
      <c r="Y455" s="537" t="s">
        <v>1637</v>
      </c>
      <c r="Z455" s="1" t="s">
        <v>1875</v>
      </c>
      <c r="AA455" s="537" t="s">
        <v>1876</v>
      </c>
      <c r="AB455" s="537" t="s">
        <v>1877</v>
      </c>
      <c r="AD455" s="61">
        <v>44229</v>
      </c>
      <c r="AE455" s="61">
        <v>44265</v>
      </c>
      <c r="AF455" s="61"/>
      <c r="AG455" s="1">
        <v>44287</v>
      </c>
      <c r="AH455" s="537" t="s">
        <v>1793</v>
      </c>
      <c r="AI455" s="537" t="s">
        <v>86</v>
      </c>
      <c r="AJ455" s="1">
        <v>98</v>
      </c>
      <c r="AK455" s="537" t="s">
        <v>1794</v>
      </c>
      <c r="AL455" s="1" t="s">
        <v>1795</v>
      </c>
      <c r="AM455" s="537"/>
      <c r="AN455" s="537"/>
    </row>
    <row r="456" spans="1:40" hidden="1">
      <c r="A456" s="537" t="s">
        <v>179</v>
      </c>
      <c r="B456" s="1">
        <v>210211</v>
      </c>
      <c r="D456" s="537" t="s">
        <v>79</v>
      </c>
      <c r="E456" s="537"/>
      <c r="F456"/>
      <c r="G456"/>
      <c r="H456" s="537" t="s">
        <v>1878</v>
      </c>
      <c r="I456" s="537" t="s">
        <v>1879</v>
      </c>
      <c r="J456" s="537" t="s">
        <v>18</v>
      </c>
      <c r="K456" s="537" t="s">
        <v>939</v>
      </c>
      <c r="L456" s="61">
        <v>28594</v>
      </c>
      <c r="M456" s="1">
        <v>45</v>
      </c>
      <c r="N456" s="1">
        <v>1300</v>
      </c>
      <c r="P456" s="1">
        <v>1650</v>
      </c>
      <c r="Q456" s="537" t="s">
        <v>1880</v>
      </c>
      <c r="R456" s="1">
        <v>350</v>
      </c>
      <c r="S456"/>
      <c r="T456" t="s">
        <v>65</v>
      </c>
      <c r="U456" t="s">
        <v>65</v>
      </c>
      <c r="V456" t="s">
        <v>65</v>
      </c>
      <c r="W456" s="1">
        <v>45120</v>
      </c>
      <c r="X456" s="537" t="s">
        <v>59</v>
      </c>
      <c r="Y456" s="537" t="s">
        <v>1568</v>
      </c>
      <c r="Z456" s="1" t="s">
        <v>84</v>
      </c>
      <c r="AA456" s="537" t="s">
        <v>109</v>
      </c>
      <c r="AB456" s="537" t="s">
        <v>377</v>
      </c>
      <c r="AC456" s="1">
        <v>44236</v>
      </c>
      <c r="AD456" s="61">
        <v>44236</v>
      </c>
      <c r="AE456" s="61">
        <v>44238</v>
      </c>
      <c r="AF456" s="61"/>
      <c r="AG456" s="1">
        <v>44236</v>
      </c>
      <c r="AH456" s="537" t="s">
        <v>1791</v>
      </c>
      <c r="AI456" s="537" t="s">
        <v>86</v>
      </c>
      <c r="AJ456" s="1">
        <v>408</v>
      </c>
      <c r="AK456" s="537" t="s">
        <v>87</v>
      </c>
      <c r="AL456" s="1" t="s">
        <v>1792</v>
      </c>
      <c r="AM456" s="537"/>
      <c r="AN456" s="537"/>
    </row>
    <row r="457" spans="1:40" hidden="1">
      <c r="A457" s="537" t="s">
        <v>179</v>
      </c>
      <c r="B457" s="1">
        <v>210303</v>
      </c>
      <c r="D457" s="537" t="s">
        <v>180</v>
      </c>
      <c r="E457" s="537"/>
      <c r="F457" t="s">
        <v>808</v>
      </c>
      <c r="G457"/>
      <c r="H457" s="537" t="s">
        <v>181</v>
      </c>
      <c r="I457" s="537" t="s">
        <v>1046</v>
      </c>
      <c r="J457" s="537" t="s">
        <v>18</v>
      </c>
      <c r="K457" s="537" t="s">
        <v>57</v>
      </c>
      <c r="L457" s="61">
        <v>31860</v>
      </c>
      <c r="M457" s="1">
        <v>36</v>
      </c>
      <c r="N457" s="1">
        <v>1500</v>
      </c>
      <c r="O457" s="1" t="s">
        <v>182</v>
      </c>
      <c r="P457" s="1">
        <v>2300</v>
      </c>
      <c r="Q457" s="537" t="s">
        <v>183</v>
      </c>
      <c r="R457" s="1">
        <v>800</v>
      </c>
      <c r="S457"/>
      <c r="T457" t="s">
        <v>65</v>
      </c>
      <c r="U457" t="s">
        <v>2639</v>
      </c>
      <c r="V457" t="s">
        <v>65</v>
      </c>
      <c r="W457" s="1">
        <v>45950</v>
      </c>
      <c r="X457" s="537" t="s">
        <v>65</v>
      </c>
      <c r="Y457" s="537" t="s">
        <v>60</v>
      </c>
      <c r="Z457" s="1" t="s">
        <v>184</v>
      </c>
      <c r="AA457" s="537" t="s">
        <v>185</v>
      </c>
      <c r="AB457" s="537" t="s">
        <v>1047</v>
      </c>
      <c r="AC457" s="1">
        <v>44257</v>
      </c>
      <c r="AD457" s="61">
        <v>44258</v>
      </c>
      <c r="AE457" s="61">
        <v>44668</v>
      </c>
      <c r="AF457" s="61"/>
      <c r="AG457" s="1">
        <v>44317</v>
      </c>
      <c r="AH457" s="537"/>
      <c r="AI457" s="537"/>
      <c r="AK457" s="537"/>
      <c r="AM457" s="537" t="s">
        <v>64</v>
      </c>
      <c r="AN457" s="537"/>
    </row>
    <row r="458" spans="1:40" hidden="1">
      <c r="A458" s="537" t="s">
        <v>179</v>
      </c>
      <c r="B458" s="1">
        <v>210302</v>
      </c>
      <c r="D458" s="537" t="s">
        <v>88</v>
      </c>
      <c r="E458" s="537"/>
      <c r="F458"/>
      <c r="G458"/>
      <c r="H458" s="537" t="s">
        <v>1881</v>
      </c>
      <c r="I458" s="537" t="s">
        <v>1882</v>
      </c>
      <c r="J458" s="537" t="s">
        <v>18</v>
      </c>
      <c r="K458" s="537" t="s">
        <v>57</v>
      </c>
      <c r="L458" s="61">
        <v>31006</v>
      </c>
      <c r="M458" s="1">
        <v>39</v>
      </c>
      <c r="N458" s="1">
        <v>1200</v>
      </c>
      <c r="P458" s="1">
        <v>1600</v>
      </c>
      <c r="Q458" s="537"/>
      <c r="R458" s="1">
        <v>400</v>
      </c>
      <c r="S458"/>
      <c r="T458" t="s">
        <v>65</v>
      </c>
      <c r="U458" t="s">
        <v>2639</v>
      </c>
      <c r="V458" t="s">
        <v>65</v>
      </c>
      <c r="W458" s="1">
        <v>45108</v>
      </c>
      <c r="X458" s="537" t="s">
        <v>59</v>
      </c>
      <c r="Y458" s="537" t="s">
        <v>60</v>
      </c>
      <c r="Z458" s="1" t="s">
        <v>1139</v>
      </c>
      <c r="AA458" s="537" t="s">
        <v>1686</v>
      </c>
      <c r="AB458" s="537" t="s">
        <v>1687</v>
      </c>
      <c r="AC458" s="1">
        <v>44256</v>
      </c>
      <c r="AD458" s="61">
        <v>44259</v>
      </c>
      <c r="AE458" s="61">
        <v>44266</v>
      </c>
      <c r="AF458" s="61"/>
      <c r="AG458" s="1">
        <v>44317</v>
      </c>
      <c r="AH458" s="537" t="s">
        <v>1793</v>
      </c>
      <c r="AI458" s="537" t="s">
        <v>86</v>
      </c>
      <c r="AJ458" s="1">
        <v>98</v>
      </c>
      <c r="AK458" s="537" t="s">
        <v>1794</v>
      </c>
      <c r="AL458" s="1" t="s">
        <v>1795</v>
      </c>
      <c r="AM458" s="537"/>
      <c r="AN458" s="537"/>
    </row>
    <row r="459" spans="1:40" hidden="1">
      <c r="A459" s="537" t="s">
        <v>179</v>
      </c>
      <c r="B459" s="1">
        <v>210307</v>
      </c>
      <c r="D459" s="537" t="s">
        <v>118</v>
      </c>
      <c r="E459" s="537"/>
      <c r="F459"/>
      <c r="G459"/>
      <c r="H459" s="537" t="s">
        <v>1883</v>
      </c>
      <c r="I459" s="537" t="s">
        <v>1884</v>
      </c>
      <c r="J459" s="537" t="s">
        <v>17</v>
      </c>
      <c r="K459" s="537" t="s">
        <v>57</v>
      </c>
      <c r="L459" s="61">
        <v>35982</v>
      </c>
      <c r="M459" s="1">
        <v>25</v>
      </c>
      <c r="N459" s="1">
        <v>1000</v>
      </c>
      <c r="P459" s="1">
        <v>1500</v>
      </c>
      <c r="Q459" s="537"/>
      <c r="R459" s="1">
        <v>500</v>
      </c>
      <c r="S459"/>
      <c r="T459" t="s">
        <v>65</v>
      </c>
      <c r="U459" t="s">
        <v>2639</v>
      </c>
      <c r="V459" t="s">
        <v>65</v>
      </c>
      <c r="W459" s="1">
        <v>44520</v>
      </c>
      <c r="X459" s="537" t="s">
        <v>59</v>
      </c>
      <c r="Y459" s="537" t="s">
        <v>232</v>
      </c>
      <c r="Z459" s="1" t="s">
        <v>199</v>
      </c>
      <c r="AA459" s="537" t="s">
        <v>200</v>
      </c>
      <c r="AB459" s="537" t="s">
        <v>201</v>
      </c>
      <c r="AC459" s="1">
        <v>44260</v>
      </c>
      <c r="AD459" s="61">
        <v>44263</v>
      </c>
      <c r="AE459" s="61">
        <v>44351</v>
      </c>
      <c r="AF459" s="61"/>
      <c r="AG459" s="1">
        <v>44317</v>
      </c>
      <c r="AH459" s="537" t="s">
        <v>1791</v>
      </c>
      <c r="AI459" s="537" t="s">
        <v>86</v>
      </c>
      <c r="AJ459" s="1">
        <v>408</v>
      </c>
      <c r="AK459" s="537" t="s">
        <v>87</v>
      </c>
      <c r="AL459" s="1" t="s">
        <v>1792</v>
      </c>
      <c r="AM459" s="537"/>
      <c r="AN459" s="537"/>
    </row>
    <row r="460" spans="1:40" hidden="1">
      <c r="A460" s="537" t="s">
        <v>179</v>
      </c>
      <c r="B460" s="1">
        <v>210309</v>
      </c>
      <c r="D460" s="537" t="s">
        <v>118</v>
      </c>
      <c r="E460" s="537"/>
      <c r="F460"/>
      <c r="G460"/>
      <c r="H460" s="537" t="s">
        <v>1885</v>
      </c>
      <c r="I460" s="537" t="s">
        <v>1886</v>
      </c>
      <c r="J460" s="537" t="s">
        <v>18</v>
      </c>
      <c r="K460" s="537" t="s">
        <v>57</v>
      </c>
      <c r="L460" s="61">
        <v>31997</v>
      </c>
      <c r="M460" s="1">
        <v>36</v>
      </c>
      <c r="N460" s="1">
        <v>1250</v>
      </c>
      <c r="O460" s="1" t="s">
        <v>91</v>
      </c>
      <c r="P460" s="1">
        <v>1600</v>
      </c>
      <c r="Q460" s="537"/>
      <c r="R460" s="1">
        <v>350</v>
      </c>
      <c r="S460"/>
      <c r="T460" t="s">
        <v>65</v>
      </c>
      <c r="U460" t="s">
        <v>2639</v>
      </c>
      <c r="V460" t="s">
        <v>65</v>
      </c>
      <c r="W460" s="1">
        <v>44610</v>
      </c>
      <c r="X460" s="537" t="s">
        <v>59</v>
      </c>
      <c r="Y460" s="537" t="s">
        <v>60</v>
      </c>
      <c r="Z460" s="1" t="s">
        <v>199</v>
      </c>
      <c r="AA460" s="537" t="s">
        <v>204</v>
      </c>
      <c r="AB460" s="537" t="s">
        <v>1887</v>
      </c>
      <c r="AC460" s="1">
        <v>44261</v>
      </c>
      <c r="AD460" s="61">
        <v>44263</v>
      </c>
      <c r="AE460" s="61">
        <v>44386</v>
      </c>
      <c r="AF460" s="61"/>
      <c r="AG460" s="1">
        <v>44317</v>
      </c>
      <c r="AH460" s="537" t="s">
        <v>1793</v>
      </c>
      <c r="AI460" s="537" t="s">
        <v>86</v>
      </c>
      <c r="AJ460" s="1">
        <v>98</v>
      </c>
      <c r="AK460" s="537" t="s">
        <v>1794</v>
      </c>
      <c r="AL460" s="1" t="s">
        <v>1795</v>
      </c>
      <c r="AM460" s="537"/>
      <c r="AN460" s="537"/>
    </row>
    <row r="461" spans="1:40" hidden="1">
      <c r="A461" s="537" t="s">
        <v>179</v>
      </c>
      <c r="B461" s="1">
        <v>210310</v>
      </c>
      <c r="D461" s="537" t="s">
        <v>118</v>
      </c>
      <c r="E461" s="537"/>
      <c r="F461"/>
      <c r="G461"/>
      <c r="H461" s="537" t="s">
        <v>1888</v>
      </c>
      <c r="I461" s="537" t="s">
        <v>1889</v>
      </c>
      <c r="J461" s="537" t="s">
        <v>18</v>
      </c>
      <c r="K461" s="537" t="s">
        <v>57</v>
      </c>
      <c r="L461" s="61">
        <v>34725</v>
      </c>
      <c r="M461" s="1">
        <v>28</v>
      </c>
      <c r="N461" s="1">
        <v>1250</v>
      </c>
      <c r="P461" s="1">
        <v>1600</v>
      </c>
      <c r="Q461" s="537"/>
      <c r="R461" s="1">
        <v>350</v>
      </c>
      <c r="S461"/>
      <c r="T461" t="s">
        <v>65</v>
      </c>
      <c r="U461" t="s">
        <v>2639</v>
      </c>
      <c r="V461" t="s">
        <v>65</v>
      </c>
      <c r="W461" s="1">
        <v>45475</v>
      </c>
      <c r="X461" s="537" t="s">
        <v>65</v>
      </c>
      <c r="Y461" s="537" t="s">
        <v>60</v>
      </c>
      <c r="Z461" s="1" t="s">
        <v>199</v>
      </c>
      <c r="AA461" s="537" t="s">
        <v>200</v>
      </c>
      <c r="AB461" s="537" t="s">
        <v>593</v>
      </c>
      <c r="AC461" s="1">
        <v>44261</v>
      </c>
      <c r="AD461" s="61">
        <v>44263</v>
      </c>
      <c r="AE461" s="61">
        <v>44434</v>
      </c>
      <c r="AF461" s="61"/>
      <c r="AG461" s="1">
        <v>44317</v>
      </c>
      <c r="AH461" s="537" t="s">
        <v>1791</v>
      </c>
      <c r="AI461" s="537" t="s">
        <v>86</v>
      </c>
      <c r="AJ461" s="1">
        <v>408</v>
      </c>
      <c r="AK461" s="537" t="s">
        <v>87</v>
      </c>
      <c r="AL461" s="1" t="s">
        <v>1792</v>
      </c>
      <c r="AM461" s="537"/>
      <c r="AN461" s="537"/>
    </row>
    <row r="462" spans="1:40" hidden="1">
      <c r="A462" s="537" t="s">
        <v>179</v>
      </c>
      <c r="B462" s="1">
        <v>210311</v>
      </c>
      <c r="D462" s="537" t="s">
        <v>79</v>
      </c>
      <c r="E462" s="537"/>
      <c r="F462"/>
      <c r="G462"/>
      <c r="H462" s="537" t="s">
        <v>1890</v>
      </c>
      <c r="I462" s="537" t="s">
        <v>1891</v>
      </c>
      <c r="J462" s="537" t="s">
        <v>18</v>
      </c>
      <c r="K462" s="537" t="s">
        <v>57</v>
      </c>
      <c r="L462" s="61">
        <v>33126</v>
      </c>
      <c r="M462" s="1">
        <v>33</v>
      </c>
      <c r="N462" s="1">
        <v>1200</v>
      </c>
      <c r="P462" s="1">
        <v>1600</v>
      </c>
      <c r="Q462" s="537"/>
      <c r="R462" s="1">
        <v>400</v>
      </c>
      <c r="S462"/>
      <c r="T462" t="s">
        <v>65</v>
      </c>
      <c r="U462" t="s">
        <v>2639</v>
      </c>
      <c r="V462" t="s">
        <v>65</v>
      </c>
      <c r="W462" s="1">
        <v>44594</v>
      </c>
      <c r="X462" s="537" t="s">
        <v>59</v>
      </c>
      <c r="Y462" s="537" t="s">
        <v>60</v>
      </c>
      <c r="Z462" s="1" t="s">
        <v>136</v>
      </c>
      <c r="AA462" s="537" t="s">
        <v>163</v>
      </c>
      <c r="AB462" s="537" t="s">
        <v>164</v>
      </c>
      <c r="AC462" s="1">
        <v>44260</v>
      </c>
      <c r="AD462" s="61">
        <v>44264</v>
      </c>
      <c r="AE462" s="61">
        <v>44330</v>
      </c>
      <c r="AF462" s="61"/>
      <c r="AG462" s="1">
        <v>44317</v>
      </c>
      <c r="AH462" s="537" t="s">
        <v>1793</v>
      </c>
      <c r="AI462" s="537" t="s">
        <v>86</v>
      </c>
      <c r="AJ462" s="1">
        <v>98</v>
      </c>
      <c r="AK462" s="537" t="s">
        <v>1794</v>
      </c>
      <c r="AL462" s="1" t="s">
        <v>1795</v>
      </c>
      <c r="AM462" s="537"/>
      <c r="AN462" s="537"/>
    </row>
    <row r="463" spans="1:40" hidden="1">
      <c r="A463" s="537" t="s">
        <v>179</v>
      </c>
      <c r="B463" s="1">
        <v>210314</v>
      </c>
      <c r="D463" s="537" t="s">
        <v>159</v>
      </c>
      <c r="E463" s="537"/>
      <c r="F463"/>
      <c r="G463"/>
      <c r="H463" s="537" t="s">
        <v>1892</v>
      </c>
      <c r="I463" s="537" t="s">
        <v>1893</v>
      </c>
      <c r="J463" s="537" t="s">
        <v>18</v>
      </c>
      <c r="K463" s="537" t="s">
        <v>57</v>
      </c>
      <c r="L463" s="61">
        <v>33870</v>
      </c>
      <c r="M463" s="1">
        <v>31</v>
      </c>
      <c r="N463" s="1">
        <v>1200</v>
      </c>
      <c r="P463" s="1">
        <v>1600</v>
      </c>
      <c r="Q463" s="537"/>
      <c r="R463" s="1">
        <v>400</v>
      </c>
      <c r="S463"/>
      <c r="T463" t="s">
        <v>65</v>
      </c>
      <c r="U463" t="s">
        <v>2639</v>
      </c>
      <c r="V463" t="s">
        <v>65</v>
      </c>
      <c r="X463" s="537" t="s">
        <v>65</v>
      </c>
      <c r="Y463" s="537" t="s">
        <v>60</v>
      </c>
      <c r="Z463" s="1" t="s">
        <v>136</v>
      </c>
      <c r="AA463" s="537" t="s">
        <v>163</v>
      </c>
      <c r="AB463" s="537" t="s">
        <v>164</v>
      </c>
      <c r="AC463" s="1">
        <v>44270</v>
      </c>
      <c r="AD463" s="61">
        <v>44274</v>
      </c>
      <c r="AE463" s="61">
        <v>44347</v>
      </c>
      <c r="AF463" s="61"/>
      <c r="AG463" s="1">
        <v>44348</v>
      </c>
      <c r="AH463" s="537" t="s">
        <v>1791</v>
      </c>
      <c r="AI463" s="537" t="s">
        <v>86</v>
      </c>
      <c r="AJ463" s="1">
        <v>408</v>
      </c>
      <c r="AK463" s="537" t="s">
        <v>87</v>
      </c>
      <c r="AL463" s="1" t="s">
        <v>1792</v>
      </c>
      <c r="AM463" s="537"/>
      <c r="AN463" s="537"/>
    </row>
    <row r="464" spans="1:40" hidden="1">
      <c r="A464" s="537" t="s">
        <v>179</v>
      </c>
      <c r="B464" s="1">
        <v>210315</v>
      </c>
      <c r="D464" s="537" t="s">
        <v>180</v>
      </c>
      <c r="E464" s="537"/>
      <c r="F464"/>
      <c r="G464"/>
      <c r="H464" s="537" t="s">
        <v>1894</v>
      </c>
      <c r="I464" s="537" t="s">
        <v>1895</v>
      </c>
      <c r="J464" s="537" t="s">
        <v>18</v>
      </c>
      <c r="K464" s="537" t="s">
        <v>57</v>
      </c>
      <c r="L464" s="61">
        <v>33176</v>
      </c>
      <c r="M464" s="1">
        <v>33</v>
      </c>
      <c r="N464" s="1">
        <v>1500</v>
      </c>
      <c r="O464" s="1" t="s">
        <v>182</v>
      </c>
      <c r="P464" s="1">
        <v>2300</v>
      </c>
      <c r="Q464" s="537" t="s">
        <v>1896</v>
      </c>
      <c r="R464" s="1">
        <v>800</v>
      </c>
      <c r="S464"/>
      <c r="T464" t="s">
        <v>65</v>
      </c>
      <c r="U464" t="s">
        <v>2639</v>
      </c>
      <c r="V464" t="s">
        <v>65</v>
      </c>
      <c r="W464" s="1">
        <v>44704</v>
      </c>
      <c r="X464" s="537" t="s">
        <v>59</v>
      </c>
      <c r="Y464" s="537" t="s">
        <v>60</v>
      </c>
      <c r="Z464" s="1" t="s">
        <v>184</v>
      </c>
      <c r="AA464" s="537" t="s">
        <v>185</v>
      </c>
      <c r="AB464" s="537" t="s">
        <v>1047</v>
      </c>
      <c r="AC464" s="1">
        <v>44276</v>
      </c>
      <c r="AD464" s="61">
        <v>44277</v>
      </c>
      <c r="AE464" s="61">
        <v>44520</v>
      </c>
      <c r="AF464" s="61"/>
      <c r="AG464" s="1">
        <v>44348</v>
      </c>
      <c r="AH464" s="537" t="s">
        <v>1793</v>
      </c>
      <c r="AI464" s="537" t="s">
        <v>86</v>
      </c>
      <c r="AJ464" s="1">
        <v>98</v>
      </c>
      <c r="AK464" s="537" t="s">
        <v>1794</v>
      </c>
      <c r="AL464" s="1" t="s">
        <v>1795</v>
      </c>
      <c r="AM464" s="537"/>
      <c r="AN464" s="537"/>
    </row>
    <row r="465" spans="1:40" hidden="1">
      <c r="A465" s="537" t="s">
        <v>179</v>
      </c>
      <c r="B465" s="1">
        <v>210316</v>
      </c>
      <c r="D465" s="537" t="s">
        <v>159</v>
      </c>
      <c r="E465" s="537"/>
      <c r="F465"/>
      <c r="G465"/>
      <c r="H465" s="537" t="s">
        <v>1897</v>
      </c>
      <c r="I465" s="537" t="s">
        <v>1898</v>
      </c>
      <c r="J465" s="537" t="s">
        <v>18</v>
      </c>
      <c r="K465" s="537" t="s">
        <v>939</v>
      </c>
      <c r="L465" s="61">
        <v>29519</v>
      </c>
      <c r="M465" s="1">
        <v>43</v>
      </c>
      <c r="N465" s="1">
        <v>1250</v>
      </c>
      <c r="P465" s="1">
        <v>1650</v>
      </c>
      <c r="Q465" s="537"/>
      <c r="R465" s="1">
        <v>400</v>
      </c>
      <c r="S465"/>
      <c r="T465" t="s">
        <v>65</v>
      </c>
      <c r="U465" t="s">
        <v>65</v>
      </c>
      <c r="V465" t="s">
        <v>65</v>
      </c>
      <c r="W465" s="1">
        <v>45325</v>
      </c>
      <c r="X465" s="537" t="s">
        <v>59</v>
      </c>
      <c r="Y465" s="537" t="s">
        <v>1568</v>
      </c>
      <c r="Z465" s="1" t="s">
        <v>1899</v>
      </c>
      <c r="AA465" s="537" t="s">
        <v>1900</v>
      </c>
      <c r="AB465" s="537" t="s">
        <v>1901</v>
      </c>
      <c r="AD465" s="61">
        <v>44277</v>
      </c>
      <c r="AE465" s="61">
        <v>44299</v>
      </c>
      <c r="AF465" s="61"/>
      <c r="AG465" s="1">
        <v>44348</v>
      </c>
      <c r="AH465" s="537" t="s">
        <v>1791</v>
      </c>
      <c r="AI465" s="537" t="s">
        <v>86</v>
      </c>
      <c r="AJ465" s="1">
        <v>408</v>
      </c>
      <c r="AK465" s="537" t="s">
        <v>87</v>
      </c>
      <c r="AL465" s="1" t="s">
        <v>1792</v>
      </c>
      <c r="AM465" s="537"/>
      <c r="AN465" s="537"/>
    </row>
    <row r="466" spans="1:40" hidden="1">
      <c r="A466" s="537" t="s">
        <v>179</v>
      </c>
      <c r="B466" s="1">
        <v>210402</v>
      </c>
      <c r="D466" s="537" t="s">
        <v>2655</v>
      </c>
      <c r="E466" s="537"/>
      <c r="F466"/>
      <c r="G466"/>
      <c r="H466" s="537" t="s">
        <v>1902</v>
      </c>
      <c r="I466" s="537" t="s">
        <v>1903</v>
      </c>
      <c r="J466" s="537" t="s">
        <v>18</v>
      </c>
      <c r="K466" s="537" t="s">
        <v>57</v>
      </c>
      <c r="L466" s="61">
        <v>33004</v>
      </c>
      <c r="M466" s="1">
        <v>33</v>
      </c>
      <c r="N466" s="1">
        <v>1400</v>
      </c>
      <c r="P466" s="1">
        <v>1990</v>
      </c>
      <c r="Q466" s="537" t="s">
        <v>1904</v>
      </c>
      <c r="R466" s="1">
        <v>590</v>
      </c>
      <c r="S466"/>
      <c r="T466" t="s">
        <v>65</v>
      </c>
      <c r="U466" t="s">
        <v>2639</v>
      </c>
      <c r="V466" t="s">
        <v>65</v>
      </c>
      <c r="W466" s="1">
        <v>45482</v>
      </c>
      <c r="X466" s="537" t="s">
        <v>65</v>
      </c>
      <c r="Y466" s="537" t="s">
        <v>60</v>
      </c>
      <c r="Z466" s="1" t="s">
        <v>1305</v>
      </c>
      <c r="AA466" s="537" t="s">
        <v>1306</v>
      </c>
      <c r="AB466" s="537" t="s">
        <v>1307</v>
      </c>
      <c r="AC466" s="1">
        <v>44286</v>
      </c>
      <c r="AD466" s="61">
        <v>44287</v>
      </c>
      <c r="AE466" s="61">
        <v>44505</v>
      </c>
      <c r="AF466" s="61"/>
      <c r="AG466" s="1">
        <v>44348</v>
      </c>
      <c r="AH466" s="537" t="s">
        <v>1793</v>
      </c>
      <c r="AI466" s="537" t="s">
        <v>86</v>
      </c>
      <c r="AJ466" s="1">
        <v>98</v>
      </c>
      <c r="AK466" s="537" t="s">
        <v>1794</v>
      </c>
      <c r="AL466" s="1" t="s">
        <v>1795</v>
      </c>
      <c r="AM466" s="537"/>
      <c r="AN466" s="537"/>
    </row>
    <row r="467" spans="1:40" hidden="1">
      <c r="A467" s="537" t="s">
        <v>179</v>
      </c>
      <c r="B467" s="1">
        <v>210408</v>
      </c>
      <c r="D467" s="537" t="s">
        <v>88</v>
      </c>
      <c r="E467" s="537"/>
      <c r="F467"/>
      <c r="G467"/>
      <c r="H467" s="537" t="s">
        <v>1905</v>
      </c>
      <c r="I467" s="537" t="s">
        <v>1906</v>
      </c>
      <c r="J467" s="537" t="s">
        <v>18</v>
      </c>
      <c r="K467" s="537" t="s">
        <v>939</v>
      </c>
      <c r="L467" s="61">
        <v>22947</v>
      </c>
      <c r="M467" s="1">
        <v>61</v>
      </c>
      <c r="N467" s="1">
        <v>1250</v>
      </c>
      <c r="O467" s="1" t="s">
        <v>91</v>
      </c>
      <c r="P467" s="1">
        <v>1750</v>
      </c>
      <c r="Q467" s="537" t="s">
        <v>92</v>
      </c>
      <c r="R467" s="1">
        <v>500</v>
      </c>
      <c r="S467"/>
      <c r="T467" t="s">
        <v>65</v>
      </c>
      <c r="U467" t="s">
        <v>65</v>
      </c>
      <c r="V467" t="s">
        <v>65</v>
      </c>
      <c r="W467" s="1">
        <v>45234</v>
      </c>
      <c r="X467" s="537" t="s">
        <v>59</v>
      </c>
      <c r="Y467" s="537" t="s">
        <v>1637</v>
      </c>
      <c r="Z467" s="1" t="s">
        <v>1139</v>
      </c>
      <c r="AA467" s="537" t="s">
        <v>1686</v>
      </c>
      <c r="AB467" s="537" t="s">
        <v>1687</v>
      </c>
      <c r="AC467" s="1">
        <v>44288</v>
      </c>
      <c r="AD467" s="61">
        <v>44291</v>
      </c>
      <c r="AE467" s="61">
        <v>44551</v>
      </c>
      <c r="AF467" s="61"/>
      <c r="AG467" s="1">
        <v>44348</v>
      </c>
      <c r="AH467" s="537" t="s">
        <v>1791</v>
      </c>
      <c r="AI467" s="537" t="s">
        <v>86</v>
      </c>
      <c r="AJ467" s="1">
        <v>408</v>
      </c>
      <c r="AK467" s="537" t="s">
        <v>87</v>
      </c>
      <c r="AL467" s="1" t="s">
        <v>1792</v>
      </c>
      <c r="AM467" s="537"/>
      <c r="AN467" s="537"/>
    </row>
    <row r="468" spans="1:40" hidden="1">
      <c r="A468" s="537" t="s">
        <v>179</v>
      </c>
      <c r="B468" s="1">
        <v>210412</v>
      </c>
      <c r="D468" s="537" t="s">
        <v>2640</v>
      </c>
      <c r="E468" s="537"/>
      <c r="F468" t="s">
        <v>2604</v>
      </c>
      <c r="G468"/>
      <c r="H468" s="537" t="s">
        <v>1122</v>
      </c>
      <c r="I468" s="537" t="s">
        <v>1123</v>
      </c>
      <c r="J468" s="537" t="s">
        <v>18</v>
      </c>
      <c r="K468" s="537" t="s">
        <v>57</v>
      </c>
      <c r="L468" s="61">
        <v>30793</v>
      </c>
      <c r="M468" s="1">
        <v>39</v>
      </c>
      <c r="N468" s="1">
        <v>1400</v>
      </c>
      <c r="P468" s="1">
        <v>1990</v>
      </c>
      <c r="Q468" s="537"/>
      <c r="R468" s="1">
        <v>590</v>
      </c>
      <c r="S468"/>
      <c r="T468" t="s">
        <v>65</v>
      </c>
      <c r="U468" t="s">
        <v>2639</v>
      </c>
      <c r="V468" t="s">
        <v>65</v>
      </c>
      <c r="W468" s="1">
        <v>45388</v>
      </c>
      <c r="X468" s="537" t="s">
        <v>65</v>
      </c>
      <c r="Y468" s="537" t="s">
        <v>60</v>
      </c>
      <c r="Z468" s="1" t="s">
        <v>1124</v>
      </c>
      <c r="AA468" s="537" t="s">
        <v>1125</v>
      </c>
      <c r="AB468" s="537" t="s">
        <v>1126</v>
      </c>
      <c r="AC468" s="1">
        <v>44369</v>
      </c>
      <c r="AD468" s="61">
        <v>44298</v>
      </c>
      <c r="AE468" s="61">
        <v>44678</v>
      </c>
      <c r="AF468" s="61">
        <v>44576</v>
      </c>
      <c r="AG468" s="1">
        <v>44348</v>
      </c>
      <c r="AH468" s="537"/>
      <c r="AI468" s="537"/>
      <c r="AK468" s="537"/>
      <c r="AM468" s="537" t="s">
        <v>64</v>
      </c>
      <c r="AN468" s="537" t="s">
        <v>1127</v>
      </c>
    </row>
    <row r="469" spans="1:40" hidden="1">
      <c r="A469" s="537" t="s">
        <v>179</v>
      </c>
      <c r="B469" s="1">
        <v>210413</v>
      </c>
      <c r="D469" s="537" t="s">
        <v>88</v>
      </c>
      <c r="E469" s="537"/>
      <c r="F469"/>
      <c r="G469"/>
      <c r="H469" s="537" t="s">
        <v>1907</v>
      </c>
      <c r="I469" s="537" t="s">
        <v>1908</v>
      </c>
      <c r="J469" s="537" t="s">
        <v>18</v>
      </c>
      <c r="K469" s="537" t="s">
        <v>57</v>
      </c>
      <c r="L469" s="61">
        <v>33521</v>
      </c>
      <c r="M469" s="1">
        <v>32</v>
      </c>
      <c r="N469" s="1">
        <v>1200</v>
      </c>
      <c r="P469" s="1">
        <v>1600</v>
      </c>
      <c r="Q469" s="537"/>
      <c r="R469" s="1">
        <v>400</v>
      </c>
      <c r="S469"/>
      <c r="T469" t="s">
        <v>65</v>
      </c>
      <c r="U469" t="s">
        <v>2639</v>
      </c>
      <c r="V469" t="s">
        <v>65</v>
      </c>
      <c r="W469" s="1">
        <v>44803</v>
      </c>
      <c r="X469" s="537" t="s">
        <v>59</v>
      </c>
      <c r="Y469" s="537" t="s">
        <v>60</v>
      </c>
      <c r="Z469" s="1" t="s">
        <v>1198</v>
      </c>
      <c r="AA469" s="537" t="s">
        <v>1199</v>
      </c>
      <c r="AB469" s="537" t="s">
        <v>1200</v>
      </c>
      <c r="AC469" s="1">
        <v>44295</v>
      </c>
      <c r="AD469" s="61">
        <v>44299</v>
      </c>
      <c r="AE469" s="61">
        <v>44317</v>
      </c>
      <c r="AF469" s="61"/>
      <c r="AG469" s="1">
        <v>44348</v>
      </c>
      <c r="AH469" s="537" t="s">
        <v>1793</v>
      </c>
      <c r="AI469" s="537" t="s">
        <v>86</v>
      </c>
      <c r="AJ469" s="1">
        <v>98</v>
      </c>
      <c r="AK469" s="537" t="s">
        <v>1794</v>
      </c>
      <c r="AL469" s="1" t="s">
        <v>1795</v>
      </c>
      <c r="AM469" s="537"/>
      <c r="AN469" s="537"/>
    </row>
    <row r="470" spans="1:40" hidden="1">
      <c r="A470" s="537" t="s">
        <v>179</v>
      </c>
      <c r="B470" s="1">
        <v>210414</v>
      </c>
      <c r="D470" s="537" t="s">
        <v>88</v>
      </c>
      <c r="E470" s="537"/>
      <c r="F470"/>
      <c r="G470"/>
      <c r="H470" s="537" t="s">
        <v>1909</v>
      </c>
      <c r="I470" s="537" t="s">
        <v>1910</v>
      </c>
      <c r="J470" s="537" t="s">
        <v>18</v>
      </c>
      <c r="K470" s="537" t="s">
        <v>57</v>
      </c>
      <c r="L470" s="61">
        <v>33953</v>
      </c>
      <c r="M470" s="1">
        <v>30</v>
      </c>
      <c r="N470" s="1">
        <v>1200</v>
      </c>
      <c r="P470" s="1">
        <v>1600</v>
      </c>
      <c r="Q470" s="537"/>
      <c r="R470" s="1">
        <v>400</v>
      </c>
      <c r="S470"/>
      <c r="T470" t="s">
        <v>65</v>
      </c>
      <c r="U470" t="s">
        <v>2639</v>
      </c>
      <c r="V470" t="s">
        <v>65</v>
      </c>
      <c r="X470" s="537" t="s">
        <v>65</v>
      </c>
      <c r="Y470" s="537" t="s">
        <v>60</v>
      </c>
      <c r="Z470" s="1" t="s">
        <v>1198</v>
      </c>
      <c r="AA470" s="537" t="s">
        <v>1199</v>
      </c>
      <c r="AB470" s="537" t="s">
        <v>1200</v>
      </c>
      <c r="AC470" s="1">
        <v>44298</v>
      </c>
      <c r="AD470" s="61">
        <v>44299</v>
      </c>
      <c r="AE470" s="61">
        <v>44344</v>
      </c>
      <c r="AF470" s="61"/>
      <c r="AG470" s="1">
        <v>44348</v>
      </c>
      <c r="AH470" s="537" t="s">
        <v>1791</v>
      </c>
      <c r="AI470" s="537" t="s">
        <v>86</v>
      </c>
      <c r="AJ470" s="1">
        <v>408</v>
      </c>
      <c r="AK470" s="537" t="s">
        <v>87</v>
      </c>
      <c r="AL470" s="1" t="s">
        <v>1792</v>
      </c>
      <c r="AM470" s="537"/>
      <c r="AN470" s="537"/>
    </row>
    <row r="471" spans="1:40" hidden="1">
      <c r="A471" s="537" t="s">
        <v>179</v>
      </c>
      <c r="B471" s="1">
        <v>210415</v>
      </c>
      <c r="D471" s="537" t="s">
        <v>1128</v>
      </c>
      <c r="E471" s="537" t="s">
        <v>1129</v>
      </c>
      <c r="F471"/>
      <c r="G471"/>
      <c r="H471" s="537" t="s">
        <v>1130</v>
      </c>
      <c r="I471" s="537" t="s">
        <v>1131</v>
      </c>
      <c r="J471" s="537" t="s">
        <v>18</v>
      </c>
      <c r="K471" s="537" t="s">
        <v>57</v>
      </c>
      <c r="L471" s="61">
        <v>33411</v>
      </c>
      <c r="M471" s="1">
        <v>32</v>
      </c>
      <c r="N471" s="1">
        <v>1500</v>
      </c>
      <c r="P471" s="1">
        <v>2000</v>
      </c>
      <c r="Q471" s="537" t="s">
        <v>1132</v>
      </c>
      <c r="R471" s="1">
        <v>500</v>
      </c>
      <c r="S471"/>
      <c r="T471" t="s">
        <v>65</v>
      </c>
      <c r="U471" t="s">
        <v>2639</v>
      </c>
      <c r="V471" t="s">
        <v>65</v>
      </c>
      <c r="W471" s="1">
        <v>45423</v>
      </c>
      <c r="X471" s="537" t="s">
        <v>65</v>
      </c>
      <c r="Y471" s="537" t="s">
        <v>60</v>
      </c>
      <c r="Z471" s="1" t="s">
        <v>1133</v>
      </c>
      <c r="AA471" s="537" t="s">
        <v>1134</v>
      </c>
      <c r="AB471" s="537" t="s">
        <v>1135</v>
      </c>
      <c r="AC471" s="1" t="s">
        <v>63</v>
      </c>
      <c r="AD471" s="61">
        <v>44301</v>
      </c>
      <c r="AE471" s="61">
        <v>44834</v>
      </c>
      <c r="AF471" s="61"/>
      <c r="AG471" s="1">
        <v>44378</v>
      </c>
      <c r="AH471" s="537" t="s">
        <v>1131</v>
      </c>
      <c r="AI471" s="537" t="s">
        <v>86</v>
      </c>
      <c r="AJ471" s="1">
        <v>238</v>
      </c>
      <c r="AK471" s="537" t="s">
        <v>1109</v>
      </c>
      <c r="AL471" s="1" t="s">
        <v>1136</v>
      </c>
      <c r="AM471" s="537" t="s">
        <v>64</v>
      </c>
      <c r="AN471" s="537"/>
    </row>
    <row r="472" spans="1:40" hidden="1">
      <c r="A472" s="537" t="s">
        <v>179</v>
      </c>
      <c r="B472" s="1">
        <v>210419</v>
      </c>
      <c r="D472" s="537" t="s">
        <v>1150</v>
      </c>
      <c r="E472" s="537"/>
      <c r="F472"/>
      <c r="G472"/>
      <c r="H472" s="537" t="s">
        <v>1151</v>
      </c>
      <c r="I472" s="537" t="s">
        <v>1152</v>
      </c>
      <c r="J472" s="537" t="s">
        <v>18</v>
      </c>
      <c r="K472" s="537" t="s">
        <v>57</v>
      </c>
      <c r="L472" s="61">
        <v>31537</v>
      </c>
      <c r="M472" s="1">
        <v>37</v>
      </c>
      <c r="N472" s="1">
        <v>1400</v>
      </c>
      <c r="O472" s="1" t="s">
        <v>1153</v>
      </c>
      <c r="P472" s="1">
        <v>1750</v>
      </c>
      <c r="Q472" s="537"/>
      <c r="R472" s="1">
        <v>350</v>
      </c>
      <c r="S472">
        <v>280000</v>
      </c>
      <c r="T472">
        <v>14014</v>
      </c>
      <c r="U472" t="s">
        <v>2639</v>
      </c>
      <c r="V472">
        <v>25620</v>
      </c>
      <c r="W472" s="1">
        <v>45671</v>
      </c>
      <c r="X472" s="537" t="s">
        <v>65</v>
      </c>
      <c r="Y472" s="537" t="s">
        <v>60</v>
      </c>
      <c r="Z472" s="1" t="s">
        <v>1154</v>
      </c>
      <c r="AA472" s="537" t="s">
        <v>1155</v>
      </c>
      <c r="AB472" s="537" t="s">
        <v>1156</v>
      </c>
      <c r="AC472" s="1">
        <v>44305</v>
      </c>
      <c r="AD472" s="61">
        <v>44308</v>
      </c>
      <c r="AE472" s="61">
        <v>45065</v>
      </c>
      <c r="AF472" s="61"/>
      <c r="AG472" s="1">
        <v>44378</v>
      </c>
      <c r="AH472" s="537" t="s">
        <v>1157</v>
      </c>
      <c r="AI472" s="537" t="s">
        <v>86</v>
      </c>
      <c r="AJ472" s="1">
        <v>208</v>
      </c>
      <c r="AK472" s="537" t="s">
        <v>151</v>
      </c>
      <c r="AL472" s="1" t="s">
        <v>1158</v>
      </c>
      <c r="AM472" s="537" t="s">
        <v>64</v>
      </c>
      <c r="AN472" s="537"/>
    </row>
    <row r="473" spans="1:40" hidden="1">
      <c r="A473" s="537" t="s">
        <v>179</v>
      </c>
      <c r="B473" s="1">
        <v>210422</v>
      </c>
      <c r="D473" s="537" t="s">
        <v>962</v>
      </c>
      <c r="E473" s="537" t="s">
        <v>3043</v>
      </c>
      <c r="F473" t="s">
        <v>3044</v>
      </c>
      <c r="G473" t="s">
        <v>3045</v>
      </c>
      <c r="H473" s="537" t="s">
        <v>1911</v>
      </c>
      <c r="I473" s="537" t="s">
        <v>1912</v>
      </c>
      <c r="J473" s="537" t="s">
        <v>18</v>
      </c>
      <c r="K473" s="537" t="s">
        <v>57</v>
      </c>
      <c r="L473" s="61">
        <v>32470</v>
      </c>
      <c r="M473" s="1">
        <v>35</v>
      </c>
      <c r="N473" s="1">
        <v>1300</v>
      </c>
      <c r="P473" s="1">
        <v>1650</v>
      </c>
      <c r="Q473" s="537" t="s">
        <v>954</v>
      </c>
      <c r="R473" s="1">
        <v>350</v>
      </c>
      <c r="S473"/>
      <c r="T473" t="s">
        <v>65</v>
      </c>
      <c r="U473" t="s">
        <v>2639</v>
      </c>
      <c r="V473" t="s">
        <v>65</v>
      </c>
      <c r="W473" s="1">
        <v>45431</v>
      </c>
      <c r="X473" s="537" t="s">
        <v>65</v>
      </c>
      <c r="Y473" s="537" t="s">
        <v>60</v>
      </c>
      <c r="Z473" s="1" t="s">
        <v>1615</v>
      </c>
      <c r="AA473" s="537" t="s">
        <v>1616</v>
      </c>
      <c r="AB473" s="537" t="s">
        <v>1617</v>
      </c>
      <c r="AC473" s="1">
        <v>44309</v>
      </c>
      <c r="AD473" s="61">
        <v>44312</v>
      </c>
      <c r="AE473" s="61">
        <v>44638</v>
      </c>
      <c r="AF473" s="61"/>
      <c r="AG473" s="1">
        <v>44378</v>
      </c>
      <c r="AH473" s="537"/>
      <c r="AI473" s="537"/>
      <c r="AK473" s="537"/>
      <c r="AL473" s="1" t="s">
        <v>1795</v>
      </c>
      <c r="AM473" s="537"/>
      <c r="AN473" s="537"/>
    </row>
    <row r="474" spans="1:40" hidden="1">
      <c r="A474" s="537" t="s">
        <v>179</v>
      </c>
      <c r="B474" s="1">
        <v>210425</v>
      </c>
      <c r="D474" s="537" t="s">
        <v>2638</v>
      </c>
      <c r="E474" s="537"/>
      <c r="F474"/>
      <c r="G474"/>
      <c r="H474" s="537" t="s">
        <v>1913</v>
      </c>
      <c r="I474" s="537" t="s">
        <v>1914</v>
      </c>
      <c r="J474" s="537" t="s">
        <v>18</v>
      </c>
      <c r="K474" s="537" t="s">
        <v>57</v>
      </c>
      <c r="L474" s="61">
        <v>34618</v>
      </c>
      <c r="M474" s="1">
        <v>29</v>
      </c>
      <c r="N474" s="1">
        <v>1300</v>
      </c>
      <c r="P474" s="1">
        <v>1800</v>
      </c>
      <c r="Q474" s="537"/>
      <c r="R474" s="1">
        <v>500</v>
      </c>
      <c r="S474"/>
      <c r="T474" t="s">
        <v>65</v>
      </c>
      <c r="U474" t="s">
        <v>2639</v>
      </c>
      <c r="V474" t="s">
        <v>65</v>
      </c>
      <c r="W474" s="1">
        <v>44937</v>
      </c>
      <c r="X474" s="537" t="s">
        <v>59</v>
      </c>
      <c r="Y474" s="537" t="s">
        <v>60</v>
      </c>
      <c r="Z474" s="1" t="s">
        <v>61</v>
      </c>
      <c r="AA474" s="537" t="s">
        <v>69</v>
      </c>
      <c r="AB474" s="537" t="s">
        <v>70</v>
      </c>
      <c r="AC474" s="1">
        <v>44312</v>
      </c>
      <c r="AD474" s="61">
        <v>44313</v>
      </c>
      <c r="AE474" s="61">
        <v>44498</v>
      </c>
      <c r="AF474" s="61"/>
      <c r="AG474" s="1">
        <v>44378</v>
      </c>
      <c r="AH474" s="537" t="s">
        <v>1791</v>
      </c>
      <c r="AI474" s="537" t="s">
        <v>86</v>
      </c>
      <c r="AJ474" s="1">
        <v>408</v>
      </c>
      <c r="AK474" s="537" t="s">
        <v>87</v>
      </c>
      <c r="AL474" s="1" t="s">
        <v>1792</v>
      </c>
      <c r="AM474" s="537"/>
      <c r="AN474" s="537"/>
    </row>
    <row r="475" spans="1:40" hidden="1">
      <c r="A475" s="537" t="s">
        <v>179</v>
      </c>
      <c r="B475" s="1">
        <v>210423</v>
      </c>
      <c r="D475" s="537" t="s">
        <v>1128</v>
      </c>
      <c r="E475" s="537" t="s">
        <v>1129</v>
      </c>
      <c r="F475"/>
      <c r="G475"/>
      <c r="H475" s="537" t="s">
        <v>1172</v>
      </c>
      <c r="I475" s="537" t="s">
        <v>1173</v>
      </c>
      <c r="J475" s="537" t="s">
        <v>17</v>
      </c>
      <c r="K475" s="537" t="s">
        <v>57</v>
      </c>
      <c r="L475" s="61">
        <v>33340</v>
      </c>
      <c r="M475" s="1">
        <v>32</v>
      </c>
      <c r="N475" s="1">
        <v>1400</v>
      </c>
      <c r="P475" s="1">
        <v>2000</v>
      </c>
      <c r="Q475" s="537"/>
      <c r="R475" s="1">
        <v>600</v>
      </c>
      <c r="S475">
        <v>180000</v>
      </c>
      <c r="T475">
        <v>9009</v>
      </c>
      <c r="U475" t="s">
        <v>2639</v>
      </c>
      <c r="V475">
        <v>16470</v>
      </c>
      <c r="W475" s="1">
        <v>45388</v>
      </c>
      <c r="X475" s="537" t="s">
        <v>65</v>
      </c>
      <c r="Y475" s="537" t="s">
        <v>60</v>
      </c>
      <c r="Z475" s="1" t="s">
        <v>1133</v>
      </c>
      <c r="AA475" s="537" t="s">
        <v>1134</v>
      </c>
      <c r="AB475" s="537" t="s">
        <v>1135</v>
      </c>
      <c r="AC475" s="1" t="s">
        <v>63</v>
      </c>
      <c r="AD475" s="61">
        <v>44313</v>
      </c>
      <c r="AE475" s="61">
        <v>45023</v>
      </c>
      <c r="AF475" s="61"/>
      <c r="AG475" s="1">
        <v>44378</v>
      </c>
      <c r="AH475" s="537" t="s">
        <v>1173</v>
      </c>
      <c r="AI475" s="537" t="s">
        <v>86</v>
      </c>
      <c r="AJ475" s="1">
        <v>408</v>
      </c>
      <c r="AK475" s="537" t="s">
        <v>87</v>
      </c>
      <c r="AL475" s="1" t="s">
        <v>1174</v>
      </c>
      <c r="AM475" s="537" t="s">
        <v>64</v>
      </c>
      <c r="AN475" s="537" t="s">
        <v>1175</v>
      </c>
    </row>
    <row r="476" spans="1:40" hidden="1">
      <c r="A476" s="537" t="s">
        <v>54</v>
      </c>
      <c r="B476" s="1">
        <v>210424</v>
      </c>
      <c r="D476" s="537" t="s">
        <v>1128</v>
      </c>
      <c r="E476" s="537" t="s">
        <v>1129</v>
      </c>
      <c r="F476"/>
      <c r="G476"/>
      <c r="H476" s="537" t="s">
        <v>1176</v>
      </c>
      <c r="I476" s="537" t="s">
        <v>1177</v>
      </c>
      <c r="J476" s="537" t="s">
        <v>18</v>
      </c>
      <c r="K476" s="537" t="s">
        <v>57</v>
      </c>
      <c r="L476" s="61">
        <v>32730</v>
      </c>
      <c r="M476" s="1">
        <v>34</v>
      </c>
      <c r="N476" s="1">
        <v>1400</v>
      </c>
      <c r="P476" s="1">
        <v>2000</v>
      </c>
      <c r="Q476" s="537" t="s">
        <v>1132</v>
      </c>
      <c r="R476" s="1">
        <v>600</v>
      </c>
      <c r="S476">
        <v>240000</v>
      </c>
      <c r="T476">
        <v>12012</v>
      </c>
      <c r="U476" t="s">
        <v>2639</v>
      </c>
      <c r="V476">
        <v>21960</v>
      </c>
      <c r="W476" s="1">
        <v>45343</v>
      </c>
      <c r="X476" s="537" t="s">
        <v>59</v>
      </c>
      <c r="Y476" s="537" t="s">
        <v>60</v>
      </c>
      <c r="Z476" s="1" t="s">
        <v>1133</v>
      </c>
      <c r="AA476" s="537" t="s">
        <v>1134</v>
      </c>
      <c r="AB476" s="537" t="s">
        <v>1178</v>
      </c>
      <c r="AC476" s="1" t="s">
        <v>63</v>
      </c>
      <c r="AD476" s="61">
        <v>44313</v>
      </c>
      <c r="AE476" s="61"/>
      <c r="AF476" s="61"/>
      <c r="AG476" s="1">
        <v>44378</v>
      </c>
      <c r="AH476" s="537" t="s">
        <v>1177</v>
      </c>
      <c r="AI476" s="537" t="s">
        <v>86</v>
      </c>
      <c r="AJ476" s="1">
        <v>438</v>
      </c>
      <c r="AK476" s="537" t="s">
        <v>223</v>
      </c>
      <c r="AL476" s="1" t="s">
        <v>1179</v>
      </c>
      <c r="AM476" s="537" t="s">
        <v>64</v>
      </c>
      <c r="AN476" s="537"/>
    </row>
    <row r="477" spans="1:40" hidden="1">
      <c r="A477" s="537" t="s">
        <v>179</v>
      </c>
      <c r="B477" s="1">
        <v>210503</v>
      </c>
      <c r="D477" s="537" t="s">
        <v>79</v>
      </c>
      <c r="E477" s="537"/>
      <c r="F477"/>
      <c r="G477"/>
      <c r="H477" s="537" t="s">
        <v>1915</v>
      </c>
      <c r="I477" s="537" t="s">
        <v>1916</v>
      </c>
      <c r="J477" s="537" t="s">
        <v>17</v>
      </c>
      <c r="K477" s="537" t="s">
        <v>57</v>
      </c>
      <c r="L477" s="61">
        <v>34343</v>
      </c>
      <c r="M477" s="1">
        <v>29</v>
      </c>
      <c r="N477" s="1">
        <v>1100</v>
      </c>
      <c r="P477" s="1">
        <v>1500</v>
      </c>
      <c r="Q477" s="537"/>
      <c r="R477" s="1">
        <v>400</v>
      </c>
      <c r="S477"/>
      <c r="T477" t="s">
        <v>65</v>
      </c>
      <c r="U477" t="s">
        <v>2639</v>
      </c>
      <c r="V477" t="s">
        <v>65</v>
      </c>
      <c r="W477" s="1">
        <v>44391</v>
      </c>
      <c r="X477" s="537" t="s">
        <v>59</v>
      </c>
      <c r="Y477" s="537" t="s">
        <v>232</v>
      </c>
      <c r="Z477" s="1" t="s">
        <v>136</v>
      </c>
      <c r="AA477" s="537" t="s">
        <v>1917</v>
      </c>
      <c r="AB477" s="537" t="s">
        <v>1918</v>
      </c>
      <c r="AD477" s="61">
        <v>44326</v>
      </c>
      <c r="AE477" s="61">
        <v>44377</v>
      </c>
      <c r="AF477" s="61"/>
      <c r="AG477" s="1">
        <v>44378</v>
      </c>
      <c r="AH477" s="537" t="s">
        <v>1793</v>
      </c>
      <c r="AI477" s="537" t="s">
        <v>86</v>
      </c>
      <c r="AJ477" s="1">
        <v>98</v>
      </c>
      <c r="AK477" s="537" t="s">
        <v>1794</v>
      </c>
      <c r="AL477" s="1" t="s">
        <v>1795</v>
      </c>
      <c r="AM477" s="537"/>
      <c r="AN477" s="537"/>
    </row>
    <row r="478" spans="1:40" hidden="1">
      <c r="A478" s="537" t="s">
        <v>179</v>
      </c>
      <c r="B478" s="1">
        <v>210504</v>
      </c>
      <c r="D478" s="537" t="s">
        <v>79</v>
      </c>
      <c r="E478" s="537"/>
      <c r="F478"/>
      <c r="G478"/>
      <c r="H478" s="537" t="s">
        <v>1919</v>
      </c>
      <c r="I478" s="537" t="s">
        <v>1920</v>
      </c>
      <c r="J478" s="537" t="s">
        <v>18</v>
      </c>
      <c r="K478" s="537" t="s">
        <v>939</v>
      </c>
      <c r="L478" s="61">
        <v>25308</v>
      </c>
      <c r="M478" s="1">
        <v>54</v>
      </c>
      <c r="N478" s="1">
        <v>1300</v>
      </c>
      <c r="P478" s="1">
        <v>1650</v>
      </c>
      <c r="Q478" s="537" t="s">
        <v>1921</v>
      </c>
      <c r="R478" s="1">
        <v>350</v>
      </c>
      <c r="S478"/>
      <c r="T478" t="s">
        <v>65</v>
      </c>
      <c r="U478" t="s">
        <v>65</v>
      </c>
      <c r="V478" t="s">
        <v>65</v>
      </c>
      <c r="W478" s="1">
        <v>44582</v>
      </c>
      <c r="X478" s="537" t="s">
        <v>59</v>
      </c>
      <c r="Y478" s="537" t="s">
        <v>1568</v>
      </c>
      <c r="Z478" s="1" t="s">
        <v>1922</v>
      </c>
      <c r="AA478" s="537" t="s">
        <v>1923</v>
      </c>
      <c r="AB478" s="537"/>
      <c r="AD478" s="61">
        <v>44326</v>
      </c>
      <c r="AE478" s="61">
        <v>44439</v>
      </c>
      <c r="AF478" s="61"/>
      <c r="AG478" s="1">
        <v>44378</v>
      </c>
      <c r="AH478" s="537" t="s">
        <v>1791</v>
      </c>
      <c r="AI478" s="537" t="s">
        <v>86</v>
      </c>
      <c r="AJ478" s="1">
        <v>408</v>
      </c>
      <c r="AK478" s="537" t="s">
        <v>87</v>
      </c>
      <c r="AL478" s="1" t="s">
        <v>1792</v>
      </c>
      <c r="AM478" s="537"/>
      <c r="AN478" s="537"/>
    </row>
    <row r="479" spans="1:40" hidden="1">
      <c r="A479" s="537" t="s">
        <v>179</v>
      </c>
      <c r="B479" s="1">
        <v>210505</v>
      </c>
      <c r="D479" s="537" t="s">
        <v>1066</v>
      </c>
      <c r="E479" s="537" t="s">
        <v>2376</v>
      </c>
      <c r="F479" t="s">
        <v>804</v>
      </c>
      <c r="G479"/>
      <c r="H479" s="537" t="s">
        <v>1924</v>
      </c>
      <c r="I479" s="537" t="s">
        <v>1925</v>
      </c>
      <c r="J479" s="537" t="s">
        <v>18</v>
      </c>
      <c r="K479" s="537" t="s">
        <v>57</v>
      </c>
      <c r="L479" s="61">
        <v>32473</v>
      </c>
      <c r="M479" s="1">
        <v>35</v>
      </c>
      <c r="N479" s="1">
        <v>1250</v>
      </c>
      <c r="P479" s="1">
        <v>1600</v>
      </c>
      <c r="Q479" s="537"/>
      <c r="R479" s="1">
        <v>350</v>
      </c>
      <c r="S479"/>
      <c r="T479" t="s">
        <v>65</v>
      </c>
      <c r="U479" t="s">
        <v>2639</v>
      </c>
      <c r="V479" t="s">
        <v>65</v>
      </c>
      <c r="W479" s="1">
        <v>44954</v>
      </c>
      <c r="X479" s="537" t="s">
        <v>59</v>
      </c>
      <c r="Y479" s="537" t="s">
        <v>60</v>
      </c>
      <c r="Z479" s="1" t="s">
        <v>1070</v>
      </c>
      <c r="AA479" s="537" t="s">
        <v>1071</v>
      </c>
      <c r="AB479" s="537" t="s">
        <v>1234</v>
      </c>
      <c r="AC479" s="1">
        <v>44314</v>
      </c>
      <c r="AD479" s="61">
        <v>44327</v>
      </c>
      <c r="AE479" s="61">
        <v>44592</v>
      </c>
      <c r="AF479" s="61"/>
      <c r="AG479" s="1">
        <v>44378</v>
      </c>
      <c r="AH479" s="537" t="s">
        <v>1793</v>
      </c>
      <c r="AI479" s="537" t="s">
        <v>86</v>
      </c>
      <c r="AJ479" s="1">
        <v>98</v>
      </c>
      <c r="AK479" s="537" t="s">
        <v>1794</v>
      </c>
      <c r="AL479" s="1" t="s">
        <v>1795</v>
      </c>
      <c r="AM479" s="537"/>
      <c r="AN479" s="537"/>
    </row>
    <row r="480" spans="1:40" hidden="1">
      <c r="A480" s="537" t="s">
        <v>179</v>
      </c>
      <c r="B480" s="1">
        <v>210506</v>
      </c>
      <c r="D480" s="537" t="s">
        <v>1066</v>
      </c>
      <c r="E480" s="537" t="s">
        <v>2376</v>
      </c>
      <c r="F480" t="s">
        <v>804</v>
      </c>
      <c r="G480"/>
      <c r="H480" s="537" t="s">
        <v>1926</v>
      </c>
      <c r="I480" s="537" t="s">
        <v>1927</v>
      </c>
      <c r="J480" s="537" t="s">
        <v>18</v>
      </c>
      <c r="K480" s="537" t="s">
        <v>57</v>
      </c>
      <c r="L480" s="61">
        <v>33538</v>
      </c>
      <c r="M480" s="1">
        <v>32</v>
      </c>
      <c r="N480" s="1">
        <v>1250</v>
      </c>
      <c r="P480" s="1">
        <v>1600</v>
      </c>
      <c r="Q480" s="537"/>
      <c r="R480" s="1">
        <v>350</v>
      </c>
      <c r="S480"/>
      <c r="T480" t="s">
        <v>65</v>
      </c>
      <c r="U480" t="s">
        <v>2639</v>
      </c>
      <c r="V480" t="s">
        <v>65</v>
      </c>
      <c r="W480" s="1">
        <v>44520</v>
      </c>
      <c r="X480" s="537" t="s">
        <v>59</v>
      </c>
      <c r="Y480" s="537" t="s">
        <v>60</v>
      </c>
      <c r="Z480" s="1" t="s">
        <v>1070</v>
      </c>
      <c r="AA480" s="537" t="s">
        <v>1071</v>
      </c>
      <c r="AB480" s="537" t="s">
        <v>1281</v>
      </c>
      <c r="AC480" s="1">
        <v>44314</v>
      </c>
      <c r="AD480" s="61">
        <v>44327</v>
      </c>
      <c r="AE480" s="61">
        <v>44553</v>
      </c>
      <c r="AF480" s="61"/>
      <c r="AG480" s="1">
        <v>44378</v>
      </c>
      <c r="AH480" s="537" t="s">
        <v>1791</v>
      </c>
      <c r="AI480" s="537" t="s">
        <v>86</v>
      </c>
      <c r="AJ480" s="1">
        <v>408</v>
      </c>
      <c r="AK480" s="537" t="s">
        <v>87</v>
      </c>
      <c r="AL480" s="1" t="s">
        <v>1792</v>
      </c>
      <c r="AM480" s="537"/>
      <c r="AN480" s="537"/>
    </row>
    <row r="481" spans="1:40" hidden="1">
      <c r="A481" s="537" t="s">
        <v>179</v>
      </c>
      <c r="B481" s="1">
        <v>210508</v>
      </c>
      <c r="D481" s="537" t="s">
        <v>1066</v>
      </c>
      <c r="E481" s="537" t="s">
        <v>2376</v>
      </c>
      <c r="F481" t="s">
        <v>804</v>
      </c>
      <c r="G481"/>
      <c r="H481" s="537" t="s">
        <v>1928</v>
      </c>
      <c r="I481" s="537" t="s">
        <v>1929</v>
      </c>
      <c r="J481" s="537" t="s">
        <v>18</v>
      </c>
      <c r="K481" s="537" t="s">
        <v>57</v>
      </c>
      <c r="L481" s="61">
        <v>29334</v>
      </c>
      <c r="M481" s="1">
        <v>43</v>
      </c>
      <c r="N481" s="1">
        <v>1320</v>
      </c>
      <c r="P481" s="1">
        <v>1700</v>
      </c>
      <c r="Q481" s="537"/>
      <c r="R481" s="1">
        <v>380</v>
      </c>
      <c r="S481"/>
      <c r="T481" t="s">
        <v>65</v>
      </c>
      <c r="U481" t="s">
        <v>65</v>
      </c>
      <c r="V481" t="s">
        <v>65</v>
      </c>
      <c r="W481" s="1">
        <v>45363</v>
      </c>
      <c r="X481" s="537" t="s">
        <v>65</v>
      </c>
      <c r="Y481" s="537" t="s">
        <v>60</v>
      </c>
      <c r="Z481" s="1" t="s">
        <v>1070</v>
      </c>
      <c r="AA481" s="537" t="s">
        <v>1071</v>
      </c>
      <c r="AB481" s="537" t="s">
        <v>1184</v>
      </c>
      <c r="AC481" s="1">
        <v>44336</v>
      </c>
      <c r="AD481" s="61">
        <v>44337</v>
      </c>
      <c r="AE481" s="61">
        <v>44568</v>
      </c>
      <c r="AF481" s="61"/>
      <c r="AG481" s="1">
        <v>44409</v>
      </c>
      <c r="AH481" s="537" t="s">
        <v>1793</v>
      </c>
      <c r="AI481" s="537" t="s">
        <v>86</v>
      </c>
      <c r="AJ481" s="1">
        <v>98</v>
      </c>
      <c r="AK481" s="537" t="s">
        <v>1794</v>
      </c>
      <c r="AL481" s="1" t="s">
        <v>1795</v>
      </c>
      <c r="AM481" s="537"/>
      <c r="AN481" s="537"/>
    </row>
    <row r="482" spans="1:40" hidden="1">
      <c r="A482" s="537" t="s">
        <v>179</v>
      </c>
      <c r="B482" s="1">
        <v>210509</v>
      </c>
      <c r="D482" s="537" t="s">
        <v>1128</v>
      </c>
      <c r="E482" s="537"/>
      <c r="F482"/>
      <c r="G482"/>
      <c r="H482" s="537" t="s">
        <v>1930</v>
      </c>
      <c r="I482" s="537" t="s">
        <v>1931</v>
      </c>
      <c r="J482" s="537" t="s">
        <v>18</v>
      </c>
      <c r="K482" s="537" t="s">
        <v>57</v>
      </c>
      <c r="L482" s="61">
        <v>35473</v>
      </c>
      <c r="M482" s="1">
        <v>26</v>
      </c>
      <c r="N482" s="1">
        <v>1400</v>
      </c>
      <c r="P482" s="1">
        <v>1900</v>
      </c>
      <c r="Q482" s="537"/>
      <c r="R482" s="1">
        <v>500</v>
      </c>
      <c r="S482"/>
      <c r="T482" t="s">
        <v>65</v>
      </c>
      <c r="U482" t="s">
        <v>2639</v>
      </c>
      <c r="V482" t="s">
        <v>65</v>
      </c>
      <c r="W482" s="1">
        <v>45378</v>
      </c>
      <c r="X482" s="537" t="s">
        <v>65</v>
      </c>
      <c r="Y482" s="537" t="s">
        <v>60</v>
      </c>
      <c r="Z482" s="1" t="s">
        <v>1214</v>
      </c>
      <c r="AA482" s="537" t="s">
        <v>1215</v>
      </c>
      <c r="AB482" s="537" t="s">
        <v>1216</v>
      </c>
      <c r="AC482" s="1">
        <v>44338</v>
      </c>
      <c r="AD482" s="61">
        <v>44340</v>
      </c>
      <c r="AE482" s="61">
        <v>44439</v>
      </c>
      <c r="AF482" s="61"/>
      <c r="AG482" s="1">
        <v>44409</v>
      </c>
      <c r="AH482" s="537" t="s">
        <v>1791</v>
      </c>
      <c r="AI482" s="537" t="s">
        <v>86</v>
      </c>
      <c r="AJ482" s="1">
        <v>408</v>
      </c>
      <c r="AK482" s="537" t="s">
        <v>87</v>
      </c>
      <c r="AL482" s="1" t="s">
        <v>1792</v>
      </c>
      <c r="AM482" s="537"/>
      <c r="AN482" s="537"/>
    </row>
    <row r="483" spans="1:40" hidden="1">
      <c r="A483" s="537" t="s">
        <v>179</v>
      </c>
      <c r="B483" s="1">
        <v>210510</v>
      </c>
      <c r="D483" s="537" t="s">
        <v>159</v>
      </c>
      <c r="E483" s="537"/>
      <c r="F483"/>
      <c r="G483"/>
      <c r="H483" s="537" t="s">
        <v>1932</v>
      </c>
      <c r="I483" s="537" t="s">
        <v>1933</v>
      </c>
      <c r="J483" s="537" t="s">
        <v>18</v>
      </c>
      <c r="K483" s="537" t="s">
        <v>57</v>
      </c>
      <c r="L483" s="61">
        <v>32542</v>
      </c>
      <c r="M483" s="1">
        <v>34</v>
      </c>
      <c r="N483" s="1">
        <v>1250</v>
      </c>
      <c r="P483" s="1">
        <v>1750</v>
      </c>
      <c r="Q483" s="537"/>
      <c r="R483" s="1">
        <v>500</v>
      </c>
      <c r="S483"/>
      <c r="T483" t="s">
        <v>65</v>
      </c>
      <c r="U483" t="s">
        <v>2639</v>
      </c>
      <c r="V483" t="s">
        <v>65</v>
      </c>
      <c r="W483" s="1">
        <v>44939</v>
      </c>
      <c r="X483" s="537" t="s">
        <v>59</v>
      </c>
      <c r="Y483" s="537" t="s">
        <v>60</v>
      </c>
      <c r="Z483" s="1" t="s">
        <v>427</v>
      </c>
      <c r="AA483" s="537" t="s">
        <v>428</v>
      </c>
      <c r="AB483" s="537" t="s">
        <v>429</v>
      </c>
      <c r="AD483" s="61">
        <v>44341</v>
      </c>
      <c r="AE483" s="61">
        <v>44498</v>
      </c>
      <c r="AF483" s="61"/>
      <c r="AG483" s="1">
        <v>44409</v>
      </c>
      <c r="AH483" s="537" t="s">
        <v>1793</v>
      </c>
      <c r="AI483" s="537" t="s">
        <v>86</v>
      </c>
      <c r="AJ483" s="1">
        <v>98</v>
      </c>
      <c r="AK483" s="537" t="s">
        <v>1794</v>
      </c>
      <c r="AL483" s="1" t="s">
        <v>1795</v>
      </c>
      <c r="AM483" s="537"/>
      <c r="AN483" s="537"/>
    </row>
    <row r="484" spans="1:40" hidden="1">
      <c r="A484" s="537" t="s">
        <v>179</v>
      </c>
      <c r="B484" s="1">
        <v>210511</v>
      </c>
      <c r="D484" s="537" t="s">
        <v>105</v>
      </c>
      <c r="E484" s="537"/>
      <c r="F484"/>
      <c r="G484"/>
      <c r="H484" s="537" t="s">
        <v>1934</v>
      </c>
      <c r="I484" s="537" t="s">
        <v>1935</v>
      </c>
      <c r="J484" s="537" t="s">
        <v>18</v>
      </c>
      <c r="K484" s="537" t="s">
        <v>57</v>
      </c>
      <c r="L484" s="61">
        <v>34886</v>
      </c>
      <c r="M484" s="1">
        <v>28</v>
      </c>
      <c r="N484" s="1">
        <v>1200</v>
      </c>
      <c r="P484" s="1">
        <v>1600</v>
      </c>
      <c r="Q484" s="537"/>
      <c r="R484" s="1">
        <v>400</v>
      </c>
      <c r="S484"/>
      <c r="T484" t="s">
        <v>65</v>
      </c>
      <c r="U484" t="s">
        <v>2639</v>
      </c>
      <c r="V484" t="s">
        <v>65</v>
      </c>
      <c r="W484" s="1">
        <v>44987</v>
      </c>
      <c r="X484" s="537" t="s">
        <v>59</v>
      </c>
      <c r="Y484" s="537" t="s">
        <v>60</v>
      </c>
      <c r="Z484" s="1" t="s">
        <v>136</v>
      </c>
      <c r="AA484" s="537" t="s">
        <v>163</v>
      </c>
      <c r="AB484" s="537" t="s">
        <v>164</v>
      </c>
      <c r="AC484" s="1">
        <v>44343</v>
      </c>
      <c r="AD484" s="61">
        <v>44347</v>
      </c>
      <c r="AE484" s="61">
        <v>44357</v>
      </c>
      <c r="AF484" s="61"/>
      <c r="AG484" s="1">
        <v>44409</v>
      </c>
      <c r="AH484" s="537" t="s">
        <v>1791</v>
      </c>
      <c r="AI484" s="537" t="s">
        <v>86</v>
      </c>
      <c r="AJ484" s="1">
        <v>408</v>
      </c>
      <c r="AK484" s="537" t="s">
        <v>87</v>
      </c>
      <c r="AL484" s="1" t="s">
        <v>1792</v>
      </c>
      <c r="AM484" s="537"/>
      <c r="AN484" s="537"/>
    </row>
    <row r="485" spans="1:40" hidden="1">
      <c r="A485" s="537" t="s">
        <v>179</v>
      </c>
      <c r="B485" s="1">
        <v>210600</v>
      </c>
      <c r="D485" s="537" t="s">
        <v>1128</v>
      </c>
      <c r="E485" s="537"/>
      <c r="F485"/>
      <c r="G485"/>
      <c r="H485" s="537" t="s">
        <v>1936</v>
      </c>
      <c r="I485" s="537" t="s">
        <v>1937</v>
      </c>
      <c r="J485" s="537" t="s">
        <v>18</v>
      </c>
      <c r="K485" s="537" t="s">
        <v>939</v>
      </c>
      <c r="L485" s="61">
        <v>28900</v>
      </c>
      <c r="M485" s="1">
        <v>44</v>
      </c>
      <c r="N485" s="1">
        <v>1400</v>
      </c>
      <c r="P485" s="1">
        <v>1900</v>
      </c>
      <c r="Q485" s="537"/>
      <c r="R485" s="1">
        <v>500</v>
      </c>
      <c r="S485"/>
      <c r="T485" t="s">
        <v>65</v>
      </c>
      <c r="U485" t="s">
        <v>65</v>
      </c>
      <c r="V485" t="s">
        <v>65</v>
      </c>
      <c r="W485" s="1">
        <v>45078</v>
      </c>
      <c r="X485" s="537" t="s">
        <v>59</v>
      </c>
      <c r="Y485" s="537" t="s">
        <v>1568</v>
      </c>
      <c r="Z485" s="1" t="s">
        <v>1938</v>
      </c>
      <c r="AA485" s="537" t="s">
        <v>1939</v>
      </c>
      <c r="AB485" s="537" t="s">
        <v>1940</v>
      </c>
      <c r="AC485" s="1">
        <v>44344</v>
      </c>
      <c r="AD485" s="61">
        <v>44348</v>
      </c>
      <c r="AE485" s="61">
        <v>44352</v>
      </c>
      <c r="AF485" s="61"/>
      <c r="AG485" s="1">
        <v>44409</v>
      </c>
      <c r="AH485" s="537" t="s">
        <v>1793</v>
      </c>
      <c r="AI485" s="537" t="s">
        <v>86</v>
      </c>
      <c r="AJ485" s="1">
        <v>98</v>
      </c>
      <c r="AK485" s="537" t="s">
        <v>1794</v>
      </c>
      <c r="AL485" s="1" t="s">
        <v>1795</v>
      </c>
      <c r="AM485" s="537"/>
      <c r="AN485" s="537"/>
    </row>
    <row r="486" spans="1:40" hidden="1">
      <c r="A486" s="537" t="s">
        <v>179</v>
      </c>
      <c r="B486" s="1">
        <v>210618</v>
      </c>
      <c r="D486" s="537" t="s">
        <v>1128</v>
      </c>
      <c r="E486" s="537"/>
      <c r="F486"/>
      <c r="G486"/>
      <c r="H486" s="537" t="s">
        <v>1944</v>
      </c>
      <c r="I486" s="537" t="s">
        <v>1945</v>
      </c>
      <c r="J486" s="537" t="s">
        <v>17</v>
      </c>
      <c r="K486" s="537" t="s">
        <v>57</v>
      </c>
      <c r="L486" s="61">
        <v>32613</v>
      </c>
      <c r="M486" s="1">
        <v>34</v>
      </c>
      <c r="N486" s="1">
        <v>1250</v>
      </c>
      <c r="P486" s="1">
        <v>1900</v>
      </c>
      <c r="Q486" s="537"/>
      <c r="R486" s="1">
        <v>650</v>
      </c>
      <c r="S486"/>
      <c r="T486" t="s">
        <v>65</v>
      </c>
      <c r="U486" t="s">
        <v>2639</v>
      </c>
      <c r="V486" t="s">
        <v>65</v>
      </c>
      <c r="W486" s="1">
        <v>44568</v>
      </c>
      <c r="X486" s="537" t="s">
        <v>59</v>
      </c>
      <c r="Y486" s="537" t="s">
        <v>1568</v>
      </c>
      <c r="Z486" s="1" t="s">
        <v>1938</v>
      </c>
      <c r="AA486" s="537" t="s">
        <v>1939</v>
      </c>
      <c r="AB486" s="537" t="s">
        <v>1940</v>
      </c>
      <c r="AC486" s="1">
        <v>44344</v>
      </c>
      <c r="AD486" s="61">
        <v>44348</v>
      </c>
      <c r="AE486" s="61">
        <v>44352</v>
      </c>
      <c r="AF486" s="61"/>
      <c r="AG486" s="1">
        <v>44409</v>
      </c>
      <c r="AH486" s="537" t="s">
        <v>1793</v>
      </c>
      <c r="AI486" s="537" t="s">
        <v>86</v>
      </c>
      <c r="AJ486" s="1">
        <v>98</v>
      </c>
      <c r="AK486" s="537" t="s">
        <v>1794</v>
      </c>
      <c r="AL486" s="1" t="s">
        <v>1795</v>
      </c>
      <c r="AM486" s="537"/>
      <c r="AN486" s="537"/>
    </row>
    <row r="487" spans="1:40" hidden="1">
      <c r="A487" s="537" t="s">
        <v>179</v>
      </c>
      <c r="B487" s="1">
        <v>210617</v>
      </c>
      <c r="D487" s="537" t="s">
        <v>1128</v>
      </c>
      <c r="E487" s="537"/>
      <c r="F487"/>
      <c r="G487"/>
      <c r="H487" s="537" t="s">
        <v>1409</v>
      </c>
      <c r="I487" s="537" t="s">
        <v>1946</v>
      </c>
      <c r="J487" s="537" t="s">
        <v>18</v>
      </c>
      <c r="K487" s="537" t="s">
        <v>57</v>
      </c>
      <c r="L487" s="61">
        <v>31475</v>
      </c>
      <c r="M487" s="1">
        <v>37</v>
      </c>
      <c r="N487" s="1">
        <v>1400</v>
      </c>
      <c r="P487" s="1">
        <v>1900</v>
      </c>
      <c r="Q487" s="537"/>
      <c r="R487" s="1">
        <v>500</v>
      </c>
      <c r="S487"/>
      <c r="T487" t="s">
        <v>65</v>
      </c>
      <c r="U487" t="s">
        <v>2639</v>
      </c>
      <c r="V487" t="s">
        <v>65</v>
      </c>
      <c r="W487" s="1">
        <v>44644</v>
      </c>
      <c r="X487" s="537" t="s">
        <v>59</v>
      </c>
      <c r="Y487" s="537" t="s">
        <v>60</v>
      </c>
      <c r="Z487" s="1" t="s">
        <v>1214</v>
      </c>
      <c r="AA487" s="537" t="s">
        <v>1215</v>
      </c>
      <c r="AB487" s="537" t="s">
        <v>1216</v>
      </c>
      <c r="AC487" s="1">
        <v>44346</v>
      </c>
      <c r="AD487" s="61">
        <v>44348</v>
      </c>
      <c r="AE487" s="61">
        <v>44352</v>
      </c>
      <c r="AF487" s="61"/>
      <c r="AG487" s="1">
        <v>44409</v>
      </c>
      <c r="AH487" s="537" t="s">
        <v>1791</v>
      </c>
      <c r="AI487" s="537" t="s">
        <v>86</v>
      </c>
      <c r="AJ487" s="1">
        <v>408</v>
      </c>
      <c r="AK487" s="537" t="s">
        <v>87</v>
      </c>
      <c r="AL487" s="1" t="s">
        <v>1792</v>
      </c>
      <c r="AM487" s="537"/>
      <c r="AN487" s="537"/>
    </row>
    <row r="488" spans="1:40" hidden="1">
      <c r="A488" s="537" t="s">
        <v>179</v>
      </c>
      <c r="B488" s="1">
        <v>210601</v>
      </c>
      <c r="D488" s="537" t="s">
        <v>118</v>
      </c>
      <c r="E488" s="537"/>
      <c r="F488"/>
      <c r="G488"/>
      <c r="H488" s="537" t="s">
        <v>1941</v>
      </c>
      <c r="I488" s="537" t="s">
        <v>1942</v>
      </c>
      <c r="J488" s="537" t="s">
        <v>18</v>
      </c>
      <c r="K488" s="537" t="s">
        <v>57</v>
      </c>
      <c r="L488" s="61">
        <v>31986</v>
      </c>
      <c r="M488" s="1">
        <v>36</v>
      </c>
      <c r="N488" s="1">
        <v>1350</v>
      </c>
      <c r="P488" s="1">
        <v>1750</v>
      </c>
      <c r="Q488" s="537"/>
      <c r="R488" s="1">
        <v>400</v>
      </c>
      <c r="S488"/>
      <c r="T488" t="s">
        <v>65</v>
      </c>
      <c r="U488" t="s">
        <v>2639</v>
      </c>
      <c r="V488" t="s">
        <v>65</v>
      </c>
      <c r="W488" s="1">
        <v>45363</v>
      </c>
      <c r="X488" s="537" t="s">
        <v>65</v>
      </c>
      <c r="Y488" s="537" t="s">
        <v>60</v>
      </c>
      <c r="Z488" s="1" t="s">
        <v>199</v>
      </c>
      <c r="AA488" s="537" t="s">
        <v>257</v>
      </c>
      <c r="AB488" s="537" t="s">
        <v>1943</v>
      </c>
      <c r="AC488" s="1">
        <v>44346</v>
      </c>
      <c r="AD488" s="61">
        <v>44348</v>
      </c>
      <c r="AE488" s="61">
        <v>44525</v>
      </c>
      <c r="AF488" s="61"/>
      <c r="AH488" s="537" t="s">
        <v>1791</v>
      </c>
      <c r="AI488" s="537" t="s">
        <v>86</v>
      </c>
      <c r="AJ488" s="1">
        <v>408</v>
      </c>
      <c r="AK488" s="537" t="s">
        <v>87</v>
      </c>
      <c r="AL488" s="1" t="s">
        <v>1792</v>
      </c>
      <c r="AM488" s="537"/>
      <c r="AN488" s="537"/>
    </row>
    <row r="489" spans="1:40" hidden="1">
      <c r="A489" s="537" t="s">
        <v>179</v>
      </c>
      <c r="B489" s="1">
        <v>210606</v>
      </c>
      <c r="D489" s="537" t="s">
        <v>88</v>
      </c>
      <c r="E489" s="537"/>
      <c r="F489"/>
      <c r="G489"/>
      <c r="H489" s="537" t="s">
        <v>1947</v>
      </c>
      <c r="I489" s="537" t="s">
        <v>1948</v>
      </c>
      <c r="J489" s="537" t="s">
        <v>18</v>
      </c>
      <c r="K489" s="537" t="s">
        <v>57</v>
      </c>
      <c r="L489" s="61">
        <v>34954</v>
      </c>
      <c r="M489" s="1">
        <v>28</v>
      </c>
      <c r="N489" s="1">
        <v>1400</v>
      </c>
      <c r="O489" s="1" t="s">
        <v>91</v>
      </c>
      <c r="P489" s="1">
        <v>1750</v>
      </c>
      <c r="Q489" s="537" t="s">
        <v>92</v>
      </c>
      <c r="R489" s="1">
        <v>350</v>
      </c>
      <c r="S489"/>
      <c r="T489" t="s">
        <v>65</v>
      </c>
      <c r="U489" t="s">
        <v>2639</v>
      </c>
      <c r="V489" t="s">
        <v>65</v>
      </c>
      <c r="W489" s="1">
        <v>44870</v>
      </c>
      <c r="X489" s="537" t="s">
        <v>59</v>
      </c>
      <c r="Y489" s="537" t="s">
        <v>60</v>
      </c>
      <c r="Z489" s="1" t="s">
        <v>1198</v>
      </c>
      <c r="AA489" s="537" t="s">
        <v>1199</v>
      </c>
      <c r="AB489" s="537" t="s">
        <v>1200</v>
      </c>
      <c r="AC489" s="1">
        <v>44350</v>
      </c>
      <c r="AD489" s="61">
        <v>44355</v>
      </c>
      <c r="AE489" s="61">
        <v>44666</v>
      </c>
      <c r="AF489" s="61"/>
      <c r="AG489" s="1">
        <v>44409</v>
      </c>
      <c r="AH489" s="537" t="s">
        <v>1793</v>
      </c>
      <c r="AI489" s="537" t="s">
        <v>86</v>
      </c>
      <c r="AJ489" s="1">
        <v>98</v>
      </c>
      <c r="AK489" s="537" t="s">
        <v>1794</v>
      </c>
      <c r="AL489" s="1" t="s">
        <v>1795</v>
      </c>
      <c r="AM489" s="537" t="s">
        <v>64</v>
      </c>
      <c r="AN489" s="537"/>
    </row>
    <row r="490" spans="1:40" hidden="1">
      <c r="A490" s="537" t="s">
        <v>179</v>
      </c>
      <c r="B490" s="1">
        <v>210607</v>
      </c>
      <c r="D490" s="537" t="s">
        <v>118</v>
      </c>
      <c r="E490" s="537"/>
      <c r="F490"/>
      <c r="G490"/>
      <c r="H490" s="537" t="s">
        <v>1949</v>
      </c>
      <c r="I490" s="537" t="s">
        <v>1950</v>
      </c>
      <c r="J490" s="537" t="s">
        <v>18</v>
      </c>
      <c r="K490" s="537" t="s">
        <v>57</v>
      </c>
      <c r="L490" s="61">
        <v>32127</v>
      </c>
      <c r="M490" s="1">
        <v>35</v>
      </c>
      <c r="N490" s="1">
        <v>1300</v>
      </c>
      <c r="P490" s="1">
        <v>1600</v>
      </c>
      <c r="Q490" s="537"/>
      <c r="R490" s="1">
        <v>300</v>
      </c>
      <c r="S490"/>
      <c r="T490" t="s">
        <v>65</v>
      </c>
      <c r="U490" t="s">
        <v>2639</v>
      </c>
      <c r="V490" t="s">
        <v>65</v>
      </c>
      <c r="W490" s="1">
        <v>45083</v>
      </c>
      <c r="X490" s="537" t="s">
        <v>59</v>
      </c>
      <c r="Y490" s="537" t="s">
        <v>60</v>
      </c>
      <c r="Z490" s="1" t="s">
        <v>1951</v>
      </c>
      <c r="AA490" s="537" t="s">
        <v>1952</v>
      </c>
      <c r="AB490" s="537"/>
      <c r="AD490" s="61">
        <v>44357</v>
      </c>
      <c r="AE490" s="61">
        <v>44439</v>
      </c>
      <c r="AF490" s="61"/>
      <c r="AG490" s="1">
        <v>44348</v>
      </c>
      <c r="AH490" s="537" t="s">
        <v>1791</v>
      </c>
      <c r="AI490" s="537" t="s">
        <v>86</v>
      </c>
      <c r="AJ490" s="1">
        <v>408</v>
      </c>
      <c r="AK490" s="537" t="s">
        <v>87</v>
      </c>
      <c r="AL490" s="1" t="s">
        <v>1792</v>
      </c>
      <c r="AM490" s="537"/>
      <c r="AN490" s="537"/>
    </row>
    <row r="491" spans="1:40" hidden="1">
      <c r="A491" s="537" t="s">
        <v>179</v>
      </c>
      <c r="B491" s="1">
        <v>210611</v>
      </c>
      <c r="D491" s="537" t="s">
        <v>79</v>
      </c>
      <c r="E491" s="537"/>
      <c r="F491"/>
      <c r="G491"/>
      <c r="H491" s="537" t="s">
        <v>1953</v>
      </c>
      <c r="I491" s="537" t="s">
        <v>1954</v>
      </c>
      <c r="J491" s="537" t="s">
        <v>18</v>
      </c>
      <c r="K491" s="537" t="s">
        <v>57</v>
      </c>
      <c r="L491" s="61">
        <v>33440</v>
      </c>
      <c r="M491" s="1">
        <v>32</v>
      </c>
      <c r="N491" s="1">
        <v>1400</v>
      </c>
      <c r="O491" s="1" t="s">
        <v>91</v>
      </c>
      <c r="P491" s="1">
        <v>1750</v>
      </c>
      <c r="Q491" s="537" t="s">
        <v>92</v>
      </c>
      <c r="R491" s="1">
        <v>350</v>
      </c>
      <c r="S491"/>
      <c r="T491" t="s">
        <v>65</v>
      </c>
      <c r="U491" t="s">
        <v>2639</v>
      </c>
      <c r="V491" t="s">
        <v>65</v>
      </c>
      <c r="W491" s="1">
        <v>44862</v>
      </c>
      <c r="X491" s="537" t="s">
        <v>59</v>
      </c>
      <c r="Y491" s="537" t="s">
        <v>60</v>
      </c>
      <c r="Z491" s="1" t="s">
        <v>136</v>
      </c>
      <c r="AA491" s="537" t="s">
        <v>163</v>
      </c>
      <c r="AB491" s="537" t="s">
        <v>164</v>
      </c>
      <c r="AC491" s="1">
        <v>44355</v>
      </c>
      <c r="AD491" s="61">
        <v>44363</v>
      </c>
      <c r="AE491" s="61">
        <v>44659</v>
      </c>
      <c r="AF491" s="61"/>
      <c r="AG491" s="1">
        <v>44409</v>
      </c>
      <c r="AH491" s="537" t="s">
        <v>1793</v>
      </c>
      <c r="AI491" s="537" t="s">
        <v>86</v>
      </c>
      <c r="AJ491" s="1">
        <v>98</v>
      </c>
      <c r="AK491" s="537" t="s">
        <v>1794</v>
      </c>
      <c r="AL491" s="1" t="s">
        <v>1795</v>
      </c>
      <c r="AM491" s="537" t="s">
        <v>64</v>
      </c>
      <c r="AN491" s="537"/>
    </row>
    <row r="492" spans="1:40" hidden="1">
      <c r="A492" s="537" t="s">
        <v>179</v>
      </c>
      <c r="B492" s="1">
        <v>210612</v>
      </c>
      <c r="D492" s="537" t="s">
        <v>1142</v>
      </c>
      <c r="E492" s="537"/>
      <c r="F492"/>
      <c r="G492"/>
      <c r="H492" s="537" t="s">
        <v>1955</v>
      </c>
      <c r="I492" s="537" t="s">
        <v>1956</v>
      </c>
      <c r="J492" s="537" t="s">
        <v>17</v>
      </c>
      <c r="K492" s="537" t="s">
        <v>57</v>
      </c>
      <c r="L492" s="61">
        <v>34226</v>
      </c>
      <c r="M492" s="1">
        <v>30</v>
      </c>
      <c r="N492" s="1">
        <v>1300</v>
      </c>
      <c r="O492" s="1" t="s">
        <v>1957</v>
      </c>
      <c r="P492" s="1">
        <v>1900</v>
      </c>
      <c r="Q492" s="537" t="s">
        <v>1958</v>
      </c>
      <c r="R492" s="1">
        <v>600</v>
      </c>
      <c r="S492"/>
      <c r="T492" t="s">
        <v>65</v>
      </c>
      <c r="U492" t="s">
        <v>2639</v>
      </c>
      <c r="V492" t="s">
        <v>65</v>
      </c>
      <c r="W492" s="1">
        <v>44726</v>
      </c>
      <c r="X492" s="537" t="s">
        <v>59</v>
      </c>
      <c r="Y492" s="537" t="s">
        <v>60</v>
      </c>
      <c r="Z492" s="1" t="s">
        <v>262</v>
      </c>
      <c r="AA492" s="537" t="s">
        <v>263</v>
      </c>
      <c r="AB492" s="537" t="s">
        <v>264</v>
      </c>
      <c r="AD492" s="61">
        <v>44368</v>
      </c>
      <c r="AE492" s="61">
        <v>44699</v>
      </c>
      <c r="AF492" s="61"/>
      <c r="AG492" s="1">
        <v>44409</v>
      </c>
      <c r="AH492" s="537" t="s">
        <v>1791</v>
      </c>
      <c r="AI492" s="537" t="s">
        <v>86</v>
      </c>
      <c r="AJ492" s="1">
        <v>408</v>
      </c>
      <c r="AK492" s="537" t="s">
        <v>87</v>
      </c>
      <c r="AL492" s="1" t="s">
        <v>1792</v>
      </c>
      <c r="AM492" s="537" t="s">
        <v>64</v>
      </c>
      <c r="AN492" s="537" t="s">
        <v>1959</v>
      </c>
    </row>
    <row r="493" spans="1:40" hidden="1">
      <c r="A493" s="537" t="s">
        <v>179</v>
      </c>
      <c r="B493" s="1">
        <v>210613</v>
      </c>
      <c r="D493" s="537" t="s">
        <v>105</v>
      </c>
      <c r="E493" s="537"/>
      <c r="F493" t="s">
        <v>814</v>
      </c>
      <c r="G493"/>
      <c r="H493" s="537" t="s">
        <v>1209</v>
      </c>
      <c r="I493" s="537" t="s">
        <v>1210</v>
      </c>
      <c r="J493" s="537" t="s">
        <v>18</v>
      </c>
      <c r="K493" s="537" t="s">
        <v>57</v>
      </c>
      <c r="L493" s="61">
        <v>35664</v>
      </c>
      <c r="M493" s="1">
        <v>26</v>
      </c>
      <c r="N493" s="1">
        <v>1400</v>
      </c>
      <c r="O493" s="1" t="s">
        <v>91</v>
      </c>
      <c r="P493" s="1">
        <v>1750</v>
      </c>
      <c r="Q493" s="537" t="s">
        <v>92</v>
      </c>
      <c r="R493" s="1">
        <v>350</v>
      </c>
      <c r="S493"/>
      <c r="T493" t="s">
        <v>65</v>
      </c>
      <c r="U493" t="s">
        <v>2639</v>
      </c>
      <c r="V493" t="s">
        <v>65</v>
      </c>
      <c r="W493" s="1">
        <v>45981</v>
      </c>
      <c r="X493" s="537" t="s">
        <v>65</v>
      </c>
      <c r="Y493" s="537" t="s">
        <v>60</v>
      </c>
      <c r="Z493" s="1" t="s">
        <v>136</v>
      </c>
      <c r="AA493" s="537" t="s">
        <v>163</v>
      </c>
      <c r="AB493" s="537" t="s">
        <v>267</v>
      </c>
      <c r="AC493" s="1">
        <v>44367</v>
      </c>
      <c r="AD493" s="61">
        <v>44368</v>
      </c>
      <c r="AE493" s="61">
        <v>44680</v>
      </c>
      <c r="AF493" s="61"/>
      <c r="AH493" s="537" t="s">
        <v>1210</v>
      </c>
      <c r="AI493" s="537" t="s">
        <v>86</v>
      </c>
      <c r="AJ493" s="1">
        <v>208</v>
      </c>
      <c r="AK493" s="537" t="s">
        <v>151</v>
      </c>
      <c r="AL493" s="1" t="s">
        <v>1211</v>
      </c>
      <c r="AM493" s="537" t="s">
        <v>64</v>
      </c>
      <c r="AN493" s="537"/>
    </row>
    <row r="494" spans="1:40" hidden="1">
      <c r="A494" s="537" t="s">
        <v>179</v>
      </c>
      <c r="B494" s="1">
        <v>210614</v>
      </c>
      <c r="D494" s="537" t="s">
        <v>105</v>
      </c>
      <c r="E494" s="537"/>
      <c r="F494"/>
      <c r="G494"/>
      <c r="H494" s="537" t="s">
        <v>1960</v>
      </c>
      <c r="I494" s="537" t="s">
        <v>1961</v>
      </c>
      <c r="J494" s="537" t="s">
        <v>18</v>
      </c>
      <c r="K494" s="537" t="s">
        <v>57</v>
      </c>
      <c r="L494" s="61">
        <v>35371</v>
      </c>
      <c r="M494" s="1">
        <v>27</v>
      </c>
      <c r="N494" s="1">
        <v>1400</v>
      </c>
      <c r="P494" s="1">
        <v>1750</v>
      </c>
      <c r="Q494" s="537" t="s">
        <v>92</v>
      </c>
      <c r="R494" s="1">
        <v>350</v>
      </c>
      <c r="S494"/>
      <c r="T494" t="s">
        <v>65</v>
      </c>
      <c r="U494" t="s">
        <v>2639</v>
      </c>
      <c r="V494" t="s">
        <v>65</v>
      </c>
      <c r="W494" s="1">
        <v>45981</v>
      </c>
      <c r="X494" s="537" t="s">
        <v>65</v>
      </c>
      <c r="Y494" s="537" t="s">
        <v>60</v>
      </c>
      <c r="Z494" s="1" t="s">
        <v>136</v>
      </c>
      <c r="AA494" s="537" t="s">
        <v>163</v>
      </c>
      <c r="AB494" s="537" t="s">
        <v>267</v>
      </c>
      <c r="AC494" s="1">
        <v>44367</v>
      </c>
      <c r="AD494" s="61">
        <v>44368</v>
      </c>
      <c r="AE494" s="61">
        <v>44602</v>
      </c>
      <c r="AF494" s="61"/>
      <c r="AH494" s="537" t="s">
        <v>1793</v>
      </c>
      <c r="AI494" s="537" t="s">
        <v>86</v>
      </c>
      <c r="AJ494" s="1">
        <v>98</v>
      </c>
      <c r="AK494" s="537" t="s">
        <v>1794</v>
      </c>
      <c r="AL494" s="1" t="s">
        <v>1795</v>
      </c>
      <c r="AM494" s="537"/>
      <c r="AN494" s="537"/>
    </row>
    <row r="495" spans="1:40" hidden="1">
      <c r="A495" s="537" t="s">
        <v>179</v>
      </c>
      <c r="B495" s="1">
        <v>210615</v>
      </c>
      <c r="D495" s="537" t="s">
        <v>1128</v>
      </c>
      <c r="E495" s="537" t="s">
        <v>1129</v>
      </c>
      <c r="F495"/>
      <c r="G495"/>
      <c r="H495" s="537" t="s">
        <v>1212</v>
      </c>
      <c r="I495" s="537" t="s">
        <v>1213</v>
      </c>
      <c r="J495" s="537" t="s">
        <v>18</v>
      </c>
      <c r="K495" s="537" t="s">
        <v>57</v>
      </c>
      <c r="L495" s="61">
        <v>32930</v>
      </c>
      <c r="M495" s="1">
        <v>33</v>
      </c>
      <c r="N495" s="1">
        <v>1400</v>
      </c>
      <c r="P495" s="1">
        <v>2000</v>
      </c>
      <c r="Q495" s="537" t="s">
        <v>1132</v>
      </c>
      <c r="R495" s="1">
        <v>600</v>
      </c>
      <c r="S495">
        <v>300000</v>
      </c>
      <c r="T495">
        <v>15014.999999999998</v>
      </c>
      <c r="U495" t="s">
        <v>2639</v>
      </c>
      <c r="V495">
        <v>27450</v>
      </c>
      <c r="W495" s="1">
        <v>45330</v>
      </c>
      <c r="X495" s="537" t="s">
        <v>59</v>
      </c>
      <c r="Y495" s="537" t="s">
        <v>60</v>
      </c>
      <c r="Z495" s="1" t="s">
        <v>1214</v>
      </c>
      <c r="AA495" s="537" t="s">
        <v>2661</v>
      </c>
      <c r="AB495" s="537" t="s">
        <v>2662</v>
      </c>
      <c r="AC495" s="1">
        <v>44368</v>
      </c>
      <c r="AD495" s="61">
        <v>44369</v>
      </c>
      <c r="AE495" s="61">
        <v>45056</v>
      </c>
      <c r="AF495" s="61">
        <v>44602</v>
      </c>
      <c r="AH495" s="537" t="s">
        <v>1213</v>
      </c>
      <c r="AI495" s="537" t="s">
        <v>86</v>
      </c>
      <c r="AJ495" s="1">
        <v>638</v>
      </c>
      <c r="AK495" s="537" t="s">
        <v>1217</v>
      </c>
      <c r="AL495" s="1" t="s">
        <v>1218</v>
      </c>
      <c r="AM495" s="537" t="s">
        <v>64</v>
      </c>
      <c r="AN495" s="537"/>
    </row>
    <row r="496" spans="1:40" hidden="1">
      <c r="A496" s="537" t="s">
        <v>179</v>
      </c>
      <c r="B496" s="1">
        <v>210616</v>
      </c>
      <c r="D496" s="537" t="s">
        <v>118</v>
      </c>
      <c r="E496" s="537"/>
      <c r="F496"/>
      <c r="G496"/>
      <c r="H496" s="537" t="s">
        <v>1962</v>
      </c>
      <c r="I496" s="537" t="s">
        <v>1963</v>
      </c>
      <c r="J496" s="537" t="s">
        <v>18</v>
      </c>
      <c r="K496" s="537" t="s">
        <v>57</v>
      </c>
      <c r="L496" s="61">
        <v>35273</v>
      </c>
      <c r="M496" s="1">
        <v>27</v>
      </c>
      <c r="N496" s="1">
        <v>1350</v>
      </c>
      <c r="P496" s="1">
        <v>1750</v>
      </c>
      <c r="Q496" s="537" t="s">
        <v>92</v>
      </c>
      <c r="R496" s="1">
        <v>400</v>
      </c>
      <c r="S496"/>
      <c r="T496" t="s">
        <v>65</v>
      </c>
      <c r="U496" t="s">
        <v>2639</v>
      </c>
      <c r="V496" t="s">
        <v>65</v>
      </c>
      <c r="W496" s="1">
        <v>45557</v>
      </c>
      <c r="X496" s="537" t="s">
        <v>65</v>
      </c>
      <c r="Y496" s="537" t="s">
        <v>60</v>
      </c>
      <c r="Z496" s="1" t="s">
        <v>199</v>
      </c>
      <c r="AA496" s="537" t="s">
        <v>509</v>
      </c>
      <c r="AB496" s="537" t="s">
        <v>1964</v>
      </c>
      <c r="AC496" s="1">
        <v>44369</v>
      </c>
      <c r="AD496" s="61">
        <v>44371</v>
      </c>
      <c r="AE496" s="61">
        <v>44559</v>
      </c>
      <c r="AF496" s="61"/>
      <c r="AG496" s="1">
        <v>44378</v>
      </c>
      <c r="AH496" s="537" t="s">
        <v>1791</v>
      </c>
      <c r="AI496" s="537" t="s">
        <v>86</v>
      </c>
      <c r="AJ496" s="1">
        <v>408</v>
      </c>
      <c r="AK496" s="537" t="s">
        <v>87</v>
      </c>
      <c r="AL496" s="1" t="s">
        <v>1792</v>
      </c>
      <c r="AM496" s="537"/>
      <c r="AN496" s="537"/>
    </row>
    <row r="497" spans="1:40" hidden="1">
      <c r="A497" s="537" t="s">
        <v>179</v>
      </c>
      <c r="B497" s="1">
        <v>210701</v>
      </c>
      <c r="D497" s="537" t="s">
        <v>1142</v>
      </c>
      <c r="E497" s="537"/>
      <c r="F497"/>
      <c r="G497"/>
      <c r="H497" s="537" t="s">
        <v>1965</v>
      </c>
      <c r="I497" s="537" t="s">
        <v>1966</v>
      </c>
      <c r="J497" s="537" t="s">
        <v>18</v>
      </c>
      <c r="K497" s="537" t="s">
        <v>57</v>
      </c>
      <c r="L497" s="61">
        <v>34963</v>
      </c>
      <c r="M497" s="1">
        <v>28</v>
      </c>
      <c r="N497" s="1">
        <v>1400</v>
      </c>
      <c r="P497" s="1">
        <v>2000</v>
      </c>
      <c r="Q497" s="537"/>
      <c r="R497" s="1">
        <v>600</v>
      </c>
      <c r="S497"/>
      <c r="T497" t="s">
        <v>65</v>
      </c>
      <c r="U497" t="s">
        <v>2639</v>
      </c>
      <c r="V497" t="s">
        <v>65</v>
      </c>
      <c r="W497" s="1">
        <v>45526</v>
      </c>
      <c r="X497" s="537" t="s">
        <v>65</v>
      </c>
      <c r="Y497" s="537" t="s">
        <v>60</v>
      </c>
      <c r="Z497" s="1" t="s">
        <v>1161</v>
      </c>
      <c r="AA497" s="537" t="s">
        <v>1193</v>
      </c>
      <c r="AB497" s="537" t="s">
        <v>1377</v>
      </c>
      <c r="AC497" s="1">
        <v>44380</v>
      </c>
      <c r="AD497" s="61">
        <v>44378</v>
      </c>
      <c r="AE497" s="61">
        <v>44584</v>
      </c>
      <c r="AF497" s="61"/>
      <c r="AH497" s="537" t="s">
        <v>1793</v>
      </c>
      <c r="AI497" s="537" t="s">
        <v>86</v>
      </c>
      <c r="AJ497" s="1">
        <v>98</v>
      </c>
      <c r="AK497" s="537" t="s">
        <v>1794</v>
      </c>
      <c r="AL497" s="1" t="s">
        <v>1795</v>
      </c>
      <c r="AM497" s="537"/>
      <c r="AN497" s="537"/>
    </row>
    <row r="498" spans="1:40" hidden="1">
      <c r="A498" s="537" t="s">
        <v>179</v>
      </c>
      <c r="B498" s="1">
        <v>210702</v>
      </c>
      <c r="D498" s="537" t="s">
        <v>105</v>
      </c>
      <c r="E498" s="537"/>
      <c r="F498"/>
      <c r="G498"/>
      <c r="H498" s="537" t="s">
        <v>1967</v>
      </c>
      <c r="I498" s="537" t="s">
        <v>1968</v>
      </c>
      <c r="J498" s="537" t="s">
        <v>18</v>
      </c>
      <c r="K498" s="537" t="s">
        <v>57</v>
      </c>
      <c r="L498" s="61">
        <v>34612</v>
      </c>
      <c r="M498" s="1">
        <v>29</v>
      </c>
      <c r="N498" s="1">
        <v>1370</v>
      </c>
      <c r="P498" s="1">
        <v>1770</v>
      </c>
      <c r="Q498" s="537" t="s">
        <v>1824</v>
      </c>
      <c r="R498" s="1">
        <v>400</v>
      </c>
      <c r="S498"/>
      <c r="T498" t="s">
        <v>65</v>
      </c>
      <c r="U498" t="s">
        <v>2639</v>
      </c>
      <c r="V498" t="s">
        <v>65</v>
      </c>
      <c r="W498" s="1">
        <v>45721</v>
      </c>
      <c r="X498" s="537" t="s">
        <v>65</v>
      </c>
      <c r="Y498" s="537" t="s">
        <v>60</v>
      </c>
      <c r="Z498" s="1" t="s">
        <v>84</v>
      </c>
      <c r="AA498" s="537" t="s">
        <v>490</v>
      </c>
      <c r="AB498" s="537" t="s">
        <v>1969</v>
      </c>
      <c r="AC498" s="1">
        <v>44379</v>
      </c>
      <c r="AD498" s="61">
        <v>44382</v>
      </c>
      <c r="AE498" s="61">
        <v>44520</v>
      </c>
      <c r="AF498" s="61"/>
      <c r="AH498" s="537" t="s">
        <v>1791</v>
      </c>
      <c r="AI498" s="537" t="s">
        <v>86</v>
      </c>
      <c r="AJ498" s="1">
        <v>408</v>
      </c>
      <c r="AK498" s="537" t="s">
        <v>87</v>
      </c>
      <c r="AL498" s="1" t="s">
        <v>1792</v>
      </c>
      <c r="AM498" s="537"/>
      <c r="AN498" s="537"/>
    </row>
    <row r="499" spans="1:40" hidden="1">
      <c r="A499" s="537" t="s">
        <v>54</v>
      </c>
      <c r="B499" s="1">
        <v>210705</v>
      </c>
      <c r="D499" s="537" t="s">
        <v>1128</v>
      </c>
      <c r="E499" s="537" t="s">
        <v>1129</v>
      </c>
      <c r="F499"/>
      <c r="G499"/>
      <c r="H499" s="537" t="s">
        <v>1225</v>
      </c>
      <c r="I499" s="537" t="s">
        <v>1226</v>
      </c>
      <c r="J499" s="537" t="s">
        <v>18</v>
      </c>
      <c r="K499" s="537" t="s">
        <v>57</v>
      </c>
      <c r="L499" s="61">
        <v>34528</v>
      </c>
      <c r="M499" s="1">
        <v>29</v>
      </c>
      <c r="N499" s="1">
        <v>1400</v>
      </c>
      <c r="P499" s="1">
        <v>2000</v>
      </c>
      <c r="Q499" s="537" t="s">
        <v>1132</v>
      </c>
      <c r="R499" s="1">
        <v>600</v>
      </c>
      <c r="S499">
        <v>280000</v>
      </c>
      <c r="T499">
        <v>14014</v>
      </c>
      <c r="U499" t="s">
        <v>2639</v>
      </c>
      <c r="V499">
        <v>25620</v>
      </c>
      <c r="W499" s="1">
        <v>45311</v>
      </c>
      <c r="X499" s="537" t="s">
        <v>59</v>
      </c>
      <c r="Y499" s="537" t="s">
        <v>60</v>
      </c>
      <c r="Z499" s="1" t="s">
        <v>1214</v>
      </c>
      <c r="AA499" s="537" t="s">
        <v>1228</v>
      </c>
      <c r="AB499" s="537" t="s">
        <v>1229</v>
      </c>
      <c r="AC499" s="1" t="s">
        <v>63</v>
      </c>
      <c r="AD499" s="61">
        <v>44384</v>
      </c>
      <c r="AE499" s="61"/>
      <c r="AF499" s="61"/>
      <c r="AH499" s="537" t="s">
        <v>1226</v>
      </c>
      <c r="AI499" s="537" t="s">
        <v>86</v>
      </c>
      <c r="AJ499" s="1">
        <v>748</v>
      </c>
      <c r="AK499" s="537" t="s">
        <v>96</v>
      </c>
      <c r="AL499" s="1" t="s">
        <v>1230</v>
      </c>
      <c r="AM499" s="537" t="s">
        <v>64</v>
      </c>
      <c r="AN499" s="537"/>
    </row>
    <row r="500" spans="1:40" hidden="1">
      <c r="A500" s="537" t="s">
        <v>179</v>
      </c>
      <c r="B500" s="1">
        <v>210704</v>
      </c>
      <c r="D500" s="537" t="s">
        <v>1128</v>
      </c>
      <c r="E500" s="537"/>
      <c r="F500"/>
      <c r="G500"/>
      <c r="H500" s="537" t="s">
        <v>446</v>
      </c>
      <c r="I500" s="537" t="s">
        <v>1970</v>
      </c>
      <c r="J500" s="537" t="s">
        <v>18</v>
      </c>
      <c r="K500" s="537" t="s">
        <v>57</v>
      </c>
      <c r="L500" s="61">
        <v>34208</v>
      </c>
      <c r="M500" s="1">
        <v>30</v>
      </c>
      <c r="N500" s="1">
        <v>1400</v>
      </c>
      <c r="P500" s="1">
        <v>1900</v>
      </c>
      <c r="Q500" s="537"/>
      <c r="R500" s="1">
        <v>500</v>
      </c>
      <c r="S500"/>
      <c r="T500" t="s">
        <v>65</v>
      </c>
      <c r="U500" t="s">
        <v>2639</v>
      </c>
      <c r="V500" t="s">
        <v>65</v>
      </c>
      <c r="W500" s="1">
        <v>45492</v>
      </c>
      <c r="X500" s="537" t="s">
        <v>65</v>
      </c>
      <c r="Y500" s="537" t="s">
        <v>60</v>
      </c>
      <c r="Z500" s="1" t="s">
        <v>1227</v>
      </c>
      <c r="AA500" s="537" t="s">
        <v>1725</v>
      </c>
      <c r="AB500" s="537" t="s">
        <v>1971</v>
      </c>
      <c r="AC500" s="1">
        <v>44382</v>
      </c>
      <c r="AD500" s="61">
        <v>44384</v>
      </c>
      <c r="AE500" s="61">
        <v>44649</v>
      </c>
      <c r="AF500" s="61"/>
      <c r="AH500" s="537" t="s">
        <v>1793</v>
      </c>
      <c r="AI500" s="537" t="s">
        <v>86</v>
      </c>
      <c r="AJ500" s="1">
        <v>98</v>
      </c>
      <c r="AK500" s="537" t="s">
        <v>1794</v>
      </c>
      <c r="AL500" s="1" t="s">
        <v>1795</v>
      </c>
      <c r="AM500" s="537" t="s">
        <v>64</v>
      </c>
      <c r="AN500" s="537"/>
    </row>
    <row r="501" spans="1:40" hidden="1">
      <c r="A501" s="537" t="s">
        <v>179</v>
      </c>
      <c r="B501" s="1">
        <v>210707</v>
      </c>
      <c r="D501" s="537" t="s">
        <v>1066</v>
      </c>
      <c r="E501" s="537" t="s">
        <v>2376</v>
      </c>
      <c r="F501" t="s">
        <v>804</v>
      </c>
      <c r="G501"/>
      <c r="H501" s="537" t="s">
        <v>1232</v>
      </c>
      <c r="I501" s="537" t="s">
        <v>1233</v>
      </c>
      <c r="J501" s="537" t="s">
        <v>18</v>
      </c>
      <c r="K501" s="537" t="s">
        <v>57</v>
      </c>
      <c r="L501" s="61">
        <v>35717</v>
      </c>
      <c r="M501" s="1">
        <v>26</v>
      </c>
      <c r="N501" s="1">
        <v>1300</v>
      </c>
      <c r="O501" s="1" t="s">
        <v>1183</v>
      </c>
      <c r="P501" s="1">
        <v>1700</v>
      </c>
      <c r="Q501" s="537"/>
      <c r="R501" s="1">
        <v>400</v>
      </c>
      <c r="S501"/>
      <c r="T501" t="s">
        <v>65</v>
      </c>
      <c r="U501" t="s">
        <v>2639</v>
      </c>
      <c r="V501" t="s">
        <v>65</v>
      </c>
      <c r="W501" s="1">
        <v>44988</v>
      </c>
      <c r="X501" s="537" t="s">
        <v>59</v>
      </c>
      <c r="Y501" s="537" t="s">
        <v>60</v>
      </c>
      <c r="Z501" s="1" t="s">
        <v>1070</v>
      </c>
      <c r="AA501" s="537" t="s">
        <v>1071</v>
      </c>
      <c r="AB501" s="537" t="s">
        <v>1234</v>
      </c>
      <c r="AC501" s="1">
        <v>44390</v>
      </c>
      <c r="AD501" s="61">
        <v>44391</v>
      </c>
      <c r="AE501" s="61">
        <v>44680</v>
      </c>
      <c r="AF501" s="61"/>
      <c r="AH501" s="537" t="s">
        <v>1235</v>
      </c>
      <c r="AI501" s="537" t="s">
        <v>86</v>
      </c>
      <c r="AJ501" s="1">
        <v>208</v>
      </c>
      <c r="AK501" s="537" t="s">
        <v>151</v>
      </c>
      <c r="AL501" s="1" t="s">
        <v>1236</v>
      </c>
      <c r="AM501" s="537" t="s">
        <v>64</v>
      </c>
      <c r="AN501" s="537"/>
    </row>
    <row r="502" spans="1:40" hidden="1">
      <c r="A502" s="537" t="s">
        <v>179</v>
      </c>
      <c r="B502" s="1">
        <v>210710</v>
      </c>
      <c r="D502" s="537" t="s">
        <v>2640</v>
      </c>
      <c r="E502" s="537"/>
      <c r="F502"/>
      <c r="G502"/>
      <c r="H502" s="537" t="s">
        <v>1972</v>
      </c>
      <c r="I502" s="537" t="s">
        <v>1973</v>
      </c>
      <c r="J502" s="537" t="s">
        <v>18</v>
      </c>
      <c r="K502" s="537" t="s">
        <v>57</v>
      </c>
      <c r="L502" s="61">
        <v>33139</v>
      </c>
      <c r="M502" s="1">
        <v>33</v>
      </c>
      <c r="N502" s="1">
        <v>1400</v>
      </c>
      <c r="P502" s="1">
        <v>1990</v>
      </c>
      <c r="Q502" s="537"/>
      <c r="R502" s="1">
        <v>590</v>
      </c>
      <c r="S502"/>
      <c r="T502" t="s">
        <v>65</v>
      </c>
      <c r="U502" t="s">
        <v>2639</v>
      </c>
      <c r="V502" t="s">
        <v>65</v>
      </c>
      <c r="W502" s="1">
        <v>45441</v>
      </c>
      <c r="X502" s="537" t="s">
        <v>65</v>
      </c>
      <c r="Y502" s="537" t="s">
        <v>60</v>
      </c>
      <c r="Z502" s="1" t="s">
        <v>1974</v>
      </c>
      <c r="AA502" s="537" t="s">
        <v>1975</v>
      </c>
      <c r="AB502" s="537" t="s">
        <v>1976</v>
      </c>
      <c r="AC502" s="1" t="s">
        <v>63</v>
      </c>
      <c r="AD502" s="61">
        <v>44396</v>
      </c>
      <c r="AE502" s="61">
        <v>44652</v>
      </c>
      <c r="AF502" s="61"/>
      <c r="AG502" s="1">
        <v>44470</v>
      </c>
      <c r="AH502" s="537" t="s">
        <v>1791</v>
      </c>
      <c r="AI502" s="537" t="s">
        <v>86</v>
      </c>
      <c r="AJ502" s="1">
        <v>408</v>
      </c>
      <c r="AK502" s="537" t="s">
        <v>87</v>
      </c>
      <c r="AL502" s="1" t="s">
        <v>1792</v>
      </c>
      <c r="AM502" s="537" t="s">
        <v>64</v>
      </c>
      <c r="AN502" s="537"/>
    </row>
    <row r="503" spans="1:40" hidden="1">
      <c r="A503" s="537" t="s">
        <v>179</v>
      </c>
      <c r="B503" s="1">
        <v>210804</v>
      </c>
      <c r="D503" s="537" t="s">
        <v>180</v>
      </c>
      <c r="E503" s="537"/>
      <c r="F503"/>
      <c r="G503"/>
      <c r="H503" s="537" t="s">
        <v>1977</v>
      </c>
      <c r="I503" s="537" t="s">
        <v>1978</v>
      </c>
      <c r="J503" s="537" t="s">
        <v>18</v>
      </c>
      <c r="K503" s="537" t="s">
        <v>57</v>
      </c>
      <c r="L503" s="61">
        <v>33813</v>
      </c>
      <c r="M503" s="1">
        <v>31</v>
      </c>
      <c r="N503" s="1">
        <v>1500</v>
      </c>
      <c r="O503" s="1" t="s">
        <v>299</v>
      </c>
      <c r="P503" s="1">
        <v>2300</v>
      </c>
      <c r="Q503" s="537"/>
      <c r="R503" s="1">
        <v>800</v>
      </c>
      <c r="S503"/>
      <c r="T503" t="s">
        <v>65</v>
      </c>
      <c r="U503" t="s">
        <v>2639</v>
      </c>
      <c r="V503" t="s">
        <v>65</v>
      </c>
      <c r="W503" s="1">
        <v>44751</v>
      </c>
      <c r="X503" s="537" t="s">
        <v>59</v>
      </c>
      <c r="Y503" s="537" t="s">
        <v>60</v>
      </c>
      <c r="Z503" s="1" t="s">
        <v>210</v>
      </c>
      <c r="AA503" s="537" t="s">
        <v>211</v>
      </c>
      <c r="AB503" s="537" t="s">
        <v>304</v>
      </c>
      <c r="AC503" s="1">
        <v>44413</v>
      </c>
      <c r="AD503" s="61">
        <v>44424</v>
      </c>
      <c r="AE503" s="61">
        <v>44617</v>
      </c>
      <c r="AF503" s="61"/>
      <c r="AG503" s="1">
        <v>44470</v>
      </c>
      <c r="AH503" s="537" t="s">
        <v>1791</v>
      </c>
      <c r="AI503" s="537" t="s">
        <v>86</v>
      </c>
      <c r="AJ503" s="1">
        <v>408</v>
      </c>
      <c r="AK503" s="537" t="s">
        <v>87</v>
      </c>
      <c r="AL503" s="1" t="s">
        <v>1792</v>
      </c>
      <c r="AM503" s="537"/>
      <c r="AN503" s="537"/>
    </row>
    <row r="504" spans="1:40" hidden="1">
      <c r="A504" s="537" t="s">
        <v>179</v>
      </c>
      <c r="B504" s="1">
        <v>210809</v>
      </c>
      <c r="D504" s="537" t="s">
        <v>88</v>
      </c>
      <c r="E504" s="537"/>
      <c r="F504"/>
      <c r="G504"/>
      <c r="H504" s="537" t="s">
        <v>1979</v>
      </c>
      <c r="I504" s="537" t="s">
        <v>1980</v>
      </c>
      <c r="J504" s="537" t="s">
        <v>18</v>
      </c>
      <c r="K504" s="537" t="s">
        <v>57</v>
      </c>
      <c r="L504" s="61">
        <v>34444</v>
      </c>
      <c r="M504" s="1">
        <v>29</v>
      </c>
      <c r="N504" s="1">
        <v>1350</v>
      </c>
      <c r="P504" s="1">
        <v>1750</v>
      </c>
      <c r="Q504" s="537" t="s">
        <v>92</v>
      </c>
      <c r="R504" s="1">
        <v>400</v>
      </c>
      <c r="S504"/>
      <c r="T504" t="s">
        <v>65</v>
      </c>
      <c r="U504" t="s">
        <v>2639</v>
      </c>
      <c r="V504" t="s">
        <v>65</v>
      </c>
      <c r="W504" s="1">
        <v>45377</v>
      </c>
      <c r="X504" s="537" t="s">
        <v>65</v>
      </c>
      <c r="Y504" s="537" t="s">
        <v>60</v>
      </c>
      <c r="Z504" s="1" t="s">
        <v>1006</v>
      </c>
      <c r="AA504" s="537" t="s">
        <v>1116</v>
      </c>
      <c r="AB504" s="537" t="s">
        <v>1669</v>
      </c>
      <c r="AC504" s="1">
        <v>44421</v>
      </c>
      <c r="AD504" s="61">
        <v>44424</v>
      </c>
      <c r="AE504" s="61">
        <v>44616</v>
      </c>
      <c r="AF504" s="61">
        <v>44619</v>
      </c>
      <c r="AG504" s="1">
        <v>44470</v>
      </c>
      <c r="AH504" s="537" t="s">
        <v>1793</v>
      </c>
      <c r="AI504" s="537" t="s">
        <v>86</v>
      </c>
      <c r="AJ504" s="1">
        <v>98</v>
      </c>
      <c r="AK504" s="537" t="s">
        <v>1794</v>
      </c>
      <c r="AL504" s="1" t="s">
        <v>1795</v>
      </c>
      <c r="AM504" s="537"/>
      <c r="AN504" s="537"/>
    </row>
    <row r="505" spans="1:40" hidden="1">
      <c r="A505" s="537" t="s">
        <v>179</v>
      </c>
      <c r="B505" s="1">
        <v>210817</v>
      </c>
      <c r="D505" s="537" t="s">
        <v>159</v>
      </c>
      <c r="E505" s="537"/>
      <c r="F505"/>
      <c r="G505"/>
      <c r="H505" s="537" t="s">
        <v>1981</v>
      </c>
      <c r="I505" s="537" t="s">
        <v>1982</v>
      </c>
      <c r="J505" s="537" t="s">
        <v>18</v>
      </c>
      <c r="K505" s="537" t="s">
        <v>57</v>
      </c>
      <c r="L505" s="61">
        <v>35386</v>
      </c>
      <c r="M505" s="1">
        <v>27</v>
      </c>
      <c r="N505" s="1">
        <v>1360</v>
      </c>
      <c r="P505" s="1">
        <v>1760</v>
      </c>
      <c r="Q505" s="537" t="s">
        <v>83</v>
      </c>
      <c r="R505" s="1">
        <v>400</v>
      </c>
      <c r="S505"/>
      <c r="T505" t="s">
        <v>65</v>
      </c>
      <c r="U505" t="s">
        <v>2639</v>
      </c>
      <c r="V505" t="s">
        <v>65</v>
      </c>
      <c r="W505" s="1">
        <v>45180</v>
      </c>
      <c r="X505" s="537" t="s">
        <v>59</v>
      </c>
      <c r="Y505" s="537" t="s">
        <v>60</v>
      </c>
      <c r="Z505" s="1" t="s">
        <v>427</v>
      </c>
      <c r="AA505" s="537" t="s">
        <v>428</v>
      </c>
      <c r="AB505" s="537" t="s">
        <v>429</v>
      </c>
      <c r="AC505" s="1">
        <v>44429</v>
      </c>
      <c r="AD505" s="61">
        <v>44431</v>
      </c>
      <c r="AE505" s="61">
        <v>44659</v>
      </c>
      <c r="AF505" s="61"/>
      <c r="AG505" s="1">
        <v>44501</v>
      </c>
      <c r="AH505" s="537" t="s">
        <v>1791</v>
      </c>
      <c r="AI505" s="537" t="s">
        <v>86</v>
      </c>
      <c r="AJ505" s="1">
        <v>408</v>
      </c>
      <c r="AK505" s="537" t="s">
        <v>87</v>
      </c>
      <c r="AL505" s="1" t="s">
        <v>1792</v>
      </c>
      <c r="AM505" s="537" t="s">
        <v>64</v>
      </c>
      <c r="AN505" s="537"/>
    </row>
    <row r="506" spans="1:40" hidden="1">
      <c r="A506" s="537" t="s">
        <v>179</v>
      </c>
      <c r="B506" s="1">
        <v>210819</v>
      </c>
      <c r="D506" s="537" t="s">
        <v>180</v>
      </c>
      <c r="E506" s="537"/>
      <c r="F506"/>
      <c r="G506"/>
      <c r="H506" s="537" t="s">
        <v>1983</v>
      </c>
      <c r="I506" s="537" t="s">
        <v>1984</v>
      </c>
      <c r="J506" s="537" t="s">
        <v>18</v>
      </c>
      <c r="K506" s="537" t="s">
        <v>57</v>
      </c>
      <c r="L506" s="61">
        <v>34878</v>
      </c>
      <c r="M506" s="1">
        <v>28</v>
      </c>
      <c r="N506" s="1">
        <v>1500</v>
      </c>
      <c r="O506" s="1" t="s">
        <v>1985</v>
      </c>
      <c r="P506" s="1">
        <v>2300</v>
      </c>
      <c r="Q506" s="537"/>
      <c r="R506" s="1">
        <v>800</v>
      </c>
      <c r="S506"/>
      <c r="T506" t="s">
        <v>65</v>
      </c>
      <c r="U506" t="s">
        <v>2639</v>
      </c>
      <c r="V506" t="s">
        <v>65</v>
      </c>
      <c r="W506" s="1">
        <v>45560</v>
      </c>
      <c r="X506" s="537" t="s">
        <v>65</v>
      </c>
      <c r="Y506" s="537" t="s">
        <v>60</v>
      </c>
      <c r="Z506" s="1" t="s">
        <v>215</v>
      </c>
      <c r="AA506" s="537" t="s">
        <v>323</v>
      </c>
      <c r="AB506" s="537" t="s">
        <v>324</v>
      </c>
      <c r="AC506" s="1">
        <v>44431</v>
      </c>
      <c r="AD506" s="61">
        <v>44434</v>
      </c>
      <c r="AE506" s="61">
        <v>44592</v>
      </c>
      <c r="AF506" s="61"/>
      <c r="AG506" s="1">
        <v>44501</v>
      </c>
      <c r="AH506" s="537" t="s">
        <v>1793</v>
      </c>
      <c r="AI506" s="537" t="s">
        <v>86</v>
      </c>
      <c r="AJ506" s="1">
        <v>98</v>
      </c>
      <c r="AK506" s="537" t="s">
        <v>1794</v>
      </c>
      <c r="AL506" s="1" t="s">
        <v>1795</v>
      </c>
      <c r="AM506" s="537"/>
      <c r="AN506" s="537"/>
    </row>
    <row r="507" spans="1:40" hidden="1">
      <c r="A507" s="537" t="s">
        <v>54</v>
      </c>
      <c r="B507" s="1">
        <v>210906</v>
      </c>
      <c r="D507" s="537" t="s">
        <v>962</v>
      </c>
      <c r="E507" s="537" t="s">
        <v>3043</v>
      </c>
      <c r="F507" s="1" t="s">
        <v>3044</v>
      </c>
      <c r="G507" t="s">
        <v>3045</v>
      </c>
      <c r="H507" s="537" t="s">
        <v>1310</v>
      </c>
      <c r="I507" s="537" t="s">
        <v>1311</v>
      </c>
      <c r="J507" s="537" t="s">
        <v>18</v>
      </c>
      <c r="K507" s="537" t="s">
        <v>57</v>
      </c>
      <c r="L507" s="61">
        <v>32441</v>
      </c>
      <c r="M507" s="1">
        <v>35</v>
      </c>
      <c r="N507" s="1">
        <v>1300</v>
      </c>
      <c r="P507" s="1">
        <v>1650</v>
      </c>
      <c r="Q507" s="537" t="s">
        <v>954</v>
      </c>
      <c r="R507" s="1">
        <v>350</v>
      </c>
      <c r="S507">
        <v>280000</v>
      </c>
      <c r="T507">
        <v>14014</v>
      </c>
      <c r="U507" t="s">
        <v>2639</v>
      </c>
      <c r="V507">
        <v>25620</v>
      </c>
      <c r="W507" s="1">
        <v>45300</v>
      </c>
      <c r="X507" s="537" t="s">
        <v>59</v>
      </c>
      <c r="Y507" s="537" t="s">
        <v>60</v>
      </c>
      <c r="Z507" s="1" t="s">
        <v>1312</v>
      </c>
      <c r="AA507" s="537" t="s">
        <v>1313</v>
      </c>
      <c r="AB507" s="537" t="s">
        <v>1314</v>
      </c>
      <c r="AC507" s="1">
        <v>44464</v>
      </c>
      <c r="AD507" s="61">
        <v>44455</v>
      </c>
      <c r="AE507" s="61"/>
      <c r="AF507" s="61"/>
      <c r="AG507" s="1">
        <v>44531</v>
      </c>
      <c r="AH507" s="537" t="s">
        <v>1315</v>
      </c>
      <c r="AI507" s="537" t="s">
        <v>86</v>
      </c>
      <c r="AJ507" s="1">
        <v>248</v>
      </c>
      <c r="AK507" s="537" t="s">
        <v>224</v>
      </c>
      <c r="AL507" s="1" t="s">
        <v>1316</v>
      </c>
      <c r="AM507" s="537" t="s">
        <v>64</v>
      </c>
      <c r="AN507" s="537"/>
    </row>
    <row r="508" spans="1:40" hidden="1">
      <c r="A508" s="537" t="s">
        <v>54</v>
      </c>
      <c r="B508" s="1">
        <v>210908</v>
      </c>
      <c r="D508" s="537" t="s">
        <v>1019</v>
      </c>
      <c r="E508" s="537" t="s">
        <v>1317</v>
      </c>
      <c r="F508"/>
      <c r="G508"/>
      <c r="H508" s="537" t="s">
        <v>1318</v>
      </c>
      <c r="I508" s="537" t="s">
        <v>1319</v>
      </c>
      <c r="J508" s="537" t="s">
        <v>18</v>
      </c>
      <c r="K508" s="537" t="s">
        <v>57</v>
      </c>
      <c r="L508" s="61">
        <v>34397</v>
      </c>
      <c r="M508" s="1">
        <v>29</v>
      </c>
      <c r="N508" s="1">
        <v>1600</v>
      </c>
      <c r="O508" s="1" t="s">
        <v>1320</v>
      </c>
      <c r="P508" s="1">
        <v>2100</v>
      </c>
      <c r="Q508" s="537"/>
      <c r="R508" s="1">
        <v>500</v>
      </c>
      <c r="S508">
        <v>410000</v>
      </c>
      <c r="T508">
        <v>20520.5</v>
      </c>
      <c r="U508" t="s">
        <v>2639</v>
      </c>
      <c r="V508">
        <v>37515</v>
      </c>
      <c r="W508" s="1">
        <v>46288</v>
      </c>
      <c r="X508" s="537" t="s">
        <v>65</v>
      </c>
      <c r="Y508" s="537" t="s">
        <v>60</v>
      </c>
      <c r="Z508" s="1" t="s">
        <v>1321</v>
      </c>
      <c r="AA508" s="537" t="s">
        <v>1322</v>
      </c>
      <c r="AB508" s="537" t="s">
        <v>1323</v>
      </c>
      <c r="AC508" s="1">
        <v>44455</v>
      </c>
      <c r="AD508" s="61">
        <v>44459</v>
      </c>
      <c r="AE508" s="61"/>
      <c r="AF508" s="61"/>
      <c r="AG508" s="1">
        <v>44531</v>
      </c>
      <c r="AH508" s="537" t="s">
        <v>1324</v>
      </c>
      <c r="AI508" s="537" t="s">
        <v>86</v>
      </c>
      <c r="AJ508" s="1">
        <v>448</v>
      </c>
      <c r="AK508" s="537" t="s">
        <v>1325</v>
      </c>
      <c r="AL508" s="1" t="s">
        <v>1326</v>
      </c>
      <c r="AM508" s="537" t="s">
        <v>64</v>
      </c>
      <c r="AN508" s="537"/>
    </row>
    <row r="509" spans="1:40" hidden="1">
      <c r="A509" s="537" t="s">
        <v>179</v>
      </c>
      <c r="B509" s="1">
        <v>210907</v>
      </c>
      <c r="D509" s="537" t="s">
        <v>2655</v>
      </c>
      <c r="E509" s="537"/>
      <c r="F509"/>
      <c r="G509"/>
      <c r="H509" s="537" t="s">
        <v>1986</v>
      </c>
      <c r="I509" s="537" t="s">
        <v>1987</v>
      </c>
      <c r="J509" s="537" t="s">
        <v>18</v>
      </c>
      <c r="K509" s="537" t="s">
        <v>57</v>
      </c>
      <c r="L509" s="61">
        <v>33320</v>
      </c>
      <c r="M509" s="1">
        <v>32</v>
      </c>
      <c r="N509" s="1">
        <v>1400</v>
      </c>
      <c r="P509" s="1">
        <v>1990</v>
      </c>
      <c r="Q509" s="537" t="s">
        <v>1904</v>
      </c>
      <c r="R509" s="1">
        <v>590</v>
      </c>
      <c r="S509"/>
      <c r="T509" t="s">
        <v>65</v>
      </c>
      <c r="U509" t="s">
        <v>2639</v>
      </c>
      <c r="V509" t="s">
        <v>65</v>
      </c>
      <c r="W509" s="1">
        <v>44939</v>
      </c>
      <c r="X509" s="537" t="s">
        <v>59</v>
      </c>
      <c r="Y509" s="537" t="s">
        <v>60</v>
      </c>
      <c r="Z509" s="1" t="s">
        <v>1100</v>
      </c>
      <c r="AA509" s="537" t="s">
        <v>1101</v>
      </c>
      <c r="AB509" s="537" t="s">
        <v>1102</v>
      </c>
      <c r="AC509" s="1">
        <v>44458</v>
      </c>
      <c r="AD509" s="61">
        <v>44459</v>
      </c>
      <c r="AE509" s="61">
        <v>44466</v>
      </c>
      <c r="AF509" s="61">
        <v>44467</v>
      </c>
      <c r="AH509" s="537" t="s">
        <v>1791</v>
      </c>
      <c r="AI509" s="537" t="s">
        <v>86</v>
      </c>
      <c r="AJ509" s="1">
        <v>408</v>
      </c>
      <c r="AK509" s="537" t="s">
        <v>87</v>
      </c>
      <c r="AL509" s="1" t="s">
        <v>1792</v>
      </c>
      <c r="AM509" s="537"/>
      <c r="AN509" s="537"/>
    </row>
    <row r="510" spans="1:40" hidden="1">
      <c r="A510" s="537" t="s">
        <v>179</v>
      </c>
      <c r="B510" s="1">
        <v>210916</v>
      </c>
      <c r="D510" s="537" t="s">
        <v>79</v>
      </c>
      <c r="E510" s="537"/>
      <c r="F510"/>
      <c r="G510"/>
      <c r="H510" s="537" t="s">
        <v>1988</v>
      </c>
      <c r="I510" s="537" t="s">
        <v>1989</v>
      </c>
      <c r="J510" s="537" t="s">
        <v>18</v>
      </c>
      <c r="K510" s="537" t="s">
        <v>939</v>
      </c>
      <c r="L510" s="61">
        <v>24131</v>
      </c>
      <c r="M510" s="1">
        <v>57</v>
      </c>
      <c r="N510" s="1">
        <v>1400</v>
      </c>
      <c r="P510" s="1">
        <v>1650</v>
      </c>
      <c r="Q510" s="537" t="s">
        <v>1990</v>
      </c>
      <c r="R510" s="1">
        <v>250</v>
      </c>
      <c r="S510"/>
      <c r="T510" t="s">
        <v>65</v>
      </c>
      <c r="U510" t="s">
        <v>65</v>
      </c>
      <c r="V510" t="s">
        <v>65</v>
      </c>
      <c r="W510" s="1">
        <v>46555</v>
      </c>
      <c r="X510" s="537" t="s">
        <v>65</v>
      </c>
      <c r="Y510" s="537" t="s">
        <v>71</v>
      </c>
      <c r="Z510" s="1" t="s">
        <v>84</v>
      </c>
      <c r="AA510" s="537" t="s">
        <v>109</v>
      </c>
      <c r="AB510" s="537" t="s">
        <v>377</v>
      </c>
      <c r="AC510" s="1">
        <v>44457</v>
      </c>
      <c r="AD510" s="61">
        <v>44460</v>
      </c>
      <c r="AE510" s="61">
        <v>44463</v>
      </c>
      <c r="AF510" s="61">
        <v>44465</v>
      </c>
      <c r="AH510" s="537" t="s">
        <v>1793</v>
      </c>
      <c r="AI510" s="537" t="s">
        <v>86</v>
      </c>
      <c r="AJ510" s="1">
        <v>98</v>
      </c>
      <c r="AK510" s="537" t="s">
        <v>1794</v>
      </c>
      <c r="AL510" s="1" t="s">
        <v>1795</v>
      </c>
      <c r="AM510" s="537"/>
      <c r="AN510" s="537"/>
    </row>
    <row r="511" spans="1:40" hidden="1">
      <c r="A511" s="537" t="s">
        <v>179</v>
      </c>
      <c r="B511" s="1">
        <v>210913</v>
      </c>
      <c r="D511" s="537" t="s">
        <v>935</v>
      </c>
      <c r="E511" s="537"/>
      <c r="F511"/>
      <c r="G511"/>
      <c r="H511" s="537" t="s">
        <v>1991</v>
      </c>
      <c r="I511" s="537" t="s">
        <v>1992</v>
      </c>
      <c r="J511" s="537" t="s">
        <v>18</v>
      </c>
      <c r="K511" s="537" t="s">
        <v>939</v>
      </c>
      <c r="L511" s="61">
        <v>29484</v>
      </c>
      <c r="M511" s="1">
        <v>43</v>
      </c>
      <c r="N511" s="1">
        <v>1400</v>
      </c>
      <c r="O511" s="1" t="s">
        <v>1993</v>
      </c>
      <c r="P511" s="1">
        <v>1872</v>
      </c>
      <c r="Q511" s="537"/>
      <c r="R511" s="1">
        <v>472</v>
      </c>
      <c r="S511"/>
      <c r="T511" t="s">
        <v>65</v>
      </c>
      <c r="U511" t="s">
        <v>65</v>
      </c>
      <c r="V511" t="s">
        <v>65</v>
      </c>
      <c r="W511" s="1">
        <v>46164</v>
      </c>
      <c r="X511" s="537" t="s">
        <v>65</v>
      </c>
      <c r="Y511" s="537" t="s">
        <v>71</v>
      </c>
      <c r="Z511" s="1" t="s">
        <v>1994</v>
      </c>
      <c r="AA511" s="537" t="s">
        <v>1995</v>
      </c>
      <c r="AB511" s="537" t="s">
        <v>1996</v>
      </c>
      <c r="AD511" s="61">
        <v>44466</v>
      </c>
      <c r="AE511" s="61">
        <v>44544</v>
      </c>
      <c r="AF511" s="61"/>
      <c r="AG511" s="1">
        <v>44531</v>
      </c>
      <c r="AH511" s="537" t="s">
        <v>1791</v>
      </c>
      <c r="AI511" s="537" t="s">
        <v>86</v>
      </c>
      <c r="AJ511" s="1">
        <v>408</v>
      </c>
      <c r="AK511" s="537" t="s">
        <v>87</v>
      </c>
      <c r="AL511" s="1" t="s">
        <v>1792</v>
      </c>
      <c r="AM511" s="537"/>
      <c r="AN511" s="537"/>
    </row>
    <row r="512" spans="1:40" hidden="1">
      <c r="A512" s="537" t="s">
        <v>179</v>
      </c>
      <c r="B512" s="1">
        <v>210915</v>
      </c>
      <c r="D512" s="537" t="s">
        <v>88</v>
      </c>
      <c r="E512" s="537"/>
      <c r="F512"/>
      <c r="G512"/>
      <c r="H512" s="537" t="s">
        <v>1997</v>
      </c>
      <c r="I512" s="537" t="s">
        <v>1482</v>
      </c>
      <c r="J512" s="537" t="s">
        <v>18</v>
      </c>
      <c r="K512" s="537" t="s">
        <v>57</v>
      </c>
      <c r="L512" s="61">
        <v>34934</v>
      </c>
      <c r="M512" s="1">
        <v>28</v>
      </c>
      <c r="N512" s="1">
        <v>1250</v>
      </c>
      <c r="P512" s="1">
        <v>1600</v>
      </c>
      <c r="Q512" s="537" t="s">
        <v>1880</v>
      </c>
      <c r="R512" s="1">
        <v>350</v>
      </c>
      <c r="S512"/>
      <c r="T512" t="s">
        <v>65</v>
      </c>
      <c r="U512" t="s">
        <v>2639</v>
      </c>
      <c r="V512" t="s">
        <v>65</v>
      </c>
      <c r="W512" s="1">
        <v>45246</v>
      </c>
      <c r="X512" s="537" t="s">
        <v>59</v>
      </c>
      <c r="Y512" s="537" t="s">
        <v>60</v>
      </c>
      <c r="Z512" s="1" t="s">
        <v>93</v>
      </c>
      <c r="AA512" s="537" t="s">
        <v>1334</v>
      </c>
      <c r="AB512" s="537" t="s">
        <v>1335</v>
      </c>
      <c r="AC512" s="1">
        <v>44464</v>
      </c>
      <c r="AD512" s="61">
        <v>44466</v>
      </c>
      <c r="AE512" s="61">
        <v>44468</v>
      </c>
      <c r="AF512" s="61">
        <v>44468</v>
      </c>
      <c r="AH512" s="537" t="s">
        <v>1793</v>
      </c>
      <c r="AI512" s="537" t="s">
        <v>86</v>
      </c>
      <c r="AJ512" s="1">
        <v>98</v>
      </c>
      <c r="AK512" s="537" t="s">
        <v>1794</v>
      </c>
      <c r="AL512" s="1" t="s">
        <v>1795</v>
      </c>
      <c r="AM512" s="537"/>
      <c r="AN512" s="537"/>
    </row>
    <row r="513" spans="1:40" hidden="1">
      <c r="A513" s="537" t="s">
        <v>179</v>
      </c>
      <c r="B513" s="1">
        <v>211008</v>
      </c>
      <c r="D513" s="537" t="s">
        <v>88</v>
      </c>
      <c r="E513" s="537" t="s">
        <v>1317</v>
      </c>
      <c r="F513" t="s">
        <v>803</v>
      </c>
      <c r="G513"/>
      <c r="H513" s="537" t="s">
        <v>1361</v>
      </c>
      <c r="I513" s="537" t="s">
        <v>1362</v>
      </c>
      <c r="J513" s="537" t="s">
        <v>18</v>
      </c>
      <c r="K513" s="537" t="s">
        <v>57</v>
      </c>
      <c r="L513" s="61">
        <v>33027</v>
      </c>
      <c r="M513" s="1">
        <v>33</v>
      </c>
      <c r="N513" s="1">
        <v>1600</v>
      </c>
      <c r="O513" s="1" t="s">
        <v>1363</v>
      </c>
      <c r="P513" s="1">
        <v>2100</v>
      </c>
      <c r="Q513" s="537"/>
      <c r="R513" s="1">
        <v>500</v>
      </c>
      <c r="S513"/>
      <c r="T513" t="s">
        <v>65</v>
      </c>
      <c r="U513" t="s">
        <v>2639</v>
      </c>
      <c r="V513" t="s">
        <v>65</v>
      </c>
      <c r="W513" s="1">
        <v>44896</v>
      </c>
      <c r="X513" s="537" t="s">
        <v>59</v>
      </c>
      <c r="Y513" s="537" t="s">
        <v>60</v>
      </c>
      <c r="Z513" s="1" t="s">
        <v>1321</v>
      </c>
      <c r="AA513" s="537" t="s">
        <v>1322</v>
      </c>
      <c r="AB513" s="537" t="s">
        <v>1364</v>
      </c>
      <c r="AC513" s="1">
        <v>44470</v>
      </c>
      <c r="AD513" s="61">
        <v>44473</v>
      </c>
      <c r="AE513" s="61">
        <v>44740</v>
      </c>
      <c r="AF513" s="61"/>
      <c r="AG513" s="1">
        <v>44531</v>
      </c>
      <c r="AH513" s="537" t="s">
        <v>1365</v>
      </c>
      <c r="AI513" s="537" t="s">
        <v>86</v>
      </c>
      <c r="AJ513" s="1">
        <v>48</v>
      </c>
      <c r="AK513" s="537" t="s">
        <v>155</v>
      </c>
      <c r="AL513" s="1" t="s">
        <v>1366</v>
      </c>
      <c r="AM513" s="537" t="s">
        <v>64</v>
      </c>
      <c r="AN513" s="537"/>
    </row>
    <row r="514" spans="1:40" hidden="1">
      <c r="A514" s="537" t="s">
        <v>179</v>
      </c>
      <c r="B514" s="1">
        <v>211009</v>
      </c>
      <c r="D514" s="537" t="s">
        <v>2638</v>
      </c>
      <c r="E514" s="537"/>
      <c r="F514"/>
      <c r="G514"/>
      <c r="H514" s="537" t="s">
        <v>1998</v>
      </c>
      <c r="I514" s="537" t="s">
        <v>1999</v>
      </c>
      <c r="J514" s="537" t="s">
        <v>17</v>
      </c>
      <c r="K514" s="537" t="s">
        <v>57</v>
      </c>
      <c r="L514" s="61">
        <v>35034</v>
      </c>
      <c r="M514" s="1">
        <v>28</v>
      </c>
      <c r="N514" s="1">
        <v>1300</v>
      </c>
      <c r="P514" s="1">
        <v>1800</v>
      </c>
      <c r="Q514" s="537"/>
      <c r="R514" s="1">
        <v>500</v>
      </c>
      <c r="S514"/>
      <c r="T514" t="s">
        <v>65</v>
      </c>
      <c r="U514" t="s">
        <v>2639</v>
      </c>
      <c r="V514" t="s">
        <v>65</v>
      </c>
      <c r="W514" s="1">
        <v>44667</v>
      </c>
      <c r="X514" s="537" t="s">
        <v>59</v>
      </c>
      <c r="Y514" s="537" t="s">
        <v>60</v>
      </c>
      <c r="Z514" s="1" t="s">
        <v>2000</v>
      </c>
      <c r="AA514" s="537" t="s">
        <v>2001</v>
      </c>
      <c r="AB514" s="537" t="s">
        <v>2002</v>
      </c>
      <c r="AD514" s="61">
        <v>44474</v>
      </c>
      <c r="AE514" s="61">
        <v>44581</v>
      </c>
      <c r="AF514" s="61"/>
      <c r="AG514" s="1">
        <v>44531</v>
      </c>
      <c r="AH514" s="537" t="s">
        <v>1791</v>
      </c>
      <c r="AI514" s="537" t="s">
        <v>86</v>
      </c>
      <c r="AJ514" s="1">
        <v>408</v>
      </c>
      <c r="AK514" s="537" t="s">
        <v>87</v>
      </c>
      <c r="AL514" s="1" t="s">
        <v>1792</v>
      </c>
      <c r="AM514" s="537"/>
      <c r="AN514" s="537"/>
    </row>
    <row r="515" spans="1:40" hidden="1">
      <c r="A515" s="537" t="s">
        <v>179</v>
      </c>
      <c r="B515" s="1">
        <v>211014</v>
      </c>
      <c r="D515" s="537" t="s">
        <v>1019</v>
      </c>
      <c r="E515" s="537"/>
      <c r="F515"/>
      <c r="G515"/>
      <c r="H515" s="537" t="s">
        <v>1481</v>
      </c>
      <c r="I515" s="537" t="s">
        <v>2003</v>
      </c>
      <c r="J515" s="537" t="s">
        <v>18</v>
      </c>
      <c r="K515" s="537" t="s">
        <v>57</v>
      </c>
      <c r="L515" s="61">
        <v>34461</v>
      </c>
      <c r="M515" s="1">
        <v>29</v>
      </c>
      <c r="N515" s="1">
        <v>1400</v>
      </c>
      <c r="P515" s="1">
        <v>2000</v>
      </c>
      <c r="Q515" s="537"/>
      <c r="R515" s="1">
        <v>600</v>
      </c>
      <c r="S515"/>
      <c r="T515" t="s">
        <v>65</v>
      </c>
      <c r="U515" t="s">
        <v>2639</v>
      </c>
      <c r="V515" t="s">
        <v>65</v>
      </c>
      <c r="W515" s="1">
        <v>45018</v>
      </c>
      <c r="X515" s="537" t="s">
        <v>59</v>
      </c>
      <c r="Y515" s="537" t="s">
        <v>60</v>
      </c>
      <c r="Z515" s="1" t="s">
        <v>1321</v>
      </c>
      <c r="AA515" s="537" t="s">
        <v>1322</v>
      </c>
      <c r="AB515" s="537" t="s">
        <v>1372</v>
      </c>
      <c r="AC515" s="1">
        <v>44471</v>
      </c>
      <c r="AD515" s="61">
        <v>44480</v>
      </c>
      <c r="AE515" s="61">
        <v>44611</v>
      </c>
      <c r="AF515" s="61"/>
      <c r="AG515" s="1">
        <v>44531</v>
      </c>
      <c r="AH515" s="537" t="s">
        <v>1793</v>
      </c>
      <c r="AI515" s="537" t="s">
        <v>86</v>
      </c>
      <c r="AJ515" s="1">
        <v>98</v>
      </c>
      <c r="AK515" s="537" t="s">
        <v>1794</v>
      </c>
      <c r="AL515" s="1" t="s">
        <v>1795</v>
      </c>
      <c r="AM515" s="537"/>
      <c r="AN515" s="537"/>
    </row>
    <row r="516" spans="1:40" hidden="1">
      <c r="A516" s="537" t="s">
        <v>54</v>
      </c>
      <c r="B516" s="1">
        <v>211015</v>
      </c>
      <c r="D516" s="537" t="s">
        <v>1019</v>
      </c>
      <c r="E516" s="537" t="s">
        <v>1020</v>
      </c>
      <c r="F516"/>
      <c r="G516"/>
      <c r="H516" s="537" t="s">
        <v>1369</v>
      </c>
      <c r="I516" s="537" t="s">
        <v>1370</v>
      </c>
      <c r="J516" s="537" t="s">
        <v>18</v>
      </c>
      <c r="K516" s="537" t="s">
        <v>57</v>
      </c>
      <c r="L516" s="61">
        <v>33673</v>
      </c>
      <c r="M516" s="1">
        <v>31</v>
      </c>
      <c r="N516" s="1">
        <v>1500</v>
      </c>
      <c r="O516" s="1" t="s">
        <v>1371</v>
      </c>
      <c r="P516" s="1">
        <v>2000</v>
      </c>
      <c r="Q516" s="537"/>
      <c r="R516" s="1">
        <v>500</v>
      </c>
      <c r="S516">
        <v>360000</v>
      </c>
      <c r="T516">
        <v>18018</v>
      </c>
      <c r="U516" t="s">
        <v>2639</v>
      </c>
      <c r="V516">
        <v>32940</v>
      </c>
      <c r="W516" s="1">
        <v>45380</v>
      </c>
      <c r="X516" s="537" t="s">
        <v>65</v>
      </c>
      <c r="Y516" s="537" t="s">
        <v>60</v>
      </c>
      <c r="Z516" s="1" t="s">
        <v>1321</v>
      </c>
      <c r="AA516" s="537" t="s">
        <v>1322</v>
      </c>
      <c r="AB516" s="537" t="s">
        <v>1372</v>
      </c>
      <c r="AC516" s="1">
        <v>44479</v>
      </c>
      <c r="AD516" s="61">
        <v>44480</v>
      </c>
      <c r="AE516" s="61"/>
      <c r="AF516" s="61"/>
      <c r="AG516" s="1">
        <v>44531</v>
      </c>
      <c r="AH516" s="537" t="s">
        <v>1373</v>
      </c>
      <c r="AI516" s="537" t="s">
        <v>86</v>
      </c>
      <c r="AJ516" s="1">
        <v>748</v>
      </c>
      <c r="AK516" s="537" t="s">
        <v>96</v>
      </c>
      <c r="AL516" s="1" t="s">
        <v>1374</v>
      </c>
      <c r="AM516" s="537" t="s">
        <v>64</v>
      </c>
      <c r="AN516" s="537"/>
    </row>
    <row r="517" spans="1:40" hidden="1">
      <c r="A517" s="537" t="s">
        <v>179</v>
      </c>
      <c r="B517" s="1">
        <v>211019</v>
      </c>
      <c r="D517" s="537" t="s">
        <v>962</v>
      </c>
      <c r="E517" s="537" t="s">
        <v>3043</v>
      </c>
      <c r="F517" t="s">
        <v>3044</v>
      </c>
      <c r="G517" t="s">
        <v>3045</v>
      </c>
      <c r="H517" s="537" t="s">
        <v>1390</v>
      </c>
      <c r="I517" s="537" t="s">
        <v>1391</v>
      </c>
      <c r="J517" s="537" t="s">
        <v>18</v>
      </c>
      <c r="K517" s="537" t="s">
        <v>57</v>
      </c>
      <c r="L517" s="61">
        <v>34981</v>
      </c>
      <c r="M517" s="1">
        <v>28</v>
      </c>
      <c r="N517" s="1">
        <v>1300</v>
      </c>
      <c r="P517" s="1">
        <v>1650</v>
      </c>
      <c r="Q517" s="537"/>
      <c r="R517" s="1">
        <v>350</v>
      </c>
      <c r="S517"/>
      <c r="T517" t="s">
        <v>65</v>
      </c>
      <c r="U517" t="s">
        <v>2639</v>
      </c>
      <c r="V517" t="s">
        <v>65</v>
      </c>
      <c r="W517" s="1">
        <v>44999</v>
      </c>
      <c r="X517" s="537" t="s">
        <v>59</v>
      </c>
      <c r="Y517" s="537" t="s">
        <v>60</v>
      </c>
      <c r="Z517" s="1" t="s">
        <v>1392</v>
      </c>
      <c r="AA517" s="537" t="s">
        <v>1393</v>
      </c>
      <c r="AB517" s="537" t="s">
        <v>1394</v>
      </c>
      <c r="AC517" s="1" t="s">
        <v>63</v>
      </c>
      <c r="AD517" s="61">
        <v>44482</v>
      </c>
      <c r="AE517" s="61">
        <v>44698</v>
      </c>
      <c r="AF517" s="61"/>
      <c r="AG517" s="1">
        <v>44531</v>
      </c>
      <c r="AH517" s="537"/>
      <c r="AI517" s="537"/>
      <c r="AK517" s="537"/>
      <c r="AM517" s="537" t="s">
        <v>64</v>
      </c>
      <c r="AN517" s="537"/>
    </row>
    <row r="518" spans="1:40" hidden="1">
      <c r="A518" s="537" t="s">
        <v>179</v>
      </c>
      <c r="B518" s="1">
        <v>211025</v>
      </c>
      <c r="D518" s="537" t="s">
        <v>118</v>
      </c>
      <c r="E518" s="537"/>
      <c r="F518" t="s">
        <v>806</v>
      </c>
      <c r="G518"/>
      <c r="H518" s="537" t="s">
        <v>1404</v>
      </c>
      <c r="I518" s="537" t="s">
        <v>1405</v>
      </c>
      <c r="J518" s="537" t="s">
        <v>18</v>
      </c>
      <c r="K518" s="537" t="s">
        <v>57</v>
      </c>
      <c r="L518" s="61">
        <v>33048</v>
      </c>
      <c r="M518" s="1">
        <v>33</v>
      </c>
      <c r="N518" s="1">
        <v>1350</v>
      </c>
      <c r="P518" s="1">
        <v>1750</v>
      </c>
      <c r="Q518" s="537" t="s">
        <v>92</v>
      </c>
      <c r="R518" s="1">
        <v>400</v>
      </c>
      <c r="S518"/>
      <c r="T518" t="s">
        <v>65</v>
      </c>
      <c r="U518" t="s">
        <v>2639</v>
      </c>
      <c r="V518" t="s">
        <v>65</v>
      </c>
      <c r="W518" s="1">
        <v>44806</v>
      </c>
      <c r="X518" s="537" t="s">
        <v>59</v>
      </c>
      <c r="Y518" s="537" t="s">
        <v>60</v>
      </c>
      <c r="Z518" s="1" t="s">
        <v>121</v>
      </c>
      <c r="AA518" s="537" t="s">
        <v>1406</v>
      </c>
      <c r="AB518" s="537" t="s">
        <v>1407</v>
      </c>
      <c r="AD518" s="61">
        <v>44489</v>
      </c>
      <c r="AE518" s="61">
        <v>44638</v>
      </c>
      <c r="AF518" s="61"/>
      <c r="AG518" s="1">
        <v>22.01</v>
      </c>
      <c r="AH518" s="537" t="s">
        <v>1405</v>
      </c>
      <c r="AI518" s="537" t="s">
        <v>86</v>
      </c>
      <c r="AJ518" s="1">
        <v>438</v>
      </c>
      <c r="AK518" s="537" t="s">
        <v>223</v>
      </c>
      <c r="AL518" s="1" t="s">
        <v>1408</v>
      </c>
      <c r="AM518" s="537" t="s">
        <v>64</v>
      </c>
      <c r="AN518" s="537"/>
    </row>
    <row r="519" spans="1:40" hidden="1">
      <c r="A519" s="537" t="s">
        <v>54</v>
      </c>
      <c r="B519" s="1">
        <v>211031</v>
      </c>
      <c r="D519" s="537" t="s">
        <v>1019</v>
      </c>
      <c r="E519" s="537" t="s">
        <v>1020</v>
      </c>
      <c r="F519"/>
      <c r="G519"/>
      <c r="H519" s="537" t="s">
        <v>1409</v>
      </c>
      <c r="I519" s="537" t="s">
        <v>1410</v>
      </c>
      <c r="J519" s="537" t="s">
        <v>18</v>
      </c>
      <c r="K519" s="537" t="s">
        <v>57</v>
      </c>
      <c r="L519" s="61">
        <v>31475</v>
      </c>
      <c r="M519" s="1">
        <v>37</v>
      </c>
      <c r="N519" s="1">
        <v>1500</v>
      </c>
      <c r="O519" s="1" t="s">
        <v>1411</v>
      </c>
      <c r="P519" s="1">
        <v>2000</v>
      </c>
      <c r="Q519" s="537"/>
      <c r="R519" s="1">
        <v>500</v>
      </c>
      <c r="S519">
        <v>360000</v>
      </c>
      <c r="T519">
        <v>18018</v>
      </c>
      <c r="U519" t="s">
        <v>2639</v>
      </c>
      <c r="V519">
        <v>32940</v>
      </c>
      <c r="W519" s="1">
        <v>46109</v>
      </c>
      <c r="X519" s="537" t="s">
        <v>65</v>
      </c>
      <c r="Y519" s="537" t="s">
        <v>60</v>
      </c>
      <c r="Z519" s="1" t="s">
        <v>1321</v>
      </c>
      <c r="AA519" s="537" t="s">
        <v>1322</v>
      </c>
      <c r="AB519" s="537" t="s">
        <v>1412</v>
      </c>
      <c r="AC519" s="1">
        <v>44491</v>
      </c>
      <c r="AD519" s="61">
        <v>44492</v>
      </c>
      <c r="AE519" s="61"/>
      <c r="AF519" s="61"/>
      <c r="AG519" s="1">
        <v>22.01</v>
      </c>
      <c r="AH519" s="537" t="s">
        <v>1413</v>
      </c>
      <c r="AI519" s="537" t="s">
        <v>86</v>
      </c>
      <c r="AJ519" s="1">
        <v>818</v>
      </c>
      <c r="AK519" s="537" t="s">
        <v>1414</v>
      </c>
      <c r="AL519" s="1" t="s">
        <v>1415</v>
      </c>
      <c r="AM519" s="537" t="s">
        <v>64</v>
      </c>
      <c r="AN519" s="537"/>
    </row>
    <row r="520" spans="1:40" hidden="1">
      <c r="A520" s="537" t="s">
        <v>179</v>
      </c>
      <c r="B520" s="1">
        <v>211030</v>
      </c>
      <c r="D520" s="537" t="s">
        <v>1019</v>
      </c>
      <c r="E520" s="537" t="s">
        <v>1317</v>
      </c>
      <c r="F520" t="s">
        <v>2604</v>
      </c>
      <c r="G520"/>
      <c r="H520" s="537" t="s">
        <v>1423</v>
      </c>
      <c r="I520" s="537" t="s">
        <v>1424</v>
      </c>
      <c r="J520" s="537" t="s">
        <v>18</v>
      </c>
      <c r="K520" s="537" t="s">
        <v>57</v>
      </c>
      <c r="L520" s="61">
        <v>31640</v>
      </c>
      <c r="M520" s="1">
        <v>37</v>
      </c>
      <c r="N520" s="1">
        <v>1600</v>
      </c>
      <c r="O520" s="1" t="s">
        <v>1425</v>
      </c>
      <c r="P520" s="1">
        <v>2100</v>
      </c>
      <c r="Q520" s="537"/>
      <c r="R520" s="1">
        <v>500</v>
      </c>
      <c r="S520"/>
      <c r="T520" t="s">
        <v>65</v>
      </c>
      <c r="U520" t="s">
        <v>2639</v>
      </c>
      <c r="V520" t="s">
        <v>65</v>
      </c>
      <c r="W520" s="1">
        <v>45034</v>
      </c>
      <c r="X520" s="537" t="s">
        <v>59</v>
      </c>
      <c r="Y520" s="537" t="s">
        <v>60</v>
      </c>
      <c r="Z520" s="1" t="s">
        <v>1321</v>
      </c>
      <c r="AA520" s="537" t="s">
        <v>1322</v>
      </c>
      <c r="AB520" s="537" t="s">
        <v>1412</v>
      </c>
      <c r="AC520" s="1">
        <v>44491</v>
      </c>
      <c r="AD520" s="61">
        <v>44496</v>
      </c>
      <c r="AE520" s="61">
        <v>44818</v>
      </c>
      <c r="AF520" s="61"/>
      <c r="AG520" s="1">
        <v>22.01</v>
      </c>
      <c r="AH520" s="537" t="s">
        <v>1426</v>
      </c>
      <c r="AI520" s="537" t="s">
        <v>86</v>
      </c>
      <c r="AJ520" s="1">
        <v>68</v>
      </c>
      <c r="AK520" s="537" t="s">
        <v>421</v>
      </c>
      <c r="AL520" s="1" t="s">
        <v>1427</v>
      </c>
      <c r="AM520" s="537" t="s">
        <v>64</v>
      </c>
      <c r="AN520" s="537"/>
    </row>
    <row r="521" spans="1:40" hidden="1">
      <c r="A521" s="537" t="s">
        <v>179</v>
      </c>
      <c r="B521" s="1">
        <v>211103</v>
      </c>
      <c r="D521" s="537" t="s">
        <v>118</v>
      </c>
      <c r="E521" s="537"/>
      <c r="F521"/>
      <c r="G521"/>
      <c r="H521" s="537" t="s">
        <v>2004</v>
      </c>
      <c r="I521" s="537" t="s">
        <v>2005</v>
      </c>
      <c r="J521" s="537" t="s">
        <v>17</v>
      </c>
      <c r="K521" s="537" t="s">
        <v>57</v>
      </c>
      <c r="L521" s="61">
        <v>34112</v>
      </c>
      <c r="M521" s="1">
        <v>30</v>
      </c>
      <c r="N521" s="1">
        <v>1210</v>
      </c>
      <c r="P521" s="1">
        <v>1610</v>
      </c>
      <c r="Q521" s="537" t="s">
        <v>92</v>
      </c>
      <c r="R521" s="1">
        <v>400</v>
      </c>
      <c r="S521"/>
      <c r="T521" t="s">
        <v>65</v>
      </c>
      <c r="U521" t="s">
        <v>2639</v>
      </c>
      <c r="V521" t="s">
        <v>65</v>
      </c>
      <c r="W521" s="1">
        <v>44653</v>
      </c>
      <c r="X521" s="537" t="s">
        <v>59</v>
      </c>
      <c r="Y521" s="537" t="s">
        <v>60</v>
      </c>
      <c r="Z521" s="1" t="s">
        <v>2006</v>
      </c>
      <c r="AA521" s="537" t="s">
        <v>2007</v>
      </c>
      <c r="AB521" s="537"/>
      <c r="AD521" s="61">
        <v>44501</v>
      </c>
      <c r="AE521" s="61">
        <v>44666</v>
      </c>
      <c r="AF521" s="61"/>
      <c r="AG521" s="1">
        <v>22.01</v>
      </c>
      <c r="AH521" s="537" t="s">
        <v>1791</v>
      </c>
      <c r="AI521" s="537" t="s">
        <v>86</v>
      </c>
      <c r="AJ521" s="1">
        <v>408</v>
      </c>
      <c r="AK521" s="537" t="s">
        <v>87</v>
      </c>
      <c r="AL521" s="1" t="s">
        <v>1792</v>
      </c>
      <c r="AM521" s="537" t="s">
        <v>64</v>
      </c>
      <c r="AN521" s="537"/>
    </row>
    <row r="522" spans="1:40" hidden="1">
      <c r="A522" s="537" t="s">
        <v>179</v>
      </c>
      <c r="B522" s="1">
        <v>211106</v>
      </c>
      <c r="D522" s="537" t="s">
        <v>1440</v>
      </c>
      <c r="E522" s="537"/>
      <c r="F522" t="s">
        <v>2604</v>
      </c>
      <c r="G522"/>
      <c r="H522" s="537" t="s">
        <v>1441</v>
      </c>
      <c r="I522" s="537" t="s">
        <v>1442</v>
      </c>
      <c r="J522" s="537" t="s">
        <v>18</v>
      </c>
      <c r="K522" s="537" t="s">
        <v>277</v>
      </c>
      <c r="L522" s="61">
        <v>27567</v>
      </c>
      <c r="M522" s="1">
        <v>48</v>
      </c>
      <c r="N522" s="1">
        <v>1200</v>
      </c>
      <c r="P522" s="1">
        <v>1750</v>
      </c>
      <c r="Q522" s="537"/>
      <c r="R522" s="1">
        <v>550</v>
      </c>
      <c r="S522"/>
      <c r="T522" t="s">
        <v>65</v>
      </c>
      <c r="U522" t="s">
        <v>65</v>
      </c>
      <c r="V522" t="s">
        <v>65</v>
      </c>
      <c r="X522" s="537" t="s">
        <v>65</v>
      </c>
      <c r="Y522" s="537"/>
      <c r="Z522" s="1" t="s">
        <v>1443</v>
      </c>
      <c r="AA522" s="537" t="s">
        <v>1444</v>
      </c>
      <c r="AB522" s="537"/>
      <c r="AC522" s="1" t="s">
        <v>63</v>
      </c>
      <c r="AD522" s="61">
        <v>44502</v>
      </c>
      <c r="AE522" s="61">
        <v>44678</v>
      </c>
      <c r="AF522" s="61"/>
      <c r="AG522" s="1">
        <v>22.01</v>
      </c>
      <c r="AH522" s="537"/>
      <c r="AI522" s="537"/>
      <c r="AK522" s="537"/>
      <c r="AM522" s="537" t="s">
        <v>64</v>
      </c>
      <c r="AN522" s="537" t="s">
        <v>1445</v>
      </c>
    </row>
    <row r="523" spans="1:40" hidden="1">
      <c r="A523" s="537" t="s">
        <v>54</v>
      </c>
      <c r="B523" s="1">
        <v>211108</v>
      </c>
      <c r="D523" s="537" t="s">
        <v>1447</v>
      </c>
      <c r="E523" s="537" t="s">
        <v>1448</v>
      </c>
      <c r="F523"/>
      <c r="G523"/>
      <c r="H523" s="537" t="s">
        <v>1449</v>
      </c>
      <c r="I523" s="537" t="s">
        <v>1450</v>
      </c>
      <c r="J523" s="537" t="s">
        <v>18</v>
      </c>
      <c r="K523" s="537" t="s">
        <v>57</v>
      </c>
      <c r="L523" s="61">
        <v>31963</v>
      </c>
      <c r="M523" s="1">
        <v>36</v>
      </c>
      <c r="N523" s="1">
        <v>1500</v>
      </c>
      <c r="P523" s="1">
        <v>1900</v>
      </c>
      <c r="Q523" s="537"/>
      <c r="R523" s="1">
        <v>400</v>
      </c>
      <c r="S523">
        <v>320000</v>
      </c>
      <c r="T523">
        <v>16015.999999999998</v>
      </c>
      <c r="U523" t="s">
        <v>2639</v>
      </c>
      <c r="V523">
        <v>29280</v>
      </c>
      <c r="W523" s="1">
        <v>46305</v>
      </c>
      <c r="X523" s="537" t="s">
        <v>65</v>
      </c>
      <c r="Y523" s="537" t="s">
        <v>60</v>
      </c>
      <c r="Z523" s="1" t="s">
        <v>1451</v>
      </c>
      <c r="AA523" s="537" t="s">
        <v>1452</v>
      </c>
      <c r="AB523" s="537" t="s">
        <v>1453</v>
      </c>
      <c r="AC523" s="1">
        <v>44513</v>
      </c>
      <c r="AD523" s="61">
        <v>44517</v>
      </c>
      <c r="AE523" s="61"/>
      <c r="AF523" s="61"/>
      <c r="AG523" s="1">
        <v>22.02</v>
      </c>
      <c r="AH523" s="537" t="s">
        <v>1454</v>
      </c>
      <c r="AI523" s="537" t="s">
        <v>86</v>
      </c>
      <c r="AJ523" s="1">
        <v>208</v>
      </c>
      <c r="AK523" s="537" t="s">
        <v>151</v>
      </c>
      <c r="AL523" s="1" t="s">
        <v>1455</v>
      </c>
      <c r="AM523" s="537" t="s">
        <v>64</v>
      </c>
      <c r="AN523" s="537"/>
    </row>
    <row r="524" spans="1:40" hidden="1">
      <c r="A524" s="537" t="s">
        <v>54</v>
      </c>
      <c r="B524" s="1">
        <v>211109</v>
      </c>
      <c r="D524" s="537" t="s">
        <v>1019</v>
      </c>
      <c r="E524" s="537" t="s">
        <v>1317</v>
      </c>
      <c r="F524"/>
      <c r="G524"/>
      <c r="H524" s="537" t="s">
        <v>1456</v>
      </c>
      <c r="I524" s="537" t="s">
        <v>1457</v>
      </c>
      <c r="J524" s="537" t="s">
        <v>18</v>
      </c>
      <c r="K524" s="537" t="s">
        <v>57</v>
      </c>
      <c r="L524" s="61">
        <v>32051</v>
      </c>
      <c r="M524" s="1">
        <v>36</v>
      </c>
      <c r="N524" s="1">
        <v>1600</v>
      </c>
      <c r="O524" s="1" t="s">
        <v>1458</v>
      </c>
      <c r="P524" s="1">
        <v>2100</v>
      </c>
      <c r="Q524" s="537"/>
      <c r="R524" s="1">
        <v>500</v>
      </c>
      <c r="S524">
        <v>410000</v>
      </c>
      <c r="T524">
        <v>20520.5</v>
      </c>
      <c r="U524" t="s">
        <v>2639</v>
      </c>
      <c r="V524">
        <v>37515</v>
      </c>
      <c r="W524" s="1">
        <v>46279</v>
      </c>
      <c r="X524" s="537" t="s">
        <v>65</v>
      </c>
      <c r="Y524" s="537" t="s">
        <v>60</v>
      </c>
      <c r="Z524" s="1" t="s">
        <v>1321</v>
      </c>
      <c r="AA524" s="537" t="s">
        <v>1322</v>
      </c>
      <c r="AB524" s="537" t="s">
        <v>1459</v>
      </c>
      <c r="AC524" s="1">
        <v>44520</v>
      </c>
      <c r="AD524" s="61">
        <v>44522</v>
      </c>
      <c r="AE524" s="61"/>
      <c r="AF524" s="61"/>
      <c r="AG524" s="1">
        <v>22.02</v>
      </c>
      <c r="AH524" s="537" t="s">
        <v>1457</v>
      </c>
      <c r="AI524" s="537" t="s">
        <v>86</v>
      </c>
      <c r="AJ524" s="1">
        <v>238</v>
      </c>
      <c r="AK524" s="537" t="s">
        <v>1109</v>
      </c>
      <c r="AL524" s="1" t="s">
        <v>1460</v>
      </c>
      <c r="AM524" s="537" t="s">
        <v>64</v>
      </c>
      <c r="AN524" s="537"/>
    </row>
    <row r="525" spans="1:40" hidden="1">
      <c r="A525" s="537" t="s">
        <v>179</v>
      </c>
      <c r="B525" s="1">
        <v>211112</v>
      </c>
      <c r="D525" s="537" t="s">
        <v>2640</v>
      </c>
      <c r="E525" s="537"/>
      <c r="F525"/>
      <c r="G525"/>
      <c r="H525" s="537" t="s">
        <v>2008</v>
      </c>
      <c r="I525" s="537" t="s">
        <v>2009</v>
      </c>
      <c r="J525" s="537" t="s">
        <v>18</v>
      </c>
      <c r="K525" s="537" t="s">
        <v>57</v>
      </c>
      <c r="L525" s="61">
        <v>34178</v>
      </c>
      <c r="M525" s="1">
        <v>30</v>
      </c>
      <c r="N525" s="1">
        <v>1400</v>
      </c>
      <c r="P525" s="1">
        <v>1960</v>
      </c>
      <c r="Q525" s="537"/>
      <c r="R525" s="1">
        <v>560</v>
      </c>
      <c r="S525"/>
      <c r="T525" t="s">
        <v>65</v>
      </c>
      <c r="U525" t="s">
        <v>2639</v>
      </c>
      <c r="V525" t="s">
        <v>65</v>
      </c>
      <c r="W525" s="1">
        <v>44937</v>
      </c>
      <c r="X525" s="537" t="s">
        <v>59</v>
      </c>
      <c r="Y525" s="537" t="s">
        <v>60</v>
      </c>
      <c r="Z525" s="1" t="s">
        <v>975</v>
      </c>
      <c r="AA525" s="537" t="s">
        <v>956</v>
      </c>
      <c r="AB525" s="537" t="s">
        <v>957</v>
      </c>
      <c r="AC525" s="1">
        <v>44522</v>
      </c>
      <c r="AD525" s="61">
        <v>44523</v>
      </c>
      <c r="AE525" s="61">
        <v>44592</v>
      </c>
      <c r="AF525" s="61"/>
      <c r="AG525" s="1">
        <v>21.12</v>
      </c>
      <c r="AH525" s="537" t="s">
        <v>1793</v>
      </c>
      <c r="AI525" s="537" t="s">
        <v>86</v>
      </c>
      <c r="AJ525" s="1">
        <v>98</v>
      </c>
      <c r="AK525" s="537" t="s">
        <v>1794</v>
      </c>
      <c r="AL525" s="1" t="s">
        <v>1795</v>
      </c>
      <c r="AM525" s="537"/>
      <c r="AN525" s="537"/>
    </row>
    <row r="526" spans="1:40" hidden="1">
      <c r="A526" s="537" t="s">
        <v>179</v>
      </c>
      <c r="B526" s="1">
        <v>211115</v>
      </c>
      <c r="D526" s="537" t="s">
        <v>118</v>
      </c>
      <c r="E526" s="537"/>
      <c r="F526"/>
      <c r="G526"/>
      <c r="H526" s="537" t="s">
        <v>1472</v>
      </c>
      <c r="I526" s="537" t="s">
        <v>1473</v>
      </c>
      <c r="J526" s="537" t="s">
        <v>18</v>
      </c>
      <c r="K526" s="537" t="s">
        <v>57</v>
      </c>
      <c r="L526" s="61">
        <v>35181</v>
      </c>
      <c r="M526" s="1">
        <v>27</v>
      </c>
      <c r="N526" s="1">
        <v>1370</v>
      </c>
      <c r="P526" s="1">
        <v>1790</v>
      </c>
      <c r="Q526" s="537"/>
      <c r="R526" s="1">
        <v>420</v>
      </c>
      <c r="S526"/>
      <c r="T526" t="s">
        <v>65</v>
      </c>
      <c r="U526" t="s">
        <v>2639</v>
      </c>
      <c r="V526" t="s">
        <v>65</v>
      </c>
      <c r="W526" s="1">
        <v>45020</v>
      </c>
      <c r="X526" s="537" t="s">
        <v>59</v>
      </c>
      <c r="Y526" s="537" t="s">
        <v>60</v>
      </c>
      <c r="Z526" s="1" t="s">
        <v>1474</v>
      </c>
      <c r="AA526" s="537" t="s">
        <v>1475</v>
      </c>
      <c r="AB526" s="537" t="s">
        <v>1476</v>
      </c>
      <c r="AC526" s="1" t="s">
        <v>63</v>
      </c>
      <c r="AD526" s="61">
        <v>44529</v>
      </c>
      <c r="AE526" s="61">
        <v>44696</v>
      </c>
      <c r="AF526" s="61"/>
      <c r="AG526" s="1">
        <v>22.02</v>
      </c>
      <c r="AH526" s="537" t="s">
        <v>1477</v>
      </c>
      <c r="AI526" s="537" t="s">
        <v>117</v>
      </c>
      <c r="AJ526" s="1">
        <v>123</v>
      </c>
      <c r="AK526" s="537" t="s">
        <v>1478</v>
      </c>
      <c r="AL526" s="1" t="s">
        <v>1479</v>
      </c>
      <c r="AM526" s="537" t="s">
        <v>64</v>
      </c>
      <c r="AN526" s="537"/>
    </row>
    <row r="527" spans="1:40" hidden="1">
      <c r="A527" s="537" t="s">
        <v>54</v>
      </c>
      <c r="B527" s="1">
        <v>211202</v>
      </c>
      <c r="D527" s="537" t="s">
        <v>1019</v>
      </c>
      <c r="E527" s="537" t="s">
        <v>1020</v>
      </c>
      <c r="F527"/>
      <c r="G527"/>
      <c r="H527" s="537" t="s">
        <v>1481</v>
      </c>
      <c r="I527" s="537" t="s">
        <v>1482</v>
      </c>
      <c r="J527" s="537" t="s">
        <v>18</v>
      </c>
      <c r="K527" s="537" t="s">
        <v>57</v>
      </c>
      <c r="L527" s="61">
        <v>33817</v>
      </c>
      <c r="M527" s="1">
        <v>31</v>
      </c>
      <c r="N527" s="1">
        <v>1500</v>
      </c>
      <c r="O527" s="1" t="s">
        <v>1483</v>
      </c>
      <c r="P527" s="1">
        <v>2000</v>
      </c>
      <c r="Q527" s="537"/>
      <c r="R527" s="1">
        <v>500</v>
      </c>
      <c r="S527">
        <v>340000</v>
      </c>
      <c r="T527">
        <v>17017</v>
      </c>
      <c r="U527" t="s">
        <v>2639</v>
      </c>
      <c r="V527">
        <v>31110</v>
      </c>
      <c r="W527" s="1">
        <v>45691</v>
      </c>
      <c r="X527" s="537" t="s">
        <v>65</v>
      </c>
      <c r="Y527" s="537" t="s">
        <v>60</v>
      </c>
      <c r="Z527" s="1" t="s">
        <v>1024</v>
      </c>
      <c r="AA527" s="537" t="s">
        <v>1025</v>
      </c>
      <c r="AB527" s="537" t="s">
        <v>1026</v>
      </c>
      <c r="AC527" s="1">
        <v>44592</v>
      </c>
      <c r="AD527" s="61">
        <v>44532</v>
      </c>
      <c r="AE527" s="61"/>
      <c r="AF527" s="61"/>
      <c r="AG527" s="1">
        <v>21.12</v>
      </c>
      <c r="AH527" s="537" t="s">
        <v>1482</v>
      </c>
      <c r="AI527" s="537" t="s">
        <v>86</v>
      </c>
      <c r="AJ527" s="1">
        <v>208</v>
      </c>
      <c r="AK527" s="537" t="s">
        <v>151</v>
      </c>
      <c r="AL527" s="1" t="s">
        <v>1484</v>
      </c>
      <c r="AM527" s="537" t="s">
        <v>64</v>
      </c>
      <c r="AN527" s="537"/>
    </row>
    <row r="528" spans="1:40" hidden="1">
      <c r="A528" s="537" t="s">
        <v>179</v>
      </c>
      <c r="B528" s="1">
        <v>211204</v>
      </c>
      <c r="D528" s="537" t="s">
        <v>88</v>
      </c>
      <c r="E528" s="537"/>
      <c r="F528"/>
      <c r="G528"/>
      <c r="H528" s="537" t="s">
        <v>1486</v>
      </c>
      <c r="I528" s="537" t="s">
        <v>1487</v>
      </c>
      <c r="J528" s="537" t="s">
        <v>18</v>
      </c>
      <c r="K528" s="537" t="s">
        <v>57</v>
      </c>
      <c r="L528" s="61">
        <v>35722</v>
      </c>
      <c r="M528" s="1">
        <v>26</v>
      </c>
      <c r="N528" s="1">
        <v>1350</v>
      </c>
      <c r="P528" s="1">
        <v>1750</v>
      </c>
      <c r="Q528" s="537"/>
      <c r="R528" s="1">
        <v>400</v>
      </c>
      <c r="S528"/>
      <c r="T528" t="s">
        <v>65</v>
      </c>
      <c r="U528" t="s">
        <v>2639</v>
      </c>
      <c r="V528" t="s">
        <v>65</v>
      </c>
      <c r="W528" s="1">
        <v>45306</v>
      </c>
      <c r="X528" s="537" t="s">
        <v>59</v>
      </c>
      <c r="Y528" s="537" t="s">
        <v>60</v>
      </c>
      <c r="Z528" s="1" t="s">
        <v>93</v>
      </c>
      <c r="AA528" s="537" t="s">
        <v>1467</v>
      </c>
      <c r="AB528" s="537" t="s">
        <v>1468</v>
      </c>
      <c r="AD528" s="61">
        <v>44536</v>
      </c>
      <c r="AE528" s="61">
        <v>44638</v>
      </c>
      <c r="AF528" s="61"/>
      <c r="AG528" s="1">
        <v>21.12</v>
      </c>
      <c r="AH528" s="537"/>
      <c r="AI528" s="537"/>
      <c r="AK528" s="537"/>
      <c r="AM528" s="537" t="s">
        <v>64</v>
      </c>
      <c r="AN528" s="537"/>
    </row>
    <row r="529" spans="1:40" hidden="1">
      <c r="A529" s="537" t="s">
        <v>179</v>
      </c>
      <c r="B529" s="1">
        <v>211205</v>
      </c>
      <c r="D529" s="537" t="s">
        <v>385</v>
      </c>
      <c r="E529" s="537"/>
      <c r="F529"/>
      <c r="G529"/>
      <c r="H529" s="537" t="s">
        <v>2010</v>
      </c>
      <c r="I529" s="537" t="s">
        <v>2011</v>
      </c>
      <c r="J529" s="537" t="s">
        <v>18</v>
      </c>
      <c r="K529" s="537" t="s">
        <v>57</v>
      </c>
      <c r="L529" s="61">
        <v>34136</v>
      </c>
      <c r="M529" s="1">
        <v>30</v>
      </c>
      <c r="N529" s="1">
        <v>1400</v>
      </c>
      <c r="P529" s="1">
        <v>2000</v>
      </c>
      <c r="Q529" s="537"/>
      <c r="R529" s="1">
        <v>600</v>
      </c>
      <c r="S529"/>
      <c r="T529" t="s">
        <v>65</v>
      </c>
      <c r="U529" t="s">
        <v>2639</v>
      </c>
      <c r="V529" t="s">
        <v>65</v>
      </c>
      <c r="W529" s="1">
        <v>44628</v>
      </c>
      <c r="X529" s="537" t="s">
        <v>59</v>
      </c>
      <c r="Y529" s="537" t="s">
        <v>60</v>
      </c>
      <c r="Z529" s="1" t="s">
        <v>2012</v>
      </c>
      <c r="AA529" s="537" t="s">
        <v>2013</v>
      </c>
      <c r="AB529" s="537" t="s">
        <v>2014</v>
      </c>
      <c r="AC529" s="1">
        <v>44536</v>
      </c>
      <c r="AD529" s="61">
        <v>44537</v>
      </c>
      <c r="AE529" s="61">
        <v>44540</v>
      </c>
      <c r="AF529" s="61"/>
      <c r="AG529" s="1">
        <v>22.02</v>
      </c>
      <c r="AH529" s="537" t="s">
        <v>1791</v>
      </c>
      <c r="AI529" s="537" t="s">
        <v>86</v>
      </c>
      <c r="AJ529" s="1">
        <v>408</v>
      </c>
      <c r="AK529" s="537" t="s">
        <v>87</v>
      </c>
      <c r="AL529" s="1" t="s">
        <v>1792</v>
      </c>
      <c r="AM529" s="537"/>
      <c r="AN529" s="537"/>
    </row>
    <row r="530" spans="1:40" hidden="1">
      <c r="A530" s="537" t="s">
        <v>179</v>
      </c>
      <c r="B530" s="1">
        <v>211207</v>
      </c>
      <c r="D530" s="537" t="s">
        <v>1492</v>
      </c>
      <c r="E530" s="537"/>
      <c r="F530"/>
      <c r="G530"/>
      <c r="H530" s="537" t="s">
        <v>1493</v>
      </c>
      <c r="I530" s="537" t="s">
        <v>1494</v>
      </c>
      <c r="J530" s="537" t="s">
        <v>18</v>
      </c>
      <c r="K530" s="537" t="s">
        <v>57</v>
      </c>
      <c r="L530" s="61">
        <v>32777</v>
      </c>
      <c r="M530" s="1">
        <v>34</v>
      </c>
      <c r="N530" s="1">
        <v>1400</v>
      </c>
      <c r="P530" s="1">
        <v>1900</v>
      </c>
      <c r="Q530" s="537"/>
      <c r="R530" s="1">
        <v>500</v>
      </c>
      <c r="S530"/>
      <c r="T530" t="s">
        <v>65</v>
      </c>
      <c r="U530" t="s">
        <v>2639</v>
      </c>
      <c r="V530" t="s">
        <v>65</v>
      </c>
      <c r="W530" s="1">
        <v>45613</v>
      </c>
      <c r="X530" s="537" t="s">
        <v>65</v>
      </c>
      <c r="Y530" s="537" t="s">
        <v>60</v>
      </c>
      <c r="Z530" s="1" t="s">
        <v>1495</v>
      </c>
      <c r="AA530" s="537" t="s">
        <v>1496</v>
      </c>
      <c r="AB530" s="537" t="s">
        <v>1497</v>
      </c>
      <c r="AC530" s="1" t="s">
        <v>63</v>
      </c>
      <c r="AD530" s="61">
        <v>44543</v>
      </c>
      <c r="AE530" s="61">
        <v>44674</v>
      </c>
      <c r="AF530" s="61"/>
      <c r="AG530" s="1">
        <v>22.02</v>
      </c>
      <c r="AH530" s="537"/>
      <c r="AI530" s="537"/>
      <c r="AK530" s="537"/>
      <c r="AM530" s="537" t="s">
        <v>64</v>
      </c>
      <c r="AN530" s="537"/>
    </row>
    <row r="531" spans="1:40" hidden="1">
      <c r="A531" s="537" t="s">
        <v>179</v>
      </c>
      <c r="B531" s="1">
        <v>211206</v>
      </c>
      <c r="D531" s="537" t="s">
        <v>1066</v>
      </c>
      <c r="E531" s="537" t="s">
        <v>2376</v>
      </c>
      <c r="F531" t="s">
        <v>804</v>
      </c>
      <c r="G531"/>
      <c r="H531" s="537" t="s">
        <v>1488</v>
      </c>
      <c r="I531" s="537" t="s">
        <v>1489</v>
      </c>
      <c r="J531" s="537" t="s">
        <v>18</v>
      </c>
      <c r="K531" s="537" t="s">
        <v>57</v>
      </c>
      <c r="L531" s="61">
        <v>34949</v>
      </c>
      <c r="M531" s="1">
        <v>28</v>
      </c>
      <c r="N531" s="1">
        <v>1320</v>
      </c>
      <c r="P531" s="1">
        <v>1700</v>
      </c>
      <c r="Q531" s="537"/>
      <c r="R531" s="1">
        <v>380</v>
      </c>
      <c r="S531"/>
      <c r="T531" t="s">
        <v>65</v>
      </c>
      <c r="U531" t="s">
        <v>2639</v>
      </c>
      <c r="V531" t="s">
        <v>65</v>
      </c>
      <c r="W531" s="1">
        <v>45369</v>
      </c>
      <c r="X531" s="537" t="s">
        <v>65</v>
      </c>
      <c r="Y531" s="537" t="s">
        <v>60</v>
      </c>
      <c r="Z531" s="1" t="s">
        <v>1070</v>
      </c>
      <c r="AA531" s="537" t="s">
        <v>1169</v>
      </c>
      <c r="AB531" s="537" t="s">
        <v>1490</v>
      </c>
      <c r="AC531" s="1" t="s">
        <v>63</v>
      </c>
      <c r="AD531" s="61">
        <v>44543</v>
      </c>
      <c r="AE531" s="61">
        <v>44694</v>
      </c>
      <c r="AF531" s="61"/>
      <c r="AG531" s="1">
        <v>22.02</v>
      </c>
      <c r="AH531" s="537" t="s">
        <v>1489</v>
      </c>
      <c r="AI531" s="537" t="s">
        <v>86</v>
      </c>
      <c r="AK531" s="537"/>
      <c r="AL531" s="1" t="s">
        <v>1491</v>
      </c>
      <c r="AM531" s="537" t="s">
        <v>64</v>
      </c>
      <c r="AN531" s="537"/>
    </row>
    <row r="532" spans="1:40" hidden="1">
      <c r="A532" s="537" t="s">
        <v>179</v>
      </c>
      <c r="B532" s="1">
        <v>211210</v>
      </c>
      <c r="D532" s="537" t="s">
        <v>88</v>
      </c>
      <c r="E532" s="537"/>
      <c r="F532"/>
      <c r="G532"/>
      <c r="H532" s="537" t="s">
        <v>2015</v>
      </c>
      <c r="I532" s="537" t="s">
        <v>2016</v>
      </c>
      <c r="J532" s="537" t="s">
        <v>18</v>
      </c>
      <c r="K532" s="537" t="s">
        <v>57</v>
      </c>
      <c r="L532" s="61">
        <v>29933</v>
      </c>
      <c r="M532" s="1">
        <v>41</v>
      </c>
      <c r="N532" s="1">
        <v>1350</v>
      </c>
      <c r="P532" s="1">
        <v>1750</v>
      </c>
      <c r="Q532" s="537"/>
      <c r="R532" s="1">
        <v>400</v>
      </c>
      <c r="S532"/>
      <c r="T532" t="s">
        <v>65</v>
      </c>
      <c r="U532" t="s">
        <v>65</v>
      </c>
      <c r="V532" t="s">
        <v>65</v>
      </c>
      <c r="W532" s="1">
        <v>45597</v>
      </c>
      <c r="X532" s="537" t="s">
        <v>65</v>
      </c>
      <c r="Y532" s="537" t="s">
        <v>60</v>
      </c>
      <c r="Z532" s="1" t="s">
        <v>1006</v>
      </c>
      <c r="AA532" s="537" t="s">
        <v>1116</v>
      </c>
      <c r="AB532" s="537" t="s">
        <v>1117</v>
      </c>
      <c r="AC532" s="1">
        <v>44544</v>
      </c>
      <c r="AD532" s="61">
        <v>44546</v>
      </c>
      <c r="AE532" s="61">
        <v>44586</v>
      </c>
      <c r="AF532" s="61"/>
      <c r="AG532" s="1">
        <v>22.03</v>
      </c>
      <c r="AH532" s="537" t="s">
        <v>1793</v>
      </c>
      <c r="AI532" s="537" t="s">
        <v>86</v>
      </c>
      <c r="AJ532" s="1">
        <v>98</v>
      </c>
      <c r="AK532" s="537" t="s">
        <v>1794</v>
      </c>
      <c r="AL532" s="1" t="s">
        <v>1795</v>
      </c>
      <c r="AM532" s="537"/>
      <c r="AN532" s="537"/>
    </row>
    <row r="533" spans="1:40" hidden="1">
      <c r="A533" s="537" t="s">
        <v>54</v>
      </c>
      <c r="B533" s="1">
        <v>211214</v>
      </c>
      <c r="D533" s="537" t="s">
        <v>1492</v>
      </c>
      <c r="E533" s="537" t="s">
        <v>1525</v>
      </c>
      <c r="F533"/>
      <c r="G533"/>
      <c r="H533" s="537" t="s">
        <v>1526</v>
      </c>
      <c r="I533" s="537" t="s">
        <v>1530</v>
      </c>
      <c r="J533" s="537" t="s">
        <v>18</v>
      </c>
      <c r="K533" s="537" t="s">
        <v>57</v>
      </c>
      <c r="L533" s="61">
        <v>34177</v>
      </c>
      <c r="M533" s="1">
        <v>30</v>
      </c>
      <c r="N533" s="1">
        <v>1400</v>
      </c>
      <c r="P533" s="1">
        <v>1900</v>
      </c>
      <c r="Q533" s="537"/>
      <c r="R533" s="1">
        <v>500</v>
      </c>
      <c r="S533">
        <v>240000</v>
      </c>
      <c r="T533">
        <v>12012</v>
      </c>
      <c r="U533" t="s">
        <v>2639</v>
      </c>
      <c r="V533">
        <v>21960</v>
      </c>
      <c r="W533" s="1">
        <v>45578</v>
      </c>
      <c r="X533" s="537" t="s">
        <v>65</v>
      </c>
      <c r="Y533" s="537" t="s">
        <v>60</v>
      </c>
      <c r="Z533" s="1" t="s">
        <v>1527</v>
      </c>
      <c r="AA533" s="537" t="s">
        <v>1528</v>
      </c>
      <c r="AB533" s="537" t="s">
        <v>1529</v>
      </c>
      <c r="AC533" s="1" t="s">
        <v>63</v>
      </c>
      <c r="AD533" s="61">
        <v>44550</v>
      </c>
      <c r="AE533" s="61"/>
      <c r="AF533" s="61"/>
      <c r="AG533" s="1">
        <v>22.02</v>
      </c>
      <c r="AH533" s="537" t="s">
        <v>1530</v>
      </c>
      <c r="AI533" s="537" t="s">
        <v>86</v>
      </c>
      <c r="AJ533" s="1">
        <v>438</v>
      </c>
      <c r="AK533" s="537" t="s">
        <v>223</v>
      </c>
      <c r="AL533" s="1" t="s">
        <v>1531</v>
      </c>
      <c r="AM533" s="537" t="s">
        <v>64</v>
      </c>
      <c r="AN533" s="537"/>
    </row>
    <row r="534" spans="1:40" hidden="1">
      <c r="A534" s="537" t="s">
        <v>179</v>
      </c>
      <c r="B534" s="1">
        <v>211215</v>
      </c>
      <c r="D534" s="537" t="s">
        <v>118</v>
      </c>
      <c r="E534" s="537"/>
      <c r="F534"/>
      <c r="G534"/>
      <c r="H534" s="537" t="s">
        <v>2017</v>
      </c>
      <c r="I534" s="537" t="s">
        <v>2018</v>
      </c>
      <c r="J534" s="537" t="s">
        <v>18</v>
      </c>
      <c r="K534" s="537" t="s">
        <v>57</v>
      </c>
      <c r="L534" s="61">
        <v>33748</v>
      </c>
      <c r="M534" s="1">
        <v>31</v>
      </c>
      <c r="N534" s="1">
        <v>1350</v>
      </c>
      <c r="P534" s="1">
        <v>1750</v>
      </c>
      <c r="Q534" s="537"/>
      <c r="R534" s="1">
        <v>400</v>
      </c>
      <c r="S534"/>
      <c r="T534" t="s">
        <v>65</v>
      </c>
      <c r="U534" t="s">
        <v>2639</v>
      </c>
      <c r="V534" t="s">
        <v>65</v>
      </c>
      <c r="W534" s="1">
        <v>45313</v>
      </c>
      <c r="X534" s="537" t="s">
        <v>59</v>
      </c>
      <c r="Y534" s="537" t="s">
        <v>60</v>
      </c>
      <c r="Z534" s="1" t="s">
        <v>121</v>
      </c>
      <c r="AA534" s="537" t="s">
        <v>122</v>
      </c>
      <c r="AB534" s="537" t="s">
        <v>131</v>
      </c>
      <c r="AC534" s="1">
        <v>44546</v>
      </c>
      <c r="AD534" s="61">
        <v>44551</v>
      </c>
      <c r="AE534" s="61">
        <v>44554</v>
      </c>
      <c r="AF534" s="61"/>
      <c r="AH534" s="537" t="s">
        <v>1791</v>
      </c>
      <c r="AI534" s="537" t="s">
        <v>86</v>
      </c>
      <c r="AJ534" s="1">
        <v>408</v>
      </c>
      <c r="AK534" s="537" t="s">
        <v>87</v>
      </c>
      <c r="AL534" s="1" t="s">
        <v>1792</v>
      </c>
      <c r="AM534" s="537"/>
      <c r="AN534" s="537"/>
    </row>
    <row r="535" spans="1:40" hidden="1">
      <c r="A535" s="537" t="s">
        <v>179</v>
      </c>
      <c r="B535" s="1">
        <v>210204</v>
      </c>
      <c r="D535" s="537" t="s">
        <v>88</v>
      </c>
      <c r="E535" s="537"/>
      <c r="F535"/>
      <c r="G535"/>
      <c r="H535" s="537" t="s">
        <v>1873</v>
      </c>
      <c r="I535" s="537" t="s">
        <v>1874</v>
      </c>
      <c r="J535" s="537" t="s">
        <v>18</v>
      </c>
      <c r="K535" s="537" t="s">
        <v>939</v>
      </c>
      <c r="L535" s="61">
        <v>23316</v>
      </c>
      <c r="M535" s="1">
        <v>60</v>
      </c>
      <c r="N535" s="1">
        <v>1300</v>
      </c>
      <c r="P535" s="1">
        <v>1750</v>
      </c>
      <c r="Q535" s="537"/>
      <c r="R535" s="1">
        <v>450</v>
      </c>
      <c r="S535"/>
      <c r="T535" t="s">
        <v>65</v>
      </c>
      <c r="U535" t="s">
        <v>65</v>
      </c>
      <c r="V535" t="s">
        <v>65</v>
      </c>
      <c r="W535" s="1">
        <v>450</v>
      </c>
      <c r="X535" s="537" t="s">
        <v>59</v>
      </c>
      <c r="Y535" s="537" t="s">
        <v>1637</v>
      </c>
      <c r="Z535" s="1" t="s">
        <v>1139</v>
      </c>
      <c r="AA535" s="537" t="s">
        <v>1686</v>
      </c>
      <c r="AB535" s="537" t="s">
        <v>1687</v>
      </c>
      <c r="AC535" s="1">
        <v>44553</v>
      </c>
      <c r="AD535" s="61">
        <v>44554</v>
      </c>
      <c r="AE535" s="61">
        <v>44589</v>
      </c>
      <c r="AF535" s="61"/>
      <c r="AG535" s="1">
        <v>22.03</v>
      </c>
      <c r="AH535" s="537" t="s">
        <v>1793</v>
      </c>
      <c r="AI535" s="537" t="s">
        <v>86</v>
      </c>
      <c r="AJ535" s="1">
        <v>98</v>
      </c>
      <c r="AK535" s="537" t="s">
        <v>1794</v>
      </c>
      <c r="AL535" s="1" t="s">
        <v>1795</v>
      </c>
      <c r="AM535" s="537"/>
      <c r="AN535" s="537"/>
    </row>
    <row r="536" spans="1:40" hidden="1">
      <c r="A536" s="537" t="s">
        <v>179</v>
      </c>
      <c r="B536" s="1">
        <v>211216</v>
      </c>
      <c r="D536" s="537" t="s">
        <v>1492</v>
      </c>
      <c r="E536" s="537"/>
      <c r="F536"/>
      <c r="G536"/>
      <c r="H536" s="537" t="s">
        <v>1534</v>
      </c>
      <c r="I536" s="537" t="s">
        <v>1535</v>
      </c>
      <c r="J536" s="537" t="s">
        <v>18</v>
      </c>
      <c r="K536" s="537" t="s">
        <v>57</v>
      </c>
      <c r="L536" s="61">
        <v>30210</v>
      </c>
      <c r="M536" s="1">
        <v>41</v>
      </c>
      <c r="N536" s="1">
        <v>1400</v>
      </c>
      <c r="P536" s="1">
        <v>1900</v>
      </c>
      <c r="Q536" s="537"/>
      <c r="R536" s="1">
        <v>500</v>
      </c>
      <c r="S536"/>
      <c r="T536" t="s">
        <v>65</v>
      </c>
      <c r="U536" t="s">
        <v>65</v>
      </c>
      <c r="V536" t="s">
        <v>65</v>
      </c>
      <c r="W536" s="1">
        <v>44841</v>
      </c>
      <c r="X536" s="537" t="s">
        <v>59</v>
      </c>
      <c r="Y536" s="537" t="s">
        <v>60</v>
      </c>
      <c r="Z536" s="1" t="s">
        <v>1536</v>
      </c>
      <c r="AA536" s="537" t="s">
        <v>1537</v>
      </c>
      <c r="AB536" s="537" t="s">
        <v>1538</v>
      </c>
      <c r="AC536" s="1" t="s">
        <v>63</v>
      </c>
      <c r="AD536" s="61">
        <v>44557</v>
      </c>
      <c r="AE536" s="61">
        <v>44701</v>
      </c>
      <c r="AF536" s="61"/>
      <c r="AG536" s="1">
        <v>22.02</v>
      </c>
      <c r="AH536" s="537"/>
      <c r="AI536" s="537"/>
      <c r="AK536" s="537"/>
      <c r="AM536" s="537" t="s">
        <v>64</v>
      </c>
      <c r="AN536" s="537"/>
    </row>
    <row r="537" spans="1:40" hidden="1">
      <c r="A537" s="537" t="s">
        <v>179</v>
      </c>
      <c r="B537" s="1">
        <v>211218</v>
      </c>
      <c r="D537" s="537" t="s">
        <v>118</v>
      </c>
      <c r="E537" s="537"/>
      <c r="F537"/>
      <c r="G537"/>
      <c r="H537" s="537" t="s">
        <v>2019</v>
      </c>
      <c r="I537" s="537" t="s">
        <v>2020</v>
      </c>
      <c r="J537" s="537" t="s">
        <v>18</v>
      </c>
      <c r="K537" s="537" t="s">
        <v>57</v>
      </c>
      <c r="L537" s="61">
        <v>33674</v>
      </c>
      <c r="M537" s="1">
        <v>31</v>
      </c>
      <c r="N537" s="1">
        <v>1350</v>
      </c>
      <c r="P537" s="1">
        <v>1750</v>
      </c>
      <c r="Q537" s="537"/>
      <c r="R537" s="1">
        <v>400</v>
      </c>
      <c r="S537"/>
      <c r="T537" t="s">
        <v>65</v>
      </c>
      <c r="U537" t="s">
        <v>2639</v>
      </c>
      <c r="V537" t="s">
        <v>65</v>
      </c>
      <c r="W537" s="1">
        <v>45126</v>
      </c>
      <c r="X537" s="537" t="s">
        <v>59</v>
      </c>
      <c r="Y537" s="537" t="s">
        <v>60</v>
      </c>
      <c r="Z537" s="1" t="s">
        <v>121</v>
      </c>
      <c r="AA537" s="537" t="s">
        <v>1406</v>
      </c>
      <c r="AB537" s="537" t="s">
        <v>1407</v>
      </c>
      <c r="AD537" s="61">
        <v>44558</v>
      </c>
      <c r="AE537" s="61">
        <v>44616</v>
      </c>
      <c r="AF537" s="61"/>
      <c r="AG537" s="1">
        <v>22.03</v>
      </c>
      <c r="AH537" s="537" t="s">
        <v>1791</v>
      </c>
      <c r="AI537" s="537" t="s">
        <v>86</v>
      </c>
      <c r="AJ537" s="1">
        <v>408</v>
      </c>
      <c r="AK537" s="537" t="s">
        <v>87</v>
      </c>
      <c r="AL537" s="1" t="s">
        <v>1792</v>
      </c>
      <c r="AM537" s="537"/>
      <c r="AN537" s="537"/>
    </row>
    <row r="538" spans="1:40" hidden="1">
      <c r="A538" s="537" t="s">
        <v>179</v>
      </c>
      <c r="B538" s="1">
        <v>220103</v>
      </c>
      <c r="D538" s="537" t="s">
        <v>1019</v>
      </c>
      <c r="E538" s="537" t="s">
        <v>1317</v>
      </c>
      <c r="F538"/>
      <c r="G538"/>
      <c r="H538" s="537" t="s">
        <v>1540</v>
      </c>
      <c r="I538" s="537" t="s">
        <v>1541</v>
      </c>
      <c r="J538" s="537" t="s">
        <v>18</v>
      </c>
      <c r="K538" s="537" t="s">
        <v>57</v>
      </c>
      <c r="L538" s="61">
        <v>30230</v>
      </c>
      <c r="M538" s="1">
        <v>41</v>
      </c>
      <c r="N538" s="1">
        <v>1600</v>
      </c>
      <c r="O538" s="1" t="s">
        <v>1542</v>
      </c>
      <c r="P538" s="1">
        <v>2100</v>
      </c>
      <c r="Q538" s="537"/>
      <c r="R538" s="1">
        <v>500</v>
      </c>
      <c r="S538">
        <v>380000</v>
      </c>
      <c r="T538">
        <v>19019</v>
      </c>
      <c r="U538">
        <v>3457.9999999999964</v>
      </c>
      <c r="V538">
        <v>34770</v>
      </c>
      <c r="W538" s="1">
        <v>46109</v>
      </c>
      <c r="X538" s="537" t="s">
        <v>65</v>
      </c>
      <c r="Y538" s="537" t="s">
        <v>60</v>
      </c>
      <c r="Z538" s="1" t="s">
        <v>1024</v>
      </c>
      <c r="AA538" s="537" t="s">
        <v>1543</v>
      </c>
      <c r="AB538" s="537" t="s">
        <v>1544</v>
      </c>
      <c r="AC538" s="1">
        <v>44552</v>
      </c>
      <c r="AD538" s="61">
        <v>44566</v>
      </c>
      <c r="AE538" s="61">
        <v>45128</v>
      </c>
      <c r="AF538" s="61"/>
      <c r="AG538" s="1">
        <v>22.03</v>
      </c>
      <c r="AH538" s="537" t="s">
        <v>1545</v>
      </c>
      <c r="AI538" s="537" t="s">
        <v>86</v>
      </c>
      <c r="AJ538" s="1">
        <v>408</v>
      </c>
      <c r="AK538" s="537" t="s">
        <v>87</v>
      </c>
      <c r="AL538" s="1" t="s">
        <v>1546</v>
      </c>
      <c r="AM538" s="537" t="s">
        <v>64</v>
      </c>
      <c r="AN538" s="537"/>
    </row>
    <row r="539" spans="1:40" hidden="1">
      <c r="A539" s="537" t="s">
        <v>179</v>
      </c>
      <c r="B539" s="1">
        <v>220101</v>
      </c>
      <c r="D539" s="537" t="s">
        <v>385</v>
      </c>
      <c r="E539" s="537"/>
      <c r="F539"/>
      <c r="G539"/>
      <c r="H539" s="537" t="s">
        <v>2021</v>
      </c>
      <c r="I539" s="537" t="s">
        <v>2022</v>
      </c>
      <c r="J539" s="537" t="s">
        <v>18</v>
      </c>
      <c r="K539" s="537" t="s">
        <v>57</v>
      </c>
      <c r="L539" s="61">
        <v>32412</v>
      </c>
      <c r="M539" s="1">
        <v>35</v>
      </c>
      <c r="N539" s="1">
        <v>1400</v>
      </c>
      <c r="P539" s="1">
        <v>2000</v>
      </c>
      <c r="Q539" s="537"/>
      <c r="R539" s="1">
        <v>600</v>
      </c>
      <c r="S539"/>
      <c r="T539" t="s">
        <v>65</v>
      </c>
      <c r="U539" t="s">
        <v>2639</v>
      </c>
      <c r="V539" t="s">
        <v>65</v>
      </c>
      <c r="W539" s="1">
        <v>45004</v>
      </c>
      <c r="X539" s="537" t="s">
        <v>59</v>
      </c>
      <c r="Y539" s="537" t="s">
        <v>60</v>
      </c>
      <c r="Z539" s="1" t="s">
        <v>2012</v>
      </c>
      <c r="AA539" s="537" t="s">
        <v>2013</v>
      </c>
      <c r="AB539" s="537" t="s">
        <v>2014</v>
      </c>
      <c r="AC539" s="1">
        <v>44554</v>
      </c>
      <c r="AD539" s="61">
        <v>44566</v>
      </c>
      <c r="AE539" s="61">
        <v>44581</v>
      </c>
      <c r="AF539" s="61"/>
      <c r="AG539" s="1">
        <v>22.03</v>
      </c>
      <c r="AH539" s="537" t="s">
        <v>1793</v>
      </c>
      <c r="AI539" s="537" t="s">
        <v>86</v>
      </c>
      <c r="AJ539" s="1">
        <v>98</v>
      </c>
      <c r="AK539" s="537" t="s">
        <v>1794</v>
      </c>
      <c r="AL539" s="1" t="s">
        <v>1795</v>
      </c>
      <c r="AM539" s="537"/>
      <c r="AN539" s="537"/>
    </row>
    <row r="540" spans="1:40" hidden="1">
      <c r="A540" s="537" t="s">
        <v>179</v>
      </c>
      <c r="B540" s="1">
        <v>220105</v>
      </c>
      <c r="D540" s="537" t="s">
        <v>105</v>
      </c>
      <c r="E540" s="537"/>
      <c r="F540"/>
      <c r="G540"/>
      <c r="H540" s="537" t="s">
        <v>2023</v>
      </c>
      <c r="I540" s="537" t="s">
        <v>2024</v>
      </c>
      <c r="J540" s="537" t="s">
        <v>18</v>
      </c>
      <c r="K540" s="537" t="s">
        <v>57</v>
      </c>
      <c r="L540" s="61">
        <v>35053</v>
      </c>
      <c r="M540" s="1">
        <v>27</v>
      </c>
      <c r="N540" s="1">
        <v>1350</v>
      </c>
      <c r="P540" s="1">
        <v>1750</v>
      </c>
      <c r="Q540" s="537"/>
      <c r="R540" s="1">
        <v>400</v>
      </c>
      <c r="S540"/>
      <c r="T540" t="s">
        <v>65</v>
      </c>
      <c r="U540" t="s">
        <v>2639</v>
      </c>
      <c r="V540" t="s">
        <v>65</v>
      </c>
      <c r="W540" s="1">
        <v>46208</v>
      </c>
      <c r="X540" s="537" t="s">
        <v>65</v>
      </c>
      <c r="Y540" s="537" t="s">
        <v>60</v>
      </c>
      <c r="AA540" s="537" t="s">
        <v>85</v>
      </c>
      <c r="AB540" s="537" t="s">
        <v>2025</v>
      </c>
      <c r="AD540" s="61">
        <v>44567</v>
      </c>
      <c r="AE540" s="61">
        <v>44573</v>
      </c>
      <c r="AF540" s="61"/>
      <c r="AH540" s="537" t="s">
        <v>1791</v>
      </c>
      <c r="AI540" s="537" t="s">
        <v>86</v>
      </c>
      <c r="AJ540" s="1">
        <v>408</v>
      </c>
      <c r="AK540" s="537" t="s">
        <v>87</v>
      </c>
      <c r="AL540" s="1" t="s">
        <v>1792</v>
      </c>
      <c r="AM540" s="537"/>
      <c r="AN540" s="537"/>
    </row>
    <row r="541" spans="1:40" hidden="1">
      <c r="A541" s="537" t="s">
        <v>179</v>
      </c>
      <c r="B541" s="1">
        <v>220110</v>
      </c>
      <c r="D541" s="537" t="s">
        <v>118</v>
      </c>
      <c r="E541" s="537"/>
      <c r="F541"/>
      <c r="G541"/>
      <c r="H541" s="537" t="s">
        <v>2026</v>
      </c>
      <c r="I541" s="537" t="s">
        <v>2027</v>
      </c>
      <c r="J541" s="537" t="s">
        <v>18</v>
      </c>
      <c r="K541" s="537" t="s">
        <v>472</v>
      </c>
      <c r="L541" s="61">
        <v>32516</v>
      </c>
      <c r="M541" s="1">
        <v>34</v>
      </c>
      <c r="N541" s="1">
        <v>1350</v>
      </c>
      <c r="P541" s="1">
        <v>1750</v>
      </c>
      <c r="Q541" s="537"/>
      <c r="R541" s="1">
        <v>400</v>
      </c>
      <c r="S541"/>
      <c r="T541" t="s">
        <v>65</v>
      </c>
      <c r="U541" t="s">
        <v>2639</v>
      </c>
      <c r="V541" t="s">
        <v>65</v>
      </c>
      <c r="W541" s="1">
        <v>44985</v>
      </c>
      <c r="X541" s="537" t="s">
        <v>59</v>
      </c>
      <c r="Y541" s="537" t="s">
        <v>60</v>
      </c>
      <c r="Z541" s="1" t="s">
        <v>199</v>
      </c>
      <c r="AA541" s="537" t="s">
        <v>2028</v>
      </c>
      <c r="AB541" s="537" t="s">
        <v>594</v>
      </c>
      <c r="AC541" s="1">
        <v>44569</v>
      </c>
      <c r="AD541" s="61">
        <v>44573</v>
      </c>
      <c r="AE541" s="61">
        <v>44655</v>
      </c>
      <c r="AF541" s="61"/>
      <c r="AG541" s="1">
        <v>22.03</v>
      </c>
      <c r="AH541" s="537" t="s">
        <v>1793</v>
      </c>
      <c r="AI541" s="537" t="s">
        <v>86</v>
      </c>
      <c r="AJ541" s="1">
        <v>98</v>
      </c>
      <c r="AK541" s="537" t="s">
        <v>1794</v>
      </c>
      <c r="AL541" s="1" t="s">
        <v>1795</v>
      </c>
      <c r="AM541" s="537" t="s">
        <v>64</v>
      </c>
      <c r="AN541" s="537"/>
    </row>
    <row r="542" spans="1:40" hidden="1">
      <c r="A542" s="537" t="s">
        <v>179</v>
      </c>
      <c r="B542" s="1">
        <v>220119</v>
      </c>
      <c r="D542" s="537" t="s">
        <v>962</v>
      </c>
      <c r="E542" s="537" t="s">
        <v>3043</v>
      </c>
      <c r="F542" t="s">
        <v>3044</v>
      </c>
      <c r="G542" t="s">
        <v>3045</v>
      </c>
      <c r="H542" s="537" t="s">
        <v>1565</v>
      </c>
      <c r="I542" s="537" t="s">
        <v>1566</v>
      </c>
      <c r="J542" s="537" t="s">
        <v>17</v>
      </c>
      <c r="K542" s="537" t="s">
        <v>939</v>
      </c>
      <c r="L542" s="61">
        <v>26141</v>
      </c>
      <c r="M542" s="1">
        <v>52</v>
      </c>
      <c r="N542" s="1">
        <v>1300</v>
      </c>
      <c r="O542" s="1" t="s">
        <v>1567</v>
      </c>
      <c r="P542" s="1">
        <v>1650</v>
      </c>
      <c r="Q542" s="537"/>
      <c r="R542" s="1">
        <v>350</v>
      </c>
      <c r="S542"/>
      <c r="T542" t="s">
        <v>65</v>
      </c>
      <c r="U542" t="s">
        <v>65</v>
      </c>
      <c r="V542" t="s">
        <v>65</v>
      </c>
      <c r="W542" s="1">
        <v>44822</v>
      </c>
      <c r="X542" s="537" t="s">
        <v>59</v>
      </c>
      <c r="Y542" s="537" t="s">
        <v>1568</v>
      </c>
      <c r="Z542" s="1" t="s">
        <v>1013</v>
      </c>
      <c r="AA542" s="537" t="s">
        <v>1569</v>
      </c>
      <c r="AB542" s="537" t="s">
        <v>1570</v>
      </c>
      <c r="AD542" s="61">
        <v>44578</v>
      </c>
      <c r="AE542" s="61">
        <v>44811</v>
      </c>
      <c r="AF542" s="61"/>
      <c r="AG542" s="1">
        <v>22.02</v>
      </c>
      <c r="AH542" s="537"/>
      <c r="AI542" s="537"/>
      <c r="AK542" s="537"/>
      <c r="AM542" s="537" t="s">
        <v>64</v>
      </c>
      <c r="AN542" s="537"/>
    </row>
    <row r="543" spans="1:40" hidden="1">
      <c r="A543" s="537" t="s">
        <v>179</v>
      </c>
      <c r="B543" s="1">
        <v>220120</v>
      </c>
      <c r="D543" s="537" t="s">
        <v>962</v>
      </c>
      <c r="E543" s="537" t="s">
        <v>3043</v>
      </c>
      <c r="F543" t="s">
        <v>3044</v>
      </c>
      <c r="G543" t="s">
        <v>3045</v>
      </c>
      <c r="H543" s="537" t="s">
        <v>1579</v>
      </c>
      <c r="I543" s="537" t="s">
        <v>1580</v>
      </c>
      <c r="J543" s="537" t="s">
        <v>17</v>
      </c>
      <c r="K543" s="537" t="s">
        <v>939</v>
      </c>
      <c r="L543" s="61">
        <v>25487</v>
      </c>
      <c r="M543" s="1">
        <v>54</v>
      </c>
      <c r="N543" s="1">
        <v>1250</v>
      </c>
      <c r="O543" s="1" t="s">
        <v>1567</v>
      </c>
      <c r="P543" s="1">
        <v>1650</v>
      </c>
      <c r="Q543" s="537"/>
      <c r="R543" s="1">
        <v>400</v>
      </c>
      <c r="S543"/>
      <c r="T543" t="s">
        <v>65</v>
      </c>
      <c r="U543" t="s">
        <v>65</v>
      </c>
      <c r="V543" t="s">
        <v>65</v>
      </c>
      <c r="W543" s="1">
        <v>45059</v>
      </c>
      <c r="X543" s="537" t="s">
        <v>59</v>
      </c>
      <c r="Y543" s="537" t="s">
        <v>1581</v>
      </c>
      <c r="Z543" s="1" t="s">
        <v>1582</v>
      </c>
      <c r="AA543" s="537" t="s">
        <v>1569</v>
      </c>
      <c r="AB543" s="537" t="s">
        <v>1583</v>
      </c>
      <c r="AC543" s="1" t="s">
        <v>63</v>
      </c>
      <c r="AD543" s="61">
        <v>44578</v>
      </c>
      <c r="AE543" s="61">
        <v>44824</v>
      </c>
      <c r="AF543" s="61"/>
      <c r="AG543" s="1">
        <v>22.02</v>
      </c>
      <c r="AH543" s="537" t="s">
        <v>1584</v>
      </c>
      <c r="AI543" s="537" t="s">
        <v>86</v>
      </c>
      <c r="AJ543" s="1">
        <v>518</v>
      </c>
      <c r="AK543" s="537" t="s">
        <v>247</v>
      </c>
      <c r="AL543" s="1" t="s">
        <v>1585</v>
      </c>
      <c r="AM543" s="537" t="s">
        <v>64</v>
      </c>
      <c r="AN543" s="537"/>
    </row>
    <row r="544" spans="1:40" hidden="1">
      <c r="A544" s="537" t="s">
        <v>179</v>
      </c>
      <c r="B544" s="1">
        <v>220123</v>
      </c>
      <c r="D544" s="537" t="s">
        <v>118</v>
      </c>
      <c r="E544" s="537"/>
      <c r="F544"/>
      <c r="G544"/>
      <c r="H544" s="537" t="s">
        <v>2029</v>
      </c>
      <c r="I544" s="537" t="s">
        <v>2030</v>
      </c>
      <c r="J544" s="537" t="s">
        <v>18</v>
      </c>
      <c r="K544" s="537" t="s">
        <v>472</v>
      </c>
      <c r="L544" s="61">
        <v>35415</v>
      </c>
      <c r="M544" s="1">
        <v>26</v>
      </c>
      <c r="N544" s="1">
        <v>1350</v>
      </c>
      <c r="P544" s="1">
        <v>1750</v>
      </c>
      <c r="Q544" s="537"/>
      <c r="R544" s="1">
        <v>400</v>
      </c>
      <c r="S544"/>
      <c r="T544" t="s">
        <v>65</v>
      </c>
      <c r="U544" t="s">
        <v>2639</v>
      </c>
      <c r="V544" t="s">
        <v>65</v>
      </c>
      <c r="W544" s="1">
        <v>45867</v>
      </c>
      <c r="X544" s="537" t="s">
        <v>65</v>
      </c>
      <c r="Y544" s="537" t="s">
        <v>60</v>
      </c>
      <c r="AA544" s="537"/>
      <c r="AB544" s="537"/>
      <c r="AD544" s="61">
        <v>44579</v>
      </c>
      <c r="AE544" s="61">
        <v>44582</v>
      </c>
      <c r="AF544" s="61"/>
      <c r="AH544" s="537" t="s">
        <v>1791</v>
      </c>
      <c r="AI544" s="537" t="s">
        <v>86</v>
      </c>
      <c r="AJ544" s="1">
        <v>408</v>
      </c>
      <c r="AK544" s="537" t="s">
        <v>87</v>
      </c>
      <c r="AL544" s="1" t="s">
        <v>1792</v>
      </c>
      <c r="AM544" s="537"/>
      <c r="AN544" s="537"/>
    </row>
    <row r="545" spans="1:40" hidden="1">
      <c r="A545" s="537" t="s">
        <v>179</v>
      </c>
      <c r="B545" s="1">
        <v>220124</v>
      </c>
      <c r="D545" s="537" t="s">
        <v>1019</v>
      </c>
      <c r="E545" s="537" t="s">
        <v>1020</v>
      </c>
      <c r="F545"/>
      <c r="G545"/>
      <c r="H545" s="537" t="s">
        <v>1588</v>
      </c>
      <c r="I545" s="537" t="s">
        <v>1589</v>
      </c>
      <c r="J545" s="537" t="s">
        <v>18</v>
      </c>
      <c r="K545" s="537" t="s">
        <v>57</v>
      </c>
      <c r="L545" s="61">
        <v>32542</v>
      </c>
      <c r="M545" s="1">
        <v>34</v>
      </c>
      <c r="N545" s="1">
        <v>1500</v>
      </c>
      <c r="O545" s="1" t="s">
        <v>1590</v>
      </c>
      <c r="P545" s="1">
        <v>2000</v>
      </c>
      <c r="Q545" s="537"/>
      <c r="R545" s="1">
        <v>500</v>
      </c>
      <c r="S545">
        <v>300000</v>
      </c>
      <c r="T545">
        <v>15014.999999999998</v>
      </c>
      <c r="U545" t="s">
        <v>2639</v>
      </c>
      <c r="V545">
        <v>27450</v>
      </c>
      <c r="W545" s="1">
        <v>45463</v>
      </c>
      <c r="X545" s="537" t="s">
        <v>65</v>
      </c>
      <c r="Y545" s="537" t="s">
        <v>60</v>
      </c>
      <c r="Z545" s="1" t="s">
        <v>1321</v>
      </c>
      <c r="AA545" s="537" t="s">
        <v>1322</v>
      </c>
      <c r="AB545" s="537" t="s">
        <v>1364</v>
      </c>
      <c r="AC545" s="1">
        <v>44921</v>
      </c>
      <c r="AD545" s="61">
        <v>44581</v>
      </c>
      <c r="AE545" s="61">
        <v>45122</v>
      </c>
      <c r="AF545" s="61"/>
      <c r="AG545" s="1">
        <v>22.03</v>
      </c>
      <c r="AH545" s="537" t="s">
        <v>1591</v>
      </c>
      <c r="AI545" s="537" t="s">
        <v>86</v>
      </c>
      <c r="AJ545" s="1">
        <v>558</v>
      </c>
      <c r="AK545" s="537" t="s">
        <v>1592</v>
      </c>
      <c r="AL545" s="1" t="s">
        <v>1593</v>
      </c>
      <c r="AM545" s="537" t="s">
        <v>64</v>
      </c>
      <c r="AN545" s="537"/>
    </row>
    <row r="546" spans="1:40" hidden="1">
      <c r="A546" s="537" t="s">
        <v>54</v>
      </c>
      <c r="B546" s="1">
        <v>220128</v>
      </c>
      <c r="D546" s="537" t="s">
        <v>1603</v>
      </c>
      <c r="E546" s="537" t="s">
        <v>1604</v>
      </c>
      <c r="F546"/>
      <c r="G546"/>
      <c r="H546" s="537" t="s">
        <v>2677</v>
      </c>
      <c r="I546" s="537" t="s">
        <v>1605</v>
      </c>
      <c r="J546" s="537" t="s">
        <v>18</v>
      </c>
      <c r="K546" s="537" t="s">
        <v>57</v>
      </c>
      <c r="L546" s="61">
        <v>33926</v>
      </c>
      <c r="M546" s="1">
        <v>31</v>
      </c>
      <c r="N546" s="1">
        <v>1400</v>
      </c>
      <c r="P546" s="1">
        <v>1900</v>
      </c>
      <c r="Q546" s="537"/>
      <c r="R546" s="1">
        <v>500</v>
      </c>
      <c r="S546">
        <v>220000</v>
      </c>
      <c r="T546">
        <v>11011</v>
      </c>
      <c r="U546" t="s">
        <v>2639</v>
      </c>
      <c r="V546">
        <v>20130</v>
      </c>
      <c r="W546" s="1">
        <v>46311</v>
      </c>
      <c r="X546" s="537" t="s">
        <v>65</v>
      </c>
      <c r="Y546" s="537" t="s">
        <v>60</v>
      </c>
      <c r="Z546" s="1" t="s">
        <v>1606</v>
      </c>
      <c r="AA546" s="537" t="s">
        <v>1607</v>
      </c>
      <c r="AB546" s="537" t="s">
        <v>1608</v>
      </c>
      <c r="AC546" s="1">
        <v>44590</v>
      </c>
      <c r="AD546" s="61">
        <v>44585</v>
      </c>
      <c r="AE546" s="61"/>
      <c r="AF546" s="61"/>
      <c r="AG546" s="1">
        <v>22.02</v>
      </c>
      <c r="AH546" s="537" t="s">
        <v>1609</v>
      </c>
      <c r="AI546" s="537" t="s">
        <v>436</v>
      </c>
      <c r="AJ546" s="1">
        <v>779</v>
      </c>
      <c r="AK546" s="537" t="s">
        <v>1610</v>
      </c>
      <c r="AL546" s="1" t="s">
        <v>1611</v>
      </c>
      <c r="AM546" s="537" t="s">
        <v>64</v>
      </c>
      <c r="AN546" s="537"/>
    </row>
    <row r="547" spans="1:40" hidden="1">
      <c r="A547" s="537" t="s">
        <v>179</v>
      </c>
      <c r="B547" s="1">
        <v>220126</v>
      </c>
      <c r="D547" s="537" t="s">
        <v>962</v>
      </c>
      <c r="E547" s="537" t="s">
        <v>3043</v>
      </c>
      <c r="F547" t="s">
        <v>3044</v>
      </c>
      <c r="G547" t="s">
        <v>3045</v>
      </c>
      <c r="H547" s="537" t="s">
        <v>2031</v>
      </c>
      <c r="I547" s="537" t="s">
        <v>2032</v>
      </c>
      <c r="J547" s="537" t="s">
        <v>17</v>
      </c>
      <c r="K547" s="537" t="s">
        <v>939</v>
      </c>
      <c r="L547" s="61">
        <v>28786</v>
      </c>
      <c r="M547" s="1">
        <v>45</v>
      </c>
      <c r="N547" s="1">
        <v>1250</v>
      </c>
      <c r="O547" s="1" t="s">
        <v>1567</v>
      </c>
      <c r="P547" s="1">
        <v>1650</v>
      </c>
      <c r="Q547" s="537"/>
      <c r="R547" s="1">
        <v>400</v>
      </c>
      <c r="S547"/>
      <c r="T547" t="s">
        <v>65</v>
      </c>
      <c r="U547" t="s">
        <v>65</v>
      </c>
      <c r="V547" t="s">
        <v>65</v>
      </c>
      <c r="W547" s="1">
        <v>46425</v>
      </c>
      <c r="X547" s="537" t="s">
        <v>65</v>
      </c>
      <c r="Y547" s="537" t="s">
        <v>71</v>
      </c>
      <c r="Z547" s="1" t="s">
        <v>1013</v>
      </c>
      <c r="AA547" s="537" t="s">
        <v>1569</v>
      </c>
      <c r="AB547" s="537" t="s">
        <v>2033</v>
      </c>
      <c r="AD547" s="61">
        <v>44585</v>
      </c>
      <c r="AE547" s="61">
        <v>44595</v>
      </c>
      <c r="AF547" s="61"/>
      <c r="AG547" s="1" t="s">
        <v>519</v>
      </c>
      <c r="AH547" s="537"/>
      <c r="AI547" s="537"/>
      <c r="AK547" s="537"/>
      <c r="AL547" s="1" t="s">
        <v>1795</v>
      </c>
      <c r="AM547" s="537"/>
      <c r="AN547" s="537"/>
    </row>
    <row r="548" spans="1:40" hidden="1">
      <c r="A548" s="537" t="s">
        <v>179</v>
      </c>
      <c r="B548" s="1">
        <v>220127</v>
      </c>
      <c r="D548" s="537" t="s">
        <v>962</v>
      </c>
      <c r="E548" s="537" t="s">
        <v>3043</v>
      </c>
      <c r="F548" t="s">
        <v>3044</v>
      </c>
      <c r="G548" t="s">
        <v>3045</v>
      </c>
      <c r="H548" s="537" t="s">
        <v>2034</v>
      </c>
      <c r="I548" s="537" t="s">
        <v>2035</v>
      </c>
      <c r="J548" s="537" t="s">
        <v>17</v>
      </c>
      <c r="K548" s="537" t="s">
        <v>939</v>
      </c>
      <c r="L548" s="61">
        <v>26871</v>
      </c>
      <c r="M548" s="1">
        <v>50</v>
      </c>
      <c r="N548" s="1">
        <v>1250</v>
      </c>
      <c r="O548" s="1" t="s">
        <v>1567</v>
      </c>
      <c r="P548" s="1">
        <v>1650</v>
      </c>
      <c r="Q548" s="537"/>
      <c r="R548" s="1">
        <v>400</v>
      </c>
      <c r="S548"/>
      <c r="T548" t="s">
        <v>65</v>
      </c>
      <c r="U548" t="s">
        <v>65</v>
      </c>
      <c r="V548" t="s">
        <v>65</v>
      </c>
      <c r="W548" s="1">
        <v>46680</v>
      </c>
      <c r="X548" s="537" t="s">
        <v>65</v>
      </c>
      <c r="Y548" s="537" t="s">
        <v>71</v>
      </c>
      <c r="Z548" s="1" t="s">
        <v>2036</v>
      </c>
      <c r="AA548" s="537" t="s">
        <v>2037</v>
      </c>
      <c r="AB548" s="537" t="s">
        <v>2038</v>
      </c>
      <c r="AD548" s="61">
        <v>44585</v>
      </c>
      <c r="AE548" s="61">
        <v>44603</v>
      </c>
      <c r="AF548" s="61"/>
      <c r="AG548" s="1" t="s">
        <v>519</v>
      </c>
      <c r="AH548" s="537"/>
      <c r="AI548" s="537"/>
      <c r="AK548" s="537"/>
      <c r="AL548" s="1" t="s">
        <v>1792</v>
      </c>
      <c r="AM548" s="537"/>
      <c r="AN548" s="537"/>
    </row>
    <row r="549" spans="1:40" hidden="1">
      <c r="A549" s="537" t="s">
        <v>54</v>
      </c>
      <c r="B549" s="1">
        <v>220130</v>
      </c>
      <c r="D549" s="537" t="s">
        <v>962</v>
      </c>
      <c r="E549" s="537" t="s">
        <v>3043</v>
      </c>
      <c r="F549" t="s">
        <v>3044</v>
      </c>
      <c r="G549" t="s">
        <v>3045</v>
      </c>
      <c r="H549" s="537" t="s">
        <v>181</v>
      </c>
      <c r="I549" s="537" t="s">
        <v>1046</v>
      </c>
      <c r="J549" s="537" t="s">
        <v>18</v>
      </c>
      <c r="K549" s="537" t="s">
        <v>57</v>
      </c>
      <c r="L549" s="61">
        <v>32486</v>
      </c>
      <c r="M549" s="1">
        <v>35</v>
      </c>
      <c r="N549" s="1">
        <v>1300</v>
      </c>
      <c r="O549" s="1" t="s">
        <v>1567</v>
      </c>
      <c r="P549" s="1">
        <v>1650</v>
      </c>
      <c r="Q549" s="537"/>
      <c r="R549" s="1">
        <v>350</v>
      </c>
      <c r="S549">
        <v>340000</v>
      </c>
      <c r="T549">
        <v>17017</v>
      </c>
      <c r="U549" t="s">
        <v>2639</v>
      </c>
      <c r="V549">
        <v>31110</v>
      </c>
      <c r="W549" s="1">
        <v>45632</v>
      </c>
      <c r="X549" s="537" t="s">
        <v>65</v>
      </c>
      <c r="Y549" s="537" t="s">
        <v>60</v>
      </c>
      <c r="Z549" s="1" t="s">
        <v>1615</v>
      </c>
      <c r="AA549" s="537" t="s">
        <v>1616</v>
      </c>
      <c r="AB549" s="537" t="s">
        <v>1617</v>
      </c>
      <c r="AC549" s="1">
        <v>44632</v>
      </c>
      <c r="AD549" s="61">
        <v>44586</v>
      </c>
      <c r="AE549" s="61"/>
      <c r="AF549" s="61"/>
      <c r="AG549" s="1">
        <v>22.04</v>
      </c>
      <c r="AH549" s="537" t="s">
        <v>1609</v>
      </c>
      <c r="AI549" s="537" t="s">
        <v>436</v>
      </c>
      <c r="AJ549" s="1">
        <v>779</v>
      </c>
      <c r="AK549" s="537" t="s">
        <v>1610</v>
      </c>
      <c r="AL549" s="1" t="s">
        <v>1611</v>
      </c>
      <c r="AM549" s="537" t="s">
        <v>64</v>
      </c>
      <c r="AN549" s="537"/>
    </row>
    <row r="550" spans="1:40" hidden="1">
      <c r="A550" s="537" t="s">
        <v>179</v>
      </c>
      <c r="B550" s="1">
        <v>220131</v>
      </c>
      <c r="D550" s="537" t="s">
        <v>385</v>
      </c>
      <c r="E550" s="537"/>
      <c r="F550"/>
      <c r="G550"/>
      <c r="H550" s="537" t="s">
        <v>2039</v>
      </c>
      <c r="I550" s="537" t="s">
        <v>2040</v>
      </c>
      <c r="J550" s="537" t="s">
        <v>18</v>
      </c>
      <c r="K550" s="537" t="s">
        <v>57</v>
      </c>
      <c r="L550" s="61">
        <v>34688</v>
      </c>
      <c r="M550" s="1">
        <v>28</v>
      </c>
      <c r="N550" s="1">
        <v>1400</v>
      </c>
      <c r="P550" s="1">
        <v>2000</v>
      </c>
      <c r="Q550" s="537"/>
      <c r="R550" s="1">
        <v>600</v>
      </c>
      <c r="S550"/>
      <c r="T550" t="s">
        <v>65</v>
      </c>
      <c r="U550" t="s">
        <v>2639</v>
      </c>
      <c r="V550" t="s">
        <v>65</v>
      </c>
      <c r="W550" s="1">
        <v>45635</v>
      </c>
      <c r="X550" s="537" t="s">
        <v>65</v>
      </c>
      <c r="Y550" s="537" t="s">
        <v>60</v>
      </c>
      <c r="Z550" s="1" t="s">
        <v>2041</v>
      </c>
      <c r="AA550" s="537" t="s">
        <v>2042</v>
      </c>
      <c r="AB550" s="537" t="s">
        <v>2043</v>
      </c>
      <c r="AD550" s="61">
        <v>44588</v>
      </c>
      <c r="AE550" s="61">
        <v>44662</v>
      </c>
      <c r="AF550" s="61"/>
      <c r="AG550" s="1">
        <v>22.04</v>
      </c>
      <c r="AH550" s="537" t="s">
        <v>1793</v>
      </c>
      <c r="AI550" s="537" t="s">
        <v>86</v>
      </c>
      <c r="AJ550" s="1">
        <v>98</v>
      </c>
      <c r="AK550" s="537" t="s">
        <v>1794</v>
      </c>
      <c r="AL550" s="1" t="s">
        <v>1795</v>
      </c>
      <c r="AM550" s="537" t="s">
        <v>64</v>
      </c>
      <c r="AN550" s="537"/>
    </row>
    <row r="551" spans="1:40" hidden="1">
      <c r="A551" s="537" t="s">
        <v>179</v>
      </c>
      <c r="B551" s="1">
        <v>220132</v>
      </c>
      <c r="D551" s="537" t="s">
        <v>105</v>
      </c>
      <c r="E551" s="537"/>
      <c r="F551"/>
      <c r="G551"/>
      <c r="H551" s="537" t="s">
        <v>2044</v>
      </c>
      <c r="I551" s="537" t="s">
        <v>2045</v>
      </c>
      <c r="J551" s="537" t="s">
        <v>18</v>
      </c>
      <c r="K551" s="537" t="s">
        <v>57</v>
      </c>
      <c r="L551" s="61">
        <v>33937</v>
      </c>
      <c r="M551" s="1">
        <v>31</v>
      </c>
      <c r="N551" s="1">
        <v>1350</v>
      </c>
      <c r="P551" s="1">
        <v>1750</v>
      </c>
      <c r="Q551" s="537"/>
      <c r="R551" s="1">
        <v>400</v>
      </c>
      <c r="S551"/>
      <c r="T551" t="s">
        <v>65</v>
      </c>
      <c r="U551" t="s">
        <v>2639</v>
      </c>
      <c r="V551" t="s">
        <v>65</v>
      </c>
      <c r="W551" s="1">
        <v>44882</v>
      </c>
      <c r="X551" s="537" t="s">
        <v>59</v>
      </c>
      <c r="Y551" s="537" t="s">
        <v>60</v>
      </c>
      <c r="Z551" s="1" t="s">
        <v>136</v>
      </c>
      <c r="AA551" s="537" t="s">
        <v>163</v>
      </c>
      <c r="AB551" s="537" t="s">
        <v>267</v>
      </c>
      <c r="AD551" s="61">
        <v>44592</v>
      </c>
      <c r="AE551" s="61">
        <v>44601</v>
      </c>
      <c r="AF551" s="61"/>
      <c r="AG551" s="1">
        <v>22.04</v>
      </c>
      <c r="AH551" s="537" t="s">
        <v>1791</v>
      </c>
      <c r="AI551" s="537" t="s">
        <v>86</v>
      </c>
      <c r="AJ551" s="1">
        <v>408</v>
      </c>
      <c r="AK551" s="537" t="s">
        <v>87</v>
      </c>
      <c r="AL551" s="1" t="s">
        <v>1792</v>
      </c>
      <c r="AM551" s="537"/>
      <c r="AN551" s="537"/>
    </row>
    <row r="552" spans="1:40" hidden="1">
      <c r="A552" s="537" t="s">
        <v>179</v>
      </c>
      <c r="B552" s="1">
        <v>220205</v>
      </c>
      <c r="D552" s="537" t="s">
        <v>105</v>
      </c>
      <c r="E552" s="537"/>
      <c r="F552"/>
      <c r="G552"/>
      <c r="H552" s="537" t="s">
        <v>1618</v>
      </c>
      <c r="I552" s="537" t="s">
        <v>1619</v>
      </c>
      <c r="J552" s="537" t="s">
        <v>18</v>
      </c>
      <c r="K552" s="537" t="s">
        <v>57</v>
      </c>
      <c r="L552" s="61">
        <v>34726</v>
      </c>
      <c r="M552" s="1">
        <v>28</v>
      </c>
      <c r="N552" s="1">
        <v>1350</v>
      </c>
      <c r="P552" s="1">
        <v>1760</v>
      </c>
      <c r="Q552" s="537"/>
      <c r="R552" s="1">
        <v>410</v>
      </c>
      <c r="S552"/>
      <c r="T552" t="s">
        <v>65</v>
      </c>
      <c r="U552" t="s">
        <v>2639</v>
      </c>
      <c r="V552" t="s">
        <v>65</v>
      </c>
      <c r="W552" s="1">
        <v>44919</v>
      </c>
      <c r="X552" s="537" t="s">
        <v>59</v>
      </c>
      <c r="Y552" s="537" t="s">
        <v>60</v>
      </c>
      <c r="Z552" s="1" t="s">
        <v>526</v>
      </c>
      <c r="AA552" s="537" t="s">
        <v>527</v>
      </c>
      <c r="AB552" s="537" t="s">
        <v>528</v>
      </c>
      <c r="AC552" s="1">
        <v>44602</v>
      </c>
      <c r="AD552" s="61">
        <v>44599</v>
      </c>
      <c r="AE552" s="61">
        <v>44680</v>
      </c>
      <c r="AF552" s="61"/>
      <c r="AG552" s="1">
        <v>22.04</v>
      </c>
      <c r="AH552" s="537" t="s">
        <v>1609</v>
      </c>
      <c r="AI552" s="537" t="s">
        <v>436</v>
      </c>
      <c r="AJ552" s="1">
        <v>779</v>
      </c>
      <c r="AK552" s="537" t="s">
        <v>1610</v>
      </c>
      <c r="AL552" s="1" t="s">
        <v>1611</v>
      </c>
      <c r="AM552" s="537" t="s">
        <v>64</v>
      </c>
      <c r="AN552" s="537"/>
    </row>
    <row r="553" spans="1:40" hidden="1">
      <c r="A553" s="537" t="s">
        <v>54</v>
      </c>
      <c r="B553" s="1">
        <v>220211</v>
      </c>
      <c r="D553" s="537" t="s">
        <v>1603</v>
      </c>
      <c r="E553" s="537" t="s">
        <v>1604</v>
      </c>
      <c r="F553"/>
      <c r="G553"/>
      <c r="H553" s="537" t="s">
        <v>464</v>
      </c>
      <c r="I553" s="537" t="s">
        <v>465</v>
      </c>
      <c r="J553" s="537" t="s">
        <v>18</v>
      </c>
      <c r="K553" s="537" t="s">
        <v>57</v>
      </c>
      <c r="L553" s="61">
        <v>34432</v>
      </c>
      <c r="M553" s="1">
        <v>29</v>
      </c>
      <c r="N553" s="1">
        <v>1400</v>
      </c>
      <c r="P553" s="1">
        <v>1900</v>
      </c>
      <c r="Q553" s="537"/>
      <c r="R553" s="1">
        <v>500</v>
      </c>
      <c r="S553">
        <v>240000</v>
      </c>
      <c r="T553">
        <v>12012</v>
      </c>
      <c r="U553" t="s">
        <v>2639</v>
      </c>
      <c r="V553">
        <v>21960</v>
      </c>
      <c r="W553" s="1">
        <v>46341</v>
      </c>
      <c r="X553" s="537" t="s">
        <v>65</v>
      </c>
      <c r="Y553" s="537" t="s">
        <v>60</v>
      </c>
      <c r="Z553" s="1" t="s">
        <v>1622</v>
      </c>
      <c r="AA553" s="537" t="s">
        <v>1623</v>
      </c>
      <c r="AB553" s="537" t="s">
        <v>1624</v>
      </c>
      <c r="AC553" s="1">
        <v>44600</v>
      </c>
      <c r="AD553" s="61">
        <v>44601</v>
      </c>
      <c r="AE553" s="61"/>
      <c r="AF553" s="61"/>
      <c r="AG553" s="1">
        <v>22.04</v>
      </c>
      <c r="AH553" s="537" t="s">
        <v>1612</v>
      </c>
      <c r="AI553" s="537" t="s">
        <v>145</v>
      </c>
      <c r="AJ553" s="1">
        <v>180</v>
      </c>
      <c r="AK553" s="537" t="s">
        <v>1613</v>
      </c>
      <c r="AL553" s="1" t="s">
        <v>1614</v>
      </c>
      <c r="AM553" s="537" t="s">
        <v>64</v>
      </c>
      <c r="AN553" s="537"/>
    </row>
    <row r="554" spans="1:40" hidden="1">
      <c r="A554" s="537" t="s">
        <v>54</v>
      </c>
      <c r="B554" s="1">
        <v>220214</v>
      </c>
      <c r="D554" s="537" t="s">
        <v>1128</v>
      </c>
      <c r="E554" s="537" t="s">
        <v>1129</v>
      </c>
      <c r="F554"/>
      <c r="G554"/>
      <c r="H554" s="537" t="s">
        <v>1625</v>
      </c>
      <c r="I554" s="537" t="s">
        <v>1626</v>
      </c>
      <c r="J554" s="537" t="s">
        <v>18</v>
      </c>
      <c r="K554" s="537" t="s">
        <v>57</v>
      </c>
      <c r="L554" s="61">
        <v>36030</v>
      </c>
      <c r="M554" s="1">
        <v>25</v>
      </c>
      <c r="N554" s="1">
        <v>1400</v>
      </c>
      <c r="P554" s="1">
        <v>2000</v>
      </c>
      <c r="Q554" s="537" t="s">
        <v>1132</v>
      </c>
      <c r="R554" s="1">
        <v>600</v>
      </c>
      <c r="S554">
        <v>300000</v>
      </c>
      <c r="T554">
        <v>15014.999999999998</v>
      </c>
      <c r="U554" t="s">
        <v>2639</v>
      </c>
      <c r="V554">
        <v>27450</v>
      </c>
      <c r="W554" s="1">
        <v>45342</v>
      </c>
      <c r="X554" s="537" t="s">
        <v>59</v>
      </c>
      <c r="Y554" s="537" t="s">
        <v>60</v>
      </c>
      <c r="Z554" s="1" t="s">
        <v>1214</v>
      </c>
      <c r="AA554" s="537" t="s">
        <v>1215</v>
      </c>
      <c r="AB554" s="537" t="s">
        <v>1216</v>
      </c>
      <c r="AC554" s="1">
        <v>44605</v>
      </c>
      <c r="AD554" s="61">
        <v>44606</v>
      </c>
      <c r="AE554" s="61"/>
      <c r="AF554" s="61"/>
      <c r="AG554" s="1">
        <v>22.04</v>
      </c>
      <c r="AH554" s="537" t="s">
        <v>1627</v>
      </c>
      <c r="AI554" s="537" t="s">
        <v>86</v>
      </c>
      <c r="AJ554" s="1">
        <v>718</v>
      </c>
      <c r="AK554" s="537" t="s">
        <v>1628</v>
      </c>
      <c r="AL554" s="1" t="s">
        <v>1629</v>
      </c>
      <c r="AM554" s="537" t="s">
        <v>64</v>
      </c>
      <c r="AN554" s="537"/>
    </row>
    <row r="555" spans="1:40" hidden="1">
      <c r="A555" s="537" t="s">
        <v>179</v>
      </c>
      <c r="B555" s="1">
        <v>220213</v>
      </c>
      <c r="D555" s="537" t="s">
        <v>105</v>
      </c>
      <c r="E555" s="537"/>
      <c r="F555"/>
      <c r="G555"/>
      <c r="H555" s="537" t="s">
        <v>1630</v>
      </c>
      <c r="I555" s="537" t="s">
        <v>1631</v>
      </c>
      <c r="J555" s="537" t="s">
        <v>18</v>
      </c>
      <c r="K555" s="537" t="s">
        <v>57</v>
      </c>
      <c r="L555" s="61">
        <v>34150</v>
      </c>
      <c r="M555" s="1">
        <v>30</v>
      </c>
      <c r="N555" s="1">
        <v>1360</v>
      </c>
      <c r="P555" s="1">
        <v>1750</v>
      </c>
      <c r="Q555" s="537"/>
      <c r="R555" s="1">
        <v>390</v>
      </c>
      <c r="S555"/>
      <c r="T555" t="s">
        <v>65</v>
      </c>
      <c r="U555" t="s">
        <v>2639</v>
      </c>
      <c r="V555" t="s">
        <v>65</v>
      </c>
      <c r="W555" s="1">
        <v>44877</v>
      </c>
      <c r="X555" s="537" t="s">
        <v>59</v>
      </c>
      <c r="Y555" s="537" t="s">
        <v>60</v>
      </c>
      <c r="Z555" s="1" t="s">
        <v>482</v>
      </c>
      <c r="AA555" s="537" t="s">
        <v>483</v>
      </c>
      <c r="AB555" s="537" t="s">
        <v>1632</v>
      </c>
      <c r="AC555" s="1">
        <v>44602</v>
      </c>
      <c r="AD555" s="61">
        <v>44606</v>
      </c>
      <c r="AE555" s="61">
        <v>44680</v>
      </c>
      <c r="AF555" s="61"/>
      <c r="AG555" s="1">
        <v>22.04</v>
      </c>
      <c r="AH555" s="537"/>
      <c r="AI555" s="537"/>
      <c r="AK555" s="537"/>
      <c r="AM555" s="537" t="s">
        <v>64</v>
      </c>
      <c r="AN555" s="537"/>
    </row>
    <row r="556" spans="1:40" hidden="1">
      <c r="A556" s="537" t="s">
        <v>179</v>
      </c>
      <c r="B556" s="1">
        <v>220218</v>
      </c>
      <c r="D556" s="537" t="s">
        <v>79</v>
      </c>
      <c r="E556" s="537"/>
      <c r="F556"/>
      <c r="G556"/>
      <c r="H556" s="537" t="s">
        <v>2046</v>
      </c>
      <c r="I556" s="537" t="s">
        <v>2047</v>
      </c>
      <c r="J556" s="537" t="s">
        <v>18</v>
      </c>
      <c r="K556" s="537" t="s">
        <v>939</v>
      </c>
      <c r="L556" s="61">
        <v>22906</v>
      </c>
      <c r="M556" s="1">
        <v>61</v>
      </c>
      <c r="N556" s="1">
        <v>1400</v>
      </c>
      <c r="P556" s="1">
        <v>1750</v>
      </c>
      <c r="Q556" s="537"/>
      <c r="R556" s="1">
        <v>350</v>
      </c>
      <c r="S556"/>
      <c r="T556" t="s">
        <v>65</v>
      </c>
      <c r="U556" t="s">
        <v>65</v>
      </c>
      <c r="V556" t="s">
        <v>65</v>
      </c>
      <c r="W556" s="1">
        <v>46198</v>
      </c>
      <c r="X556" s="537" t="s">
        <v>65</v>
      </c>
      <c r="Y556" s="537" t="s">
        <v>71</v>
      </c>
      <c r="Z556" s="1" t="s">
        <v>2048</v>
      </c>
      <c r="AA556" s="537" t="s">
        <v>2049</v>
      </c>
      <c r="AB556" s="537"/>
      <c r="AD556" s="61">
        <v>44613</v>
      </c>
      <c r="AE556" s="61">
        <v>44638</v>
      </c>
      <c r="AF556" s="61"/>
      <c r="AG556" s="1" t="s">
        <v>519</v>
      </c>
      <c r="AH556" s="537" t="s">
        <v>1793</v>
      </c>
      <c r="AI556" s="537" t="s">
        <v>86</v>
      </c>
      <c r="AJ556" s="1">
        <v>98</v>
      </c>
      <c r="AK556" s="537" t="s">
        <v>1794</v>
      </c>
      <c r="AL556" s="1" t="s">
        <v>1795</v>
      </c>
      <c r="AM556" s="537"/>
      <c r="AN556" s="537"/>
    </row>
    <row r="557" spans="1:40" hidden="1">
      <c r="A557" s="537" t="s">
        <v>179</v>
      </c>
      <c r="B557" s="1">
        <v>220219</v>
      </c>
      <c r="D557" s="537" t="s">
        <v>962</v>
      </c>
      <c r="E557" s="537" t="s">
        <v>3043</v>
      </c>
      <c r="F557" t="s">
        <v>3044</v>
      </c>
      <c r="G557" t="s">
        <v>3045</v>
      </c>
      <c r="H557" s="537" t="s">
        <v>1635</v>
      </c>
      <c r="I557" s="537" t="s">
        <v>1636</v>
      </c>
      <c r="J557" s="537" t="s">
        <v>17</v>
      </c>
      <c r="K557" s="537" t="s">
        <v>939</v>
      </c>
      <c r="L557" s="61">
        <v>27559</v>
      </c>
      <c r="M557" s="1">
        <v>48</v>
      </c>
      <c r="N557" s="1">
        <v>1250</v>
      </c>
      <c r="O557" s="1" t="s">
        <v>1567</v>
      </c>
      <c r="P557" s="1">
        <v>1650</v>
      </c>
      <c r="Q557" s="537"/>
      <c r="R557" s="1">
        <v>400</v>
      </c>
      <c r="S557"/>
      <c r="T557" t="s">
        <v>65</v>
      </c>
      <c r="U557" t="s">
        <v>65</v>
      </c>
      <c r="V557" t="s">
        <v>65</v>
      </c>
      <c r="W557" s="1">
        <v>44848</v>
      </c>
      <c r="X557" s="537" t="s">
        <v>59</v>
      </c>
      <c r="Y557" s="537" t="s">
        <v>1637</v>
      </c>
      <c r="Z557" s="1" t="s">
        <v>1013</v>
      </c>
      <c r="AA557" s="537" t="s">
        <v>1638</v>
      </c>
      <c r="AB557" s="537" t="s">
        <v>1639</v>
      </c>
      <c r="AD557" s="61">
        <v>44613</v>
      </c>
      <c r="AE557" s="61">
        <v>44811</v>
      </c>
      <c r="AF557" s="61"/>
      <c r="AG557" s="1">
        <v>22.04</v>
      </c>
      <c r="AH557" s="537"/>
      <c r="AI557" s="537"/>
      <c r="AK557" s="537"/>
      <c r="AM557" s="537" t="s">
        <v>64</v>
      </c>
      <c r="AN557" s="537"/>
    </row>
    <row r="558" spans="1:40" hidden="1">
      <c r="A558" s="537" t="s">
        <v>179</v>
      </c>
      <c r="B558" s="1">
        <v>220306</v>
      </c>
      <c r="D558" s="537" t="s">
        <v>118</v>
      </c>
      <c r="E558" s="537"/>
      <c r="F558"/>
      <c r="G558"/>
      <c r="H558" s="537" t="s">
        <v>1675</v>
      </c>
      <c r="I558" s="537" t="s">
        <v>1676</v>
      </c>
      <c r="J558" s="537" t="s">
        <v>18</v>
      </c>
      <c r="K558" s="537" t="s">
        <v>57</v>
      </c>
      <c r="L558" s="61">
        <v>34705</v>
      </c>
      <c r="M558" s="1">
        <v>28</v>
      </c>
      <c r="N558" s="1">
        <v>1350</v>
      </c>
      <c r="P558" s="1">
        <v>1750</v>
      </c>
      <c r="Q558" s="537"/>
      <c r="R558" s="1">
        <v>400</v>
      </c>
      <c r="S558"/>
      <c r="T558" t="s">
        <v>65</v>
      </c>
      <c r="U558" t="s">
        <v>2639</v>
      </c>
      <c r="V558" t="s">
        <v>65</v>
      </c>
      <c r="W558" s="1">
        <v>44902</v>
      </c>
      <c r="X558" s="537" t="s">
        <v>59</v>
      </c>
      <c r="Y558" s="537" t="s">
        <v>60</v>
      </c>
      <c r="Z558" s="1" t="s">
        <v>199</v>
      </c>
      <c r="AA558" s="537" t="s">
        <v>1677</v>
      </c>
      <c r="AB558" s="537" t="s">
        <v>1678</v>
      </c>
      <c r="AD558" s="61">
        <v>44622</v>
      </c>
      <c r="AE558" s="61">
        <v>44696</v>
      </c>
      <c r="AF558" s="61"/>
      <c r="AG558" s="1">
        <v>22.05</v>
      </c>
      <c r="AH558" s="537"/>
      <c r="AI558" s="537"/>
      <c r="AK558" s="537"/>
      <c r="AM558" s="537" t="s">
        <v>64</v>
      </c>
      <c r="AN558" s="537"/>
    </row>
    <row r="559" spans="1:40" hidden="1">
      <c r="A559" s="537" t="s">
        <v>179</v>
      </c>
      <c r="B559" s="1">
        <v>220305</v>
      </c>
      <c r="D559" s="537" t="s">
        <v>118</v>
      </c>
      <c r="E559" s="537"/>
      <c r="F559"/>
      <c r="G559"/>
      <c r="H559" s="537" t="s">
        <v>2050</v>
      </c>
      <c r="I559" s="537" t="s">
        <v>2051</v>
      </c>
      <c r="J559" s="537" t="s">
        <v>18</v>
      </c>
      <c r="K559" s="537" t="s">
        <v>57</v>
      </c>
      <c r="L559" s="61">
        <v>34542</v>
      </c>
      <c r="M559" s="1">
        <v>29</v>
      </c>
      <c r="N559" s="1">
        <v>1350</v>
      </c>
      <c r="P559" s="1">
        <v>1750</v>
      </c>
      <c r="Q559" s="537"/>
      <c r="R559" s="1">
        <v>400</v>
      </c>
      <c r="S559"/>
      <c r="T559" t="s">
        <v>65</v>
      </c>
      <c r="U559" t="s">
        <v>2639</v>
      </c>
      <c r="V559" t="s">
        <v>65</v>
      </c>
      <c r="W559" s="1">
        <v>44902</v>
      </c>
      <c r="X559" s="537" t="s">
        <v>59</v>
      </c>
      <c r="Y559" s="537" t="s">
        <v>60</v>
      </c>
      <c r="Z559" s="1" t="s">
        <v>199</v>
      </c>
      <c r="AA559" s="537" t="s">
        <v>1677</v>
      </c>
      <c r="AB559" s="537" t="s">
        <v>1678</v>
      </c>
      <c r="AD559" s="61">
        <v>44622</v>
      </c>
      <c r="AE559" s="61">
        <v>44627</v>
      </c>
      <c r="AF559" s="61"/>
      <c r="AH559" s="537" t="s">
        <v>1793</v>
      </c>
      <c r="AI559" s="537" t="s">
        <v>86</v>
      </c>
      <c r="AJ559" s="1">
        <v>98</v>
      </c>
      <c r="AK559" s="537" t="s">
        <v>1794</v>
      </c>
      <c r="AL559" s="1" t="s">
        <v>1795</v>
      </c>
      <c r="AM559" s="537"/>
      <c r="AN559" s="537"/>
    </row>
    <row r="560" spans="1:40" hidden="1">
      <c r="A560" s="537" t="s">
        <v>54</v>
      </c>
      <c r="B560" s="1">
        <v>220309</v>
      </c>
      <c r="D560" s="537" t="s">
        <v>1603</v>
      </c>
      <c r="E560" s="537" t="s">
        <v>1604</v>
      </c>
      <c r="F560"/>
      <c r="G560"/>
      <c r="H560" s="537" t="s">
        <v>1679</v>
      </c>
      <c r="I560" s="537" t="s">
        <v>1680</v>
      </c>
      <c r="J560" s="537" t="s">
        <v>18</v>
      </c>
      <c r="K560" s="537" t="s">
        <v>57</v>
      </c>
      <c r="L560" s="61">
        <v>32273</v>
      </c>
      <c r="M560" s="1">
        <v>35</v>
      </c>
      <c r="N560" s="1">
        <v>1400</v>
      </c>
      <c r="P560" s="1">
        <v>1900</v>
      </c>
      <c r="Q560" s="537"/>
      <c r="R560" s="1">
        <v>500</v>
      </c>
      <c r="S560">
        <v>240000</v>
      </c>
      <c r="T560">
        <v>12012</v>
      </c>
      <c r="U560" t="s">
        <v>2639</v>
      </c>
      <c r="V560">
        <v>21960</v>
      </c>
      <c r="W560" s="1">
        <v>45729</v>
      </c>
      <c r="X560" s="537" t="s">
        <v>65</v>
      </c>
      <c r="Y560" s="537" t="s">
        <v>60</v>
      </c>
      <c r="Z560" s="1" t="s">
        <v>1622</v>
      </c>
      <c r="AA560" s="537" t="s">
        <v>2680</v>
      </c>
      <c r="AB560" s="537" t="s">
        <v>1681</v>
      </c>
      <c r="AC560" s="1">
        <v>44632</v>
      </c>
      <c r="AD560" s="61">
        <v>44627</v>
      </c>
      <c r="AE560" s="61"/>
      <c r="AF560" s="61"/>
      <c r="AG560" s="1">
        <v>22.05</v>
      </c>
      <c r="AH560" s="537" t="s">
        <v>1680</v>
      </c>
      <c r="AI560" s="537" t="s">
        <v>145</v>
      </c>
      <c r="AJ560" s="1">
        <v>143</v>
      </c>
      <c r="AK560" s="537" t="s">
        <v>1682</v>
      </c>
      <c r="AL560" s="1" t="s">
        <v>1683</v>
      </c>
      <c r="AM560" s="537" t="s">
        <v>64</v>
      </c>
      <c r="AN560" s="537"/>
    </row>
    <row r="561" spans="1:40" hidden="1">
      <c r="A561" s="537" t="s">
        <v>179</v>
      </c>
      <c r="B561" s="1">
        <v>220310</v>
      </c>
      <c r="D561" s="537" t="s">
        <v>1066</v>
      </c>
      <c r="E561" s="537" t="s">
        <v>2376</v>
      </c>
      <c r="F561" t="s">
        <v>804</v>
      </c>
      <c r="G561"/>
      <c r="H561" s="537" t="s">
        <v>268</v>
      </c>
      <c r="I561" s="537" t="s">
        <v>1688</v>
      </c>
      <c r="J561" s="537" t="s">
        <v>18</v>
      </c>
      <c r="K561" s="537" t="s">
        <v>57</v>
      </c>
      <c r="L561" s="61">
        <v>34392</v>
      </c>
      <c r="M561" s="1">
        <v>29</v>
      </c>
      <c r="N561" s="1">
        <v>1300</v>
      </c>
      <c r="P561" s="1">
        <v>1700</v>
      </c>
      <c r="Q561" s="537"/>
      <c r="R561" s="1">
        <v>400</v>
      </c>
      <c r="S561"/>
      <c r="T561" t="s">
        <v>65</v>
      </c>
      <c r="U561" t="s">
        <v>2639</v>
      </c>
      <c r="V561" t="s">
        <v>65</v>
      </c>
      <c r="W561" s="1">
        <v>44875</v>
      </c>
      <c r="X561" s="537" t="s">
        <v>59</v>
      </c>
      <c r="Y561" s="537" t="s">
        <v>60</v>
      </c>
      <c r="Z561" s="1" t="s">
        <v>1070</v>
      </c>
      <c r="AA561" s="537" t="s">
        <v>1071</v>
      </c>
      <c r="AB561" s="537" t="s">
        <v>1234</v>
      </c>
      <c r="AC561" s="1">
        <v>44623</v>
      </c>
      <c r="AD561" s="61">
        <v>44628</v>
      </c>
      <c r="AE561" s="61">
        <v>44719</v>
      </c>
      <c r="AF561" s="61"/>
      <c r="AG561" s="1">
        <v>22.05</v>
      </c>
      <c r="AH561" s="537"/>
      <c r="AI561" s="537"/>
      <c r="AK561" s="537"/>
      <c r="AM561" s="537" t="s">
        <v>64</v>
      </c>
      <c r="AN561" s="537"/>
    </row>
    <row r="562" spans="1:40" hidden="1">
      <c r="A562" s="537" t="s">
        <v>179</v>
      </c>
      <c r="B562" s="1">
        <v>220319</v>
      </c>
      <c r="D562" s="537" t="s">
        <v>385</v>
      </c>
      <c r="E562" s="537"/>
      <c r="F562"/>
      <c r="G562"/>
      <c r="H562" s="537" t="s">
        <v>1701</v>
      </c>
      <c r="I562" s="537" t="s">
        <v>1702</v>
      </c>
      <c r="J562" s="537" t="s">
        <v>18</v>
      </c>
      <c r="K562" s="537" t="s">
        <v>57</v>
      </c>
      <c r="L562" s="61">
        <v>34107</v>
      </c>
      <c r="M562" s="1">
        <v>30</v>
      </c>
      <c r="N562" s="1">
        <v>1400</v>
      </c>
      <c r="P562" s="1">
        <v>2000</v>
      </c>
      <c r="Q562" s="537"/>
      <c r="R562" s="1">
        <v>600</v>
      </c>
      <c r="S562"/>
      <c r="T562" t="s">
        <v>65</v>
      </c>
      <c r="U562" t="s">
        <v>2639</v>
      </c>
      <c r="V562" t="s">
        <v>65</v>
      </c>
      <c r="W562" s="1">
        <v>45341</v>
      </c>
      <c r="X562" s="537" t="s">
        <v>59</v>
      </c>
      <c r="Y562" s="537" t="s">
        <v>60</v>
      </c>
      <c r="Z562" s="1" t="s">
        <v>1161</v>
      </c>
      <c r="AA562" s="537" t="s">
        <v>1193</v>
      </c>
      <c r="AB562" s="537" t="s">
        <v>1377</v>
      </c>
      <c r="AC562" s="1">
        <v>44635</v>
      </c>
      <c r="AD562" s="61">
        <v>44637</v>
      </c>
      <c r="AE562" s="61">
        <v>44803</v>
      </c>
      <c r="AF562" s="61"/>
      <c r="AG562" s="1">
        <v>22.06</v>
      </c>
      <c r="AH562" s="537"/>
      <c r="AI562" s="537"/>
      <c r="AK562" s="537"/>
      <c r="AM562" s="537" t="s">
        <v>1703</v>
      </c>
      <c r="AN562" s="537" t="s">
        <v>1704</v>
      </c>
    </row>
    <row r="563" spans="1:40" hidden="1">
      <c r="A563" s="537" t="s">
        <v>179</v>
      </c>
      <c r="B563" s="1">
        <v>220326</v>
      </c>
      <c r="D563" s="537" t="s">
        <v>1128</v>
      </c>
      <c r="E563" s="537" t="s">
        <v>1129</v>
      </c>
      <c r="F563"/>
      <c r="G563"/>
      <c r="H563" s="537" t="s">
        <v>1723</v>
      </c>
      <c r="I563" s="537" t="s">
        <v>1724</v>
      </c>
      <c r="J563" s="537" t="s">
        <v>18</v>
      </c>
      <c r="K563" s="537" t="s">
        <v>57</v>
      </c>
      <c r="L563" s="61">
        <v>34602</v>
      </c>
      <c r="M563" s="1">
        <v>29</v>
      </c>
      <c r="N563" s="1">
        <v>1400</v>
      </c>
      <c r="P563" s="1">
        <v>2000</v>
      </c>
      <c r="Q563" s="537" t="s">
        <v>1132</v>
      </c>
      <c r="R563" s="1">
        <v>600</v>
      </c>
      <c r="S563">
        <v>260000</v>
      </c>
      <c r="T563">
        <v>13013</v>
      </c>
      <c r="U563" t="s">
        <v>2639</v>
      </c>
      <c r="V563">
        <v>23790</v>
      </c>
      <c r="W563" s="1">
        <v>45325</v>
      </c>
      <c r="X563" s="537" t="s">
        <v>59</v>
      </c>
      <c r="Y563" s="537" t="s">
        <v>60</v>
      </c>
      <c r="Z563" s="1" t="s">
        <v>1227</v>
      </c>
      <c r="AA563" s="537" t="s">
        <v>1725</v>
      </c>
      <c r="AB563" s="537" t="s">
        <v>1726</v>
      </c>
      <c r="AC563" s="1">
        <v>44649</v>
      </c>
      <c r="AD563" s="61">
        <v>44650</v>
      </c>
      <c r="AE563" s="61">
        <v>45247</v>
      </c>
      <c r="AF563" s="61"/>
      <c r="AG563" s="1" t="s">
        <v>1727</v>
      </c>
      <c r="AH563" s="537" t="s">
        <v>1728</v>
      </c>
      <c r="AI563" s="537" t="s">
        <v>86</v>
      </c>
      <c r="AJ563" s="1">
        <v>788</v>
      </c>
      <c r="AK563" s="537" t="s">
        <v>1400</v>
      </c>
      <c r="AL563" s="1" t="s">
        <v>1729</v>
      </c>
      <c r="AM563" s="537" t="s">
        <v>573</v>
      </c>
      <c r="AN563" s="537"/>
    </row>
    <row r="564" spans="1:40" hidden="1">
      <c r="A564" s="537" t="s">
        <v>179</v>
      </c>
      <c r="B564" s="1">
        <v>220402</v>
      </c>
      <c r="D564" s="537" t="s">
        <v>1670</v>
      </c>
      <c r="E564" s="537"/>
      <c r="F564"/>
      <c r="G564"/>
      <c r="H564" s="537" t="s">
        <v>1730</v>
      </c>
      <c r="I564" s="537" t="s">
        <v>1731</v>
      </c>
      <c r="J564" s="537" t="s">
        <v>18</v>
      </c>
      <c r="K564" s="537" t="s">
        <v>57</v>
      </c>
      <c r="L564" s="61">
        <v>31531</v>
      </c>
      <c r="M564" s="1">
        <v>37</v>
      </c>
      <c r="N564" s="1">
        <v>1400</v>
      </c>
      <c r="P564" s="1">
        <v>1800</v>
      </c>
      <c r="Q564" s="537"/>
      <c r="R564" s="1">
        <v>400</v>
      </c>
      <c r="S564">
        <v>180000</v>
      </c>
      <c r="T564">
        <v>9009</v>
      </c>
      <c r="U564" t="s">
        <v>2639</v>
      </c>
      <c r="V564">
        <v>16470</v>
      </c>
      <c r="W564" s="1">
        <v>45273</v>
      </c>
      <c r="X564" s="537" t="s">
        <v>59</v>
      </c>
      <c r="Y564" s="537" t="s">
        <v>60</v>
      </c>
      <c r="Z564" s="1" t="s">
        <v>1732</v>
      </c>
      <c r="AA564" s="537" t="s">
        <v>1733</v>
      </c>
      <c r="AB564" s="537" t="s">
        <v>1734</v>
      </c>
      <c r="AC564" s="1" t="s">
        <v>63</v>
      </c>
      <c r="AD564" s="61">
        <v>44655</v>
      </c>
      <c r="AE564" s="61">
        <v>45105</v>
      </c>
      <c r="AF564" s="61"/>
      <c r="AG564" s="1" t="s">
        <v>1735</v>
      </c>
      <c r="AH564" s="537" t="s">
        <v>1736</v>
      </c>
      <c r="AI564" s="537" t="s">
        <v>1737</v>
      </c>
      <c r="AJ564" s="1">
        <v>354</v>
      </c>
      <c r="AK564" s="537"/>
      <c r="AL564" s="1" t="s">
        <v>1738</v>
      </c>
      <c r="AM564" s="537" t="s">
        <v>573</v>
      </c>
      <c r="AN564" s="537"/>
    </row>
    <row r="565" spans="1:40" hidden="1">
      <c r="A565" s="537" t="s">
        <v>179</v>
      </c>
      <c r="B565" s="1">
        <v>220405</v>
      </c>
      <c r="D565" s="537" t="s">
        <v>118</v>
      </c>
      <c r="E565" s="537"/>
      <c r="F565"/>
      <c r="G565"/>
      <c r="H565" s="537" t="s">
        <v>1741</v>
      </c>
      <c r="I565" s="537" t="s">
        <v>1742</v>
      </c>
      <c r="J565" s="537" t="s">
        <v>18</v>
      </c>
      <c r="K565" s="537" t="s">
        <v>57</v>
      </c>
      <c r="L565" s="61">
        <v>35762</v>
      </c>
      <c r="M565" s="1">
        <v>26</v>
      </c>
      <c r="N565" s="1">
        <v>1350</v>
      </c>
      <c r="P565" s="1">
        <v>1750</v>
      </c>
      <c r="Q565" s="537"/>
      <c r="R565" s="1">
        <v>400</v>
      </c>
      <c r="S565"/>
      <c r="T565" t="s">
        <v>65</v>
      </c>
      <c r="U565" t="s">
        <v>2639</v>
      </c>
      <c r="V565" t="s">
        <v>65</v>
      </c>
      <c r="W565" s="1">
        <v>44911</v>
      </c>
      <c r="X565" s="537" t="s">
        <v>59</v>
      </c>
      <c r="Y565" s="537" t="s">
        <v>60</v>
      </c>
      <c r="Z565" s="1" t="s">
        <v>199</v>
      </c>
      <c r="AA565" s="537" t="s">
        <v>200</v>
      </c>
      <c r="AB565" s="537" t="s">
        <v>316</v>
      </c>
      <c r="AC565" s="1">
        <v>44652</v>
      </c>
      <c r="AD565" s="61">
        <v>44659</v>
      </c>
      <c r="AE565" s="61">
        <v>44680</v>
      </c>
      <c r="AF565" s="61"/>
      <c r="AH565" s="537"/>
      <c r="AI565" s="537"/>
      <c r="AK565" s="537"/>
      <c r="AM565" s="537" t="s">
        <v>1743</v>
      </c>
      <c r="AN565" s="537"/>
    </row>
    <row r="566" spans="1:40" hidden="1">
      <c r="A566" s="537" t="s">
        <v>179</v>
      </c>
      <c r="B566" s="1">
        <v>220404</v>
      </c>
      <c r="D566" s="537" t="s">
        <v>79</v>
      </c>
      <c r="E566" s="537" t="s">
        <v>1744</v>
      </c>
      <c r="F566"/>
      <c r="G566"/>
      <c r="H566" s="537" t="s">
        <v>1745</v>
      </c>
      <c r="I566" s="537" t="s">
        <v>1746</v>
      </c>
      <c r="J566" s="537" t="s">
        <v>18</v>
      </c>
      <c r="K566" s="537" t="s">
        <v>939</v>
      </c>
      <c r="L566" s="61">
        <v>22349</v>
      </c>
      <c r="M566" s="1">
        <v>62</v>
      </c>
      <c r="N566" s="1">
        <v>1400</v>
      </c>
      <c r="P566" s="1">
        <v>1750</v>
      </c>
      <c r="Q566" s="537"/>
      <c r="R566" s="1">
        <v>350</v>
      </c>
      <c r="S566"/>
      <c r="T566" t="s">
        <v>65</v>
      </c>
      <c r="U566" t="s">
        <v>65</v>
      </c>
      <c r="V566" t="s">
        <v>65</v>
      </c>
      <c r="W566" s="1">
        <v>43616</v>
      </c>
      <c r="X566" s="537" t="s">
        <v>59</v>
      </c>
      <c r="Y566" s="537" t="s">
        <v>60</v>
      </c>
      <c r="Z566" s="1" t="s">
        <v>1747</v>
      </c>
      <c r="AA566" s="537" t="s">
        <v>1748</v>
      </c>
      <c r="AB566" s="537" t="s">
        <v>1749</v>
      </c>
      <c r="AC566" s="1">
        <v>44658</v>
      </c>
      <c r="AD566" s="61">
        <v>44659</v>
      </c>
      <c r="AE566" s="61">
        <v>44715</v>
      </c>
      <c r="AF566" s="61"/>
      <c r="AG566" s="1">
        <v>44713</v>
      </c>
      <c r="AH566" s="537"/>
      <c r="AI566" s="537"/>
      <c r="AK566" s="537"/>
      <c r="AM566" s="537" t="s">
        <v>565</v>
      </c>
      <c r="AN566" s="537" t="s">
        <v>1750</v>
      </c>
    </row>
    <row r="567" spans="1:40" hidden="1">
      <c r="A567" s="537" t="s">
        <v>54</v>
      </c>
      <c r="B567" s="1">
        <v>220407</v>
      </c>
      <c r="D567" s="537" t="s">
        <v>1019</v>
      </c>
      <c r="E567" s="537" t="s">
        <v>1317</v>
      </c>
      <c r="F567"/>
      <c r="G567"/>
      <c r="H567" s="537" t="s">
        <v>1751</v>
      </c>
      <c r="I567" s="537" t="s">
        <v>1752</v>
      </c>
      <c r="J567" s="537" t="s">
        <v>18</v>
      </c>
      <c r="K567" s="537" t="s">
        <v>57</v>
      </c>
      <c r="L567" s="61">
        <v>32210</v>
      </c>
      <c r="M567" s="1">
        <v>35</v>
      </c>
      <c r="N567" s="1">
        <v>1600</v>
      </c>
      <c r="O567" s="1" t="s">
        <v>1753</v>
      </c>
      <c r="P567" s="1">
        <v>2100</v>
      </c>
      <c r="Q567" s="537"/>
      <c r="R567" s="1">
        <v>500</v>
      </c>
      <c r="S567">
        <v>410000</v>
      </c>
      <c r="T567">
        <v>20520.5</v>
      </c>
      <c r="U567" t="s">
        <v>2639</v>
      </c>
      <c r="V567">
        <v>37515</v>
      </c>
      <c r="W567" s="1">
        <v>46324</v>
      </c>
      <c r="X567" s="537" t="s">
        <v>65</v>
      </c>
      <c r="Y567" s="537" t="s">
        <v>60</v>
      </c>
      <c r="Z567" s="1" t="s">
        <v>1024</v>
      </c>
      <c r="AA567" s="537" t="s">
        <v>1322</v>
      </c>
      <c r="AB567" s="537" t="s">
        <v>1323</v>
      </c>
      <c r="AC567" s="1">
        <v>44662</v>
      </c>
      <c r="AD567" s="61">
        <v>44663</v>
      </c>
      <c r="AE567" s="61"/>
      <c r="AF567" s="61"/>
      <c r="AG567" s="1" t="s">
        <v>1735</v>
      </c>
      <c r="AH567" s="537" t="s">
        <v>1754</v>
      </c>
      <c r="AI567" s="537" t="s">
        <v>86</v>
      </c>
      <c r="AJ567" s="1">
        <v>68</v>
      </c>
      <c r="AK567" s="537" t="s">
        <v>421</v>
      </c>
      <c r="AL567" s="1" t="s">
        <v>1755</v>
      </c>
      <c r="AM567" s="537" t="s">
        <v>1756</v>
      </c>
      <c r="AN567" s="537"/>
    </row>
    <row r="568" spans="1:40" hidden="1">
      <c r="A568" s="537" t="s">
        <v>179</v>
      </c>
      <c r="B568" s="1">
        <v>220408</v>
      </c>
      <c r="D568" s="537" t="s">
        <v>385</v>
      </c>
      <c r="E568" s="537"/>
      <c r="F568"/>
      <c r="G568"/>
      <c r="H568" s="537" t="s">
        <v>1757</v>
      </c>
      <c r="I568" s="537" t="s">
        <v>1758</v>
      </c>
      <c r="J568" s="537" t="s">
        <v>18</v>
      </c>
      <c r="K568" s="537" t="s">
        <v>57</v>
      </c>
      <c r="L568" s="61">
        <v>34783</v>
      </c>
      <c r="M568" s="1">
        <v>28</v>
      </c>
      <c r="N568" s="1">
        <v>1400</v>
      </c>
      <c r="P568" s="1">
        <v>2000</v>
      </c>
      <c r="Q568" s="537"/>
      <c r="R568" s="1">
        <v>600</v>
      </c>
      <c r="S568"/>
      <c r="T568" t="s">
        <v>65</v>
      </c>
      <c r="U568" t="s">
        <v>2639</v>
      </c>
      <c r="V568" t="s">
        <v>65</v>
      </c>
      <c r="W568" s="1">
        <v>46463</v>
      </c>
      <c r="X568" s="537" t="s">
        <v>65</v>
      </c>
      <c r="Y568" s="537" t="s">
        <v>60</v>
      </c>
      <c r="Z568" s="1" t="s">
        <v>1759</v>
      </c>
      <c r="AA568" s="537" t="s">
        <v>1760</v>
      </c>
      <c r="AB568" s="537" t="s">
        <v>1761</v>
      </c>
      <c r="AC568" s="1" t="s">
        <v>63</v>
      </c>
      <c r="AD568" s="61">
        <v>44664</v>
      </c>
      <c r="AE568" s="61">
        <v>44701</v>
      </c>
      <c r="AF568" s="61"/>
      <c r="AG568" s="1" t="s">
        <v>572</v>
      </c>
      <c r="AH568" s="537"/>
      <c r="AI568" s="537"/>
      <c r="AK568" s="537"/>
      <c r="AM568" s="537" t="s">
        <v>582</v>
      </c>
      <c r="AN568" s="537"/>
    </row>
    <row r="569" spans="1:40" hidden="1">
      <c r="A569" s="537" t="s">
        <v>54</v>
      </c>
      <c r="B569" s="1">
        <v>220410</v>
      </c>
      <c r="D569" s="537" t="s">
        <v>1603</v>
      </c>
      <c r="E569" s="537" t="s">
        <v>1604</v>
      </c>
      <c r="F569"/>
      <c r="G569"/>
      <c r="H569" s="537" t="s">
        <v>1764</v>
      </c>
      <c r="I569" s="537" t="s">
        <v>1765</v>
      </c>
      <c r="J569" s="537" t="s">
        <v>18</v>
      </c>
      <c r="K569" s="537" t="s">
        <v>57</v>
      </c>
      <c r="L569" s="61">
        <v>35090</v>
      </c>
      <c r="M569" s="1">
        <v>27</v>
      </c>
      <c r="N569" s="1">
        <v>1400</v>
      </c>
      <c r="P569" s="1">
        <v>1900</v>
      </c>
      <c r="Q569" s="537"/>
      <c r="R569" s="1">
        <v>500</v>
      </c>
      <c r="S569">
        <v>240000</v>
      </c>
      <c r="T569">
        <v>12012</v>
      </c>
      <c r="U569" t="s">
        <v>2639</v>
      </c>
      <c r="V569">
        <v>21960</v>
      </c>
      <c r="W569" s="1">
        <v>45321</v>
      </c>
      <c r="X569" s="537" t="s">
        <v>59</v>
      </c>
      <c r="Y569" s="537" t="s">
        <v>60</v>
      </c>
      <c r="Z569" s="1" t="s">
        <v>1766</v>
      </c>
      <c r="AA569" s="537" t="s">
        <v>2687</v>
      </c>
      <c r="AB569" s="537" t="s">
        <v>1768</v>
      </c>
      <c r="AC569" s="1">
        <v>44664</v>
      </c>
      <c r="AD569" s="61">
        <v>44665</v>
      </c>
      <c r="AE569" s="61"/>
      <c r="AF569" s="61"/>
      <c r="AG569" s="1" t="s">
        <v>572</v>
      </c>
      <c r="AH569" s="537" t="s">
        <v>1765</v>
      </c>
      <c r="AI569" s="537" t="s">
        <v>86</v>
      </c>
      <c r="AJ569" s="1">
        <v>408</v>
      </c>
      <c r="AK569" s="537" t="s">
        <v>87</v>
      </c>
      <c r="AL569" s="1" t="s">
        <v>1769</v>
      </c>
      <c r="AM569" s="537" t="s">
        <v>1743</v>
      </c>
      <c r="AN569" s="537"/>
    </row>
    <row r="570" spans="1:40" hidden="1">
      <c r="A570" s="537" t="s">
        <v>179</v>
      </c>
      <c r="B570" s="1">
        <v>220413</v>
      </c>
      <c r="D570" s="537" t="s">
        <v>1019</v>
      </c>
      <c r="E570" s="537" t="s">
        <v>1317</v>
      </c>
      <c r="F570"/>
      <c r="G570"/>
      <c r="H570" s="537" t="s">
        <v>1779</v>
      </c>
      <c r="I570" s="537" t="s">
        <v>1780</v>
      </c>
      <c r="J570" s="537" t="s">
        <v>18</v>
      </c>
      <c r="K570" s="537" t="s">
        <v>57</v>
      </c>
      <c r="L570" s="61">
        <v>31966</v>
      </c>
      <c r="M570" s="1">
        <v>36</v>
      </c>
      <c r="N570" s="1">
        <v>1500</v>
      </c>
      <c r="O570" s="1" t="s">
        <v>1753</v>
      </c>
      <c r="P570" s="1">
        <v>2100</v>
      </c>
      <c r="Q570" s="537"/>
      <c r="R570" s="1">
        <v>600</v>
      </c>
      <c r="S570">
        <v>180000</v>
      </c>
      <c r="T570">
        <v>9009</v>
      </c>
      <c r="U570" t="s">
        <v>2639</v>
      </c>
      <c r="V570">
        <v>16470</v>
      </c>
      <c r="W570" s="1">
        <v>45350</v>
      </c>
      <c r="X570" s="537" t="s">
        <v>59</v>
      </c>
      <c r="Y570" s="537" t="s">
        <v>60</v>
      </c>
      <c r="Z570" s="1" t="s">
        <v>1321</v>
      </c>
      <c r="AA570" s="537" t="s">
        <v>1322</v>
      </c>
      <c r="AB570" s="537" t="s">
        <v>1372</v>
      </c>
      <c r="AC570" s="1">
        <v>44670</v>
      </c>
      <c r="AD570" s="61">
        <v>44670</v>
      </c>
      <c r="AE570" s="61">
        <v>44944</v>
      </c>
      <c r="AF570" s="61"/>
      <c r="AG570" s="1" t="s">
        <v>589</v>
      </c>
      <c r="AH570" s="537" t="s">
        <v>1781</v>
      </c>
      <c r="AI570" s="537" t="s">
        <v>86</v>
      </c>
      <c r="AJ570" s="1">
        <v>748</v>
      </c>
      <c r="AK570" s="537" t="s">
        <v>96</v>
      </c>
      <c r="AL570" s="1" t="s">
        <v>1782</v>
      </c>
      <c r="AM570" s="537" t="s">
        <v>1743</v>
      </c>
      <c r="AN570" s="537"/>
    </row>
    <row r="571" spans="1:40" hidden="1">
      <c r="A571" s="537" t="s">
        <v>54</v>
      </c>
      <c r="B571" s="1">
        <v>220414</v>
      </c>
      <c r="D571" s="537" t="s">
        <v>1019</v>
      </c>
      <c r="E571" s="537" t="s">
        <v>1317</v>
      </c>
      <c r="F571"/>
      <c r="G571"/>
      <c r="H571" s="537" t="s">
        <v>1783</v>
      </c>
      <c r="I571" s="537" t="s">
        <v>1784</v>
      </c>
      <c r="J571" s="537" t="s">
        <v>18</v>
      </c>
      <c r="K571" s="537" t="s">
        <v>57</v>
      </c>
      <c r="L571" s="61">
        <v>33020</v>
      </c>
      <c r="M571" s="1">
        <v>33</v>
      </c>
      <c r="N571" s="1">
        <v>1600</v>
      </c>
      <c r="O571" s="1" t="s">
        <v>1753</v>
      </c>
      <c r="P571" s="1">
        <v>2100</v>
      </c>
      <c r="Q571" s="537"/>
      <c r="R571" s="1">
        <v>500</v>
      </c>
      <c r="S571">
        <v>440000</v>
      </c>
      <c r="T571">
        <v>22022</v>
      </c>
      <c r="U571" t="s">
        <v>2639</v>
      </c>
      <c r="V571">
        <v>40260</v>
      </c>
      <c r="W571" s="1">
        <v>45493</v>
      </c>
      <c r="X571" s="537" t="s">
        <v>65</v>
      </c>
      <c r="Y571" s="537" t="s">
        <v>60</v>
      </c>
      <c r="Z571" s="1" t="s">
        <v>1024</v>
      </c>
      <c r="AA571" s="537" t="s">
        <v>1543</v>
      </c>
      <c r="AB571" s="537" t="s">
        <v>1544</v>
      </c>
      <c r="AC571" s="1">
        <v>44670</v>
      </c>
      <c r="AD571" s="61">
        <v>44671</v>
      </c>
      <c r="AE571" s="61"/>
      <c r="AF571" s="61"/>
      <c r="AG571" s="1" t="s">
        <v>589</v>
      </c>
      <c r="AH571" s="537" t="s">
        <v>1784</v>
      </c>
      <c r="AI571" s="537" t="s">
        <v>86</v>
      </c>
      <c r="AJ571" s="1">
        <v>228</v>
      </c>
      <c r="AK571" s="537" t="s">
        <v>443</v>
      </c>
      <c r="AL571" s="1" t="s">
        <v>1785</v>
      </c>
      <c r="AM571" s="537" t="s">
        <v>1743</v>
      </c>
      <c r="AN571" s="537"/>
    </row>
    <row r="572" spans="1:40" hidden="1">
      <c r="A572" s="537" t="s">
        <v>179</v>
      </c>
      <c r="B572" s="1">
        <v>220416</v>
      </c>
      <c r="D572" s="537" t="s">
        <v>1603</v>
      </c>
      <c r="E572" s="537" t="s">
        <v>1604</v>
      </c>
      <c r="F572"/>
      <c r="G572"/>
      <c r="H572" s="537" t="s">
        <v>1790</v>
      </c>
      <c r="I572" s="537" t="s">
        <v>1791</v>
      </c>
      <c r="J572" s="537" t="s">
        <v>18</v>
      </c>
      <c r="K572" s="537" t="s">
        <v>57</v>
      </c>
      <c r="L572" s="61">
        <v>35596</v>
      </c>
      <c r="M572" s="1">
        <v>26</v>
      </c>
      <c r="N572" s="1">
        <v>1400</v>
      </c>
      <c r="P572" s="1">
        <v>1900</v>
      </c>
      <c r="Q572" s="537"/>
      <c r="R572" s="1">
        <v>500</v>
      </c>
      <c r="S572"/>
      <c r="T572" t="s">
        <v>65</v>
      </c>
      <c r="U572" t="s">
        <v>2639</v>
      </c>
      <c r="V572" t="s">
        <v>65</v>
      </c>
      <c r="W572" s="1">
        <v>45624</v>
      </c>
      <c r="X572" s="537" t="s">
        <v>65</v>
      </c>
      <c r="Y572" s="537" t="s">
        <v>60</v>
      </c>
      <c r="Z572" s="1" t="s">
        <v>1766</v>
      </c>
      <c r="AA572" s="537" t="s">
        <v>2687</v>
      </c>
      <c r="AB572" s="537" t="s">
        <v>1768</v>
      </c>
      <c r="AD572" s="61">
        <v>44676</v>
      </c>
      <c r="AE572" s="61">
        <v>44946</v>
      </c>
      <c r="AF572" s="61"/>
      <c r="AG572" s="1" t="s">
        <v>589</v>
      </c>
      <c r="AH572" s="537" t="s">
        <v>1791</v>
      </c>
      <c r="AI572" s="537" t="s">
        <v>86</v>
      </c>
      <c r="AJ572" s="1">
        <v>408</v>
      </c>
      <c r="AK572" s="537" t="s">
        <v>87</v>
      </c>
      <c r="AL572" s="1" t="s">
        <v>1792</v>
      </c>
      <c r="AM572" s="537" t="s">
        <v>1789</v>
      </c>
      <c r="AN572" s="537"/>
    </row>
    <row r="573" spans="1:40" hidden="1">
      <c r="A573" s="537" t="s">
        <v>179</v>
      </c>
      <c r="B573" s="1">
        <v>220509</v>
      </c>
      <c r="D573" s="537" t="s">
        <v>1603</v>
      </c>
      <c r="E573" s="537"/>
      <c r="F573"/>
      <c r="G573"/>
      <c r="H573" s="537" t="s">
        <v>2065</v>
      </c>
      <c r="I573" s="537" t="s">
        <v>2066</v>
      </c>
      <c r="J573" s="537" t="s">
        <v>18</v>
      </c>
      <c r="K573" s="537" t="s">
        <v>57</v>
      </c>
      <c r="L573" s="61">
        <v>35578</v>
      </c>
      <c r="M573" s="1">
        <v>26</v>
      </c>
      <c r="N573" s="1">
        <v>1400</v>
      </c>
      <c r="P573" s="1">
        <v>1900</v>
      </c>
      <c r="Q573" s="537"/>
      <c r="R573" s="1">
        <v>500</v>
      </c>
      <c r="S573"/>
      <c r="T573" t="s">
        <v>65</v>
      </c>
      <c r="U573" t="s">
        <v>2639</v>
      </c>
      <c r="V573" t="s">
        <v>65</v>
      </c>
      <c r="W573" s="1">
        <v>44905</v>
      </c>
      <c r="X573" s="537" t="s">
        <v>59</v>
      </c>
      <c r="Y573" s="537" t="s">
        <v>60</v>
      </c>
      <c r="Z573" s="1" t="s">
        <v>1766</v>
      </c>
      <c r="AA573" s="537" t="s">
        <v>1767</v>
      </c>
      <c r="AB573" s="537" t="s">
        <v>1768</v>
      </c>
      <c r="AC573" s="1">
        <v>44691</v>
      </c>
      <c r="AD573" s="61">
        <v>44692</v>
      </c>
      <c r="AE573" s="61">
        <v>44701</v>
      </c>
      <c r="AF573" s="61"/>
      <c r="AG573" s="1" t="s">
        <v>589</v>
      </c>
      <c r="AH573" s="537" t="s">
        <v>1791</v>
      </c>
      <c r="AI573" s="537" t="s">
        <v>86</v>
      </c>
      <c r="AJ573" s="1">
        <v>408</v>
      </c>
      <c r="AK573" s="537" t="s">
        <v>87</v>
      </c>
      <c r="AL573" s="1" t="s">
        <v>1792</v>
      </c>
      <c r="AM573" s="537" t="s">
        <v>601</v>
      </c>
      <c r="AN573" s="537"/>
    </row>
    <row r="574" spans="1:40" hidden="1">
      <c r="A574" s="537" t="s">
        <v>179</v>
      </c>
      <c r="B574" s="1">
        <v>220518</v>
      </c>
      <c r="D574" s="537" t="s">
        <v>1492</v>
      </c>
      <c r="E574" s="537" t="s">
        <v>1525</v>
      </c>
      <c r="F574"/>
      <c r="G574"/>
      <c r="H574" s="537" t="s">
        <v>2069</v>
      </c>
      <c r="I574" s="537" t="s">
        <v>2070</v>
      </c>
      <c r="J574" s="537" t="s">
        <v>18</v>
      </c>
      <c r="K574" s="537" t="s">
        <v>57</v>
      </c>
      <c r="L574" s="61">
        <v>34362</v>
      </c>
      <c r="M574" s="1">
        <v>29</v>
      </c>
      <c r="N574" s="1">
        <v>1400</v>
      </c>
      <c r="P574" s="1">
        <v>1900</v>
      </c>
      <c r="Q574" s="537"/>
      <c r="R574" s="1">
        <v>500</v>
      </c>
      <c r="S574"/>
      <c r="T574" t="s">
        <v>65</v>
      </c>
      <c r="U574" t="s">
        <v>2639</v>
      </c>
      <c r="V574" t="s">
        <v>65</v>
      </c>
      <c r="W574" s="1">
        <v>45181</v>
      </c>
      <c r="X574" s="537" t="s">
        <v>59</v>
      </c>
      <c r="Y574" s="537" t="s">
        <v>60</v>
      </c>
      <c r="Z574" s="1" t="s">
        <v>2071</v>
      </c>
      <c r="AA574" s="537" t="s">
        <v>2072</v>
      </c>
      <c r="AB574" s="537" t="s">
        <v>2073</v>
      </c>
      <c r="AC574" s="1">
        <v>44732</v>
      </c>
      <c r="AD574" s="61">
        <v>44704</v>
      </c>
      <c r="AE574" s="61">
        <v>44824</v>
      </c>
      <c r="AF574" s="61"/>
      <c r="AG574" s="1" t="s">
        <v>589</v>
      </c>
      <c r="AH574" s="537" t="s">
        <v>2074</v>
      </c>
      <c r="AI574" s="537" t="s">
        <v>86</v>
      </c>
      <c r="AJ574" s="1">
        <v>468</v>
      </c>
      <c r="AK574" s="537" t="s">
        <v>158</v>
      </c>
      <c r="AL574" s="1" t="s">
        <v>2075</v>
      </c>
      <c r="AM574" s="537" t="s">
        <v>619</v>
      </c>
      <c r="AN574" s="537"/>
    </row>
    <row r="575" spans="1:40" hidden="1">
      <c r="A575" s="537" t="s">
        <v>179</v>
      </c>
      <c r="B575" s="1">
        <v>220519</v>
      </c>
      <c r="D575" s="537" t="s">
        <v>72</v>
      </c>
      <c r="E575" s="537"/>
      <c r="F575"/>
      <c r="G575"/>
      <c r="H575" s="537" t="s">
        <v>2076</v>
      </c>
      <c r="I575" s="537" t="s">
        <v>2077</v>
      </c>
      <c r="J575" s="537" t="s">
        <v>18</v>
      </c>
      <c r="K575" s="537" t="s">
        <v>57</v>
      </c>
      <c r="L575" s="61">
        <v>34372</v>
      </c>
      <c r="M575" s="1">
        <v>29</v>
      </c>
      <c r="N575" s="1">
        <v>1300</v>
      </c>
      <c r="P575" s="1">
        <v>1750</v>
      </c>
      <c r="Q575" s="537"/>
      <c r="R575" s="1">
        <v>450</v>
      </c>
      <c r="S575"/>
      <c r="T575" t="s">
        <v>65</v>
      </c>
      <c r="U575" t="s">
        <v>2639</v>
      </c>
      <c r="V575" t="s">
        <v>65</v>
      </c>
      <c r="W575" s="1">
        <v>45132</v>
      </c>
      <c r="X575" s="537" t="s">
        <v>59</v>
      </c>
      <c r="Y575" s="537" t="s">
        <v>60</v>
      </c>
      <c r="Z575" s="1" t="s">
        <v>585</v>
      </c>
      <c r="AA575" s="537" t="s">
        <v>586</v>
      </c>
      <c r="AB575" s="537" t="s">
        <v>587</v>
      </c>
      <c r="AC575" s="1">
        <v>44701</v>
      </c>
      <c r="AD575" s="61">
        <v>44704</v>
      </c>
      <c r="AE575" s="61">
        <v>44894</v>
      </c>
      <c r="AF575" s="61"/>
      <c r="AG575" s="1" t="s">
        <v>589</v>
      </c>
      <c r="AH575" s="537" t="s">
        <v>2078</v>
      </c>
      <c r="AI575" s="537" t="s">
        <v>86</v>
      </c>
      <c r="AJ575" s="1">
        <v>228</v>
      </c>
      <c r="AK575" s="537" t="s">
        <v>443</v>
      </c>
      <c r="AL575" s="1" t="s">
        <v>2079</v>
      </c>
      <c r="AM575" s="537" t="s">
        <v>2080</v>
      </c>
      <c r="AN575" s="537" t="s">
        <v>2081</v>
      </c>
    </row>
    <row r="576" spans="1:40" hidden="1">
      <c r="A576" s="537" t="s">
        <v>54</v>
      </c>
      <c r="B576" s="1">
        <v>220521</v>
      </c>
      <c r="D576" s="537" t="s">
        <v>1066</v>
      </c>
      <c r="E576" s="537" t="s">
        <v>3058</v>
      </c>
      <c r="F576" t="s">
        <v>3059</v>
      </c>
      <c r="G576" t="s">
        <v>3060</v>
      </c>
      <c r="H576" s="537" t="s">
        <v>2084</v>
      </c>
      <c r="I576" s="537" t="s">
        <v>2059</v>
      </c>
      <c r="J576" s="537" t="s">
        <v>18</v>
      </c>
      <c r="K576" s="537" t="s">
        <v>57</v>
      </c>
      <c r="L576" s="61">
        <v>33244</v>
      </c>
      <c r="M576" s="1">
        <v>32</v>
      </c>
      <c r="N576" s="1">
        <v>1300</v>
      </c>
      <c r="P576" s="1">
        <v>1700</v>
      </c>
      <c r="Q576" s="537"/>
      <c r="R576" s="1">
        <v>400</v>
      </c>
      <c r="S576">
        <v>360000</v>
      </c>
      <c r="T576">
        <v>18018</v>
      </c>
      <c r="U576" t="s">
        <v>2639</v>
      </c>
      <c r="V576">
        <v>32940</v>
      </c>
      <c r="W576" s="1">
        <v>45437</v>
      </c>
      <c r="X576" s="537" t="s">
        <v>65</v>
      </c>
      <c r="Y576" s="537" t="s">
        <v>60</v>
      </c>
      <c r="Z576" s="1" t="s">
        <v>1070</v>
      </c>
      <c r="AA576" s="537" t="s">
        <v>1071</v>
      </c>
      <c r="AB576" s="537" t="s">
        <v>1184</v>
      </c>
      <c r="AC576" s="1">
        <v>44704</v>
      </c>
      <c r="AD576" s="61">
        <v>44706</v>
      </c>
      <c r="AE576" s="61"/>
      <c r="AF576" s="61"/>
      <c r="AG576" s="1" t="s">
        <v>589</v>
      </c>
      <c r="AH576" s="537" t="s">
        <v>2059</v>
      </c>
      <c r="AI576" s="537" t="s">
        <v>86</v>
      </c>
      <c r="AJ576" s="1">
        <v>248</v>
      </c>
      <c r="AK576" s="537" t="s">
        <v>224</v>
      </c>
      <c r="AL576" s="1" t="s">
        <v>2060</v>
      </c>
      <c r="AM576" s="537" t="s">
        <v>619</v>
      </c>
      <c r="AN576" s="537"/>
    </row>
    <row r="577" spans="1:40" hidden="1">
      <c r="A577" s="537" t="s">
        <v>179</v>
      </c>
      <c r="B577" s="1">
        <v>220523</v>
      </c>
      <c r="D577" s="537" t="s">
        <v>1142</v>
      </c>
      <c r="E577" s="537"/>
      <c r="F577"/>
      <c r="G577"/>
      <c r="H577" s="537" t="s">
        <v>2088</v>
      </c>
      <c r="I577" s="537" t="s">
        <v>2089</v>
      </c>
      <c r="J577" s="537" t="s">
        <v>18</v>
      </c>
      <c r="K577" s="537" t="s">
        <v>57</v>
      </c>
      <c r="L577" s="61">
        <v>34818</v>
      </c>
      <c r="M577" s="1">
        <v>28</v>
      </c>
      <c r="N577" s="1">
        <v>1400</v>
      </c>
      <c r="P577" s="1">
        <v>1900</v>
      </c>
      <c r="Q577" s="537"/>
      <c r="R577" s="1">
        <v>500</v>
      </c>
      <c r="S577">
        <v>0</v>
      </c>
      <c r="T577">
        <v>0</v>
      </c>
      <c r="U577" t="s">
        <v>2639</v>
      </c>
      <c r="V577">
        <v>0</v>
      </c>
      <c r="W577" s="1">
        <v>45687</v>
      </c>
      <c r="X577" s="537" t="s">
        <v>65</v>
      </c>
      <c r="Y577" s="537" t="s">
        <v>60</v>
      </c>
      <c r="Z577" s="1" t="s">
        <v>210</v>
      </c>
      <c r="AA577" s="537" t="s">
        <v>1193</v>
      </c>
      <c r="AB577" s="537" t="s">
        <v>1377</v>
      </c>
      <c r="AC577" s="1">
        <v>44704</v>
      </c>
      <c r="AD577" s="61">
        <v>44708</v>
      </c>
      <c r="AE577" s="61">
        <v>44978</v>
      </c>
      <c r="AF577" s="61">
        <v>44973</v>
      </c>
      <c r="AG577" s="1" t="s">
        <v>589</v>
      </c>
      <c r="AH577" s="537" t="s">
        <v>2090</v>
      </c>
      <c r="AI577" s="537" t="s">
        <v>86</v>
      </c>
      <c r="AJ577" s="1">
        <v>248</v>
      </c>
      <c r="AK577" s="537" t="s">
        <v>224</v>
      </c>
      <c r="AL577" s="1" t="s">
        <v>2091</v>
      </c>
      <c r="AM577" s="537" t="s">
        <v>619</v>
      </c>
      <c r="AN577" s="537"/>
    </row>
    <row r="578" spans="1:40" hidden="1">
      <c r="A578" s="537" t="s">
        <v>54</v>
      </c>
      <c r="B578" s="1">
        <v>220524</v>
      </c>
      <c r="D578" s="537" t="s">
        <v>1492</v>
      </c>
      <c r="E578" s="537" t="s">
        <v>1525</v>
      </c>
      <c r="F578"/>
      <c r="G578"/>
      <c r="H578" s="537" t="s">
        <v>2092</v>
      </c>
      <c r="I578" s="537" t="s">
        <v>2078</v>
      </c>
      <c r="J578" s="537" t="s">
        <v>18</v>
      </c>
      <c r="K578" s="537" t="s">
        <v>57</v>
      </c>
      <c r="L578" s="61">
        <v>35030</v>
      </c>
      <c r="M578" s="1">
        <v>28</v>
      </c>
      <c r="N578" s="1">
        <v>1400</v>
      </c>
      <c r="P578" s="1">
        <v>1900</v>
      </c>
      <c r="Q578" s="537"/>
      <c r="R578" s="1">
        <v>500</v>
      </c>
      <c r="S578">
        <v>240000</v>
      </c>
      <c r="T578">
        <v>12012</v>
      </c>
      <c r="U578" t="s">
        <v>2639</v>
      </c>
      <c r="V578">
        <v>21960</v>
      </c>
      <c r="W578" s="1">
        <v>45709</v>
      </c>
      <c r="X578" s="537" t="s">
        <v>65</v>
      </c>
      <c r="Y578" s="537" t="s">
        <v>60</v>
      </c>
      <c r="Z578" s="1" t="s">
        <v>2071</v>
      </c>
      <c r="AA578" s="537" t="s">
        <v>2072</v>
      </c>
      <c r="AB578" s="537" t="s">
        <v>2073</v>
      </c>
      <c r="AC578" s="1">
        <v>44732</v>
      </c>
      <c r="AD578" s="61">
        <v>44708</v>
      </c>
      <c r="AE578" s="61"/>
      <c r="AF578" s="61"/>
      <c r="AG578" s="1" t="s">
        <v>589</v>
      </c>
      <c r="AH578" s="537" t="s">
        <v>2078</v>
      </c>
      <c r="AI578" s="537" t="s">
        <v>86</v>
      </c>
      <c r="AJ578" s="1">
        <v>228</v>
      </c>
      <c r="AK578" s="537" t="s">
        <v>443</v>
      </c>
      <c r="AL578" s="1" t="s">
        <v>2079</v>
      </c>
      <c r="AM578" s="537" t="s">
        <v>619</v>
      </c>
      <c r="AN578" s="537"/>
    </row>
    <row r="579" spans="1:40" hidden="1">
      <c r="A579" s="537" t="s">
        <v>54</v>
      </c>
      <c r="B579" s="1">
        <v>220525</v>
      </c>
      <c r="D579" s="537" t="s">
        <v>1066</v>
      </c>
      <c r="E579" s="537" t="s">
        <v>3058</v>
      </c>
      <c r="F579" t="s">
        <v>3059</v>
      </c>
      <c r="G579" t="s">
        <v>3060</v>
      </c>
      <c r="H579" s="537" t="s">
        <v>2093</v>
      </c>
      <c r="I579" s="537" t="s">
        <v>2086</v>
      </c>
      <c r="J579" s="537" t="s">
        <v>18</v>
      </c>
      <c r="K579" s="537" t="s">
        <v>57</v>
      </c>
      <c r="L579" s="61">
        <v>35816</v>
      </c>
      <c r="M579" s="1">
        <v>25</v>
      </c>
      <c r="N579" s="1">
        <v>1300</v>
      </c>
      <c r="P579" s="1">
        <v>1700</v>
      </c>
      <c r="Q579" s="537"/>
      <c r="R579" s="1">
        <v>400</v>
      </c>
      <c r="S579">
        <v>360000</v>
      </c>
      <c r="T579">
        <v>18018</v>
      </c>
      <c r="U579" t="s">
        <v>2639</v>
      </c>
      <c r="V579">
        <v>32940</v>
      </c>
      <c r="W579" s="1">
        <v>45437</v>
      </c>
      <c r="X579" s="537" t="s">
        <v>65</v>
      </c>
      <c r="Y579" s="537" t="s">
        <v>60</v>
      </c>
      <c r="Z579" s="1" t="s">
        <v>1070</v>
      </c>
      <c r="AA579" s="537" t="s">
        <v>1071</v>
      </c>
      <c r="AB579" s="537" t="s">
        <v>1072</v>
      </c>
      <c r="AC579" s="1">
        <v>44708</v>
      </c>
      <c r="AD579" s="61">
        <v>44711</v>
      </c>
      <c r="AE579" s="61"/>
      <c r="AF579" s="61"/>
      <c r="AG579" s="1" t="s">
        <v>589</v>
      </c>
      <c r="AH579" s="537" t="s">
        <v>2086</v>
      </c>
      <c r="AI579" s="537" t="s">
        <v>86</v>
      </c>
      <c r="AJ579" s="1">
        <v>248</v>
      </c>
      <c r="AK579" s="537" t="s">
        <v>224</v>
      </c>
      <c r="AL579" s="1" t="s">
        <v>2087</v>
      </c>
      <c r="AM579" s="537" t="s">
        <v>619</v>
      </c>
      <c r="AN579" s="537"/>
    </row>
    <row r="580" spans="1:40" hidden="1">
      <c r="A580" s="537" t="s">
        <v>54</v>
      </c>
      <c r="B580" s="1">
        <v>210315</v>
      </c>
      <c r="D580" s="537" t="s">
        <v>1128</v>
      </c>
      <c r="E580" s="537" t="s">
        <v>1129</v>
      </c>
      <c r="F580"/>
      <c r="G580"/>
      <c r="H580" s="537" t="s">
        <v>1894</v>
      </c>
      <c r="I580" s="537" t="s">
        <v>1895</v>
      </c>
      <c r="J580" s="537" t="s">
        <v>18</v>
      </c>
      <c r="K580" s="537" t="s">
        <v>57</v>
      </c>
      <c r="L580" s="61">
        <v>33176</v>
      </c>
      <c r="M580" s="1">
        <v>33</v>
      </c>
      <c r="N580" s="1">
        <v>1400</v>
      </c>
      <c r="P580" s="1">
        <v>2000</v>
      </c>
      <c r="Q580" s="537" t="s">
        <v>1132</v>
      </c>
      <c r="R580" s="1">
        <v>600</v>
      </c>
      <c r="S580">
        <v>240000</v>
      </c>
      <c r="T580">
        <v>12012</v>
      </c>
      <c r="U580" t="s">
        <v>2639</v>
      </c>
      <c r="V580">
        <v>21960</v>
      </c>
      <c r="W580" s="1">
        <v>46165</v>
      </c>
      <c r="X580" s="537" t="s">
        <v>65</v>
      </c>
      <c r="Y580" s="537" t="s">
        <v>60</v>
      </c>
      <c r="Z580" s="1" t="s">
        <v>1227</v>
      </c>
      <c r="AA580" s="537" t="s">
        <v>1725</v>
      </c>
      <c r="AB580" s="537" t="s">
        <v>1971</v>
      </c>
      <c r="AC580" s="1">
        <v>44711</v>
      </c>
      <c r="AD580" s="61">
        <v>44712</v>
      </c>
      <c r="AE580" s="61"/>
      <c r="AF580" s="61"/>
      <c r="AG580" s="1">
        <v>44774</v>
      </c>
      <c r="AH580" s="537"/>
      <c r="AI580" s="537"/>
      <c r="AK580" s="537"/>
      <c r="AM580" s="537" t="s">
        <v>2096</v>
      </c>
      <c r="AN580" s="537" t="s">
        <v>2097</v>
      </c>
    </row>
    <row r="581" spans="1:40" hidden="1">
      <c r="A581" s="537" t="s">
        <v>54</v>
      </c>
      <c r="B581" s="1">
        <v>220526</v>
      </c>
      <c r="D581" s="537" t="s">
        <v>1128</v>
      </c>
      <c r="E581" s="537" t="s">
        <v>1129</v>
      </c>
      <c r="F581"/>
      <c r="G581"/>
      <c r="H581" s="537" t="s">
        <v>2094</v>
      </c>
      <c r="I581" s="537" t="s">
        <v>2095</v>
      </c>
      <c r="J581" s="537" t="s">
        <v>18</v>
      </c>
      <c r="K581" s="537" t="s">
        <v>57</v>
      </c>
      <c r="L581" s="61">
        <v>34688</v>
      </c>
      <c r="M581" s="1">
        <v>28</v>
      </c>
      <c r="N581" s="1">
        <v>1400</v>
      </c>
      <c r="P581" s="1">
        <v>2000</v>
      </c>
      <c r="Q581" s="537" t="s">
        <v>1132</v>
      </c>
      <c r="R581" s="1">
        <v>600</v>
      </c>
      <c r="S581">
        <v>220000</v>
      </c>
      <c r="T581">
        <v>11011</v>
      </c>
      <c r="U581" t="s">
        <v>2639</v>
      </c>
      <c r="V581">
        <v>20130</v>
      </c>
      <c r="W581" s="1">
        <v>45682</v>
      </c>
      <c r="X581" s="537" t="s">
        <v>65</v>
      </c>
      <c r="Y581" s="537" t="s">
        <v>60</v>
      </c>
      <c r="Z581" s="1" t="s">
        <v>1214</v>
      </c>
      <c r="AA581" s="537" t="s">
        <v>1215</v>
      </c>
      <c r="AB581" s="537" t="s">
        <v>1216</v>
      </c>
      <c r="AC581" s="1">
        <v>44711</v>
      </c>
      <c r="AD581" s="61">
        <v>44712</v>
      </c>
      <c r="AE581" s="61"/>
      <c r="AF581" s="61"/>
      <c r="AG581" s="1" t="s">
        <v>589</v>
      </c>
      <c r="AH581" s="537"/>
      <c r="AI581" s="537"/>
      <c r="AK581" s="537"/>
      <c r="AM581" s="537" t="s">
        <v>619</v>
      </c>
      <c r="AN581" s="537"/>
    </row>
    <row r="582" spans="1:40" hidden="1">
      <c r="A582" s="537" t="s">
        <v>54</v>
      </c>
      <c r="B582" s="1">
        <v>220611</v>
      </c>
      <c r="D582" s="537" t="s">
        <v>1019</v>
      </c>
      <c r="E582" s="537" t="s">
        <v>1020</v>
      </c>
      <c r="F582"/>
      <c r="G582"/>
      <c r="H582" s="537" t="s">
        <v>1269</v>
      </c>
      <c r="I582" s="537" t="s">
        <v>1270</v>
      </c>
      <c r="J582" s="537" t="s">
        <v>18</v>
      </c>
      <c r="K582" s="537" t="s">
        <v>57</v>
      </c>
      <c r="L582" s="61">
        <v>33147</v>
      </c>
      <c r="M582" s="1">
        <v>33</v>
      </c>
      <c r="N582" s="1">
        <v>1500</v>
      </c>
      <c r="P582" s="1">
        <v>2000</v>
      </c>
      <c r="Q582" s="537"/>
      <c r="R582" s="1">
        <v>500</v>
      </c>
      <c r="S582">
        <v>340000</v>
      </c>
      <c r="T582">
        <v>17017</v>
      </c>
      <c r="U582" t="s">
        <v>2639</v>
      </c>
      <c r="V582">
        <v>31110</v>
      </c>
      <c r="W582" s="1">
        <v>45703</v>
      </c>
      <c r="X582" s="537" t="s">
        <v>65</v>
      </c>
      <c r="Y582" s="537" t="s">
        <v>60</v>
      </c>
      <c r="Z582" s="1" t="s">
        <v>1024</v>
      </c>
      <c r="AA582" s="537" t="s">
        <v>2690</v>
      </c>
      <c r="AB582" s="537" t="s">
        <v>2691</v>
      </c>
      <c r="AC582" s="1" t="s">
        <v>63</v>
      </c>
      <c r="AD582" s="61">
        <v>44725</v>
      </c>
      <c r="AE582" s="61"/>
      <c r="AF582" s="61">
        <v>44864</v>
      </c>
      <c r="AG582" s="1" t="s">
        <v>638</v>
      </c>
      <c r="AH582" s="537"/>
      <c r="AI582" s="537"/>
      <c r="AK582" s="537"/>
      <c r="AM582" s="537" t="s">
        <v>639</v>
      </c>
      <c r="AN582" s="537"/>
    </row>
    <row r="583" spans="1:40" hidden="1">
      <c r="A583" s="537" t="s">
        <v>179</v>
      </c>
      <c r="B583" s="1">
        <v>220608</v>
      </c>
      <c r="D583" s="537" t="s">
        <v>1066</v>
      </c>
      <c r="E583" s="537" t="s">
        <v>2376</v>
      </c>
      <c r="F583" t="s">
        <v>804</v>
      </c>
      <c r="G583"/>
      <c r="H583" s="537" t="s">
        <v>2112</v>
      </c>
      <c r="I583" s="537" t="s">
        <v>2090</v>
      </c>
      <c r="J583" s="537" t="s">
        <v>18</v>
      </c>
      <c r="K583" s="537" t="s">
        <v>57</v>
      </c>
      <c r="L583" s="61">
        <v>33071</v>
      </c>
      <c r="M583" s="1">
        <v>33</v>
      </c>
      <c r="N583" s="1">
        <v>1200</v>
      </c>
      <c r="P583" s="1">
        <v>1700</v>
      </c>
      <c r="Q583" s="537"/>
      <c r="R583" s="1">
        <v>500</v>
      </c>
      <c r="S583"/>
      <c r="T583" t="s">
        <v>65</v>
      </c>
      <c r="U583" t="s">
        <v>2639</v>
      </c>
      <c r="V583" t="s">
        <v>65</v>
      </c>
      <c r="W583" s="1">
        <v>45081</v>
      </c>
      <c r="X583" s="537" t="s">
        <v>59</v>
      </c>
      <c r="Y583" s="537" t="s">
        <v>60</v>
      </c>
      <c r="Z583" s="1" t="s">
        <v>1070</v>
      </c>
      <c r="AA583" s="537" t="s">
        <v>1071</v>
      </c>
      <c r="AB583" s="537" t="s">
        <v>1184</v>
      </c>
      <c r="AC583" s="1">
        <v>44719</v>
      </c>
      <c r="AD583" s="61">
        <v>44725</v>
      </c>
      <c r="AE583" s="61">
        <v>44862</v>
      </c>
      <c r="AF583" s="61"/>
      <c r="AG583" s="1" t="s">
        <v>638</v>
      </c>
      <c r="AH583" s="537" t="s">
        <v>2090</v>
      </c>
      <c r="AI583" s="537" t="s">
        <v>86</v>
      </c>
      <c r="AJ583" s="1">
        <v>248</v>
      </c>
      <c r="AK583" s="537" t="s">
        <v>224</v>
      </c>
      <c r="AL583" s="1" t="s">
        <v>2091</v>
      </c>
      <c r="AM583" s="537" t="s">
        <v>2106</v>
      </c>
      <c r="AN583" s="537"/>
    </row>
    <row r="584" spans="1:40" hidden="1">
      <c r="A584" s="537" t="s">
        <v>179</v>
      </c>
      <c r="B584" s="1">
        <v>220610</v>
      </c>
      <c r="D584" s="537" t="s">
        <v>1447</v>
      </c>
      <c r="E584" s="537" t="s">
        <v>1448</v>
      </c>
      <c r="F584"/>
      <c r="G584"/>
      <c r="H584" s="537" t="s">
        <v>2107</v>
      </c>
      <c r="I584" s="537" t="s">
        <v>2108</v>
      </c>
      <c r="J584" s="537" t="s">
        <v>18</v>
      </c>
      <c r="K584" s="537" t="s">
        <v>57</v>
      </c>
      <c r="L584" s="61">
        <v>30761</v>
      </c>
      <c r="M584" s="1">
        <v>39</v>
      </c>
      <c r="N584" s="1">
        <v>1500</v>
      </c>
      <c r="P584" s="1">
        <v>1900</v>
      </c>
      <c r="Q584" s="537"/>
      <c r="R584" s="1">
        <v>400</v>
      </c>
      <c r="S584">
        <v>260000</v>
      </c>
      <c r="T584">
        <v>13013</v>
      </c>
      <c r="U584" t="s">
        <v>2639</v>
      </c>
      <c r="V584">
        <v>23790</v>
      </c>
      <c r="W584" s="1">
        <v>45701</v>
      </c>
      <c r="X584" s="537" t="s">
        <v>65</v>
      </c>
      <c r="Y584" s="537" t="s">
        <v>60</v>
      </c>
      <c r="Z584" s="1" t="s">
        <v>1451</v>
      </c>
      <c r="AA584" s="537" t="s">
        <v>1452</v>
      </c>
      <c r="AB584" s="537" t="s">
        <v>1453</v>
      </c>
      <c r="AC584" s="1">
        <v>44722</v>
      </c>
      <c r="AD584" s="61">
        <v>44725</v>
      </c>
      <c r="AE584" s="61">
        <v>45219</v>
      </c>
      <c r="AF584" s="61"/>
      <c r="AG584" s="1" t="s">
        <v>638</v>
      </c>
      <c r="AH584" s="537" t="s">
        <v>2109</v>
      </c>
      <c r="AI584" s="537" t="s">
        <v>86</v>
      </c>
      <c r="AJ584" s="1">
        <v>548</v>
      </c>
      <c r="AK584" s="537" t="s">
        <v>125</v>
      </c>
      <c r="AL584" s="1" t="s">
        <v>2110</v>
      </c>
      <c r="AM584" s="537" t="s">
        <v>2106</v>
      </c>
      <c r="AN584" s="537"/>
    </row>
    <row r="585" spans="1:40" hidden="1">
      <c r="A585" s="537" t="s">
        <v>179</v>
      </c>
      <c r="B585" s="1">
        <v>220615</v>
      </c>
      <c r="D585" s="537" t="s">
        <v>1603</v>
      </c>
      <c r="E585" s="537" t="s">
        <v>1604</v>
      </c>
      <c r="F585"/>
      <c r="G585"/>
      <c r="H585" s="537" t="s">
        <v>2117</v>
      </c>
      <c r="I585" s="537" t="s">
        <v>2118</v>
      </c>
      <c r="J585" s="537" t="s">
        <v>18</v>
      </c>
      <c r="K585" s="537" t="s">
        <v>57</v>
      </c>
      <c r="L585" s="61">
        <v>33279</v>
      </c>
      <c r="M585" s="1">
        <v>32</v>
      </c>
      <c r="N585" s="1">
        <v>1400</v>
      </c>
      <c r="P585" s="1">
        <v>1900</v>
      </c>
      <c r="Q585" s="537"/>
      <c r="R585" s="1">
        <v>500</v>
      </c>
      <c r="S585">
        <v>180000</v>
      </c>
      <c r="T585">
        <v>9009</v>
      </c>
      <c r="U585" t="s">
        <v>2639</v>
      </c>
      <c r="V585">
        <v>16470</v>
      </c>
      <c r="W585" s="1">
        <v>44978</v>
      </c>
      <c r="X585" s="537" t="s">
        <v>59</v>
      </c>
      <c r="Y585" s="537" t="s">
        <v>60</v>
      </c>
      <c r="Z585" s="1" t="s">
        <v>2119</v>
      </c>
      <c r="AA585" s="537" t="s">
        <v>2120</v>
      </c>
      <c r="AB585" s="537" t="s">
        <v>2121</v>
      </c>
      <c r="AC585" s="1">
        <v>44726</v>
      </c>
      <c r="AD585" s="61">
        <v>44727</v>
      </c>
      <c r="AE585" s="61">
        <v>45044</v>
      </c>
      <c r="AF585" s="61"/>
      <c r="AG585" s="1" t="s">
        <v>638</v>
      </c>
      <c r="AH585" s="537" t="s">
        <v>1793</v>
      </c>
      <c r="AI585" s="537" t="s">
        <v>86</v>
      </c>
      <c r="AJ585" s="1">
        <v>98</v>
      </c>
      <c r="AK585" s="537" t="s">
        <v>1794</v>
      </c>
      <c r="AL585" s="1" t="s">
        <v>1795</v>
      </c>
      <c r="AM585" s="537" t="s">
        <v>639</v>
      </c>
      <c r="AN585" s="537"/>
    </row>
    <row r="586" spans="1:40" hidden="1">
      <c r="A586" s="537" t="s">
        <v>179</v>
      </c>
      <c r="B586" s="1">
        <v>210704</v>
      </c>
      <c r="D586" s="537" t="s">
        <v>1128</v>
      </c>
      <c r="E586" s="537" t="s">
        <v>1129</v>
      </c>
      <c r="F586"/>
      <c r="G586"/>
      <c r="H586" s="537" t="s">
        <v>446</v>
      </c>
      <c r="I586" s="537" t="s">
        <v>1970</v>
      </c>
      <c r="J586" s="537" t="s">
        <v>18</v>
      </c>
      <c r="K586" s="537" t="s">
        <v>57</v>
      </c>
      <c r="L586" s="61">
        <v>34208</v>
      </c>
      <c r="M586" s="1">
        <v>30</v>
      </c>
      <c r="N586" s="1">
        <v>1400</v>
      </c>
      <c r="P586" s="1">
        <v>2000</v>
      </c>
      <c r="Q586" s="537"/>
      <c r="R586" s="1">
        <v>600</v>
      </c>
      <c r="S586">
        <v>180000</v>
      </c>
      <c r="T586">
        <v>9009</v>
      </c>
      <c r="U586" t="s">
        <v>2639</v>
      </c>
      <c r="V586">
        <v>16470</v>
      </c>
      <c r="W586" s="1">
        <v>45492</v>
      </c>
      <c r="X586" s="537" t="s">
        <v>65</v>
      </c>
      <c r="Y586" s="537" t="s">
        <v>60</v>
      </c>
      <c r="Z586" s="1" t="s">
        <v>1227</v>
      </c>
      <c r="AA586" s="537" t="s">
        <v>1725</v>
      </c>
      <c r="AB586" s="537" t="s">
        <v>1726</v>
      </c>
      <c r="AD586" s="61">
        <v>44732</v>
      </c>
      <c r="AE586" s="61">
        <v>45029</v>
      </c>
      <c r="AF586" s="61"/>
      <c r="AG586" s="1" t="s">
        <v>638</v>
      </c>
      <c r="AH586" s="537" t="s">
        <v>1177</v>
      </c>
      <c r="AI586" s="537" t="s">
        <v>86</v>
      </c>
      <c r="AJ586" s="1">
        <v>438</v>
      </c>
      <c r="AK586" s="537" t="s">
        <v>223</v>
      </c>
      <c r="AL586" s="1" t="s">
        <v>1179</v>
      </c>
      <c r="AM586" s="537" t="s">
        <v>2106</v>
      </c>
      <c r="AN586" s="537"/>
    </row>
    <row r="587" spans="1:40" hidden="1">
      <c r="A587" s="537" t="s">
        <v>54</v>
      </c>
      <c r="B587" s="1">
        <v>220616</v>
      </c>
      <c r="D587" s="537" t="s">
        <v>1019</v>
      </c>
      <c r="E587" s="537" t="s">
        <v>1317</v>
      </c>
      <c r="F587"/>
      <c r="G587"/>
      <c r="H587" s="537" t="s">
        <v>2122</v>
      </c>
      <c r="I587" s="537" t="s">
        <v>2123</v>
      </c>
      <c r="J587" s="537" t="s">
        <v>18</v>
      </c>
      <c r="K587" s="537" t="s">
        <v>57</v>
      </c>
      <c r="L587" s="61">
        <v>32696</v>
      </c>
      <c r="M587" s="1">
        <v>34</v>
      </c>
      <c r="N587" s="1">
        <v>1500</v>
      </c>
      <c r="O587" s="1" t="s">
        <v>2124</v>
      </c>
      <c r="P587" s="1">
        <v>2000</v>
      </c>
      <c r="Q587" s="537"/>
      <c r="R587" s="1">
        <v>500</v>
      </c>
      <c r="S587">
        <v>320000</v>
      </c>
      <c r="T587">
        <v>16015.999999999998</v>
      </c>
      <c r="U587" t="s">
        <v>2639</v>
      </c>
      <c r="V587">
        <v>29280</v>
      </c>
      <c r="W587" s="1">
        <v>45280</v>
      </c>
      <c r="X587" s="537" t="s">
        <v>59</v>
      </c>
      <c r="Y587" s="537" t="s">
        <v>60</v>
      </c>
      <c r="Z587" s="1" t="s">
        <v>1321</v>
      </c>
      <c r="AA587" s="537" t="s">
        <v>1322</v>
      </c>
      <c r="AB587" s="537" t="s">
        <v>1364</v>
      </c>
      <c r="AC587" s="1">
        <v>44735</v>
      </c>
      <c r="AD587" s="61">
        <v>44735</v>
      </c>
      <c r="AE587" s="61"/>
      <c r="AF587" s="61"/>
      <c r="AG587" s="1" t="s">
        <v>677</v>
      </c>
      <c r="AH587" s="537"/>
      <c r="AI587" s="537"/>
      <c r="AK587" s="537"/>
      <c r="AM587" s="537" t="s">
        <v>2125</v>
      </c>
      <c r="AN587" s="537"/>
    </row>
    <row r="588" spans="1:40" hidden="1">
      <c r="A588" s="537" t="s">
        <v>54</v>
      </c>
      <c r="B588" s="1">
        <v>220701</v>
      </c>
      <c r="D588" s="537" t="s">
        <v>1128</v>
      </c>
      <c r="E588" s="537" t="s">
        <v>1129</v>
      </c>
      <c r="F588"/>
      <c r="G588"/>
      <c r="H588" s="537" t="s">
        <v>2126</v>
      </c>
      <c r="I588" s="537" t="s">
        <v>2127</v>
      </c>
      <c r="J588" s="537" t="s">
        <v>18</v>
      </c>
      <c r="K588" s="537" t="s">
        <v>57</v>
      </c>
      <c r="L588" s="61">
        <v>35976</v>
      </c>
      <c r="M588" s="1">
        <v>25</v>
      </c>
      <c r="N588" s="1">
        <v>1400</v>
      </c>
      <c r="P588" s="1">
        <v>2000</v>
      </c>
      <c r="Q588" s="537"/>
      <c r="R588" s="1">
        <v>600</v>
      </c>
      <c r="S588">
        <v>260000</v>
      </c>
      <c r="T588">
        <v>13013</v>
      </c>
      <c r="U588" t="s">
        <v>2639</v>
      </c>
      <c r="V588">
        <v>23790</v>
      </c>
      <c r="W588" s="1">
        <v>45742</v>
      </c>
      <c r="X588" s="537" t="s">
        <v>65</v>
      </c>
      <c r="Y588" s="537" t="s">
        <v>60</v>
      </c>
      <c r="Z588" s="1" t="s">
        <v>1227</v>
      </c>
      <c r="AA588" s="537" t="s">
        <v>1725</v>
      </c>
      <c r="AB588" s="537" t="s">
        <v>1726</v>
      </c>
      <c r="AC588" s="1">
        <v>44740</v>
      </c>
      <c r="AD588" s="61">
        <v>44743</v>
      </c>
      <c r="AE588" s="61"/>
      <c r="AF588" s="61"/>
      <c r="AG588" s="1" t="s">
        <v>677</v>
      </c>
      <c r="AH588" s="537" t="s">
        <v>2127</v>
      </c>
      <c r="AI588" s="537" t="s">
        <v>86</v>
      </c>
      <c r="AJ588" s="1">
        <v>538</v>
      </c>
      <c r="AK588" s="537" t="s">
        <v>1523</v>
      </c>
      <c r="AL588" s="1" t="s">
        <v>2128</v>
      </c>
      <c r="AM588" s="537" t="s">
        <v>765</v>
      </c>
      <c r="AN588" s="537"/>
    </row>
    <row r="589" spans="1:40" hidden="1">
      <c r="A589" s="537" t="s">
        <v>54</v>
      </c>
      <c r="B589" s="1">
        <v>220703</v>
      </c>
      <c r="D589" s="537" t="s">
        <v>2638</v>
      </c>
      <c r="E589" s="537" t="s">
        <v>3038</v>
      </c>
      <c r="F589" t="s">
        <v>3039</v>
      </c>
      <c r="G589" t="s">
        <v>3040</v>
      </c>
      <c r="H589" s="537" t="s">
        <v>2132</v>
      </c>
      <c r="I589" s="537" t="s">
        <v>2133</v>
      </c>
      <c r="J589" s="537" t="s">
        <v>17</v>
      </c>
      <c r="K589" s="537" t="s">
        <v>57</v>
      </c>
      <c r="L589" s="61">
        <v>32814</v>
      </c>
      <c r="M589" s="1">
        <v>34</v>
      </c>
      <c r="N589" s="1">
        <v>1300</v>
      </c>
      <c r="P589" s="1">
        <v>1800</v>
      </c>
      <c r="Q589" s="537"/>
      <c r="R589" s="1">
        <v>500</v>
      </c>
      <c r="S589">
        <v>220000</v>
      </c>
      <c r="T589">
        <v>11011</v>
      </c>
      <c r="U589" t="s">
        <v>2639</v>
      </c>
      <c r="V589">
        <v>20130</v>
      </c>
      <c r="W589" s="1">
        <v>45471</v>
      </c>
      <c r="X589" s="537" t="s">
        <v>65</v>
      </c>
      <c r="Y589" s="537" t="s">
        <v>60</v>
      </c>
      <c r="Z589" s="1" t="s">
        <v>61</v>
      </c>
      <c r="AA589" s="537" t="s">
        <v>2641</v>
      </c>
      <c r="AB589" s="537" t="s">
        <v>3098</v>
      </c>
      <c r="AC589" s="1">
        <v>44742</v>
      </c>
      <c r="AD589" s="61">
        <v>44743</v>
      </c>
      <c r="AE589" s="61"/>
      <c r="AF589" s="61"/>
      <c r="AG589" s="1" t="s">
        <v>677</v>
      </c>
      <c r="AH589" s="537" t="s">
        <v>2133</v>
      </c>
      <c r="AI589" s="537" t="s">
        <v>86</v>
      </c>
      <c r="AJ589" s="1">
        <v>548</v>
      </c>
      <c r="AK589" s="537" t="s">
        <v>125</v>
      </c>
      <c r="AL589" s="1" t="s">
        <v>2134</v>
      </c>
      <c r="AM589" s="537" t="s">
        <v>678</v>
      </c>
      <c r="AN589" s="537" t="s">
        <v>3099</v>
      </c>
    </row>
    <row r="590" spans="1:40" hidden="1">
      <c r="A590" s="537" t="s">
        <v>54</v>
      </c>
      <c r="B590" s="1">
        <v>220705</v>
      </c>
      <c r="D590" s="537" t="s">
        <v>1066</v>
      </c>
      <c r="E590" s="537" t="s">
        <v>3058</v>
      </c>
      <c r="F590" t="s">
        <v>3059</v>
      </c>
      <c r="G590" t="s">
        <v>3060</v>
      </c>
      <c r="H590" s="537" t="s">
        <v>2416</v>
      </c>
      <c r="I590" s="537" t="s">
        <v>2138</v>
      </c>
      <c r="J590" s="537" t="s">
        <v>18</v>
      </c>
      <c r="K590" s="537" t="s">
        <v>57</v>
      </c>
      <c r="L590" s="61">
        <v>35856</v>
      </c>
      <c r="M590" s="1">
        <v>25</v>
      </c>
      <c r="N590" s="1">
        <v>1310</v>
      </c>
      <c r="P590" s="1">
        <v>1700</v>
      </c>
      <c r="Q590" s="537"/>
      <c r="R590" s="1">
        <v>390</v>
      </c>
      <c r="S590">
        <v>340000</v>
      </c>
      <c r="T590">
        <v>17017</v>
      </c>
      <c r="U590" t="s">
        <v>2639</v>
      </c>
      <c r="V590">
        <v>31110</v>
      </c>
      <c r="W590" s="1">
        <v>45459</v>
      </c>
      <c r="X590" s="537" t="s">
        <v>65</v>
      </c>
      <c r="Y590" s="537" t="s">
        <v>60</v>
      </c>
      <c r="Z590" s="1" t="s">
        <v>1070</v>
      </c>
      <c r="AA590" s="537" t="s">
        <v>1071</v>
      </c>
      <c r="AB590" s="537" t="s">
        <v>1288</v>
      </c>
      <c r="AC590" s="1">
        <v>44750</v>
      </c>
      <c r="AD590" s="61">
        <v>44753</v>
      </c>
      <c r="AE590" s="61"/>
      <c r="AF590" s="61"/>
      <c r="AG590" s="1" t="s">
        <v>677</v>
      </c>
      <c r="AH590" s="537" t="s">
        <v>2138</v>
      </c>
      <c r="AI590" s="537" t="s">
        <v>86</v>
      </c>
      <c r="AK590" s="537"/>
      <c r="AL590" s="1" t="s">
        <v>2139</v>
      </c>
      <c r="AM590" s="537" t="s">
        <v>2106</v>
      </c>
      <c r="AN590" s="537" t="s">
        <v>2140</v>
      </c>
    </row>
    <row r="591" spans="1:40" hidden="1">
      <c r="A591" s="537" t="s">
        <v>54</v>
      </c>
      <c r="B591" s="1">
        <v>210422</v>
      </c>
      <c r="D591" s="537" t="s">
        <v>1128</v>
      </c>
      <c r="E591" s="537"/>
      <c r="F591"/>
      <c r="G591"/>
      <c r="H591" s="537" t="s">
        <v>1911</v>
      </c>
      <c r="I591" s="537" t="s">
        <v>1912</v>
      </c>
      <c r="J591" s="537" t="s">
        <v>18</v>
      </c>
      <c r="K591" s="537" t="s">
        <v>57</v>
      </c>
      <c r="L591" s="61">
        <v>32470</v>
      </c>
      <c r="M591" s="1">
        <v>35</v>
      </c>
      <c r="N591" s="1">
        <v>1400</v>
      </c>
      <c r="P591" s="1">
        <v>2000</v>
      </c>
      <c r="Q591" s="537"/>
      <c r="R591" s="1">
        <v>600</v>
      </c>
      <c r="S591">
        <v>260000</v>
      </c>
      <c r="T591">
        <v>13013</v>
      </c>
      <c r="U591" t="s">
        <v>2639</v>
      </c>
      <c r="V591">
        <v>23790</v>
      </c>
      <c r="W591" s="1">
        <v>45431</v>
      </c>
      <c r="X591" s="537" t="s">
        <v>65</v>
      </c>
      <c r="Y591" s="537" t="s">
        <v>60</v>
      </c>
      <c r="Z591" s="1" t="s">
        <v>1227</v>
      </c>
      <c r="AA591" s="537" t="s">
        <v>1725</v>
      </c>
      <c r="AB591" s="537" t="s">
        <v>1971</v>
      </c>
      <c r="AC591" s="1">
        <v>44756</v>
      </c>
      <c r="AD591" s="61">
        <v>44761</v>
      </c>
      <c r="AE591" s="61"/>
      <c r="AF591" s="61"/>
      <c r="AG591" s="1" t="s">
        <v>766</v>
      </c>
      <c r="AH591" s="537" t="s">
        <v>2144</v>
      </c>
      <c r="AI591" s="537" t="s">
        <v>86</v>
      </c>
      <c r="AJ591" s="1">
        <v>318</v>
      </c>
      <c r="AK591" s="537" t="s">
        <v>2145</v>
      </c>
      <c r="AL591" s="1" t="s">
        <v>2146</v>
      </c>
      <c r="AM591" s="537" t="s">
        <v>2147</v>
      </c>
      <c r="AN591" s="537"/>
    </row>
    <row r="592" spans="1:40" hidden="1">
      <c r="A592" s="537" t="s">
        <v>54</v>
      </c>
      <c r="B592" s="1">
        <v>220718</v>
      </c>
      <c r="D592" s="537" t="s">
        <v>1066</v>
      </c>
      <c r="E592" s="537" t="s">
        <v>3058</v>
      </c>
      <c r="F592" t="s">
        <v>3059</v>
      </c>
      <c r="G592" t="s">
        <v>3060</v>
      </c>
      <c r="H592" s="537" t="s">
        <v>2151</v>
      </c>
      <c r="I592" s="537" t="s">
        <v>2152</v>
      </c>
      <c r="J592" s="537" t="s">
        <v>18</v>
      </c>
      <c r="K592" s="537" t="s">
        <v>57</v>
      </c>
      <c r="L592" s="61">
        <v>35707</v>
      </c>
      <c r="M592" s="1">
        <v>26</v>
      </c>
      <c r="N592" s="1">
        <v>1300</v>
      </c>
      <c r="P592" s="1">
        <v>1700</v>
      </c>
      <c r="Q592" s="537"/>
      <c r="R592" s="1">
        <v>400</v>
      </c>
      <c r="S592">
        <v>340000</v>
      </c>
      <c r="T592">
        <v>17017</v>
      </c>
      <c r="U592" t="s">
        <v>2639</v>
      </c>
      <c r="V592">
        <v>31110</v>
      </c>
      <c r="W592" s="1">
        <v>45459</v>
      </c>
      <c r="X592" s="537" t="s">
        <v>65</v>
      </c>
      <c r="Y592" s="537" t="s">
        <v>60</v>
      </c>
      <c r="Z592" s="1" t="s">
        <v>1070</v>
      </c>
      <c r="AA592" s="537" t="s">
        <v>1071</v>
      </c>
      <c r="AB592" s="537" t="s">
        <v>1072</v>
      </c>
      <c r="AC592" s="1">
        <v>44773</v>
      </c>
      <c r="AD592" s="61">
        <v>44767</v>
      </c>
      <c r="AE592" s="61"/>
      <c r="AF592" s="61"/>
      <c r="AG592" s="1" t="s">
        <v>638</v>
      </c>
      <c r="AH592" s="537" t="s">
        <v>2153</v>
      </c>
      <c r="AI592" s="537" t="s">
        <v>86</v>
      </c>
      <c r="AJ592" s="1">
        <v>548</v>
      </c>
      <c r="AK592" s="537" t="s">
        <v>125</v>
      </c>
      <c r="AL592" s="1" t="s">
        <v>2154</v>
      </c>
      <c r="AM592" s="537" t="s">
        <v>2155</v>
      </c>
      <c r="AN592" s="537" t="s">
        <v>2156</v>
      </c>
    </row>
    <row r="593" spans="1:40" hidden="1">
      <c r="A593" s="537" t="s">
        <v>179</v>
      </c>
      <c r="B593" s="1">
        <v>220719</v>
      </c>
      <c r="D593" s="537" t="s">
        <v>962</v>
      </c>
      <c r="E593" s="537" t="s">
        <v>3043</v>
      </c>
      <c r="F593" t="s">
        <v>3044</v>
      </c>
      <c r="G593" t="s">
        <v>3045</v>
      </c>
      <c r="H593" s="537" t="s">
        <v>2157</v>
      </c>
      <c r="I593" s="537" t="s">
        <v>2158</v>
      </c>
      <c r="J593" s="537" t="s">
        <v>18</v>
      </c>
      <c r="K593" s="537" t="s">
        <v>57</v>
      </c>
      <c r="L593" s="61">
        <v>30453</v>
      </c>
      <c r="M593" s="1">
        <v>40</v>
      </c>
      <c r="N593" s="1">
        <v>1300</v>
      </c>
      <c r="P593" s="1">
        <v>1650</v>
      </c>
      <c r="Q593" s="537"/>
      <c r="R593" s="1">
        <v>350</v>
      </c>
      <c r="S593">
        <v>180000</v>
      </c>
      <c r="T593">
        <v>9009</v>
      </c>
      <c r="U593">
        <v>1637.9999999999982</v>
      </c>
      <c r="V593">
        <v>16470</v>
      </c>
      <c r="W593" s="1">
        <v>45254</v>
      </c>
      <c r="X593" s="537" t="s">
        <v>59</v>
      </c>
      <c r="Y593" s="537" t="s">
        <v>60</v>
      </c>
      <c r="Z593" s="1" t="s">
        <v>2694</v>
      </c>
      <c r="AA593" s="537" t="s">
        <v>2695</v>
      </c>
      <c r="AB593" s="537" t="s">
        <v>2696</v>
      </c>
      <c r="AC593" s="1" t="s">
        <v>63</v>
      </c>
      <c r="AD593" s="61">
        <v>44770</v>
      </c>
      <c r="AE593" s="61">
        <v>45042</v>
      </c>
      <c r="AF593" s="61"/>
      <c r="AG593" s="1" t="s">
        <v>638</v>
      </c>
      <c r="AH593" s="537"/>
      <c r="AI593" s="537"/>
      <c r="AK593" s="537"/>
      <c r="AM593" s="537" t="s">
        <v>2159</v>
      </c>
      <c r="AN593" s="537"/>
    </row>
    <row r="594" spans="1:40" hidden="1">
      <c r="A594" s="537" t="s">
        <v>54</v>
      </c>
      <c r="B594" s="1">
        <v>220801</v>
      </c>
      <c r="D594" s="537" t="s">
        <v>1019</v>
      </c>
      <c r="E594" s="537" t="s">
        <v>1317</v>
      </c>
      <c r="F594"/>
      <c r="G594"/>
      <c r="H594" s="537" t="s">
        <v>1176</v>
      </c>
      <c r="I594" s="537" t="s">
        <v>2160</v>
      </c>
      <c r="J594" s="537" t="s">
        <v>18</v>
      </c>
      <c r="K594" s="537" t="s">
        <v>57</v>
      </c>
      <c r="L594" s="61">
        <v>35041</v>
      </c>
      <c r="M594" s="1">
        <v>28</v>
      </c>
      <c r="N594" s="1">
        <v>1600</v>
      </c>
      <c r="P594" s="1">
        <v>2100</v>
      </c>
      <c r="Q594" s="537"/>
      <c r="R594" s="1">
        <v>500</v>
      </c>
      <c r="S594">
        <v>410000</v>
      </c>
      <c r="T594">
        <v>20520.5</v>
      </c>
      <c r="U594" t="s">
        <v>2639</v>
      </c>
      <c r="V594">
        <v>37515</v>
      </c>
      <c r="W594" s="1">
        <v>45556</v>
      </c>
      <c r="X594" s="537" t="s">
        <v>65</v>
      </c>
      <c r="Y594" s="537" t="s">
        <v>60</v>
      </c>
      <c r="Z594" s="1" t="s">
        <v>1024</v>
      </c>
      <c r="AA594" s="537" t="s">
        <v>2697</v>
      </c>
      <c r="AB594" s="537" t="s">
        <v>2698</v>
      </c>
      <c r="AC594" s="1">
        <v>44943</v>
      </c>
      <c r="AD594" s="61">
        <v>44775</v>
      </c>
      <c r="AE594" s="61"/>
      <c r="AF594" s="61"/>
      <c r="AG594" s="1" t="s">
        <v>766</v>
      </c>
      <c r="AH594" s="537" t="s">
        <v>2162</v>
      </c>
      <c r="AI594" s="537" t="s">
        <v>86</v>
      </c>
      <c r="AJ594" s="1">
        <v>558</v>
      </c>
      <c r="AK594" s="537" t="s">
        <v>1592</v>
      </c>
      <c r="AL594" s="1" t="s">
        <v>2163</v>
      </c>
      <c r="AM594" s="537" t="s">
        <v>2164</v>
      </c>
      <c r="AN594" s="537"/>
    </row>
    <row r="595" spans="1:40" hidden="1">
      <c r="A595" s="537" t="s">
        <v>54</v>
      </c>
      <c r="B595" s="1">
        <v>220803</v>
      </c>
      <c r="D595" s="537" t="s">
        <v>2638</v>
      </c>
      <c r="E595" s="537" t="s">
        <v>3038</v>
      </c>
      <c r="F595" t="s">
        <v>3039</v>
      </c>
      <c r="G595" t="s">
        <v>3040</v>
      </c>
      <c r="H595" s="537" t="s">
        <v>2174</v>
      </c>
      <c r="I595" s="537" t="s">
        <v>2175</v>
      </c>
      <c r="J595" s="537" t="s">
        <v>17</v>
      </c>
      <c r="K595" s="537" t="s">
        <v>57</v>
      </c>
      <c r="L595" s="61">
        <v>32402</v>
      </c>
      <c r="M595" s="1">
        <v>35</v>
      </c>
      <c r="N595" s="1">
        <v>1300</v>
      </c>
      <c r="P595" s="1">
        <v>1700</v>
      </c>
      <c r="Q595" s="537"/>
      <c r="R595" s="1">
        <v>400</v>
      </c>
      <c r="S595">
        <v>260000</v>
      </c>
      <c r="T595">
        <v>13013</v>
      </c>
      <c r="U595" t="s">
        <v>2639</v>
      </c>
      <c r="V595">
        <v>23790</v>
      </c>
      <c r="W595" s="1">
        <v>45465</v>
      </c>
      <c r="X595" s="537" t="s">
        <v>65</v>
      </c>
      <c r="Y595" s="537" t="s">
        <v>60</v>
      </c>
      <c r="Z595" s="1" t="s">
        <v>2176</v>
      </c>
      <c r="AA595" s="537" t="s">
        <v>3104</v>
      </c>
      <c r="AB595" s="537" t="s">
        <v>3105</v>
      </c>
      <c r="AC595" s="1" t="s">
        <v>63</v>
      </c>
      <c r="AD595" s="61">
        <v>44795</v>
      </c>
      <c r="AE595" s="61"/>
      <c r="AF595" s="61"/>
      <c r="AG595" s="1" t="s">
        <v>766</v>
      </c>
      <c r="AH595" s="537" t="s">
        <v>2175</v>
      </c>
      <c r="AI595" s="537" t="s">
        <v>86</v>
      </c>
      <c r="AJ595" s="1">
        <v>208</v>
      </c>
      <c r="AK595" s="537" t="s">
        <v>151</v>
      </c>
      <c r="AL595" s="1" t="s">
        <v>2177</v>
      </c>
      <c r="AM595" s="537" t="s">
        <v>2178</v>
      </c>
      <c r="AN595" s="537"/>
    </row>
    <row r="596" spans="1:40" hidden="1">
      <c r="A596" s="537" t="s">
        <v>179</v>
      </c>
      <c r="B596" s="1">
        <v>220804</v>
      </c>
      <c r="D596" s="537" t="s">
        <v>72</v>
      </c>
      <c r="E596" s="537"/>
      <c r="F596"/>
      <c r="G596"/>
      <c r="H596" s="537" t="s">
        <v>2179</v>
      </c>
      <c r="I596" s="537" t="s">
        <v>2180</v>
      </c>
      <c r="J596" s="537" t="s">
        <v>18</v>
      </c>
      <c r="K596" s="537" t="s">
        <v>57</v>
      </c>
      <c r="L596" s="61">
        <v>34471</v>
      </c>
      <c r="M596" s="1">
        <v>29</v>
      </c>
      <c r="N596" s="1">
        <v>1400</v>
      </c>
      <c r="P596" s="1">
        <v>1800</v>
      </c>
      <c r="Q596" s="537"/>
      <c r="R596" s="1">
        <v>400</v>
      </c>
      <c r="S596">
        <v>180000</v>
      </c>
      <c r="T596">
        <v>9009</v>
      </c>
      <c r="U596" t="s">
        <v>2639</v>
      </c>
      <c r="V596">
        <v>16470</v>
      </c>
      <c r="W596" s="1">
        <v>45361</v>
      </c>
      <c r="X596" s="537" t="s">
        <v>65</v>
      </c>
      <c r="Y596" s="537" t="s">
        <v>60</v>
      </c>
      <c r="Z596" s="1" t="s">
        <v>328</v>
      </c>
      <c r="AA596" s="537" t="s">
        <v>329</v>
      </c>
      <c r="AB596" s="537" t="s">
        <v>330</v>
      </c>
      <c r="AC596" s="1">
        <v>44807</v>
      </c>
      <c r="AD596" s="61">
        <v>44795</v>
      </c>
      <c r="AE596" s="61">
        <v>45198</v>
      </c>
      <c r="AF596" s="61"/>
      <c r="AG596" s="1" t="s">
        <v>766</v>
      </c>
      <c r="AH596" s="537" t="s">
        <v>2180</v>
      </c>
      <c r="AI596" s="537" t="s">
        <v>86</v>
      </c>
      <c r="AJ596" s="1">
        <v>208</v>
      </c>
      <c r="AK596" s="537" t="s">
        <v>151</v>
      </c>
      <c r="AL596" s="1" t="s">
        <v>2181</v>
      </c>
      <c r="AM596" s="537" t="s">
        <v>2178</v>
      </c>
      <c r="AN596" s="537"/>
    </row>
    <row r="597" spans="1:40" hidden="1">
      <c r="A597" s="537" t="s">
        <v>54</v>
      </c>
      <c r="B597" s="1">
        <v>220805</v>
      </c>
      <c r="D597" s="537" t="s">
        <v>1128</v>
      </c>
      <c r="E597" s="537"/>
      <c r="F597"/>
      <c r="G597"/>
      <c r="H597" s="537" t="s">
        <v>2182</v>
      </c>
      <c r="I597" s="537" t="s">
        <v>2183</v>
      </c>
      <c r="J597" s="537" t="s">
        <v>18</v>
      </c>
      <c r="K597" s="537" t="s">
        <v>57</v>
      </c>
      <c r="L597" s="61">
        <v>34257</v>
      </c>
      <c r="M597" s="1">
        <v>30</v>
      </c>
      <c r="N597" s="1">
        <v>1400</v>
      </c>
      <c r="P597" s="1">
        <v>2000</v>
      </c>
      <c r="Q597" s="537"/>
      <c r="R597" s="1">
        <v>600</v>
      </c>
      <c r="S597">
        <v>240000</v>
      </c>
      <c r="T597">
        <v>12012</v>
      </c>
      <c r="U597" t="s">
        <v>2639</v>
      </c>
      <c r="V597">
        <v>21960</v>
      </c>
      <c r="W597" s="1">
        <v>46468</v>
      </c>
      <c r="X597" s="537" t="s">
        <v>65</v>
      </c>
      <c r="Y597" s="537" t="s">
        <v>60</v>
      </c>
      <c r="Z597" s="1" t="s">
        <v>1133</v>
      </c>
      <c r="AA597" s="537" t="s">
        <v>1134</v>
      </c>
      <c r="AB597" s="537" t="s">
        <v>3106</v>
      </c>
      <c r="AC597" s="1">
        <v>44795</v>
      </c>
      <c r="AD597" s="61">
        <v>44798</v>
      </c>
      <c r="AE597" s="61"/>
      <c r="AF597" s="61"/>
      <c r="AG597" s="1" t="s">
        <v>766</v>
      </c>
      <c r="AH597" s="537" t="s">
        <v>2184</v>
      </c>
      <c r="AI597" s="537" t="s">
        <v>1737</v>
      </c>
      <c r="AK597" s="537" t="s">
        <v>2185</v>
      </c>
      <c r="AM597" s="537" t="s">
        <v>2178</v>
      </c>
      <c r="AN597" s="537"/>
    </row>
    <row r="598" spans="1:40" hidden="1">
      <c r="A598" s="537" t="s">
        <v>179</v>
      </c>
      <c r="B598" s="1">
        <v>220811</v>
      </c>
      <c r="D598" s="537" t="s">
        <v>2700</v>
      </c>
      <c r="E598" s="537"/>
      <c r="F598"/>
      <c r="G598"/>
      <c r="H598" s="537" t="s">
        <v>1827</v>
      </c>
      <c r="I598" s="537" t="s">
        <v>1828</v>
      </c>
      <c r="J598" s="537" t="s">
        <v>18</v>
      </c>
      <c r="K598" s="537" t="s">
        <v>57</v>
      </c>
      <c r="L598" s="61">
        <v>34059</v>
      </c>
      <c r="M598" s="1">
        <v>30</v>
      </c>
      <c r="N598" s="1">
        <v>1300</v>
      </c>
      <c r="P598" s="1">
        <v>1700</v>
      </c>
      <c r="Q598" s="537"/>
      <c r="R598" s="1">
        <v>400</v>
      </c>
      <c r="S598">
        <v>180000</v>
      </c>
      <c r="T598">
        <v>9009</v>
      </c>
      <c r="U598" t="s">
        <v>2639</v>
      </c>
      <c r="V598">
        <v>16470</v>
      </c>
      <c r="W598" s="1">
        <v>45377</v>
      </c>
      <c r="X598" s="537" t="s">
        <v>65</v>
      </c>
      <c r="Y598" s="537" t="s">
        <v>60</v>
      </c>
      <c r="Z598" s="1" t="s">
        <v>2187</v>
      </c>
      <c r="AA598" s="537" t="s">
        <v>2209</v>
      </c>
      <c r="AB598" s="537" t="s">
        <v>2214</v>
      </c>
      <c r="AC598" s="1">
        <v>44797</v>
      </c>
      <c r="AD598" s="61">
        <v>44798</v>
      </c>
      <c r="AE598" s="61">
        <v>45063</v>
      </c>
      <c r="AF598" s="61"/>
      <c r="AG598" s="1" t="s">
        <v>766</v>
      </c>
      <c r="AH598" s="537" t="s">
        <v>2196</v>
      </c>
      <c r="AI598" s="537" t="s">
        <v>86</v>
      </c>
      <c r="AJ598" s="1">
        <v>208</v>
      </c>
      <c r="AK598" s="537" t="s">
        <v>151</v>
      </c>
      <c r="AL598" s="1" t="s">
        <v>2197</v>
      </c>
      <c r="AM598" s="537" t="s">
        <v>2178</v>
      </c>
      <c r="AN598" s="537"/>
    </row>
    <row r="599" spans="1:40" hidden="1">
      <c r="A599" s="537" t="s">
        <v>179</v>
      </c>
      <c r="B599" s="1">
        <v>220902</v>
      </c>
      <c r="D599" s="537" t="s">
        <v>1670</v>
      </c>
      <c r="E599" s="537"/>
      <c r="F599"/>
      <c r="G599"/>
      <c r="H599" s="537" t="s">
        <v>2220</v>
      </c>
      <c r="I599" s="537" t="s">
        <v>2221</v>
      </c>
      <c r="J599" s="537" t="s">
        <v>18</v>
      </c>
      <c r="K599" s="537" t="s">
        <v>57</v>
      </c>
      <c r="L599" s="61">
        <v>34053</v>
      </c>
      <c r="M599" s="1">
        <v>30</v>
      </c>
      <c r="N599" s="1">
        <v>1400</v>
      </c>
      <c r="P599" s="1">
        <v>1800</v>
      </c>
      <c r="Q599" s="537"/>
      <c r="R599" s="1">
        <v>400</v>
      </c>
      <c r="S599">
        <v>280000</v>
      </c>
      <c r="T599">
        <v>14014</v>
      </c>
      <c r="U599" t="s">
        <v>2639</v>
      </c>
      <c r="V599">
        <v>25620</v>
      </c>
      <c r="W599" s="1">
        <v>46421</v>
      </c>
      <c r="X599" s="537" t="s">
        <v>65</v>
      </c>
      <c r="Y599" s="537" t="s">
        <v>60</v>
      </c>
      <c r="Z599" s="1" t="s">
        <v>1732</v>
      </c>
      <c r="AA599" s="537" t="s">
        <v>1733</v>
      </c>
      <c r="AB599" s="537" t="s">
        <v>2438</v>
      </c>
      <c r="AC599" s="1" t="s">
        <v>63</v>
      </c>
      <c r="AD599" s="61">
        <v>44809</v>
      </c>
      <c r="AE599" s="61">
        <v>45229</v>
      </c>
      <c r="AF599" s="61"/>
      <c r="AG599" s="1" t="s">
        <v>2222</v>
      </c>
      <c r="AH599" s="537" t="s">
        <v>2184</v>
      </c>
      <c r="AI599" s="537" t="s">
        <v>1737</v>
      </c>
      <c r="AJ599" s="1">
        <v>356</v>
      </c>
      <c r="AK599" s="537" t="s">
        <v>2185</v>
      </c>
      <c r="AL599" s="1" t="s">
        <v>2223</v>
      </c>
      <c r="AM599" s="537" t="s">
        <v>2224</v>
      </c>
      <c r="AN599" s="537"/>
    </row>
    <row r="600" spans="1:40" hidden="1">
      <c r="A600" s="537" t="s">
        <v>54</v>
      </c>
      <c r="B600" s="1">
        <v>220903</v>
      </c>
      <c r="D600" s="537" t="s">
        <v>1066</v>
      </c>
      <c r="E600" s="537" t="s">
        <v>3058</v>
      </c>
      <c r="F600" t="s">
        <v>3059</v>
      </c>
      <c r="G600" t="s">
        <v>3060</v>
      </c>
      <c r="H600" s="537" t="s">
        <v>2225</v>
      </c>
      <c r="I600" s="537" t="s">
        <v>2226</v>
      </c>
      <c r="J600" s="537" t="s">
        <v>18</v>
      </c>
      <c r="K600" s="537" t="s">
        <v>57</v>
      </c>
      <c r="L600" s="61">
        <v>35833</v>
      </c>
      <c r="M600" s="1">
        <v>25</v>
      </c>
      <c r="N600" s="1">
        <v>1300</v>
      </c>
      <c r="P600" s="1">
        <v>1700</v>
      </c>
      <c r="Q600" s="537"/>
      <c r="R600" s="1">
        <v>400</v>
      </c>
      <c r="S600">
        <v>320000</v>
      </c>
      <c r="T600">
        <v>16015.999999999998</v>
      </c>
      <c r="U600" t="s">
        <v>2639</v>
      </c>
      <c r="V600">
        <v>29280</v>
      </c>
      <c r="W600" s="1">
        <v>45549</v>
      </c>
      <c r="X600" s="537" t="s">
        <v>65</v>
      </c>
      <c r="Y600" s="537" t="s">
        <v>60</v>
      </c>
      <c r="Z600" s="1" t="s">
        <v>1070</v>
      </c>
      <c r="AA600" s="537" t="s">
        <v>1071</v>
      </c>
      <c r="AB600" s="537" t="s">
        <v>1281</v>
      </c>
      <c r="AC600" s="1">
        <v>44805</v>
      </c>
      <c r="AD600" s="61">
        <v>44810</v>
      </c>
      <c r="AE600" s="61"/>
      <c r="AF600" s="61"/>
      <c r="AG600" s="1" t="s">
        <v>766</v>
      </c>
      <c r="AH600" s="537" t="s">
        <v>2226</v>
      </c>
      <c r="AI600" s="537" t="s">
        <v>86</v>
      </c>
      <c r="AJ600" s="1">
        <v>248</v>
      </c>
      <c r="AK600" s="537" t="s">
        <v>224</v>
      </c>
      <c r="AL600" s="1" t="s">
        <v>2227</v>
      </c>
      <c r="AM600" s="537" t="s">
        <v>2219</v>
      </c>
      <c r="AN600" s="537"/>
    </row>
    <row r="601" spans="1:40" hidden="1">
      <c r="A601" s="537" t="s">
        <v>54</v>
      </c>
      <c r="B601" s="1">
        <v>220908</v>
      </c>
      <c r="D601" s="537" t="s">
        <v>1019</v>
      </c>
      <c r="E601" s="537"/>
      <c r="F601"/>
      <c r="G601"/>
      <c r="H601" s="537" t="s">
        <v>2234</v>
      </c>
      <c r="I601" s="537" t="s">
        <v>2235</v>
      </c>
      <c r="J601" s="537" t="s">
        <v>18</v>
      </c>
      <c r="K601" s="537" t="s">
        <v>57</v>
      </c>
      <c r="L601" s="61">
        <v>36139</v>
      </c>
      <c r="M601" s="1">
        <v>25</v>
      </c>
      <c r="N601" s="1">
        <v>1400</v>
      </c>
      <c r="P601" s="1">
        <v>2000</v>
      </c>
      <c r="Q601" s="537"/>
      <c r="R601" s="1">
        <v>600</v>
      </c>
      <c r="S601">
        <v>300000</v>
      </c>
      <c r="T601">
        <v>15014.999999999998</v>
      </c>
      <c r="U601" t="s">
        <v>2639</v>
      </c>
      <c r="V601">
        <v>27450</v>
      </c>
      <c r="W601" s="1">
        <v>45549</v>
      </c>
      <c r="X601" s="537" t="s">
        <v>65</v>
      </c>
      <c r="Y601" s="537" t="s">
        <v>60</v>
      </c>
      <c r="Z601" s="1" t="s">
        <v>1321</v>
      </c>
      <c r="AA601" s="537" t="s">
        <v>1322</v>
      </c>
      <c r="AB601" s="537" t="s">
        <v>2236</v>
      </c>
      <c r="AC601" s="1">
        <v>44816</v>
      </c>
      <c r="AD601" s="61">
        <v>44818</v>
      </c>
      <c r="AE601" s="61"/>
      <c r="AF601" s="61"/>
      <c r="AG601" s="1" t="s">
        <v>766</v>
      </c>
      <c r="AH601" s="537" t="s">
        <v>2235</v>
      </c>
      <c r="AI601" s="537" t="s">
        <v>86</v>
      </c>
      <c r="AJ601" s="1">
        <v>558</v>
      </c>
      <c r="AK601" s="537" t="s">
        <v>1592</v>
      </c>
      <c r="AL601" s="1" t="s">
        <v>2237</v>
      </c>
      <c r="AM601" s="537"/>
      <c r="AN601" s="537"/>
    </row>
    <row r="602" spans="1:40" hidden="1">
      <c r="A602" s="537" t="s">
        <v>54</v>
      </c>
      <c r="B602" s="1">
        <v>220911</v>
      </c>
      <c r="D602" s="537" t="s">
        <v>1019</v>
      </c>
      <c r="E602" s="537"/>
      <c r="F602"/>
      <c r="G602"/>
      <c r="H602" s="537" t="s">
        <v>2239</v>
      </c>
      <c r="I602" s="537" t="s">
        <v>2240</v>
      </c>
      <c r="J602" s="537" t="s">
        <v>18</v>
      </c>
      <c r="K602" s="537" t="s">
        <v>57</v>
      </c>
      <c r="L602" s="61">
        <v>35884</v>
      </c>
      <c r="M602" s="1">
        <v>25</v>
      </c>
      <c r="N602" s="1">
        <v>1400</v>
      </c>
      <c r="P602" s="1">
        <v>2000</v>
      </c>
      <c r="Q602" s="537"/>
      <c r="R602" s="1">
        <v>600</v>
      </c>
      <c r="S602">
        <v>320000</v>
      </c>
      <c r="T602">
        <v>16015.999999999998</v>
      </c>
      <c r="U602" t="s">
        <v>2639</v>
      </c>
      <c r="V602">
        <v>29280</v>
      </c>
      <c r="W602" s="1">
        <v>45549</v>
      </c>
      <c r="X602" s="537" t="s">
        <v>65</v>
      </c>
      <c r="Y602" s="537" t="s">
        <v>60</v>
      </c>
      <c r="Z602" s="1" t="s">
        <v>1321</v>
      </c>
      <c r="AA602" s="537" t="s">
        <v>1322</v>
      </c>
      <c r="AB602" s="537" t="s">
        <v>2236</v>
      </c>
      <c r="AC602" s="1">
        <v>44816</v>
      </c>
      <c r="AD602" s="61">
        <v>44818</v>
      </c>
      <c r="AE602" s="61"/>
      <c r="AF602" s="61"/>
      <c r="AG602" s="1" t="s">
        <v>766</v>
      </c>
      <c r="AH602" s="537" t="s">
        <v>2240</v>
      </c>
      <c r="AI602" s="537" t="s">
        <v>86</v>
      </c>
      <c r="AJ602" s="1">
        <v>558</v>
      </c>
      <c r="AK602" s="537" t="s">
        <v>1592</v>
      </c>
      <c r="AL602" s="1" t="s">
        <v>2241</v>
      </c>
      <c r="AM602" s="537" t="s">
        <v>2238</v>
      </c>
      <c r="AN602" s="537"/>
    </row>
    <row r="603" spans="1:40" hidden="1">
      <c r="A603" s="537" t="s">
        <v>179</v>
      </c>
      <c r="B603" s="1">
        <v>220913</v>
      </c>
      <c r="D603" s="537" t="s">
        <v>962</v>
      </c>
      <c r="E603" s="537" t="s">
        <v>3043</v>
      </c>
      <c r="F603" t="s">
        <v>3044</v>
      </c>
      <c r="G603" t="s">
        <v>3045</v>
      </c>
      <c r="H603" s="537" t="s">
        <v>2245</v>
      </c>
      <c r="I603" s="537" t="s">
        <v>2246</v>
      </c>
      <c r="J603" s="537" t="s">
        <v>18</v>
      </c>
      <c r="K603" s="537" t="s">
        <v>277</v>
      </c>
      <c r="L603" s="61">
        <v>23650</v>
      </c>
      <c r="M603" s="1">
        <v>59</v>
      </c>
      <c r="N603" s="1">
        <v>1250</v>
      </c>
      <c r="P603" s="1">
        <v>1650</v>
      </c>
      <c r="Q603" s="537"/>
      <c r="R603" s="1">
        <v>400</v>
      </c>
      <c r="S603"/>
      <c r="T603" t="s">
        <v>65</v>
      </c>
      <c r="U603" t="s">
        <v>65</v>
      </c>
      <c r="V603" t="s">
        <v>65</v>
      </c>
      <c r="X603" s="537" t="s">
        <v>65</v>
      </c>
      <c r="Y603" s="537"/>
      <c r="Z603" s="1" t="s">
        <v>2247</v>
      </c>
      <c r="AA603" s="537" t="s">
        <v>2248</v>
      </c>
      <c r="AB603" s="537" t="s">
        <v>2249</v>
      </c>
      <c r="AC603" s="1" t="s">
        <v>63</v>
      </c>
      <c r="AD603" s="61">
        <v>44823</v>
      </c>
      <c r="AE603" s="61">
        <v>44904</v>
      </c>
      <c r="AF603" s="61"/>
      <c r="AG603" s="1" t="s">
        <v>766</v>
      </c>
      <c r="AH603" s="537"/>
      <c r="AI603" s="537"/>
      <c r="AK603" s="537"/>
      <c r="AM603" s="537" t="s">
        <v>2238</v>
      </c>
      <c r="AN603" s="537"/>
    </row>
    <row r="604" spans="1:40" hidden="1">
      <c r="A604" s="537" t="s">
        <v>54</v>
      </c>
      <c r="B604" s="1">
        <v>220916</v>
      </c>
      <c r="D604" s="537" t="s">
        <v>1019</v>
      </c>
      <c r="E604" s="537" t="s">
        <v>1317</v>
      </c>
      <c r="F604"/>
      <c r="G604"/>
      <c r="H604" s="537" t="s">
        <v>2257</v>
      </c>
      <c r="I604" s="537" t="s">
        <v>2258</v>
      </c>
      <c r="J604" s="537" t="s">
        <v>18</v>
      </c>
      <c r="K604" s="537" t="s">
        <v>57</v>
      </c>
      <c r="L604" s="61">
        <v>34617</v>
      </c>
      <c r="M604" s="1">
        <v>29</v>
      </c>
      <c r="N604" s="1">
        <v>1500</v>
      </c>
      <c r="P604" s="1">
        <v>2100</v>
      </c>
      <c r="Q604" s="537"/>
      <c r="R604" s="1">
        <v>600</v>
      </c>
      <c r="S604">
        <v>380000</v>
      </c>
      <c r="T604">
        <v>19019</v>
      </c>
      <c r="U604" t="s">
        <v>2639</v>
      </c>
      <c r="V604">
        <v>34770</v>
      </c>
      <c r="W604" s="1">
        <v>45549</v>
      </c>
      <c r="X604" s="537" t="s">
        <v>65</v>
      </c>
      <c r="Y604" s="537" t="s">
        <v>60</v>
      </c>
      <c r="Z604" s="1" t="s">
        <v>1321</v>
      </c>
      <c r="AA604" s="537" t="s">
        <v>1322</v>
      </c>
      <c r="AB604" s="537" t="s">
        <v>1459</v>
      </c>
      <c r="AC604" s="1">
        <v>44816</v>
      </c>
      <c r="AD604" s="61">
        <v>44825</v>
      </c>
      <c r="AE604" s="61"/>
      <c r="AF604" s="61"/>
      <c r="AG604" s="1" t="s">
        <v>766</v>
      </c>
      <c r="AH604" s="537"/>
      <c r="AI604" s="537"/>
      <c r="AK604" s="537"/>
      <c r="AM604" s="537" t="s">
        <v>2259</v>
      </c>
      <c r="AN604" s="537" t="s">
        <v>2704</v>
      </c>
    </row>
    <row r="605" spans="1:40" hidden="1">
      <c r="A605" s="537" t="s">
        <v>54</v>
      </c>
      <c r="B605" s="1">
        <v>220917</v>
      </c>
      <c r="D605" s="537" t="s">
        <v>1019</v>
      </c>
      <c r="E605" s="537"/>
      <c r="F605"/>
      <c r="G605"/>
      <c r="H605" s="537" t="s">
        <v>2260</v>
      </c>
      <c r="I605" s="537" t="s">
        <v>2261</v>
      </c>
      <c r="J605" s="537" t="s">
        <v>18</v>
      </c>
      <c r="K605" s="537" t="s">
        <v>57</v>
      </c>
      <c r="L605" s="61">
        <v>33963</v>
      </c>
      <c r="M605" s="1">
        <v>30</v>
      </c>
      <c r="N605" s="1">
        <v>1400</v>
      </c>
      <c r="P605" s="1">
        <v>2000</v>
      </c>
      <c r="Q605" s="537"/>
      <c r="R605" s="1">
        <v>600</v>
      </c>
      <c r="S605">
        <v>340000</v>
      </c>
      <c r="T605">
        <v>17017</v>
      </c>
      <c r="U605" t="s">
        <v>2639</v>
      </c>
      <c r="V605">
        <v>31110</v>
      </c>
      <c r="W605" s="1">
        <v>45549</v>
      </c>
      <c r="X605" s="537" t="s">
        <v>65</v>
      </c>
      <c r="Y605" s="537" t="s">
        <v>60</v>
      </c>
      <c r="Z605" s="1" t="s">
        <v>1321</v>
      </c>
      <c r="AA605" s="537" t="s">
        <v>1322</v>
      </c>
      <c r="AB605" s="537" t="s">
        <v>1364</v>
      </c>
      <c r="AC605" s="1">
        <v>44816</v>
      </c>
      <c r="AD605" s="61">
        <v>44825</v>
      </c>
      <c r="AE605" s="61"/>
      <c r="AF605" s="61"/>
      <c r="AG605" s="1" t="s">
        <v>766</v>
      </c>
      <c r="AH605" s="537"/>
      <c r="AI605" s="537"/>
      <c r="AK605" s="537"/>
      <c r="AM605" s="537" t="s">
        <v>2259</v>
      </c>
      <c r="AN605" s="537"/>
    </row>
    <row r="606" spans="1:40" hidden="1">
      <c r="A606" s="537" t="s">
        <v>54</v>
      </c>
      <c r="B606" s="1">
        <v>220921</v>
      </c>
      <c r="D606" s="537" t="s">
        <v>2638</v>
      </c>
      <c r="E606" s="537" t="s">
        <v>3038</v>
      </c>
      <c r="F606" t="s">
        <v>3039</v>
      </c>
      <c r="G606" t="s">
        <v>3040</v>
      </c>
      <c r="H606" s="537" t="s">
        <v>2269</v>
      </c>
      <c r="I606" s="537" t="s">
        <v>2270</v>
      </c>
      <c r="J606" s="537" t="s">
        <v>18</v>
      </c>
      <c r="K606" s="537" t="s">
        <v>57</v>
      </c>
      <c r="L606" s="61">
        <v>35737</v>
      </c>
      <c r="M606" s="1">
        <v>26</v>
      </c>
      <c r="N606" s="1">
        <v>1300</v>
      </c>
      <c r="P606" s="1">
        <v>1800</v>
      </c>
      <c r="Q606" s="537"/>
      <c r="R606" s="1">
        <v>500</v>
      </c>
      <c r="S606">
        <v>320000</v>
      </c>
      <c r="T606">
        <v>16015.999999999998</v>
      </c>
      <c r="U606" t="s">
        <v>2639</v>
      </c>
      <c r="V606">
        <v>29280</v>
      </c>
      <c r="W606" s="1">
        <v>46281</v>
      </c>
      <c r="X606" s="537" t="s">
        <v>65</v>
      </c>
      <c r="Y606" s="537" t="s">
        <v>60</v>
      </c>
      <c r="Z606" s="1" t="s">
        <v>61</v>
      </c>
      <c r="AA606" s="537" t="s">
        <v>2641</v>
      </c>
      <c r="AB606" s="537" t="s">
        <v>244</v>
      </c>
      <c r="AC606" s="1">
        <v>44827</v>
      </c>
      <c r="AD606" s="61">
        <v>44830</v>
      </c>
      <c r="AE606" s="61"/>
      <c r="AF606" s="61"/>
      <c r="AG606" s="1" t="s">
        <v>766</v>
      </c>
      <c r="AH606" s="537" t="s">
        <v>2276</v>
      </c>
      <c r="AI606" s="537"/>
      <c r="AK606" s="537"/>
      <c r="AM606" s="537" t="s">
        <v>2448</v>
      </c>
      <c r="AN606" s="537" t="s">
        <v>2705</v>
      </c>
    </row>
    <row r="607" spans="1:40" hidden="1">
      <c r="A607" s="537" t="s">
        <v>54</v>
      </c>
      <c r="B607" s="1">
        <v>210306</v>
      </c>
      <c r="D607" s="537" t="s">
        <v>1128</v>
      </c>
      <c r="E607" s="537"/>
      <c r="F607"/>
      <c r="G607"/>
      <c r="H607" s="537" t="s">
        <v>197</v>
      </c>
      <c r="I607" s="537" t="s">
        <v>198</v>
      </c>
      <c r="J607" s="537" t="s">
        <v>18</v>
      </c>
      <c r="K607" s="537" t="s">
        <v>57</v>
      </c>
      <c r="L607" s="61">
        <v>33294</v>
      </c>
      <c r="M607" s="1">
        <v>32</v>
      </c>
      <c r="N607" s="1">
        <v>1400</v>
      </c>
      <c r="P607" s="1">
        <v>2000</v>
      </c>
      <c r="Q607" s="537"/>
      <c r="R607" s="1">
        <v>600</v>
      </c>
      <c r="S607">
        <v>240000</v>
      </c>
      <c r="T607">
        <v>12012</v>
      </c>
      <c r="U607" t="s">
        <v>2639</v>
      </c>
      <c r="V607">
        <v>21960</v>
      </c>
      <c r="W607" s="1">
        <v>45850</v>
      </c>
      <c r="X607" s="537" t="s">
        <v>65</v>
      </c>
      <c r="Y607" s="537" t="s">
        <v>60</v>
      </c>
      <c r="Z607" s="1" t="s">
        <v>1214</v>
      </c>
      <c r="AA607" s="537" t="s">
        <v>1228</v>
      </c>
      <c r="AB607" s="537" t="s">
        <v>2706</v>
      </c>
      <c r="AC607" s="1" t="s">
        <v>63</v>
      </c>
      <c r="AD607" s="61">
        <v>44831</v>
      </c>
      <c r="AE607" s="61"/>
      <c r="AF607" s="61"/>
      <c r="AG607" s="1" t="s">
        <v>766</v>
      </c>
      <c r="AH607" s="537"/>
      <c r="AI607" s="537"/>
      <c r="AK607" s="537"/>
      <c r="AM607" s="537" t="s">
        <v>2448</v>
      </c>
      <c r="AN607" s="537"/>
    </row>
    <row r="608" spans="1:40" hidden="1">
      <c r="A608" s="537" t="s">
        <v>179</v>
      </c>
      <c r="B608" s="1">
        <v>220923</v>
      </c>
      <c r="D608" s="537" t="s">
        <v>118</v>
      </c>
      <c r="E608" s="537"/>
      <c r="F608"/>
      <c r="G608"/>
      <c r="H608" s="537" t="s">
        <v>2275</v>
      </c>
      <c r="I608" s="537" t="s">
        <v>2276</v>
      </c>
      <c r="J608" s="537" t="s">
        <v>18</v>
      </c>
      <c r="K608" s="537" t="s">
        <v>57</v>
      </c>
      <c r="L608" s="61">
        <v>36686</v>
      </c>
      <c r="M608" s="1">
        <v>23</v>
      </c>
      <c r="N608" s="1">
        <v>1200</v>
      </c>
      <c r="P608" s="1">
        <v>1650</v>
      </c>
      <c r="Q608" s="537"/>
      <c r="R608" s="1">
        <v>450</v>
      </c>
      <c r="S608"/>
      <c r="T608" t="s">
        <v>65</v>
      </c>
      <c r="U608" t="s">
        <v>2639</v>
      </c>
      <c r="V608" t="s">
        <v>65</v>
      </c>
      <c r="W608" s="1">
        <v>45192</v>
      </c>
      <c r="X608" s="537" t="s">
        <v>59</v>
      </c>
      <c r="Y608" s="537" t="s">
        <v>60</v>
      </c>
      <c r="Z608" s="1" t="s">
        <v>608</v>
      </c>
      <c r="AA608" s="537" t="s">
        <v>609</v>
      </c>
      <c r="AB608" s="537" t="s">
        <v>610</v>
      </c>
      <c r="AD608" s="61">
        <v>44834</v>
      </c>
      <c r="AE608" s="61">
        <v>44839</v>
      </c>
      <c r="AF608" s="61"/>
      <c r="AG608" s="1" t="s">
        <v>766</v>
      </c>
      <c r="AH608" s="537" t="s">
        <v>2276</v>
      </c>
      <c r="AI608" s="537" t="s">
        <v>86</v>
      </c>
      <c r="AK608" s="537"/>
      <c r="AL608" s="1" t="s">
        <v>2452</v>
      </c>
      <c r="AM608" s="537" t="s">
        <v>2448</v>
      </c>
      <c r="AN608" s="537"/>
    </row>
    <row r="609" spans="1:40" hidden="1">
      <c r="A609" s="537" t="s">
        <v>54</v>
      </c>
      <c r="B609" s="1">
        <v>221004</v>
      </c>
      <c r="D609" s="537" t="s">
        <v>2165</v>
      </c>
      <c r="E609" s="537" t="s">
        <v>2699</v>
      </c>
      <c r="F609" t="s">
        <v>2376</v>
      </c>
      <c r="G609" t="s">
        <v>3103</v>
      </c>
      <c r="H609" s="537" t="s">
        <v>2273</v>
      </c>
      <c r="I609" s="537" t="s">
        <v>2274</v>
      </c>
      <c r="J609" s="537" t="s">
        <v>18</v>
      </c>
      <c r="K609" s="537" t="s">
        <v>57</v>
      </c>
      <c r="L609" s="61">
        <v>35966</v>
      </c>
      <c r="M609" s="1">
        <v>25</v>
      </c>
      <c r="N609" s="1">
        <v>1300</v>
      </c>
      <c r="P609" s="1">
        <v>1800</v>
      </c>
      <c r="Q609" s="537"/>
      <c r="R609" s="1">
        <v>500</v>
      </c>
      <c r="S609">
        <v>260000</v>
      </c>
      <c r="T609">
        <v>13013</v>
      </c>
      <c r="U609" t="s">
        <v>2639</v>
      </c>
      <c r="V609">
        <v>23790</v>
      </c>
      <c r="W609" s="1">
        <v>45429</v>
      </c>
      <c r="X609" s="537" t="s">
        <v>65</v>
      </c>
      <c r="Y609" s="537" t="s">
        <v>60</v>
      </c>
      <c r="Z609" s="1" t="s">
        <v>2168</v>
      </c>
      <c r="AA609" s="537" t="s">
        <v>2169</v>
      </c>
      <c r="AB609" s="537" t="s">
        <v>2170</v>
      </c>
      <c r="AD609" s="61">
        <v>44837</v>
      </c>
      <c r="AE609" s="61"/>
      <c r="AF609" s="61"/>
      <c r="AH609" s="537"/>
      <c r="AI609" s="537"/>
      <c r="AK609" s="537"/>
      <c r="AM609" s="537"/>
      <c r="AN609" s="537"/>
    </row>
    <row r="610" spans="1:40" hidden="1">
      <c r="A610" s="537" t="s">
        <v>179</v>
      </c>
      <c r="B610" s="1">
        <v>221003</v>
      </c>
      <c r="D610" s="537" t="s">
        <v>1492</v>
      </c>
      <c r="E610" s="537"/>
      <c r="F610"/>
      <c r="G610"/>
      <c r="H610" s="537" t="s">
        <v>2460</v>
      </c>
      <c r="I610" s="537" t="s">
        <v>2461</v>
      </c>
      <c r="J610" s="537" t="s">
        <v>18</v>
      </c>
      <c r="K610" s="537" t="s">
        <v>57</v>
      </c>
      <c r="L610" s="61">
        <v>33676</v>
      </c>
      <c r="M610" s="1">
        <v>31</v>
      </c>
      <c r="N610" s="1">
        <v>1400</v>
      </c>
      <c r="P610" s="1">
        <v>1900</v>
      </c>
      <c r="Q610" s="537"/>
      <c r="R610" s="1">
        <v>500</v>
      </c>
      <c r="S610"/>
      <c r="T610" t="s">
        <v>65</v>
      </c>
      <c r="U610" t="s">
        <v>2639</v>
      </c>
      <c r="V610" t="s">
        <v>65</v>
      </c>
      <c r="W610" s="1">
        <v>45965</v>
      </c>
      <c r="X610" s="537" t="s">
        <v>65</v>
      </c>
      <c r="Y610" s="537" t="s">
        <v>60</v>
      </c>
      <c r="Z610" s="1" t="s">
        <v>2071</v>
      </c>
      <c r="AA610" s="537" t="s">
        <v>2072</v>
      </c>
      <c r="AB610" s="537" t="s">
        <v>2513</v>
      </c>
      <c r="AC610" s="1" t="s">
        <v>63</v>
      </c>
      <c r="AD610" s="61">
        <v>44837</v>
      </c>
      <c r="AE610" s="61">
        <v>44924</v>
      </c>
      <c r="AF610" s="61"/>
      <c r="AG610" s="1" t="s">
        <v>2462</v>
      </c>
      <c r="AH610" s="537"/>
      <c r="AI610" s="537"/>
      <c r="AK610" s="537"/>
      <c r="AM610" s="537" t="s">
        <v>2463</v>
      </c>
      <c r="AN610" s="537"/>
    </row>
    <row r="611" spans="1:40" hidden="1">
      <c r="A611" s="537" t="s">
        <v>54</v>
      </c>
      <c r="B611" s="1">
        <v>221005</v>
      </c>
      <c r="D611" s="537" t="s">
        <v>1066</v>
      </c>
      <c r="E611" s="537" t="s">
        <v>3058</v>
      </c>
      <c r="F611" t="s">
        <v>3059</v>
      </c>
      <c r="G611" t="s">
        <v>3060</v>
      </c>
      <c r="H611" s="537" t="s">
        <v>2464</v>
      </c>
      <c r="I611" s="537" t="s">
        <v>2465</v>
      </c>
      <c r="J611" s="537" t="s">
        <v>18</v>
      </c>
      <c r="K611" s="537" t="s">
        <v>57</v>
      </c>
      <c r="L611" s="61">
        <v>33118</v>
      </c>
      <c r="M611" s="1">
        <v>33</v>
      </c>
      <c r="N611" s="1">
        <v>1300</v>
      </c>
      <c r="P611" s="1">
        <v>1700</v>
      </c>
      <c r="Q611" s="537"/>
      <c r="R611" s="1">
        <v>400</v>
      </c>
      <c r="S611">
        <v>300000</v>
      </c>
      <c r="T611">
        <v>15014.999999999998</v>
      </c>
      <c r="U611" t="s">
        <v>2639</v>
      </c>
      <c r="V611">
        <v>27450</v>
      </c>
      <c r="W611" s="1">
        <v>45309</v>
      </c>
      <c r="X611" s="537" t="s">
        <v>59</v>
      </c>
      <c r="Y611" s="537" t="s">
        <v>60</v>
      </c>
      <c r="Z611" s="1" t="s">
        <v>1070</v>
      </c>
      <c r="AA611" s="537" t="s">
        <v>1071</v>
      </c>
      <c r="AB611" s="537" t="s">
        <v>1262</v>
      </c>
      <c r="AD611" s="61">
        <v>44839</v>
      </c>
      <c r="AE611" s="61"/>
      <c r="AF611" s="61"/>
      <c r="AG611" s="1" t="s">
        <v>2456</v>
      </c>
      <c r="AH611" s="537"/>
      <c r="AI611" s="537"/>
      <c r="AK611" s="537"/>
      <c r="AM611" s="537" t="s">
        <v>2457</v>
      </c>
      <c r="AN611" s="537"/>
    </row>
    <row r="612" spans="1:40" hidden="1">
      <c r="A612" s="537" t="s">
        <v>179</v>
      </c>
      <c r="B612" s="1">
        <v>221006</v>
      </c>
      <c r="D612" s="537" t="s">
        <v>385</v>
      </c>
      <c r="E612" s="537"/>
      <c r="F612"/>
      <c r="G612"/>
      <c r="H612" s="537" t="s">
        <v>2466</v>
      </c>
      <c r="I612" s="537" t="s">
        <v>2467</v>
      </c>
      <c r="J612" s="537" t="s">
        <v>18</v>
      </c>
      <c r="K612" s="537" t="s">
        <v>57</v>
      </c>
      <c r="L612" s="61">
        <v>32662</v>
      </c>
      <c r="M612" s="1">
        <v>34</v>
      </c>
      <c r="N612" s="1">
        <v>1400</v>
      </c>
      <c r="P612" s="1">
        <v>2000</v>
      </c>
      <c r="Q612" s="537"/>
      <c r="R612" s="1">
        <v>600</v>
      </c>
      <c r="S612"/>
      <c r="T612" t="s">
        <v>65</v>
      </c>
      <c r="U612" t="s">
        <v>2639</v>
      </c>
      <c r="V612" t="s">
        <v>65</v>
      </c>
      <c r="W612" s="1">
        <v>45306</v>
      </c>
      <c r="X612" s="537" t="s">
        <v>59</v>
      </c>
      <c r="Y612" s="537" t="s">
        <v>60</v>
      </c>
      <c r="Z612" s="1" t="s">
        <v>494</v>
      </c>
      <c r="AA612" s="537" t="s">
        <v>495</v>
      </c>
      <c r="AB612" s="537" t="s">
        <v>496</v>
      </c>
      <c r="AC612" s="1">
        <v>44849</v>
      </c>
      <c r="AD612" s="61">
        <v>44841</v>
      </c>
      <c r="AE612" s="61">
        <v>44876</v>
      </c>
      <c r="AF612" s="61"/>
      <c r="AG612" s="1" t="s">
        <v>2456</v>
      </c>
      <c r="AH612" s="537"/>
      <c r="AI612" s="537"/>
      <c r="AK612" s="537"/>
      <c r="AM612" s="537" t="s">
        <v>2468</v>
      </c>
      <c r="AN612" s="537"/>
    </row>
    <row r="613" spans="1:40" hidden="1">
      <c r="A613" s="537" t="s">
        <v>179</v>
      </c>
      <c r="B613" s="1">
        <v>221007</v>
      </c>
      <c r="D613" s="537" t="s">
        <v>385</v>
      </c>
      <c r="E613" s="537"/>
      <c r="F613"/>
      <c r="G613"/>
      <c r="H613" s="537" t="s">
        <v>2469</v>
      </c>
      <c r="I613" s="537" t="s">
        <v>2470</v>
      </c>
      <c r="J613" s="537" t="s">
        <v>18</v>
      </c>
      <c r="K613" s="537" t="s">
        <v>57</v>
      </c>
      <c r="L613" s="61">
        <v>34976</v>
      </c>
      <c r="M613" s="1">
        <v>28</v>
      </c>
      <c r="N613" s="1">
        <v>1400</v>
      </c>
      <c r="P613" s="1">
        <v>2000</v>
      </c>
      <c r="Q613" s="537"/>
      <c r="R613" s="1">
        <v>600</v>
      </c>
      <c r="S613"/>
      <c r="T613" t="s">
        <v>65</v>
      </c>
      <c r="U613" t="s">
        <v>2639</v>
      </c>
      <c r="V613" t="s">
        <v>65</v>
      </c>
      <c r="W613" s="1">
        <v>46106</v>
      </c>
      <c r="X613" s="537" t="s">
        <v>65</v>
      </c>
      <c r="Y613" s="537" t="s">
        <v>60</v>
      </c>
      <c r="Z613" s="1" t="s">
        <v>2471</v>
      </c>
      <c r="AA613" s="537" t="s">
        <v>2708</v>
      </c>
      <c r="AB613" s="537" t="s">
        <v>2472</v>
      </c>
      <c r="AC613" s="1" t="s">
        <v>63</v>
      </c>
      <c r="AD613" s="61">
        <v>44841</v>
      </c>
      <c r="AE613" s="61">
        <v>44908</v>
      </c>
      <c r="AF613" s="61"/>
      <c r="AG613" s="1" t="s">
        <v>2456</v>
      </c>
      <c r="AH613" s="537"/>
      <c r="AI613" s="537"/>
      <c r="AK613" s="537"/>
      <c r="AM613" s="537" t="s">
        <v>2468</v>
      </c>
      <c r="AN613" s="537"/>
    </row>
    <row r="614" spans="1:40" hidden="1">
      <c r="A614" s="537" t="s">
        <v>54</v>
      </c>
      <c r="B614" s="1">
        <v>221008</v>
      </c>
      <c r="D614" s="537" t="s">
        <v>385</v>
      </c>
      <c r="E614" s="537"/>
      <c r="F614"/>
      <c r="G614"/>
      <c r="H614" s="537" t="s">
        <v>2473</v>
      </c>
      <c r="I614" s="537" t="s">
        <v>2474</v>
      </c>
      <c r="J614" s="537" t="s">
        <v>18</v>
      </c>
      <c r="K614" s="537" t="s">
        <v>57</v>
      </c>
      <c r="L614" s="61">
        <v>34670</v>
      </c>
      <c r="M614" s="1">
        <v>29</v>
      </c>
      <c r="N614" s="1">
        <v>1400</v>
      </c>
      <c r="P614" s="1">
        <v>2000</v>
      </c>
      <c r="Q614" s="537"/>
      <c r="R614" s="1">
        <v>600</v>
      </c>
      <c r="S614">
        <v>280000</v>
      </c>
      <c r="T614">
        <v>14014</v>
      </c>
      <c r="U614" t="s">
        <v>2639</v>
      </c>
      <c r="V614">
        <v>25620</v>
      </c>
      <c r="W614" s="1">
        <v>45827</v>
      </c>
      <c r="X614" s="537" t="s">
        <v>65</v>
      </c>
      <c r="Y614" s="537" t="s">
        <v>60</v>
      </c>
      <c r="Z614" s="1" t="s">
        <v>2475</v>
      </c>
      <c r="AA614" s="537" t="s">
        <v>2476</v>
      </c>
      <c r="AB614" s="537" t="s">
        <v>2477</v>
      </c>
      <c r="AC614" s="1" t="s">
        <v>63</v>
      </c>
      <c r="AD614" s="61">
        <v>44841</v>
      </c>
      <c r="AE614" s="61"/>
      <c r="AF614" s="61"/>
      <c r="AG614" s="1" t="s">
        <v>2456</v>
      </c>
      <c r="AH614" s="537"/>
      <c r="AI614" s="537"/>
      <c r="AK614" s="537"/>
      <c r="AM614" s="537" t="s">
        <v>2468</v>
      </c>
      <c r="AN614" s="537"/>
    </row>
    <row r="615" spans="1:40" hidden="1">
      <c r="A615" s="537" t="s">
        <v>54</v>
      </c>
      <c r="B615" s="1">
        <v>221009</v>
      </c>
      <c r="D615" s="537" t="s">
        <v>1019</v>
      </c>
      <c r="E615" s="537"/>
      <c r="F615"/>
      <c r="G615"/>
      <c r="H615" s="537" t="s">
        <v>2478</v>
      </c>
      <c r="I615" s="537" t="s">
        <v>2479</v>
      </c>
      <c r="J615" s="537" t="s">
        <v>18</v>
      </c>
      <c r="K615" s="537" t="s">
        <v>57</v>
      </c>
      <c r="L615" s="61">
        <v>34791</v>
      </c>
      <c r="M615" s="1">
        <v>28</v>
      </c>
      <c r="N615" s="1">
        <v>1600</v>
      </c>
      <c r="P615" s="1">
        <v>2100</v>
      </c>
      <c r="Q615" s="537"/>
      <c r="R615" s="1">
        <v>500</v>
      </c>
      <c r="S615">
        <v>410000</v>
      </c>
      <c r="T615">
        <v>20520.5</v>
      </c>
      <c r="U615" t="s">
        <v>2639</v>
      </c>
      <c r="V615">
        <v>37515</v>
      </c>
      <c r="W615" s="1">
        <v>45643</v>
      </c>
      <c r="X615" s="537" t="s">
        <v>65</v>
      </c>
      <c r="Y615" s="537" t="s">
        <v>60</v>
      </c>
      <c r="Z615" s="1" t="s">
        <v>1321</v>
      </c>
      <c r="AA615" s="537" t="s">
        <v>1322</v>
      </c>
      <c r="AB615" s="537" t="s">
        <v>1412</v>
      </c>
      <c r="AC615" s="1">
        <v>44846</v>
      </c>
      <c r="AD615" s="61">
        <v>44851</v>
      </c>
      <c r="AE615" s="61"/>
      <c r="AF615" s="61"/>
      <c r="AG615" s="1" t="s">
        <v>2456</v>
      </c>
      <c r="AH615" s="537"/>
      <c r="AI615" s="537"/>
      <c r="AK615" s="537"/>
      <c r="AM615" s="537" t="s">
        <v>2468</v>
      </c>
      <c r="AN615" s="537"/>
    </row>
    <row r="616" spans="1:40" hidden="1">
      <c r="A616" s="537" t="s">
        <v>179</v>
      </c>
      <c r="B616" s="1">
        <v>221011</v>
      </c>
      <c r="D616" s="537" t="s">
        <v>2700</v>
      </c>
      <c r="E616" s="537"/>
      <c r="F616"/>
      <c r="G616"/>
      <c r="H616" s="537" t="s">
        <v>2483</v>
      </c>
      <c r="I616" s="537" t="s">
        <v>2484</v>
      </c>
      <c r="J616" s="537" t="s">
        <v>18</v>
      </c>
      <c r="K616" s="537" t="s">
        <v>57</v>
      </c>
      <c r="L616" s="61">
        <v>35248</v>
      </c>
      <c r="M616" s="1">
        <v>27</v>
      </c>
      <c r="N616" s="1">
        <v>1300</v>
      </c>
      <c r="P616" s="1">
        <v>1700</v>
      </c>
      <c r="Q616" s="537"/>
      <c r="R616" s="1">
        <v>400</v>
      </c>
      <c r="S616">
        <v>180000</v>
      </c>
      <c r="T616">
        <v>9009</v>
      </c>
      <c r="U616" t="s">
        <v>2639</v>
      </c>
      <c r="V616">
        <v>16470</v>
      </c>
      <c r="W616" s="1">
        <v>45444</v>
      </c>
      <c r="X616" s="537" t="s">
        <v>65</v>
      </c>
      <c r="Y616" s="537" t="s">
        <v>60</v>
      </c>
      <c r="Z616" s="1" t="s">
        <v>2187</v>
      </c>
      <c r="AA616" s="537" t="s">
        <v>2514</v>
      </c>
      <c r="AB616" s="537" t="s">
        <v>2214</v>
      </c>
      <c r="AC616" s="1">
        <v>44864</v>
      </c>
      <c r="AD616" s="61">
        <v>44865</v>
      </c>
      <c r="AE616" s="61">
        <v>44956</v>
      </c>
      <c r="AF616" s="61">
        <v>44957</v>
      </c>
      <c r="AG616" s="1" t="s">
        <v>2456</v>
      </c>
      <c r="AH616" s="537"/>
      <c r="AI616" s="537"/>
      <c r="AK616" s="537"/>
      <c r="AM616" s="537" t="s">
        <v>2515</v>
      </c>
      <c r="AN616" s="537"/>
    </row>
    <row r="617" spans="1:40" hidden="1">
      <c r="A617" s="537" t="s">
        <v>179</v>
      </c>
      <c r="B617" s="1">
        <v>221101</v>
      </c>
      <c r="D617" s="537" t="s">
        <v>935</v>
      </c>
      <c r="E617" s="537"/>
      <c r="F617"/>
      <c r="G617"/>
      <c r="H617" s="537" t="s">
        <v>2485</v>
      </c>
      <c r="I617" s="537" t="s">
        <v>2486</v>
      </c>
      <c r="J617" s="537" t="s">
        <v>18</v>
      </c>
      <c r="K617" s="537" t="s">
        <v>939</v>
      </c>
      <c r="L617" s="61">
        <v>30501</v>
      </c>
      <c r="M617" s="1">
        <v>40</v>
      </c>
      <c r="N617" s="1">
        <v>1350</v>
      </c>
      <c r="P617" s="1">
        <v>1872</v>
      </c>
      <c r="Q617" s="537"/>
      <c r="R617" s="1">
        <v>522</v>
      </c>
      <c r="S617"/>
      <c r="T617" t="s">
        <v>65</v>
      </c>
      <c r="U617" t="s">
        <v>65</v>
      </c>
      <c r="V617" t="s">
        <v>65</v>
      </c>
      <c r="W617" s="1">
        <v>45759</v>
      </c>
      <c r="X617" s="537" t="s">
        <v>65</v>
      </c>
      <c r="Y617" s="537" t="s">
        <v>1568</v>
      </c>
      <c r="Z617" s="1" t="s">
        <v>2487</v>
      </c>
      <c r="AA617" s="537" t="s">
        <v>2488</v>
      </c>
      <c r="AB617" s="537" t="s">
        <v>2489</v>
      </c>
      <c r="AC617" s="1" t="s">
        <v>63</v>
      </c>
      <c r="AD617" s="61">
        <v>44866</v>
      </c>
      <c r="AE617" s="61">
        <v>44894</v>
      </c>
      <c r="AF617" s="61"/>
      <c r="AG617" s="1" t="s">
        <v>2712</v>
      </c>
      <c r="AH617" s="537"/>
      <c r="AI617" s="537"/>
      <c r="AK617" s="537"/>
      <c r="AM617" s="537" t="s">
        <v>2515</v>
      </c>
      <c r="AN617" s="537"/>
    </row>
    <row r="618" spans="1:40" hidden="1">
      <c r="A618" s="537" t="s">
        <v>179</v>
      </c>
      <c r="B618" s="1">
        <v>221107</v>
      </c>
      <c r="D618" s="537" t="s">
        <v>1128</v>
      </c>
      <c r="E618" s="537"/>
      <c r="F618"/>
      <c r="G618"/>
      <c r="H618" s="537" t="s">
        <v>2576</v>
      </c>
      <c r="I618" s="537" t="s">
        <v>2577</v>
      </c>
      <c r="J618" s="537" t="s">
        <v>18</v>
      </c>
      <c r="K618" s="537" t="s">
        <v>57</v>
      </c>
      <c r="L618" s="61">
        <v>30982</v>
      </c>
      <c r="M618" s="1">
        <v>39</v>
      </c>
      <c r="N618" s="1">
        <v>1400</v>
      </c>
      <c r="P618" s="1">
        <v>2000</v>
      </c>
      <c r="Q618" s="537"/>
      <c r="R618" s="1">
        <v>600</v>
      </c>
      <c r="S618">
        <v>180000</v>
      </c>
      <c r="T618">
        <v>9009</v>
      </c>
      <c r="U618" t="s">
        <v>2639</v>
      </c>
      <c r="V618">
        <v>16470</v>
      </c>
      <c r="W618" s="1">
        <v>46180</v>
      </c>
      <c r="X618" s="537" t="s">
        <v>65</v>
      </c>
      <c r="Y618" s="537" t="s">
        <v>60</v>
      </c>
      <c r="Z618" s="1" t="s">
        <v>1214</v>
      </c>
      <c r="AA618" s="537" t="s">
        <v>2714</v>
      </c>
      <c r="AB618" s="537" t="s">
        <v>2715</v>
      </c>
      <c r="AC618" s="1">
        <v>44885</v>
      </c>
      <c r="AD618" s="61">
        <v>44886</v>
      </c>
      <c r="AE618" s="61">
        <v>45112</v>
      </c>
      <c r="AF618" s="61">
        <v>45107</v>
      </c>
      <c r="AG618" s="1" t="s">
        <v>2516</v>
      </c>
      <c r="AH618" s="537"/>
      <c r="AI618" s="537"/>
      <c r="AK618" s="537"/>
      <c r="AM618" s="537" t="s">
        <v>2716</v>
      </c>
      <c r="AN618" s="537"/>
    </row>
    <row r="619" spans="1:40" hidden="1">
      <c r="A619" s="537" t="s">
        <v>179</v>
      </c>
      <c r="B619" s="1">
        <v>221109</v>
      </c>
      <c r="D619" s="537" t="s">
        <v>2700</v>
      </c>
      <c r="E619" s="537"/>
      <c r="F619"/>
      <c r="G619"/>
      <c r="H619" s="537" t="s">
        <v>2717</v>
      </c>
      <c r="I619" s="537" t="s">
        <v>2718</v>
      </c>
      <c r="J619" s="537" t="s">
        <v>18</v>
      </c>
      <c r="K619" s="537" t="s">
        <v>57</v>
      </c>
      <c r="L619" s="61">
        <v>33220</v>
      </c>
      <c r="M619" s="1">
        <v>32</v>
      </c>
      <c r="N619" s="1">
        <v>1300</v>
      </c>
      <c r="P619" s="1">
        <v>1700</v>
      </c>
      <c r="Q619" s="537"/>
      <c r="R619" s="1">
        <v>400</v>
      </c>
      <c r="S619"/>
      <c r="T619" t="s">
        <v>65</v>
      </c>
      <c r="U619" t="s">
        <v>2639</v>
      </c>
      <c r="V619" t="s">
        <v>65</v>
      </c>
      <c r="W619" s="1">
        <v>45115</v>
      </c>
      <c r="X619" s="537" t="s">
        <v>59</v>
      </c>
      <c r="Y619" s="537" t="s">
        <v>60</v>
      </c>
      <c r="Z619" s="1" t="s">
        <v>2719</v>
      </c>
      <c r="AA619" s="537" t="s">
        <v>2720</v>
      </c>
      <c r="AB619" s="537" t="s">
        <v>2721</v>
      </c>
      <c r="AC619" s="1">
        <v>44887</v>
      </c>
      <c r="AD619" s="61">
        <v>44888</v>
      </c>
      <c r="AE619" s="61">
        <v>44915</v>
      </c>
      <c r="AF619" s="61">
        <v>44922</v>
      </c>
      <c r="AG619" s="1" t="s">
        <v>2516</v>
      </c>
      <c r="AH619" s="537"/>
      <c r="AI619" s="537"/>
      <c r="AK619" s="537"/>
      <c r="AM619" s="537" t="s">
        <v>2716</v>
      </c>
      <c r="AN619" s="537"/>
    </row>
    <row r="620" spans="1:40" hidden="1">
      <c r="A620" s="537" t="s">
        <v>179</v>
      </c>
      <c r="B620" s="1">
        <v>221201</v>
      </c>
      <c r="D620" s="537" t="s">
        <v>105</v>
      </c>
      <c r="E620" s="537"/>
      <c r="F620"/>
      <c r="G620"/>
      <c r="H620" s="537" t="s">
        <v>2722</v>
      </c>
      <c r="I620" s="537" t="s">
        <v>2723</v>
      </c>
      <c r="J620" s="537" t="s">
        <v>18</v>
      </c>
      <c r="K620" s="537" t="s">
        <v>57</v>
      </c>
      <c r="L620" s="61">
        <v>36517</v>
      </c>
      <c r="M620" s="1">
        <v>23</v>
      </c>
      <c r="N620" s="1">
        <v>1200</v>
      </c>
      <c r="P620" s="1">
        <v>1650</v>
      </c>
      <c r="Q620" s="537"/>
      <c r="R620" s="1">
        <v>450</v>
      </c>
      <c r="S620">
        <v>180000</v>
      </c>
      <c r="T620">
        <v>9009</v>
      </c>
      <c r="U620" t="s">
        <v>2639</v>
      </c>
      <c r="V620">
        <v>16470</v>
      </c>
      <c r="W620" s="1">
        <v>45258</v>
      </c>
      <c r="X620" s="537" t="s">
        <v>59</v>
      </c>
      <c r="Y620" s="537" t="s">
        <v>60</v>
      </c>
      <c r="Z620" s="1" t="s">
        <v>427</v>
      </c>
      <c r="AA620" s="537" t="s">
        <v>428</v>
      </c>
      <c r="AB620" s="537" t="s">
        <v>429</v>
      </c>
      <c r="AC620" s="1">
        <v>44893</v>
      </c>
      <c r="AD620" s="61">
        <v>44896</v>
      </c>
      <c r="AE620" s="61">
        <v>44985</v>
      </c>
      <c r="AF620" s="61"/>
      <c r="AG620" s="1" t="s">
        <v>2724</v>
      </c>
      <c r="AH620" s="537"/>
      <c r="AI620" s="537"/>
      <c r="AK620" s="537"/>
      <c r="AM620" s="537" t="s">
        <v>2725</v>
      </c>
      <c r="AN620" s="537"/>
    </row>
    <row r="621" spans="1:40" hidden="1">
      <c r="A621" s="537" t="s">
        <v>54</v>
      </c>
      <c r="B621" s="1">
        <v>221203</v>
      </c>
      <c r="D621" s="537" t="s">
        <v>1066</v>
      </c>
      <c r="E621" s="537" t="s">
        <v>3058</v>
      </c>
      <c r="F621" t="s">
        <v>3059</v>
      </c>
      <c r="G621" t="s">
        <v>3060</v>
      </c>
      <c r="H621" s="537" t="s">
        <v>2734</v>
      </c>
      <c r="I621" s="537" t="s">
        <v>2735</v>
      </c>
      <c r="J621" s="537" t="s">
        <v>18</v>
      </c>
      <c r="K621" s="537" t="s">
        <v>57</v>
      </c>
      <c r="L621" s="61">
        <v>36484</v>
      </c>
      <c r="M621" s="1">
        <v>24</v>
      </c>
      <c r="N621" s="1">
        <v>1250</v>
      </c>
      <c r="P621" s="1">
        <v>1700</v>
      </c>
      <c r="Q621" s="537"/>
      <c r="R621" s="1">
        <v>450</v>
      </c>
      <c r="S621">
        <v>340000</v>
      </c>
      <c r="T621">
        <v>17017</v>
      </c>
      <c r="U621" t="s">
        <v>2639</v>
      </c>
      <c r="V621">
        <v>31110</v>
      </c>
      <c r="W621" s="1">
        <v>45258</v>
      </c>
      <c r="X621" s="537" t="s">
        <v>59</v>
      </c>
      <c r="Y621" s="537" t="s">
        <v>60</v>
      </c>
      <c r="Z621" s="1" t="s">
        <v>1070</v>
      </c>
      <c r="AA621" s="537" t="s">
        <v>1071</v>
      </c>
      <c r="AB621" s="537" t="s">
        <v>1281</v>
      </c>
      <c r="AD621" s="61">
        <v>44896</v>
      </c>
      <c r="AE621" s="61"/>
      <c r="AF621" s="61"/>
      <c r="AG621" s="1" t="s">
        <v>2724</v>
      </c>
      <c r="AH621" s="537"/>
      <c r="AI621" s="537"/>
      <c r="AK621" s="537"/>
      <c r="AM621" s="537" t="s">
        <v>2733</v>
      </c>
      <c r="AN621" s="537"/>
    </row>
    <row r="622" spans="1:40" hidden="1">
      <c r="A622" s="537" t="s">
        <v>54</v>
      </c>
      <c r="B622" s="1">
        <v>221206</v>
      </c>
      <c r="D622" s="537" t="s">
        <v>72</v>
      </c>
      <c r="E622" s="537"/>
      <c r="F622"/>
      <c r="G622"/>
      <c r="H622" s="537" t="s">
        <v>2728</v>
      </c>
      <c r="I622" s="537" t="s">
        <v>2729</v>
      </c>
      <c r="J622" s="537" t="s">
        <v>18</v>
      </c>
      <c r="K622" s="537" t="s">
        <v>57</v>
      </c>
      <c r="L622" s="61">
        <v>33248</v>
      </c>
      <c r="M622" s="1">
        <v>32</v>
      </c>
      <c r="N622" s="1">
        <v>1400</v>
      </c>
      <c r="P622" s="1">
        <v>1800</v>
      </c>
      <c r="Q622" s="537"/>
      <c r="R622" s="1">
        <v>400</v>
      </c>
      <c r="S622">
        <v>280000</v>
      </c>
      <c r="T622">
        <v>14014</v>
      </c>
      <c r="U622" t="s">
        <v>2639</v>
      </c>
      <c r="V622">
        <v>25620</v>
      </c>
      <c r="W622" s="1">
        <v>45745</v>
      </c>
      <c r="X622" s="537" t="s">
        <v>65</v>
      </c>
      <c r="Y622" s="537" t="s">
        <v>60</v>
      </c>
      <c r="Z622" s="1" t="s">
        <v>2730</v>
      </c>
      <c r="AA622" s="537" t="s">
        <v>2731</v>
      </c>
      <c r="AB622" s="537" t="s">
        <v>2732</v>
      </c>
      <c r="AC622" s="1" t="s">
        <v>63</v>
      </c>
      <c r="AD622" s="61">
        <v>44896</v>
      </c>
      <c r="AE622" s="61"/>
      <c r="AF622" s="61"/>
      <c r="AG622" s="1" t="s">
        <v>2724</v>
      </c>
      <c r="AH622" s="537"/>
      <c r="AI622" s="537"/>
      <c r="AK622" s="537"/>
      <c r="AM622" s="537" t="s">
        <v>2733</v>
      </c>
      <c r="AN622" s="537"/>
    </row>
    <row r="623" spans="1:40" hidden="1">
      <c r="A623" s="537" t="s">
        <v>179</v>
      </c>
      <c r="B623" s="1">
        <v>221204</v>
      </c>
      <c r="D623" s="537" t="s">
        <v>1066</v>
      </c>
      <c r="E623" s="537"/>
      <c r="F623"/>
      <c r="G623"/>
      <c r="H623" s="537" t="s">
        <v>2737</v>
      </c>
      <c r="I623" s="537" t="s">
        <v>2738</v>
      </c>
      <c r="J623" s="537" t="s">
        <v>18</v>
      </c>
      <c r="K623" s="537" t="s">
        <v>57</v>
      </c>
      <c r="L623" s="61">
        <v>37233</v>
      </c>
      <c r="M623" s="1">
        <v>22</v>
      </c>
      <c r="N623" s="1">
        <v>1200</v>
      </c>
      <c r="P623" s="1">
        <v>1700</v>
      </c>
      <c r="Q623" s="537"/>
      <c r="R623" s="1">
        <v>500</v>
      </c>
      <c r="S623">
        <v>180000</v>
      </c>
      <c r="T623">
        <v>9009</v>
      </c>
      <c r="U623" t="s">
        <v>2639</v>
      </c>
      <c r="V623">
        <v>16470</v>
      </c>
      <c r="W623" s="1">
        <v>45258</v>
      </c>
      <c r="X623" s="537" t="s">
        <v>59</v>
      </c>
      <c r="Y623" s="537" t="s">
        <v>60</v>
      </c>
      <c r="Z623" s="1" t="s">
        <v>1070</v>
      </c>
      <c r="AA623" s="537" t="s">
        <v>2736</v>
      </c>
      <c r="AB623" s="537" t="s">
        <v>1184</v>
      </c>
      <c r="AD623" s="61">
        <v>44896</v>
      </c>
      <c r="AE623" s="61">
        <v>45034</v>
      </c>
      <c r="AF623" s="61"/>
      <c r="AG623" s="1" t="s">
        <v>2724</v>
      </c>
      <c r="AH623" s="537"/>
      <c r="AI623" s="537"/>
      <c r="AK623" s="537"/>
      <c r="AM623" s="537" t="s">
        <v>2733</v>
      </c>
      <c r="AN623" s="537"/>
    </row>
    <row r="624" spans="1:40" hidden="1">
      <c r="A624" s="537" t="s">
        <v>179</v>
      </c>
      <c r="B624" s="1">
        <v>221205</v>
      </c>
      <c r="D624" s="537" t="s">
        <v>1066</v>
      </c>
      <c r="E624" s="537" t="s">
        <v>3058</v>
      </c>
      <c r="F624" t="s">
        <v>3059</v>
      </c>
      <c r="G624" t="s">
        <v>3060</v>
      </c>
      <c r="H624" s="537" t="s">
        <v>2739</v>
      </c>
      <c r="I624" s="537" t="s">
        <v>2740</v>
      </c>
      <c r="J624" s="537" t="s">
        <v>18</v>
      </c>
      <c r="K624" s="537" t="s">
        <v>57</v>
      </c>
      <c r="L624" s="61">
        <v>35980</v>
      </c>
      <c r="M624" s="1">
        <v>25</v>
      </c>
      <c r="N624" s="1">
        <v>1200</v>
      </c>
      <c r="P624" s="1">
        <v>1700</v>
      </c>
      <c r="Q624" s="537"/>
      <c r="R624" s="1">
        <v>500</v>
      </c>
      <c r="S624">
        <v>180000</v>
      </c>
      <c r="T624">
        <v>9009</v>
      </c>
      <c r="U624" t="s">
        <v>2639</v>
      </c>
      <c r="V624">
        <v>16470</v>
      </c>
      <c r="W624" s="1">
        <v>45258</v>
      </c>
      <c r="X624" s="537" t="s">
        <v>59</v>
      </c>
      <c r="Y624" s="537" t="s">
        <v>60</v>
      </c>
      <c r="Z624" s="1" t="s">
        <v>1070</v>
      </c>
      <c r="AA624" s="537" t="s">
        <v>2736</v>
      </c>
      <c r="AB624" s="537" t="s">
        <v>1288</v>
      </c>
      <c r="AD624" s="61">
        <v>44896</v>
      </c>
      <c r="AE624" s="61">
        <v>45150</v>
      </c>
      <c r="AF624" s="61"/>
      <c r="AG624" s="1" t="s">
        <v>2724</v>
      </c>
      <c r="AH624" s="537"/>
      <c r="AI624" s="537"/>
      <c r="AK624" s="537"/>
      <c r="AM624" s="537" t="s">
        <v>2733</v>
      </c>
      <c r="AN624" s="537"/>
    </row>
    <row r="625" spans="1:40" hidden="1">
      <c r="A625" s="537" t="s">
        <v>54</v>
      </c>
      <c r="B625" s="1">
        <v>221212</v>
      </c>
      <c r="D625" s="537" t="s">
        <v>1066</v>
      </c>
      <c r="E625" s="537" t="s">
        <v>3058</v>
      </c>
      <c r="F625" t="s">
        <v>3059</v>
      </c>
      <c r="G625" t="s">
        <v>3060</v>
      </c>
      <c r="H625" s="537" t="s">
        <v>2757</v>
      </c>
      <c r="I625" s="537" t="s">
        <v>2758</v>
      </c>
      <c r="J625" s="537" t="s">
        <v>18</v>
      </c>
      <c r="K625" s="537" t="s">
        <v>57</v>
      </c>
      <c r="L625" s="61">
        <v>35771</v>
      </c>
      <c r="M625" s="1">
        <v>26</v>
      </c>
      <c r="N625" s="1">
        <v>1250</v>
      </c>
      <c r="P625" s="1">
        <v>1700</v>
      </c>
      <c r="Q625" s="537"/>
      <c r="R625" s="1">
        <v>450</v>
      </c>
      <c r="S625">
        <v>340000</v>
      </c>
      <c r="T625">
        <v>17017</v>
      </c>
      <c r="U625" t="s">
        <v>2639</v>
      </c>
      <c r="V625">
        <v>31110</v>
      </c>
      <c r="W625" s="1">
        <v>45267</v>
      </c>
      <c r="X625" s="537" t="s">
        <v>59</v>
      </c>
      <c r="Y625" s="537" t="s">
        <v>60</v>
      </c>
      <c r="Z625" s="1" t="s">
        <v>1070</v>
      </c>
      <c r="AA625" s="537" t="s">
        <v>3122</v>
      </c>
      <c r="AB625" s="537" t="s">
        <v>2759</v>
      </c>
      <c r="AD625" s="61">
        <v>44907</v>
      </c>
      <c r="AE625" s="61"/>
      <c r="AF625" s="61"/>
      <c r="AG625" s="1" t="s">
        <v>2724</v>
      </c>
      <c r="AH625" s="537"/>
      <c r="AI625" s="537"/>
      <c r="AK625" s="537"/>
      <c r="AM625" s="537" t="s">
        <v>2733</v>
      </c>
      <c r="AN625" s="537"/>
    </row>
    <row r="626" spans="1:40" hidden="1">
      <c r="A626" s="537" t="s">
        <v>54</v>
      </c>
      <c r="B626" s="1">
        <v>221213</v>
      </c>
      <c r="D626" s="537" t="s">
        <v>1066</v>
      </c>
      <c r="E626" s="537" t="s">
        <v>3058</v>
      </c>
      <c r="F626" t="s">
        <v>3059</v>
      </c>
      <c r="G626" t="s">
        <v>3060</v>
      </c>
      <c r="H626" s="537" t="s">
        <v>2760</v>
      </c>
      <c r="I626" s="537" t="s">
        <v>2761</v>
      </c>
      <c r="J626" s="537" t="s">
        <v>18</v>
      </c>
      <c r="K626" s="537" t="s">
        <v>57</v>
      </c>
      <c r="L626" s="61">
        <v>36231</v>
      </c>
      <c r="M626" s="1">
        <v>24</v>
      </c>
      <c r="N626" s="1">
        <v>1250</v>
      </c>
      <c r="P626" s="1">
        <v>1700</v>
      </c>
      <c r="Q626" s="537"/>
      <c r="R626" s="1">
        <v>450</v>
      </c>
      <c r="S626">
        <v>240000</v>
      </c>
      <c r="T626">
        <v>12012</v>
      </c>
      <c r="U626" t="s">
        <v>2639</v>
      </c>
      <c r="V626">
        <v>21960</v>
      </c>
      <c r="W626" s="1">
        <v>45267</v>
      </c>
      <c r="X626" s="537" t="s">
        <v>59</v>
      </c>
      <c r="Y626" s="537" t="s">
        <v>60</v>
      </c>
      <c r="Z626" s="1" t="s">
        <v>1070</v>
      </c>
      <c r="AA626" s="537" t="s">
        <v>3122</v>
      </c>
      <c r="AB626" s="537" t="s">
        <v>2759</v>
      </c>
      <c r="AD626" s="61">
        <v>44907</v>
      </c>
      <c r="AE626" s="61"/>
      <c r="AF626" s="61"/>
      <c r="AG626" s="1" t="s">
        <v>2724</v>
      </c>
      <c r="AH626" s="537"/>
      <c r="AI626" s="537"/>
      <c r="AK626" s="537"/>
      <c r="AM626" s="537" t="s">
        <v>2733</v>
      </c>
      <c r="AN626" s="537"/>
    </row>
    <row r="627" spans="1:40" hidden="1">
      <c r="A627" s="537" t="s">
        <v>54</v>
      </c>
      <c r="B627" s="1">
        <v>221214</v>
      </c>
      <c r="D627" s="537" t="s">
        <v>1066</v>
      </c>
      <c r="E627" s="537" t="s">
        <v>3058</v>
      </c>
      <c r="F627" t="s">
        <v>3059</v>
      </c>
      <c r="G627" t="s">
        <v>3060</v>
      </c>
      <c r="H627" s="537" t="s">
        <v>2762</v>
      </c>
      <c r="I627" s="537" t="s">
        <v>2763</v>
      </c>
      <c r="J627" s="537" t="s">
        <v>18</v>
      </c>
      <c r="K627" s="537" t="s">
        <v>57</v>
      </c>
      <c r="L627" s="61">
        <v>32183</v>
      </c>
      <c r="M627" s="1">
        <v>35</v>
      </c>
      <c r="N627" s="1">
        <v>1250</v>
      </c>
      <c r="P627" s="1">
        <v>1700</v>
      </c>
      <c r="Q627" s="537"/>
      <c r="R627" s="1">
        <v>450</v>
      </c>
      <c r="S627">
        <v>340000</v>
      </c>
      <c r="T627">
        <v>17017</v>
      </c>
      <c r="U627" t="s">
        <v>2639</v>
      </c>
      <c r="V627">
        <v>31110</v>
      </c>
      <c r="W627" s="1">
        <v>45267</v>
      </c>
      <c r="X627" s="537" t="s">
        <v>59</v>
      </c>
      <c r="Y627" s="537" t="s">
        <v>60</v>
      </c>
      <c r="Z627" s="1" t="s">
        <v>1070</v>
      </c>
      <c r="AA627" s="537" t="s">
        <v>1169</v>
      </c>
      <c r="AB627" s="537" t="s">
        <v>3123</v>
      </c>
      <c r="AC627" s="1" t="s">
        <v>63</v>
      </c>
      <c r="AD627" s="61">
        <v>44907</v>
      </c>
      <c r="AE627" s="61"/>
      <c r="AF627" s="61"/>
      <c r="AG627" s="1" t="s">
        <v>2724</v>
      </c>
      <c r="AH627" s="537"/>
      <c r="AI627" s="537"/>
      <c r="AK627" s="537"/>
      <c r="AM627" s="537" t="s">
        <v>2733</v>
      </c>
      <c r="AN627" s="537"/>
    </row>
    <row r="628" spans="1:40" hidden="1">
      <c r="A628" s="537" t="s">
        <v>54</v>
      </c>
      <c r="B628" s="1">
        <v>221215</v>
      </c>
      <c r="D628" s="537" t="s">
        <v>1066</v>
      </c>
      <c r="E628" s="537" t="s">
        <v>3058</v>
      </c>
      <c r="F628" t="s">
        <v>3059</v>
      </c>
      <c r="G628" t="s">
        <v>3060</v>
      </c>
      <c r="H628" s="537" t="s">
        <v>2764</v>
      </c>
      <c r="I628" s="537" t="s">
        <v>2765</v>
      </c>
      <c r="J628" s="537" t="s">
        <v>18</v>
      </c>
      <c r="K628" s="537" t="s">
        <v>57</v>
      </c>
      <c r="L628" s="61">
        <v>36848</v>
      </c>
      <c r="M628" s="1">
        <v>23</v>
      </c>
      <c r="N628" s="1">
        <v>1250</v>
      </c>
      <c r="P628" s="1">
        <v>1700</v>
      </c>
      <c r="Q628" s="537"/>
      <c r="R628" s="1">
        <v>450</v>
      </c>
      <c r="S628">
        <v>320000</v>
      </c>
      <c r="T628">
        <v>16015.999999999998</v>
      </c>
      <c r="U628" t="s">
        <v>2639</v>
      </c>
      <c r="V628">
        <v>29280</v>
      </c>
      <c r="W628" s="1">
        <v>45267</v>
      </c>
      <c r="X628" s="537" t="s">
        <v>59</v>
      </c>
      <c r="Y628" s="537" t="s">
        <v>60</v>
      </c>
      <c r="Z628" s="1" t="s">
        <v>1070</v>
      </c>
      <c r="AA628" s="537" t="s">
        <v>3122</v>
      </c>
      <c r="AB628" s="537" t="s">
        <v>2759</v>
      </c>
      <c r="AD628" s="61">
        <v>44907</v>
      </c>
      <c r="AE628" s="61"/>
      <c r="AF628" s="61"/>
      <c r="AG628" s="1" t="s">
        <v>2724</v>
      </c>
      <c r="AH628" s="537"/>
      <c r="AI628" s="537"/>
      <c r="AK628" s="537"/>
      <c r="AM628" s="537" t="s">
        <v>2733</v>
      </c>
      <c r="AN628" s="537"/>
    </row>
    <row r="629" spans="1:40" hidden="1">
      <c r="A629" s="537" t="s">
        <v>54</v>
      </c>
      <c r="B629" s="1">
        <v>221216</v>
      </c>
      <c r="D629" s="537" t="s">
        <v>1066</v>
      </c>
      <c r="E629" s="537" t="s">
        <v>3058</v>
      </c>
      <c r="F629" t="s">
        <v>3059</v>
      </c>
      <c r="G629" t="s">
        <v>3060</v>
      </c>
      <c r="H629" s="537" t="s">
        <v>2766</v>
      </c>
      <c r="I629" s="537" t="s">
        <v>2767</v>
      </c>
      <c r="J629" s="537" t="s">
        <v>18</v>
      </c>
      <c r="K629" s="537" t="s">
        <v>57</v>
      </c>
      <c r="L629" s="61">
        <v>36698</v>
      </c>
      <c r="M629" s="1">
        <v>23</v>
      </c>
      <c r="N629" s="1">
        <v>1250</v>
      </c>
      <c r="P629" s="1">
        <v>1700</v>
      </c>
      <c r="Q629" s="537"/>
      <c r="R629" s="1">
        <v>450</v>
      </c>
      <c r="S629">
        <v>320000</v>
      </c>
      <c r="T629">
        <v>16015.999999999998</v>
      </c>
      <c r="U629" t="s">
        <v>2639</v>
      </c>
      <c r="V629">
        <v>29280</v>
      </c>
      <c r="W629" s="1">
        <v>45267</v>
      </c>
      <c r="X629" s="537" t="s">
        <v>59</v>
      </c>
      <c r="Y629" s="537" t="s">
        <v>60</v>
      </c>
      <c r="Z629" s="1" t="s">
        <v>1070</v>
      </c>
      <c r="AA629" s="537" t="s">
        <v>3122</v>
      </c>
      <c r="AB629" s="537" t="s">
        <v>2759</v>
      </c>
      <c r="AD629" s="61">
        <v>44907</v>
      </c>
      <c r="AE629" s="61"/>
      <c r="AF629" s="61"/>
      <c r="AG629" s="1" t="s">
        <v>2724</v>
      </c>
      <c r="AH629" s="537"/>
      <c r="AI629" s="537"/>
      <c r="AK629" s="537"/>
      <c r="AM629" s="537" t="s">
        <v>2733</v>
      </c>
      <c r="AN629" s="537"/>
    </row>
    <row r="630" spans="1:40" hidden="1">
      <c r="A630" s="537" t="s">
        <v>54</v>
      </c>
      <c r="B630" s="1">
        <v>230104</v>
      </c>
      <c r="D630" s="537" t="s">
        <v>2638</v>
      </c>
      <c r="E630" s="537" t="s">
        <v>3038</v>
      </c>
      <c r="F630" t="s">
        <v>3039</v>
      </c>
      <c r="G630" t="s">
        <v>3040</v>
      </c>
      <c r="H630" s="537" t="s">
        <v>2791</v>
      </c>
      <c r="I630" s="537" t="s">
        <v>2792</v>
      </c>
      <c r="J630" s="537" t="s">
        <v>17</v>
      </c>
      <c r="K630" s="537" t="s">
        <v>57</v>
      </c>
      <c r="L630" s="61">
        <v>31362</v>
      </c>
      <c r="M630" s="1">
        <v>38</v>
      </c>
      <c r="N630" s="1">
        <v>1300</v>
      </c>
      <c r="P630" s="1">
        <v>1800</v>
      </c>
      <c r="Q630" s="537"/>
      <c r="R630" s="1">
        <v>500</v>
      </c>
      <c r="S630">
        <v>280000</v>
      </c>
      <c r="T630">
        <v>14014</v>
      </c>
      <c r="U630" t="s">
        <v>2639</v>
      </c>
      <c r="V630">
        <v>25620</v>
      </c>
      <c r="W630" s="1">
        <v>45465</v>
      </c>
      <c r="X630" s="537" t="s">
        <v>65</v>
      </c>
      <c r="Y630" s="537" t="s">
        <v>60</v>
      </c>
      <c r="Z630" s="1" t="s">
        <v>61</v>
      </c>
      <c r="AA630" s="537" t="s">
        <v>2641</v>
      </c>
      <c r="AB630" s="537" t="s">
        <v>1799</v>
      </c>
      <c r="AC630" s="1">
        <v>44938</v>
      </c>
      <c r="AD630" s="61">
        <v>44939</v>
      </c>
      <c r="AE630" s="61"/>
      <c r="AF630" s="61"/>
      <c r="AG630" s="1" t="s">
        <v>2786</v>
      </c>
      <c r="AH630" s="537"/>
      <c r="AI630" s="537"/>
      <c r="AK630" s="537"/>
      <c r="AM630" s="537" t="s">
        <v>2787</v>
      </c>
      <c r="AN630" s="537"/>
    </row>
    <row r="631" spans="1:40" hidden="1">
      <c r="A631" s="537" t="s">
        <v>54</v>
      </c>
      <c r="B631" s="1">
        <v>230105</v>
      </c>
      <c r="D631" s="537" t="s">
        <v>1019</v>
      </c>
      <c r="E631" s="537"/>
      <c r="F631"/>
      <c r="G631"/>
      <c r="H631" s="537" t="s">
        <v>2793</v>
      </c>
      <c r="I631" s="537" t="s">
        <v>2794</v>
      </c>
      <c r="J631" s="537" t="s">
        <v>18</v>
      </c>
      <c r="K631" s="537" t="s">
        <v>57</v>
      </c>
      <c r="L631" s="61">
        <v>34597</v>
      </c>
      <c r="M631" s="1">
        <v>29</v>
      </c>
      <c r="N631" s="1">
        <v>1400</v>
      </c>
      <c r="P631" s="1">
        <v>2000</v>
      </c>
      <c r="Q631" s="537"/>
      <c r="R631" s="1">
        <v>600</v>
      </c>
      <c r="S631">
        <v>320000</v>
      </c>
      <c r="T631">
        <v>16015.999999999998</v>
      </c>
      <c r="U631" t="s">
        <v>2639</v>
      </c>
      <c r="V631">
        <v>29280</v>
      </c>
      <c r="W631" s="1">
        <v>45665</v>
      </c>
      <c r="X631" s="537" t="s">
        <v>65</v>
      </c>
      <c r="Y631" s="537" t="s">
        <v>60</v>
      </c>
      <c r="Z631" s="1" t="s">
        <v>1024</v>
      </c>
      <c r="AA631" s="537" t="s">
        <v>2697</v>
      </c>
      <c r="AB631" s="537" t="s">
        <v>2795</v>
      </c>
      <c r="AC631" s="1">
        <v>44943</v>
      </c>
      <c r="AD631" s="61">
        <v>44944</v>
      </c>
      <c r="AE631" s="61"/>
      <c r="AF631" s="61"/>
      <c r="AG631" s="1" t="s">
        <v>2786</v>
      </c>
      <c r="AH631" s="537"/>
      <c r="AI631" s="537"/>
      <c r="AK631" s="537"/>
      <c r="AM631" s="537" t="s">
        <v>2796</v>
      </c>
      <c r="AN631" s="537"/>
    </row>
    <row r="632" spans="1:40" hidden="1">
      <c r="A632" s="537" t="s">
        <v>54</v>
      </c>
      <c r="B632" s="1">
        <v>230109</v>
      </c>
      <c r="D632" s="537" t="s">
        <v>2638</v>
      </c>
      <c r="E632" s="537" t="s">
        <v>3038</v>
      </c>
      <c r="F632" t="s">
        <v>3039</v>
      </c>
      <c r="G632" t="s">
        <v>3040</v>
      </c>
      <c r="H632" s="537" t="s">
        <v>2805</v>
      </c>
      <c r="I632" s="537" t="s">
        <v>2806</v>
      </c>
      <c r="J632" s="537" t="s">
        <v>17</v>
      </c>
      <c r="K632" s="537" t="s">
        <v>57</v>
      </c>
      <c r="L632" s="61">
        <v>32284</v>
      </c>
      <c r="M632" s="1">
        <v>35</v>
      </c>
      <c r="N632" s="1">
        <v>1300</v>
      </c>
      <c r="P632" s="1">
        <v>1800</v>
      </c>
      <c r="Q632" s="537"/>
      <c r="R632" s="1">
        <v>500</v>
      </c>
      <c r="S632">
        <v>280000</v>
      </c>
      <c r="T632">
        <v>14014</v>
      </c>
      <c r="U632" t="s">
        <v>2639</v>
      </c>
      <c r="V632">
        <v>25620</v>
      </c>
      <c r="W632" s="1">
        <v>45563</v>
      </c>
      <c r="X632" s="537" t="s">
        <v>65</v>
      </c>
      <c r="Y632" s="537" t="s">
        <v>60</v>
      </c>
      <c r="Z632" s="1" t="s">
        <v>61</v>
      </c>
      <c r="AA632" s="537" t="s">
        <v>2641</v>
      </c>
      <c r="AB632" s="537" t="s">
        <v>1799</v>
      </c>
      <c r="AC632" s="1">
        <v>44946</v>
      </c>
      <c r="AD632" s="61">
        <v>44949</v>
      </c>
      <c r="AE632" s="61"/>
      <c r="AF632" s="61"/>
      <c r="AG632" s="1" t="s">
        <v>2786</v>
      </c>
      <c r="AH632" s="537"/>
      <c r="AI632" s="537"/>
      <c r="AK632" s="537"/>
      <c r="AM632" s="537" t="s">
        <v>2800</v>
      </c>
      <c r="AN632" s="537"/>
    </row>
    <row r="633" spans="1:40" hidden="1">
      <c r="A633" s="537" t="s">
        <v>179</v>
      </c>
      <c r="B633" s="1">
        <v>210612</v>
      </c>
      <c r="D633" s="537" t="s">
        <v>2277</v>
      </c>
      <c r="E633" s="537"/>
      <c r="F633"/>
      <c r="G633"/>
      <c r="H633" s="537" t="s">
        <v>1955</v>
      </c>
      <c r="I633" s="537" t="s">
        <v>1956</v>
      </c>
      <c r="J633" s="537" t="s">
        <v>17</v>
      </c>
      <c r="K633" s="537" t="s">
        <v>57</v>
      </c>
      <c r="L633" s="61">
        <v>34226</v>
      </c>
      <c r="M633" s="1">
        <v>30</v>
      </c>
      <c r="N633" s="1">
        <v>1300</v>
      </c>
      <c r="P633" s="1">
        <v>1750</v>
      </c>
      <c r="Q633" s="537"/>
      <c r="R633" s="1">
        <v>450</v>
      </c>
      <c r="S633">
        <v>180000</v>
      </c>
      <c r="T633">
        <v>9009</v>
      </c>
      <c r="U633" t="s">
        <v>2639</v>
      </c>
      <c r="V633">
        <v>16470</v>
      </c>
      <c r="W633" s="1">
        <v>45325</v>
      </c>
      <c r="X633" s="537" t="s">
        <v>59</v>
      </c>
      <c r="Y633" s="537" t="s">
        <v>60</v>
      </c>
      <c r="Z633" s="1" t="s">
        <v>262</v>
      </c>
      <c r="AA633" s="537" t="s">
        <v>263</v>
      </c>
      <c r="AB633" s="537" t="s">
        <v>264</v>
      </c>
      <c r="AD633" s="61">
        <v>44949</v>
      </c>
      <c r="AE633" s="61">
        <v>45061</v>
      </c>
      <c r="AF633" s="61"/>
      <c r="AG633" s="1" t="s">
        <v>2807</v>
      </c>
      <c r="AH633" s="537"/>
      <c r="AI633" s="537"/>
      <c r="AK633" s="537"/>
      <c r="AM633" s="537" t="s">
        <v>2808</v>
      </c>
      <c r="AN633" s="537"/>
    </row>
    <row r="634" spans="1:40" hidden="1">
      <c r="A634" s="537" t="s">
        <v>54</v>
      </c>
      <c r="B634" s="1">
        <v>220413</v>
      </c>
      <c r="D634" s="537" t="s">
        <v>1019</v>
      </c>
      <c r="E634" s="537"/>
      <c r="F634"/>
      <c r="G634"/>
      <c r="H634" s="537" t="s">
        <v>1779</v>
      </c>
      <c r="I634" s="537" t="s">
        <v>1780</v>
      </c>
      <c r="J634" s="537" t="s">
        <v>18</v>
      </c>
      <c r="K634" s="537" t="s">
        <v>57</v>
      </c>
      <c r="L634" s="61">
        <v>31966</v>
      </c>
      <c r="M634" s="1">
        <v>36</v>
      </c>
      <c r="N634" s="1">
        <v>1500</v>
      </c>
      <c r="P634" s="1">
        <v>2100</v>
      </c>
      <c r="Q634" s="537"/>
      <c r="R634" s="1">
        <v>600</v>
      </c>
      <c r="S634">
        <v>380000</v>
      </c>
      <c r="T634">
        <v>19019</v>
      </c>
      <c r="U634" t="s">
        <v>2639</v>
      </c>
      <c r="V634">
        <v>34770</v>
      </c>
      <c r="W634" s="1">
        <v>45350</v>
      </c>
      <c r="X634" s="537" t="s">
        <v>59</v>
      </c>
      <c r="Y634" s="537" t="s">
        <v>60</v>
      </c>
      <c r="Z634" s="1" t="s">
        <v>1321</v>
      </c>
      <c r="AA634" s="537" t="s">
        <v>1322</v>
      </c>
      <c r="AB634" s="537" t="s">
        <v>1372</v>
      </c>
      <c r="AD634" s="61">
        <v>44957</v>
      </c>
      <c r="AE634" s="61"/>
      <c r="AF634" s="61"/>
      <c r="AG634" s="1" t="s">
        <v>2786</v>
      </c>
      <c r="AH634" s="537"/>
      <c r="AI634" s="537"/>
      <c r="AK634" s="537"/>
      <c r="AM634" s="537" t="s">
        <v>2796</v>
      </c>
      <c r="AN634" s="537"/>
    </row>
    <row r="635" spans="1:40" hidden="1">
      <c r="A635" s="537" t="s">
        <v>179</v>
      </c>
      <c r="B635" s="1">
        <v>230112</v>
      </c>
      <c r="D635" s="537" t="s">
        <v>1019</v>
      </c>
      <c r="E635" s="537"/>
      <c r="F635"/>
      <c r="G635"/>
      <c r="H635" s="537" t="s">
        <v>350</v>
      </c>
      <c r="I635" s="537" t="s">
        <v>351</v>
      </c>
      <c r="J635" s="537" t="s">
        <v>18</v>
      </c>
      <c r="K635" s="537" t="s">
        <v>57</v>
      </c>
      <c r="L635" s="61">
        <v>34322</v>
      </c>
      <c r="M635" s="1">
        <v>29</v>
      </c>
      <c r="N635" s="1">
        <v>1400</v>
      </c>
      <c r="P635" s="1">
        <v>2000</v>
      </c>
      <c r="Q635" s="537"/>
      <c r="R635" s="1">
        <v>600</v>
      </c>
      <c r="S635">
        <v>320000</v>
      </c>
      <c r="T635">
        <v>16015.999999999998</v>
      </c>
      <c r="U635" t="s">
        <v>2639</v>
      </c>
      <c r="V635">
        <v>29280</v>
      </c>
      <c r="W635" s="1">
        <v>45608</v>
      </c>
      <c r="X635" s="537" t="s">
        <v>65</v>
      </c>
      <c r="Y635" s="537" t="s">
        <v>60</v>
      </c>
      <c r="Z635" s="1" t="s">
        <v>1024</v>
      </c>
      <c r="AA635" s="537" t="s">
        <v>2697</v>
      </c>
      <c r="AB635" s="537" t="s">
        <v>2809</v>
      </c>
      <c r="AC635" s="1">
        <v>44956</v>
      </c>
      <c r="AD635" s="61">
        <v>44957</v>
      </c>
      <c r="AE635" s="61">
        <v>45219</v>
      </c>
      <c r="AF635" s="61"/>
      <c r="AG635" s="1" t="s">
        <v>2786</v>
      </c>
      <c r="AH635" s="537"/>
      <c r="AI635" s="537"/>
      <c r="AK635" s="537"/>
      <c r="AM635" s="537" t="s">
        <v>2796</v>
      </c>
      <c r="AN635" s="537"/>
    </row>
    <row r="636" spans="1:40" hidden="1">
      <c r="A636" s="537" t="s">
        <v>179</v>
      </c>
      <c r="B636" s="1">
        <v>230111</v>
      </c>
      <c r="D636" s="537" t="s">
        <v>385</v>
      </c>
      <c r="E636" s="537"/>
      <c r="F636"/>
      <c r="G636"/>
      <c r="H636" s="537" t="s">
        <v>2810</v>
      </c>
      <c r="I636" s="537" t="s">
        <v>2811</v>
      </c>
      <c r="J636" s="537" t="s">
        <v>18</v>
      </c>
      <c r="K636" s="537" t="s">
        <v>57</v>
      </c>
      <c r="L636" s="61">
        <v>33646</v>
      </c>
      <c r="M636" s="1">
        <v>31</v>
      </c>
      <c r="N636" s="1">
        <v>1400</v>
      </c>
      <c r="P636" s="1">
        <v>2000</v>
      </c>
      <c r="Q636" s="537"/>
      <c r="R636" s="1">
        <v>600</v>
      </c>
      <c r="S636">
        <v>180000</v>
      </c>
      <c r="T636">
        <v>9009</v>
      </c>
      <c r="U636" t="s">
        <v>2639</v>
      </c>
      <c r="V636">
        <v>16470</v>
      </c>
      <c r="W636" s="1">
        <v>45029</v>
      </c>
      <c r="X636" s="537" t="s">
        <v>59</v>
      </c>
      <c r="Y636" s="537" t="s">
        <v>60</v>
      </c>
      <c r="Z636" s="1" t="s">
        <v>389</v>
      </c>
      <c r="AA636" s="537" t="s">
        <v>390</v>
      </c>
      <c r="AB636" s="537" t="s">
        <v>391</v>
      </c>
      <c r="AC636" s="1">
        <v>44953</v>
      </c>
      <c r="AD636" s="61">
        <v>44957</v>
      </c>
      <c r="AE636" s="61">
        <v>44964</v>
      </c>
      <c r="AF636" s="61">
        <v>44966</v>
      </c>
      <c r="AH636" s="537"/>
      <c r="AI636" s="537"/>
      <c r="AK636" s="537"/>
      <c r="AM636" s="537"/>
      <c r="AN636" s="537"/>
    </row>
    <row r="637" spans="1:40" hidden="1">
      <c r="A637" s="537" t="s">
        <v>54</v>
      </c>
      <c r="B637" s="1">
        <v>230110</v>
      </c>
      <c r="D637" s="537" t="s">
        <v>385</v>
      </c>
      <c r="E637" s="537"/>
      <c r="F637"/>
      <c r="G637"/>
      <c r="H637" s="537" t="s">
        <v>1269</v>
      </c>
      <c r="I637" s="537" t="s">
        <v>2812</v>
      </c>
      <c r="J637" s="537" t="s">
        <v>18</v>
      </c>
      <c r="K637" s="537" t="s">
        <v>57</v>
      </c>
      <c r="L637" s="61">
        <v>35258</v>
      </c>
      <c r="M637" s="1">
        <v>27</v>
      </c>
      <c r="N637" s="1">
        <v>1400</v>
      </c>
      <c r="P637" s="1">
        <v>2000</v>
      </c>
      <c r="Q637" s="537"/>
      <c r="R637" s="1">
        <v>600</v>
      </c>
      <c r="S637">
        <v>280000</v>
      </c>
      <c r="T637">
        <v>14014</v>
      </c>
      <c r="U637" t="s">
        <v>2639</v>
      </c>
      <c r="V637">
        <v>25620</v>
      </c>
      <c r="W637" s="1">
        <v>45505</v>
      </c>
      <c r="X637" s="537" t="s">
        <v>65</v>
      </c>
      <c r="Y637" s="537" t="s">
        <v>60</v>
      </c>
      <c r="Z637" s="1" t="s">
        <v>410</v>
      </c>
      <c r="AA637" s="537" t="s">
        <v>411</v>
      </c>
      <c r="AB637" s="537" t="s">
        <v>412</v>
      </c>
      <c r="AC637" s="1">
        <v>45192</v>
      </c>
      <c r="AD637" s="61">
        <v>44957</v>
      </c>
      <c r="AE637" s="61"/>
      <c r="AF637" s="61"/>
      <c r="AG637" s="1" t="s">
        <v>2786</v>
      </c>
      <c r="AH637" s="537"/>
      <c r="AI637" s="537"/>
      <c r="AK637" s="537"/>
      <c r="AM637" s="537" t="s">
        <v>2796</v>
      </c>
      <c r="AN637" s="537"/>
    </row>
    <row r="638" spans="1:40" hidden="1">
      <c r="A638" s="537" t="s">
        <v>54</v>
      </c>
      <c r="B638" s="1">
        <v>230205</v>
      </c>
      <c r="D638" s="537" t="s">
        <v>2638</v>
      </c>
      <c r="E638" s="537" t="s">
        <v>3038</v>
      </c>
      <c r="F638" t="s">
        <v>3039</v>
      </c>
      <c r="G638" t="s">
        <v>3040</v>
      </c>
      <c r="H638" s="537" t="s">
        <v>2826</v>
      </c>
      <c r="I638" s="537" t="s">
        <v>2827</v>
      </c>
      <c r="J638" s="537" t="s">
        <v>18</v>
      </c>
      <c r="K638" s="537" t="s">
        <v>57</v>
      </c>
      <c r="L638" s="61">
        <v>35363</v>
      </c>
      <c r="M638" s="1">
        <v>27</v>
      </c>
      <c r="N638" s="1">
        <v>1300</v>
      </c>
      <c r="P638" s="1">
        <v>1800</v>
      </c>
      <c r="Q638" s="537"/>
      <c r="R638" s="1">
        <v>500</v>
      </c>
      <c r="S638">
        <v>300000</v>
      </c>
      <c r="T638">
        <v>15014.999999999998</v>
      </c>
      <c r="U638" t="s">
        <v>2639</v>
      </c>
      <c r="V638">
        <v>27450</v>
      </c>
      <c r="W638" s="1">
        <v>45363</v>
      </c>
      <c r="X638" s="537" t="s">
        <v>65</v>
      </c>
      <c r="Y638" s="537" t="s">
        <v>60</v>
      </c>
      <c r="Z638" s="1" t="s">
        <v>61</v>
      </c>
      <c r="AA638" s="537" t="s">
        <v>2641</v>
      </c>
      <c r="AB638" s="537" t="s">
        <v>244</v>
      </c>
      <c r="AC638" s="1">
        <v>44967</v>
      </c>
      <c r="AD638" s="61">
        <v>44970</v>
      </c>
      <c r="AE638" s="61"/>
      <c r="AF638" s="61"/>
      <c r="AG638" s="1" t="s">
        <v>2828</v>
      </c>
      <c r="AH638" s="537"/>
      <c r="AI638" s="537"/>
      <c r="AK638" s="537"/>
      <c r="AM638" s="537" t="s">
        <v>2808</v>
      </c>
      <c r="AN638" s="537"/>
    </row>
    <row r="639" spans="1:40" hidden="1">
      <c r="A639" s="537" t="s">
        <v>54</v>
      </c>
      <c r="B639" s="1">
        <v>230206</v>
      </c>
      <c r="D639" s="537" t="s">
        <v>2638</v>
      </c>
      <c r="E639" s="537" t="s">
        <v>3038</v>
      </c>
      <c r="F639" t="s">
        <v>3039</v>
      </c>
      <c r="G639" t="s">
        <v>3040</v>
      </c>
      <c r="H639" s="537" t="s">
        <v>2829</v>
      </c>
      <c r="I639" s="537" t="s">
        <v>2830</v>
      </c>
      <c r="J639" s="537" t="s">
        <v>18</v>
      </c>
      <c r="K639" s="537" t="s">
        <v>57</v>
      </c>
      <c r="L639" s="61">
        <v>33303</v>
      </c>
      <c r="M639" s="1">
        <v>32</v>
      </c>
      <c r="N639" s="1">
        <v>1300</v>
      </c>
      <c r="P639" s="1">
        <v>1800</v>
      </c>
      <c r="Q639" s="537"/>
      <c r="R639" s="1">
        <v>500</v>
      </c>
      <c r="S639">
        <v>260000</v>
      </c>
      <c r="T639">
        <v>13013</v>
      </c>
      <c r="U639" t="s">
        <v>2639</v>
      </c>
      <c r="V639">
        <v>23790</v>
      </c>
      <c r="W639" s="1">
        <v>45590</v>
      </c>
      <c r="X639" s="537" t="s">
        <v>65</v>
      </c>
      <c r="Y639" s="537" t="s">
        <v>60</v>
      </c>
      <c r="Z639" s="1" t="s">
        <v>61</v>
      </c>
      <c r="AA639" s="537" t="s">
        <v>2641</v>
      </c>
      <c r="AB639" s="537" t="s">
        <v>70</v>
      </c>
      <c r="AC639" s="1">
        <v>44982</v>
      </c>
      <c r="AD639" s="61">
        <v>44978</v>
      </c>
      <c r="AE639" s="61"/>
      <c r="AF639" s="61"/>
      <c r="AG639" s="1" t="s">
        <v>2814</v>
      </c>
      <c r="AH639" s="537"/>
      <c r="AI639" s="537"/>
      <c r="AK639" s="537"/>
      <c r="AM639" s="537" t="s">
        <v>2831</v>
      </c>
      <c r="AN639" s="537"/>
    </row>
    <row r="640" spans="1:40" hidden="1">
      <c r="A640" s="537" t="s">
        <v>179</v>
      </c>
      <c r="B640" s="1">
        <v>230207</v>
      </c>
      <c r="D640" s="537" t="s">
        <v>1019</v>
      </c>
      <c r="E640" s="537"/>
      <c r="F640"/>
      <c r="G640"/>
      <c r="H640" s="537" t="s">
        <v>2832</v>
      </c>
      <c r="I640" s="537" t="s">
        <v>2833</v>
      </c>
      <c r="J640" s="537" t="s">
        <v>18</v>
      </c>
      <c r="K640" s="537" t="s">
        <v>57</v>
      </c>
      <c r="L640" s="61">
        <v>32586</v>
      </c>
      <c r="M640" s="1">
        <v>34</v>
      </c>
      <c r="N640" s="1">
        <v>1400</v>
      </c>
      <c r="P640" s="1">
        <v>2000</v>
      </c>
      <c r="Q640" s="537"/>
      <c r="R640" s="1">
        <v>600</v>
      </c>
      <c r="S640">
        <v>300000</v>
      </c>
      <c r="T640">
        <v>15014.999999999998</v>
      </c>
      <c r="U640" t="s">
        <v>2639</v>
      </c>
      <c r="V640">
        <v>27450</v>
      </c>
      <c r="W640" s="1">
        <v>45321</v>
      </c>
      <c r="X640" s="537" t="s">
        <v>59</v>
      </c>
      <c r="Y640" s="537" t="s">
        <v>60</v>
      </c>
      <c r="Z640" s="1" t="s">
        <v>1024</v>
      </c>
      <c r="AA640" s="537" t="s">
        <v>1025</v>
      </c>
      <c r="AB640" s="537" t="s">
        <v>2161</v>
      </c>
      <c r="AC640" s="1">
        <v>44977</v>
      </c>
      <c r="AD640" s="61">
        <v>44979</v>
      </c>
      <c r="AE640" s="61">
        <v>45201</v>
      </c>
      <c r="AF640" s="61"/>
      <c r="AG640" s="1" t="s">
        <v>2814</v>
      </c>
      <c r="AH640" s="537"/>
      <c r="AI640" s="537"/>
      <c r="AK640" s="537"/>
      <c r="AM640" s="537" t="s">
        <v>2834</v>
      </c>
      <c r="AN640" s="537"/>
    </row>
    <row r="641" spans="1:40" hidden="1">
      <c r="A641" s="537" t="s">
        <v>54</v>
      </c>
      <c r="B641" s="1">
        <v>230208</v>
      </c>
      <c r="D641" s="537" t="s">
        <v>1019</v>
      </c>
      <c r="E641" s="537"/>
      <c r="F641"/>
      <c r="G641"/>
      <c r="H641" s="537" t="s">
        <v>2835</v>
      </c>
      <c r="I641" s="537" t="s">
        <v>2836</v>
      </c>
      <c r="J641" s="537" t="s">
        <v>18</v>
      </c>
      <c r="K641" s="537" t="s">
        <v>57</v>
      </c>
      <c r="L641" s="61">
        <v>30351</v>
      </c>
      <c r="M641" s="1">
        <v>40</v>
      </c>
      <c r="N641" s="1">
        <v>1500</v>
      </c>
      <c r="P641" s="1">
        <v>2000</v>
      </c>
      <c r="Q641" s="537"/>
      <c r="R641" s="1">
        <v>500</v>
      </c>
      <c r="S641">
        <v>280000</v>
      </c>
      <c r="T641">
        <v>14014</v>
      </c>
      <c r="U641">
        <v>2548</v>
      </c>
      <c r="V641">
        <v>25620</v>
      </c>
      <c r="W641" s="1">
        <v>46234</v>
      </c>
      <c r="X641" s="537" t="s">
        <v>65</v>
      </c>
      <c r="Y641" s="537" t="s">
        <v>60</v>
      </c>
      <c r="Z641" s="1" t="s">
        <v>1321</v>
      </c>
      <c r="AA641" s="537" t="s">
        <v>1322</v>
      </c>
      <c r="AB641" s="537" t="s">
        <v>2837</v>
      </c>
      <c r="AC641" s="1">
        <v>44977</v>
      </c>
      <c r="AD641" s="61">
        <v>44979</v>
      </c>
      <c r="AE641" s="61"/>
      <c r="AF641" s="61"/>
      <c r="AG641" s="1" t="s">
        <v>2814</v>
      </c>
      <c r="AH641" s="537"/>
      <c r="AI641" s="537"/>
      <c r="AK641" s="537"/>
      <c r="AM641" s="537" t="s">
        <v>2834</v>
      </c>
      <c r="AN641" s="537"/>
    </row>
    <row r="642" spans="1:40" hidden="1">
      <c r="A642" s="537" t="s">
        <v>54</v>
      </c>
      <c r="B642" s="1">
        <v>230209</v>
      </c>
      <c r="D642" s="537" t="s">
        <v>1019</v>
      </c>
      <c r="E642" s="537"/>
      <c r="F642"/>
      <c r="G642"/>
      <c r="H642" s="537" t="s">
        <v>2838</v>
      </c>
      <c r="I642" s="537" t="s">
        <v>2839</v>
      </c>
      <c r="J642" s="537" t="s">
        <v>18</v>
      </c>
      <c r="K642" s="537" t="s">
        <v>57</v>
      </c>
      <c r="L642" s="61">
        <v>33629</v>
      </c>
      <c r="M642" s="1">
        <v>31</v>
      </c>
      <c r="N642" s="1">
        <v>1500</v>
      </c>
      <c r="P642" s="1">
        <v>2000</v>
      </c>
      <c r="Q642" s="537"/>
      <c r="R642" s="1">
        <v>500</v>
      </c>
      <c r="S642">
        <v>320000</v>
      </c>
      <c r="T642">
        <v>16015.999999999998</v>
      </c>
      <c r="U642" t="s">
        <v>2639</v>
      </c>
      <c r="V642">
        <v>29280</v>
      </c>
      <c r="W642" s="1">
        <v>45805</v>
      </c>
      <c r="X642" s="537" t="s">
        <v>65</v>
      </c>
      <c r="Y642" s="537" t="s">
        <v>60</v>
      </c>
      <c r="Z642" s="1" t="s">
        <v>1024</v>
      </c>
      <c r="AA642" s="537" t="s">
        <v>1025</v>
      </c>
      <c r="AB642" s="537" t="s">
        <v>1026</v>
      </c>
      <c r="AC642" s="1">
        <v>44977</v>
      </c>
      <c r="AD642" s="61">
        <v>44979</v>
      </c>
      <c r="AE642" s="61"/>
      <c r="AF642" s="61"/>
      <c r="AG642" s="1" t="s">
        <v>2840</v>
      </c>
      <c r="AH642" s="537"/>
      <c r="AI642" s="537"/>
      <c r="AK642" s="537"/>
      <c r="AM642" s="537" t="s">
        <v>2808</v>
      </c>
      <c r="AN642" s="537"/>
    </row>
    <row r="643" spans="1:40" hidden="1">
      <c r="A643" s="537" t="s">
        <v>54</v>
      </c>
      <c r="B643" s="1">
        <v>230210</v>
      </c>
      <c r="D643" s="537" t="s">
        <v>1019</v>
      </c>
      <c r="E643" s="537"/>
      <c r="F643"/>
      <c r="G643"/>
      <c r="H643" s="537" t="s">
        <v>2841</v>
      </c>
      <c r="I643" s="537" t="s">
        <v>2842</v>
      </c>
      <c r="J643" s="537" t="s">
        <v>18</v>
      </c>
      <c r="K643" s="537" t="s">
        <v>57</v>
      </c>
      <c r="L643" s="61">
        <v>32567</v>
      </c>
      <c r="M643" s="1">
        <v>34</v>
      </c>
      <c r="N643" s="1">
        <v>1500</v>
      </c>
      <c r="P643" s="1">
        <v>2000</v>
      </c>
      <c r="Q643" s="537"/>
      <c r="R643" s="1">
        <v>500</v>
      </c>
      <c r="S643">
        <v>320000</v>
      </c>
      <c r="T643">
        <v>16015.999999999998</v>
      </c>
      <c r="U643" t="s">
        <v>2639</v>
      </c>
      <c r="V643">
        <v>29280</v>
      </c>
      <c r="W643" s="1">
        <v>46334</v>
      </c>
      <c r="X643" s="537" t="s">
        <v>65</v>
      </c>
      <c r="Y643" s="537" t="s">
        <v>60</v>
      </c>
      <c r="Z643" s="1" t="s">
        <v>1024</v>
      </c>
      <c r="AA643" s="537" t="s">
        <v>3127</v>
      </c>
      <c r="AB643" s="537" t="s">
        <v>3128</v>
      </c>
      <c r="AC643" s="1" t="s">
        <v>63</v>
      </c>
      <c r="AD643" s="61">
        <v>44979</v>
      </c>
      <c r="AE643" s="61"/>
      <c r="AF643" s="61"/>
      <c r="AG643" s="1" t="s">
        <v>2814</v>
      </c>
      <c r="AH643" s="537"/>
      <c r="AI643" s="537"/>
      <c r="AK643" s="537"/>
      <c r="AM643" s="537" t="s">
        <v>2843</v>
      </c>
      <c r="AN643" s="537"/>
    </row>
    <row r="644" spans="1:40" hidden="1">
      <c r="A644" s="537" t="s">
        <v>54</v>
      </c>
      <c r="B644" s="1">
        <v>230211</v>
      </c>
      <c r="D644" s="537" t="s">
        <v>1019</v>
      </c>
      <c r="E644" s="537"/>
      <c r="F644"/>
      <c r="G644"/>
      <c r="H644" s="537" t="s">
        <v>2844</v>
      </c>
      <c r="I644" s="537" t="s">
        <v>2845</v>
      </c>
      <c r="J644" s="537" t="s">
        <v>18</v>
      </c>
      <c r="K644" s="537" t="s">
        <v>57</v>
      </c>
      <c r="L644" s="61">
        <v>32022</v>
      </c>
      <c r="M644" s="1">
        <v>36</v>
      </c>
      <c r="N644" s="1">
        <v>1600</v>
      </c>
      <c r="P644" s="1">
        <v>2100</v>
      </c>
      <c r="Q644" s="537"/>
      <c r="R644" s="1">
        <v>500</v>
      </c>
      <c r="S644">
        <v>360000</v>
      </c>
      <c r="T644">
        <v>18018</v>
      </c>
      <c r="U644" t="s">
        <v>2639</v>
      </c>
      <c r="V644">
        <v>32940</v>
      </c>
      <c r="W644" s="1">
        <v>46230</v>
      </c>
      <c r="X644" s="537" t="s">
        <v>65</v>
      </c>
      <c r="Y644" s="537" t="s">
        <v>60</v>
      </c>
      <c r="Z644" s="1" t="s">
        <v>1321</v>
      </c>
      <c r="AA644" s="537" t="s">
        <v>1322</v>
      </c>
      <c r="AB644" s="537" t="s">
        <v>2837</v>
      </c>
      <c r="AC644" s="1">
        <v>44977</v>
      </c>
      <c r="AD644" s="61">
        <v>44979</v>
      </c>
      <c r="AE644" s="61"/>
      <c r="AF644" s="61"/>
      <c r="AG644" s="1" t="s">
        <v>2814</v>
      </c>
      <c r="AH644" s="537"/>
      <c r="AI644" s="537"/>
      <c r="AK644" s="537"/>
      <c r="AM644" s="537" t="s">
        <v>2843</v>
      </c>
      <c r="AN644" s="537"/>
    </row>
    <row r="645" spans="1:40" hidden="1">
      <c r="A645" s="537" t="s">
        <v>179</v>
      </c>
      <c r="B645" s="1">
        <v>230221</v>
      </c>
      <c r="D645" s="537" t="s">
        <v>385</v>
      </c>
      <c r="E645" s="537"/>
      <c r="F645"/>
      <c r="G645"/>
      <c r="H645" s="537" t="s">
        <v>2875</v>
      </c>
      <c r="I645" s="537" t="s">
        <v>2876</v>
      </c>
      <c r="J645" s="537" t="s">
        <v>17</v>
      </c>
      <c r="K645" s="537" t="s">
        <v>57</v>
      </c>
      <c r="L645" s="61">
        <v>33120</v>
      </c>
      <c r="M645" s="1">
        <v>33</v>
      </c>
      <c r="N645" s="1">
        <v>1500</v>
      </c>
      <c r="P645" s="1">
        <v>2200</v>
      </c>
      <c r="Q645" s="537"/>
      <c r="R645" s="1">
        <v>700</v>
      </c>
      <c r="S645">
        <v>300000</v>
      </c>
      <c r="T645">
        <v>15014.999999999998</v>
      </c>
      <c r="U645" t="s">
        <v>2639</v>
      </c>
      <c r="V645">
        <v>27450</v>
      </c>
      <c r="W645" s="1">
        <v>45451</v>
      </c>
      <c r="X645" s="537" t="s">
        <v>65</v>
      </c>
      <c r="Y645" s="537" t="s">
        <v>60</v>
      </c>
      <c r="Z645" s="1" t="s">
        <v>494</v>
      </c>
      <c r="AA645" s="537" t="s">
        <v>495</v>
      </c>
      <c r="AB645" s="537" t="s">
        <v>496</v>
      </c>
      <c r="AC645" s="1">
        <v>44984</v>
      </c>
      <c r="AD645" s="61">
        <v>44985</v>
      </c>
      <c r="AE645" s="61">
        <v>45208</v>
      </c>
      <c r="AF645" s="61"/>
      <c r="AG645" s="1" t="s">
        <v>2814</v>
      </c>
      <c r="AH645" s="537"/>
      <c r="AI645" s="537"/>
      <c r="AK645" s="537"/>
      <c r="AM645" s="537" t="s">
        <v>2831</v>
      </c>
      <c r="AN645" s="537"/>
    </row>
    <row r="646" spans="1:40" hidden="1">
      <c r="A646" s="537" t="s">
        <v>54</v>
      </c>
      <c r="B646" s="1">
        <v>230311</v>
      </c>
      <c r="D646" s="537" t="s">
        <v>1492</v>
      </c>
      <c r="E646" s="537"/>
      <c r="F646"/>
      <c r="G646"/>
      <c r="H646" s="537" t="s">
        <v>2903</v>
      </c>
      <c r="I646" s="537" t="s">
        <v>2904</v>
      </c>
      <c r="J646" s="537" t="s">
        <v>18</v>
      </c>
      <c r="K646" s="537" t="s">
        <v>57</v>
      </c>
      <c r="L646" s="61">
        <v>35364</v>
      </c>
      <c r="M646" s="1">
        <v>27</v>
      </c>
      <c r="N646" s="1">
        <v>1400</v>
      </c>
      <c r="P646" s="1">
        <v>1900</v>
      </c>
      <c r="Q646" s="537"/>
      <c r="R646" s="1">
        <v>500</v>
      </c>
      <c r="S646">
        <v>240000</v>
      </c>
      <c r="T646">
        <v>12012</v>
      </c>
      <c r="U646" t="s">
        <v>2639</v>
      </c>
      <c r="V646">
        <v>21960</v>
      </c>
      <c r="W646" s="1">
        <v>45643</v>
      </c>
      <c r="X646" s="537" t="s">
        <v>65</v>
      </c>
      <c r="Y646" s="537" t="s">
        <v>60</v>
      </c>
      <c r="Z646" s="1" t="s">
        <v>2071</v>
      </c>
      <c r="AA646" s="537" t="s">
        <v>2072</v>
      </c>
      <c r="AB646" s="537" t="s">
        <v>2073</v>
      </c>
      <c r="AC646" s="1">
        <v>44993</v>
      </c>
      <c r="AD646" s="61">
        <v>44994</v>
      </c>
      <c r="AE646" s="61"/>
      <c r="AF646" s="61"/>
      <c r="AG646" s="1" t="s">
        <v>2877</v>
      </c>
      <c r="AH646" s="537"/>
      <c r="AI646" s="537"/>
      <c r="AK646" s="537"/>
      <c r="AM646" s="537" t="s">
        <v>2834</v>
      </c>
      <c r="AN646" s="537"/>
    </row>
    <row r="647" spans="1:40" hidden="1">
      <c r="A647" s="537" t="s">
        <v>54</v>
      </c>
      <c r="B647" s="1">
        <v>230312</v>
      </c>
      <c r="D647" s="537" t="s">
        <v>1603</v>
      </c>
      <c r="E647" s="537"/>
      <c r="F647"/>
      <c r="G647"/>
      <c r="H647" s="537" t="s">
        <v>2905</v>
      </c>
      <c r="I647" s="537" t="s">
        <v>2906</v>
      </c>
      <c r="J647" s="537" t="s">
        <v>18</v>
      </c>
      <c r="K647" s="537" t="s">
        <v>57</v>
      </c>
      <c r="L647" s="61">
        <v>34862</v>
      </c>
      <c r="M647" s="1">
        <v>28</v>
      </c>
      <c r="N647" s="1">
        <v>1400</v>
      </c>
      <c r="P647" s="1">
        <v>1900</v>
      </c>
      <c r="Q647" s="537"/>
      <c r="R647" s="1">
        <v>500</v>
      </c>
      <c r="S647">
        <v>260000</v>
      </c>
      <c r="T647">
        <v>13013</v>
      </c>
      <c r="U647" t="s">
        <v>2639</v>
      </c>
      <c r="V647">
        <v>23790</v>
      </c>
      <c r="W647" s="1">
        <v>45769</v>
      </c>
      <c r="X647" s="537" t="s">
        <v>65</v>
      </c>
      <c r="Y647" s="537" t="s">
        <v>60</v>
      </c>
      <c r="Z647" s="1" t="s">
        <v>1766</v>
      </c>
      <c r="AA647" s="537" t="s">
        <v>2687</v>
      </c>
      <c r="AB647" s="537" t="s">
        <v>1768</v>
      </c>
      <c r="AD647" s="61">
        <v>44995</v>
      </c>
      <c r="AE647" s="61"/>
      <c r="AF647" s="61"/>
      <c r="AG647" s="1" t="s">
        <v>2877</v>
      </c>
      <c r="AH647" s="537"/>
      <c r="AI647" s="537"/>
      <c r="AK647" s="537"/>
      <c r="AM647" s="537" t="s">
        <v>2834</v>
      </c>
      <c r="AN647" s="537"/>
    </row>
    <row r="648" spans="1:40" hidden="1">
      <c r="A648" s="537" t="s">
        <v>54</v>
      </c>
      <c r="B648" s="1">
        <v>230314</v>
      </c>
      <c r="D648" s="537" t="s">
        <v>1019</v>
      </c>
      <c r="E648" s="537"/>
      <c r="F648"/>
      <c r="G648"/>
      <c r="H648" s="537" t="s">
        <v>2911</v>
      </c>
      <c r="I648" s="537" t="s">
        <v>2912</v>
      </c>
      <c r="J648" s="537" t="s">
        <v>18</v>
      </c>
      <c r="K648" s="537" t="s">
        <v>57</v>
      </c>
      <c r="L648" s="61">
        <v>32551</v>
      </c>
      <c r="M648" s="1">
        <v>34</v>
      </c>
      <c r="N648" s="1">
        <v>1500</v>
      </c>
      <c r="P648" s="1">
        <v>2000</v>
      </c>
      <c r="Q648" s="537"/>
      <c r="R648" s="1">
        <v>500</v>
      </c>
      <c r="S648">
        <v>320000</v>
      </c>
      <c r="T648">
        <v>16015.999999999998</v>
      </c>
      <c r="U648" t="s">
        <v>2639</v>
      </c>
      <c r="V648">
        <v>29280</v>
      </c>
      <c r="W648" s="1">
        <v>45965</v>
      </c>
      <c r="X648" s="537" t="s">
        <v>65</v>
      </c>
      <c r="Y648" s="537" t="s">
        <v>60</v>
      </c>
      <c r="Z648" s="1" t="s">
        <v>1024</v>
      </c>
      <c r="AA648" s="537" t="s">
        <v>1025</v>
      </c>
      <c r="AB648" s="537" t="s">
        <v>2161</v>
      </c>
      <c r="AC648" s="1">
        <v>44998</v>
      </c>
      <c r="AD648" s="61">
        <v>44999</v>
      </c>
      <c r="AE648" s="61"/>
      <c r="AF648" s="61"/>
      <c r="AG648" s="1" t="s">
        <v>2877</v>
      </c>
      <c r="AH648" s="537"/>
      <c r="AI648" s="537"/>
      <c r="AK648" s="537"/>
      <c r="AM648" s="537" t="s">
        <v>2881</v>
      </c>
      <c r="AN648" s="537"/>
    </row>
    <row r="649" spans="1:40" hidden="1">
      <c r="A649" s="537" t="s">
        <v>54</v>
      </c>
      <c r="B649" s="1">
        <v>230316</v>
      </c>
      <c r="D649" s="537" t="s">
        <v>1019</v>
      </c>
      <c r="E649" s="537"/>
      <c r="F649"/>
      <c r="G649"/>
      <c r="H649" s="537" t="s">
        <v>2916</v>
      </c>
      <c r="I649" s="537" t="s">
        <v>2917</v>
      </c>
      <c r="J649" s="537" t="s">
        <v>18</v>
      </c>
      <c r="K649" s="537" t="s">
        <v>57</v>
      </c>
      <c r="L649" s="61">
        <v>30667</v>
      </c>
      <c r="M649" s="1">
        <v>39</v>
      </c>
      <c r="N649" s="1">
        <v>1600</v>
      </c>
      <c r="P649" s="1">
        <v>2100</v>
      </c>
      <c r="Q649" s="537"/>
      <c r="R649" s="1">
        <v>500</v>
      </c>
      <c r="S649">
        <v>360000</v>
      </c>
      <c r="T649">
        <v>18018</v>
      </c>
      <c r="U649" t="s">
        <v>2639</v>
      </c>
      <c r="V649">
        <v>32940</v>
      </c>
      <c r="W649" s="1">
        <v>45549</v>
      </c>
      <c r="X649" s="537" t="s">
        <v>65</v>
      </c>
      <c r="Y649" s="537" t="s">
        <v>60</v>
      </c>
      <c r="Z649" s="1" t="s">
        <v>1024</v>
      </c>
      <c r="AA649" s="537" t="s">
        <v>1025</v>
      </c>
      <c r="AB649" s="537" t="s">
        <v>2161</v>
      </c>
      <c r="AC649" s="1">
        <v>45007</v>
      </c>
      <c r="AD649" s="61">
        <v>45007</v>
      </c>
      <c r="AE649" s="61"/>
      <c r="AF649" s="61"/>
      <c r="AG649" s="1" t="s">
        <v>2877</v>
      </c>
      <c r="AH649" s="537"/>
      <c r="AI649" s="537"/>
      <c r="AK649" s="537"/>
      <c r="AM649" s="537" t="s">
        <v>3139</v>
      </c>
      <c r="AN649" s="537"/>
    </row>
    <row r="650" spans="1:40" hidden="1">
      <c r="A650" s="537" t="s">
        <v>54</v>
      </c>
      <c r="B650" s="1">
        <v>230326</v>
      </c>
      <c r="D650" s="537" t="s">
        <v>1066</v>
      </c>
      <c r="E650" s="537" t="s">
        <v>3058</v>
      </c>
      <c r="F650" t="s">
        <v>3059</v>
      </c>
      <c r="G650" t="s">
        <v>3060</v>
      </c>
      <c r="H650" s="537" t="s">
        <v>2938</v>
      </c>
      <c r="I650" s="537" t="s">
        <v>2939</v>
      </c>
      <c r="J650" s="537" t="s">
        <v>18</v>
      </c>
      <c r="K650" s="537" t="s">
        <v>57</v>
      </c>
      <c r="L650" s="61">
        <v>33252</v>
      </c>
      <c r="M650" s="1">
        <v>32</v>
      </c>
      <c r="N650" s="1">
        <v>1300</v>
      </c>
      <c r="P650" s="1">
        <v>1700</v>
      </c>
      <c r="Q650" s="537"/>
      <c r="R650" s="1">
        <v>400</v>
      </c>
      <c r="S650">
        <v>240000</v>
      </c>
      <c r="T650">
        <v>12012</v>
      </c>
      <c r="U650" t="s">
        <v>2639</v>
      </c>
      <c r="V650">
        <v>21960</v>
      </c>
      <c r="W650" s="1">
        <v>45421</v>
      </c>
      <c r="X650" s="537" t="s">
        <v>65</v>
      </c>
      <c r="Y650" s="537" t="s">
        <v>60</v>
      </c>
      <c r="Z650" s="1" t="s">
        <v>1070</v>
      </c>
      <c r="AA650" s="537" t="s">
        <v>1169</v>
      </c>
      <c r="AB650" s="537" t="s">
        <v>3461</v>
      </c>
      <c r="AD650" s="61">
        <v>45014</v>
      </c>
      <c r="AE650" s="61"/>
      <c r="AF650" s="61"/>
      <c r="AG650" s="1" t="s">
        <v>2877</v>
      </c>
      <c r="AH650" s="537"/>
      <c r="AI650" s="537"/>
      <c r="AK650" s="537"/>
      <c r="AM650" s="537" t="s">
        <v>3139</v>
      </c>
      <c r="AN650" s="537"/>
    </row>
    <row r="651" spans="1:40" hidden="1">
      <c r="A651" s="537" t="s">
        <v>54</v>
      </c>
      <c r="B651" s="1">
        <v>230402</v>
      </c>
      <c r="D651" s="537" t="s">
        <v>1066</v>
      </c>
      <c r="E651" s="537" t="s">
        <v>3058</v>
      </c>
      <c r="F651" t="s">
        <v>3059</v>
      </c>
      <c r="G651" t="s">
        <v>3060</v>
      </c>
      <c r="H651" s="537" t="s">
        <v>331</v>
      </c>
      <c r="I651" s="537" t="s">
        <v>3153</v>
      </c>
      <c r="J651" s="537" t="s">
        <v>18</v>
      </c>
      <c r="K651" s="537" t="s">
        <v>57</v>
      </c>
      <c r="L651" s="61">
        <v>36751</v>
      </c>
      <c r="M651" s="1">
        <v>23</v>
      </c>
      <c r="N651" s="1">
        <v>1200</v>
      </c>
      <c r="P651" s="1">
        <v>1700</v>
      </c>
      <c r="Q651" s="537"/>
      <c r="R651" s="1">
        <v>500</v>
      </c>
      <c r="S651">
        <v>220000</v>
      </c>
      <c r="T651">
        <v>11011</v>
      </c>
      <c r="U651" t="s">
        <v>2639</v>
      </c>
      <c r="V651">
        <v>20130</v>
      </c>
      <c r="W651" s="1">
        <v>45387</v>
      </c>
      <c r="X651" s="537" t="s">
        <v>65</v>
      </c>
      <c r="Y651" s="537" t="s">
        <v>60</v>
      </c>
      <c r="Z651" s="1" t="s">
        <v>1070</v>
      </c>
      <c r="AA651" s="537" t="s">
        <v>1169</v>
      </c>
      <c r="AB651" s="537" t="s">
        <v>3461</v>
      </c>
      <c r="AD651" s="61">
        <v>45026</v>
      </c>
      <c r="AE651" s="61"/>
      <c r="AF651" s="61"/>
      <c r="AG651" s="1" t="s">
        <v>3145</v>
      </c>
      <c r="AH651" s="537"/>
      <c r="AI651" s="537"/>
      <c r="AK651" s="537"/>
      <c r="AM651" s="537" t="s">
        <v>3146</v>
      </c>
      <c r="AN651" s="537"/>
    </row>
    <row r="652" spans="1:40" hidden="1">
      <c r="A652" s="537" t="s">
        <v>54</v>
      </c>
      <c r="B652" s="1">
        <v>230405</v>
      </c>
      <c r="D652" s="537" t="s">
        <v>962</v>
      </c>
      <c r="E652" s="537" t="s">
        <v>3043</v>
      </c>
      <c r="F652" t="s">
        <v>3044</v>
      </c>
      <c r="G652" t="s">
        <v>3045</v>
      </c>
      <c r="H652" s="537" t="s">
        <v>3154</v>
      </c>
      <c r="I652" s="537" t="s">
        <v>3155</v>
      </c>
      <c r="J652" s="537" t="s">
        <v>18</v>
      </c>
      <c r="K652" s="537" t="s">
        <v>57</v>
      </c>
      <c r="L652" s="61">
        <v>32613</v>
      </c>
      <c r="M652" s="1">
        <v>34</v>
      </c>
      <c r="N652" s="1">
        <v>1300</v>
      </c>
      <c r="P652" s="1">
        <v>1650</v>
      </c>
      <c r="Q652" s="537"/>
      <c r="R652" s="1">
        <v>350</v>
      </c>
      <c r="S652">
        <v>180000</v>
      </c>
      <c r="T652">
        <v>9009</v>
      </c>
      <c r="U652" t="s">
        <v>2639</v>
      </c>
      <c r="V652">
        <v>16470</v>
      </c>
      <c r="W652" s="1">
        <v>45732</v>
      </c>
      <c r="X652" s="537" t="s">
        <v>65</v>
      </c>
      <c r="Y652" s="537" t="s">
        <v>60</v>
      </c>
      <c r="Z652" s="1" t="s">
        <v>1615</v>
      </c>
      <c r="AA652" s="537" t="s">
        <v>1616</v>
      </c>
      <c r="AB652" s="537" t="s">
        <v>1617</v>
      </c>
      <c r="AC652" s="1">
        <v>45034</v>
      </c>
      <c r="AD652" s="61">
        <v>45034</v>
      </c>
      <c r="AE652" s="61"/>
      <c r="AF652" s="61"/>
      <c r="AG652" s="1" t="s">
        <v>3145</v>
      </c>
      <c r="AH652" s="537"/>
      <c r="AI652" s="537"/>
      <c r="AK652" s="537"/>
      <c r="AM652" s="537" t="s">
        <v>3156</v>
      </c>
      <c r="AN652" s="537"/>
    </row>
    <row r="653" spans="1:40" hidden="1">
      <c r="A653" s="537" t="s">
        <v>179</v>
      </c>
      <c r="B653" s="1">
        <v>230407</v>
      </c>
      <c r="D653" s="537" t="s">
        <v>1066</v>
      </c>
      <c r="E653" s="537" t="s">
        <v>3058</v>
      </c>
      <c r="F653" t="s">
        <v>3059</v>
      </c>
      <c r="G653" t="s">
        <v>3060</v>
      </c>
      <c r="H653" s="537" t="s">
        <v>3157</v>
      </c>
      <c r="I653" s="537" t="s">
        <v>3158</v>
      </c>
      <c r="J653" s="537" t="s">
        <v>18</v>
      </c>
      <c r="K653" s="537" t="s">
        <v>57</v>
      </c>
      <c r="L653" s="61">
        <v>30803</v>
      </c>
      <c r="M653" s="1">
        <v>39</v>
      </c>
      <c r="N653" s="1">
        <v>1300</v>
      </c>
      <c r="P653" s="1">
        <v>1700</v>
      </c>
      <c r="Q653" s="537"/>
      <c r="R653" s="1">
        <v>400</v>
      </c>
      <c r="S653">
        <v>180000</v>
      </c>
      <c r="T653">
        <v>9009</v>
      </c>
      <c r="U653" t="s">
        <v>2639</v>
      </c>
      <c r="V653">
        <v>16470</v>
      </c>
      <c r="W653" s="1">
        <v>45548</v>
      </c>
      <c r="X653" s="537" t="s">
        <v>65</v>
      </c>
      <c r="Y653" s="537" t="s">
        <v>60</v>
      </c>
      <c r="Z653" s="1" t="s">
        <v>1070</v>
      </c>
      <c r="AA653" s="537" t="s">
        <v>2736</v>
      </c>
      <c r="AB653" s="537" t="s">
        <v>1184</v>
      </c>
      <c r="AD653" s="61">
        <v>45040</v>
      </c>
      <c r="AE653" s="61">
        <v>45190</v>
      </c>
      <c r="AF653" s="61"/>
      <c r="AG653" s="1" t="s">
        <v>3145</v>
      </c>
      <c r="AH653" s="537"/>
      <c r="AI653" s="537"/>
      <c r="AK653" s="537"/>
      <c r="AM653" s="537" t="s">
        <v>3159</v>
      </c>
      <c r="AN653" s="537"/>
    </row>
    <row r="654" spans="1:40" hidden="1">
      <c r="A654" s="537" t="s">
        <v>54</v>
      </c>
      <c r="B654" s="1">
        <v>230406</v>
      </c>
      <c r="D654" s="537" t="s">
        <v>962</v>
      </c>
      <c r="E654" s="537" t="s">
        <v>3043</v>
      </c>
      <c r="F654" t="s">
        <v>3044</v>
      </c>
      <c r="G654" t="s">
        <v>3045</v>
      </c>
      <c r="H654" s="537" t="s">
        <v>3160</v>
      </c>
      <c r="I654" s="537" t="s">
        <v>3161</v>
      </c>
      <c r="J654" s="537" t="s">
        <v>18</v>
      </c>
      <c r="K654" s="537" t="s">
        <v>57</v>
      </c>
      <c r="L654" s="61">
        <v>35515</v>
      </c>
      <c r="M654" s="1">
        <v>26</v>
      </c>
      <c r="N654" s="1">
        <v>1300</v>
      </c>
      <c r="P654" s="1">
        <v>1650</v>
      </c>
      <c r="Q654" s="537"/>
      <c r="R654" s="1">
        <v>350</v>
      </c>
      <c r="S654">
        <v>180000</v>
      </c>
      <c r="T654">
        <v>9009</v>
      </c>
      <c r="U654" t="s">
        <v>2639</v>
      </c>
      <c r="V654">
        <v>16470</v>
      </c>
      <c r="W654" s="1">
        <v>45796</v>
      </c>
      <c r="X654" s="537" t="s">
        <v>65</v>
      </c>
      <c r="Y654" s="537" t="s">
        <v>60</v>
      </c>
      <c r="Z654" s="1" t="s">
        <v>3162</v>
      </c>
      <c r="AA654" s="537" t="s">
        <v>3163</v>
      </c>
      <c r="AB654" s="537" t="s">
        <v>3164</v>
      </c>
      <c r="AC654" s="1">
        <v>45042</v>
      </c>
      <c r="AD654" s="61">
        <v>45040</v>
      </c>
      <c r="AE654" s="61"/>
      <c r="AF654" s="61"/>
      <c r="AG654" s="1" t="s">
        <v>3145</v>
      </c>
      <c r="AH654" s="537"/>
      <c r="AI654" s="537"/>
      <c r="AK654" s="537"/>
      <c r="AM654" s="537" t="s">
        <v>3159</v>
      </c>
      <c r="AN654" s="537"/>
    </row>
    <row r="655" spans="1:40" hidden="1">
      <c r="A655" s="537" t="s">
        <v>179</v>
      </c>
      <c r="B655" s="1">
        <v>230408</v>
      </c>
      <c r="D655" s="537" t="s">
        <v>962</v>
      </c>
      <c r="E655" s="537" t="s">
        <v>3043</v>
      </c>
      <c r="F655" t="s">
        <v>3044</v>
      </c>
      <c r="G655" t="s">
        <v>3045</v>
      </c>
      <c r="H655" s="537" t="s">
        <v>3165</v>
      </c>
      <c r="I655" s="537" t="s">
        <v>3166</v>
      </c>
      <c r="J655" s="537" t="s">
        <v>18</v>
      </c>
      <c r="K655" s="537" t="s">
        <v>57</v>
      </c>
      <c r="L655" s="61">
        <v>34351</v>
      </c>
      <c r="M655" s="1">
        <v>29</v>
      </c>
      <c r="N655" s="1">
        <v>1300</v>
      </c>
      <c r="P655" s="1">
        <v>1650</v>
      </c>
      <c r="Q655" s="537"/>
      <c r="R655" s="1">
        <v>350</v>
      </c>
      <c r="S655">
        <v>180000</v>
      </c>
      <c r="T655">
        <v>9009</v>
      </c>
      <c r="U655" t="s">
        <v>2639</v>
      </c>
      <c r="V655">
        <v>16470</v>
      </c>
      <c r="W655" s="1">
        <v>45459</v>
      </c>
      <c r="X655" s="537" t="s">
        <v>65</v>
      </c>
      <c r="Y655" s="537" t="s">
        <v>60</v>
      </c>
      <c r="Z655" s="1" t="s">
        <v>3162</v>
      </c>
      <c r="AA655" s="537" t="s">
        <v>3163</v>
      </c>
      <c r="AB655" s="537" t="s">
        <v>3164</v>
      </c>
      <c r="AC655" s="1">
        <v>45042</v>
      </c>
      <c r="AD655" s="61">
        <v>45043</v>
      </c>
      <c r="AE655" s="61">
        <v>45065</v>
      </c>
      <c r="AF655" s="61"/>
      <c r="AG655" s="1" t="s">
        <v>3145</v>
      </c>
      <c r="AH655" s="537"/>
      <c r="AI655" s="537"/>
      <c r="AK655" s="537"/>
      <c r="AM655" s="537" t="s">
        <v>3159</v>
      </c>
      <c r="AN655" s="537"/>
    </row>
    <row r="656" spans="1:40" hidden="1">
      <c r="A656" s="537" t="s">
        <v>54</v>
      </c>
      <c r="B656" s="1">
        <v>230501</v>
      </c>
      <c r="D656" s="537" t="s">
        <v>2278</v>
      </c>
      <c r="E656" s="537" t="s">
        <v>2707</v>
      </c>
      <c r="F656" t="s">
        <v>2707</v>
      </c>
      <c r="G656" t="s">
        <v>3103</v>
      </c>
      <c r="H656" s="537" t="s">
        <v>3167</v>
      </c>
      <c r="I656" s="537" t="s">
        <v>3168</v>
      </c>
      <c r="J656" s="537" t="s">
        <v>18</v>
      </c>
      <c r="K656" s="537" t="s">
        <v>57</v>
      </c>
      <c r="L656" s="61">
        <v>34695</v>
      </c>
      <c r="M656" s="1">
        <v>28</v>
      </c>
      <c r="N656" s="1">
        <v>1350</v>
      </c>
      <c r="P656" s="1">
        <v>1800</v>
      </c>
      <c r="Q656" s="537"/>
      <c r="R656" s="1">
        <v>450</v>
      </c>
      <c r="S656">
        <v>180000</v>
      </c>
      <c r="T656">
        <v>9009</v>
      </c>
      <c r="U656" t="s">
        <v>2639</v>
      </c>
      <c r="V656">
        <v>16470</v>
      </c>
      <c r="W656" s="1">
        <v>46119</v>
      </c>
      <c r="X656" s="537" t="s">
        <v>65</v>
      </c>
      <c r="Y656" s="537" t="s">
        <v>60</v>
      </c>
      <c r="Z656" s="1" t="s">
        <v>2453</v>
      </c>
      <c r="AA656" s="537" t="s">
        <v>3169</v>
      </c>
      <c r="AB656" s="537" t="s">
        <v>3170</v>
      </c>
      <c r="AC656" s="1">
        <v>45055</v>
      </c>
      <c r="AD656" s="61">
        <v>45056</v>
      </c>
      <c r="AE656" s="61"/>
      <c r="AF656" s="61"/>
      <c r="AG656" s="1" t="s">
        <v>3171</v>
      </c>
      <c r="AH656" s="537"/>
      <c r="AI656" s="537"/>
      <c r="AK656" s="537"/>
      <c r="AM656" s="537" t="s">
        <v>3172</v>
      </c>
      <c r="AN656" s="537"/>
    </row>
    <row r="657" spans="1:40" hidden="1">
      <c r="A657" s="537" t="s">
        <v>54</v>
      </c>
      <c r="B657" s="1">
        <v>230507</v>
      </c>
      <c r="D657" s="537" t="s">
        <v>1066</v>
      </c>
      <c r="E657" s="537" t="s">
        <v>3058</v>
      </c>
      <c r="F657" t="s">
        <v>3059</v>
      </c>
      <c r="G657" t="s">
        <v>3060</v>
      </c>
      <c r="H657" s="537" t="s">
        <v>3187</v>
      </c>
      <c r="I657" s="537" t="s">
        <v>3188</v>
      </c>
      <c r="J657" s="537" t="s">
        <v>18</v>
      </c>
      <c r="K657" s="537" t="s">
        <v>57</v>
      </c>
      <c r="L657" s="61">
        <v>36566</v>
      </c>
      <c r="M657" s="1">
        <v>23</v>
      </c>
      <c r="N657" s="1">
        <v>1200</v>
      </c>
      <c r="P657" s="1">
        <v>1700</v>
      </c>
      <c r="Q657" s="537"/>
      <c r="R657" s="1">
        <v>500</v>
      </c>
      <c r="S657">
        <v>180000</v>
      </c>
      <c r="T657">
        <v>9009</v>
      </c>
      <c r="U657" t="s">
        <v>2639</v>
      </c>
      <c r="V657">
        <v>16470</v>
      </c>
      <c r="W657" s="1">
        <v>45429</v>
      </c>
      <c r="X657" s="537" t="s">
        <v>65</v>
      </c>
      <c r="Y657" s="537" t="s">
        <v>60</v>
      </c>
      <c r="Z657" s="1" t="s">
        <v>1070</v>
      </c>
      <c r="AA657" s="537" t="s">
        <v>1071</v>
      </c>
      <c r="AB657" s="537" t="s">
        <v>3189</v>
      </c>
      <c r="AC657" s="1">
        <v>45063</v>
      </c>
      <c r="AD657" s="61">
        <v>45068</v>
      </c>
      <c r="AE657" s="61"/>
      <c r="AF657" s="61"/>
      <c r="AG657" s="1" t="s">
        <v>3190</v>
      </c>
      <c r="AH657" s="537"/>
      <c r="AI657" s="537"/>
      <c r="AK657" s="537"/>
      <c r="AM657" s="537" t="s">
        <v>3191</v>
      </c>
      <c r="AN657" s="537"/>
    </row>
    <row r="658" spans="1:40" hidden="1">
      <c r="A658" s="537" t="s">
        <v>54</v>
      </c>
      <c r="B658" s="1">
        <v>230508</v>
      </c>
      <c r="D658" s="537" t="s">
        <v>1066</v>
      </c>
      <c r="E658" s="537" t="s">
        <v>3058</v>
      </c>
      <c r="F658" t="s">
        <v>3059</v>
      </c>
      <c r="G658" t="s">
        <v>3060</v>
      </c>
      <c r="H658" s="537" t="s">
        <v>3192</v>
      </c>
      <c r="I658" s="537" t="s">
        <v>3193</v>
      </c>
      <c r="J658" s="537" t="s">
        <v>18</v>
      </c>
      <c r="K658" s="537" t="s">
        <v>57</v>
      </c>
      <c r="L658" s="61">
        <v>37185</v>
      </c>
      <c r="M658" s="1">
        <v>22</v>
      </c>
      <c r="N658" s="1">
        <v>1200</v>
      </c>
      <c r="P658" s="1">
        <v>1700</v>
      </c>
      <c r="Q658" s="537"/>
      <c r="R658" s="1">
        <v>500</v>
      </c>
      <c r="S658">
        <v>180000</v>
      </c>
      <c r="T658">
        <v>9009</v>
      </c>
      <c r="U658" t="s">
        <v>2639</v>
      </c>
      <c r="V658">
        <v>16470</v>
      </c>
      <c r="W658" s="1">
        <v>45429</v>
      </c>
      <c r="X658" s="537" t="s">
        <v>65</v>
      </c>
      <c r="Y658" s="537" t="s">
        <v>60</v>
      </c>
      <c r="Z658" s="1" t="s">
        <v>1070</v>
      </c>
      <c r="AA658" s="537" t="s">
        <v>1071</v>
      </c>
      <c r="AB658" s="537" t="s">
        <v>3189</v>
      </c>
      <c r="AC658" s="1">
        <v>45063</v>
      </c>
      <c r="AD658" s="61">
        <v>45068</v>
      </c>
      <c r="AE658" s="61"/>
      <c r="AF658" s="61"/>
      <c r="AG658" s="1" t="s">
        <v>3190</v>
      </c>
      <c r="AH658" s="537"/>
      <c r="AI658" s="537"/>
      <c r="AK658" s="537"/>
      <c r="AM658" s="537" t="s">
        <v>3191</v>
      </c>
      <c r="AN658" s="537"/>
    </row>
    <row r="659" spans="1:40" hidden="1">
      <c r="A659" s="537" t="s">
        <v>54</v>
      </c>
      <c r="B659" s="1">
        <v>230509</v>
      </c>
      <c r="D659" s="537" t="s">
        <v>1066</v>
      </c>
      <c r="E659" s="537" t="s">
        <v>3058</v>
      </c>
      <c r="F659" t="s">
        <v>3059</v>
      </c>
      <c r="G659" t="s">
        <v>3060</v>
      </c>
      <c r="H659" s="537" t="s">
        <v>3194</v>
      </c>
      <c r="I659" s="537" t="s">
        <v>3195</v>
      </c>
      <c r="J659" s="537" t="s">
        <v>18</v>
      </c>
      <c r="K659" s="537" t="s">
        <v>57</v>
      </c>
      <c r="L659" s="61">
        <v>33983</v>
      </c>
      <c r="M659" s="1">
        <v>30</v>
      </c>
      <c r="N659" s="1">
        <v>1200</v>
      </c>
      <c r="P659" s="1">
        <v>1700</v>
      </c>
      <c r="Q659" s="537"/>
      <c r="R659" s="1">
        <v>500</v>
      </c>
      <c r="S659">
        <v>180000</v>
      </c>
      <c r="T659">
        <v>9009</v>
      </c>
      <c r="U659" t="s">
        <v>2639</v>
      </c>
      <c r="V659">
        <v>16470</v>
      </c>
      <c r="W659" s="1">
        <v>45429</v>
      </c>
      <c r="X659" s="537" t="s">
        <v>65</v>
      </c>
      <c r="Y659" s="537" t="s">
        <v>60</v>
      </c>
      <c r="Z659" s="1" t="s">
        <v>1070</v>
      </c>
      <c r="AA659" s="537" t="s">
        <v>1071</v>
      </c>
      <c r="AB659" s="537" t="s">
        <v>3196</v>
      </c>
      <c r="AC659" s="1">
        <v>45077</v>
      </c>
      <c r="AD659" s="61">
        <v>45068</v>
      </c>
      <c r="AE659" s="61"/>
      <c r="AF659" s="61"/>
      <c r="AG659" s="1" t="s">
        <v>3190</v>
      </c>
      <c r="AH659" s="537"/>
      <c r="AI659" s="537"/>
      <c r="AK659" s="537"/>
      <c r="AM659" s="537" t="s">
        <v>3191</v>
      </c>
      <c r="AN659" s="537"/>
    </row>
    <row r="660" spans="1:40" hidden="1">
      <c r="A660" s="537" t="s">
        <v>54</v>
      </c>
      <c r="B660" s="1">
        <v>230510</v>
      </c>
      <c r="D660" s="537" t="s">
        <v>1066</v>
      </c>
      <c r="E660" s="537" t="s">
        <v>3058</v>
      </c>
      <c r="F660" t="s">
        <v>3059</v>
      </c>
      <c r="G660" t="s">
        <v>3060</v>
      </c>
      <c r="H660" s="537" t="s">
        <v>3197</v>
      </c>
      <c r="I660" s="537" t="s">
        <v>3198</v>
      </c>
      <c r="J660" s="537" t="s">
        <v>18</v>
      </c>
      <c r="K660" s="537" t="s">
        <v>57</v>
      </c>
      <c r="L660" s="61">
        <v>35086</v>
      </c>
      <c r="M660" s="1">
        <v>27</v>
      </c>
      <c r="N660" s="1">
        <v>1200</v>
      </c>
      <c r="P660" s="1">
        <v>1700</v>
      </c>
      <c r="Q660" s="537"/>
      <c r="R660" s="1">
        <v>500</v>
      </c>
      <c r="S660">
        <v>180000</v>
      </c>
      <c r="T660">
        <v>9009</v>
      </c>
      <c r="U660" t="s">
        <v>2639</v>
      </c>
      <c r="V660">
        <v>16470</v>
      </c>
      <c r="W660" s="1">
        <v>45429</v>
      </c>
      <c r="X660" s="537" t="s">
        <v>65</v>
      </c>
      <c r="Y660" s="537" t="s">
        <v>60</v>
      </c>
      <c r="Z660" s="1" t="s">
        <v>1070</v>
      </c>
      <c r="AA660" s="537" t="s">
        <v>1071</v>
      </c>
      <c r="AB660" s="537" t="s">
        <v>3196</v>
      </c>
      <c r="AC660" s="1">
        <v>45077</v>
      </c>
      <c r="AD660" s="61">
        <v>45068</v>
      </c>
      <c r="AE660" s="61"/>
      <c r="AF660" s="61"/>
      <c r="AG660" s="1" t="s">
        <v>3190</v>
      </c>
      <c r="AH660" s="537"/>
      <c r="AI660" s="537"/>
      <c r="AK660" s="537"/>
      <c r="AM660" s="537" t="s">
        <v>3191</v>
      </c>
      <c r="AN660" s="537"/>
    </row>
    <row r="661" spans="1:40" hidden="1">
      <c r="A661" s="537" t="s">
        <v>54</v>
      </c>
      <c r="B661" s="1">
        <v>220208</v>
      </c>
      <c r="D661" s="537" t="s">
        <v>2638</v>
      </c>
      <c r="E661" s="537" t="s">
        <v>3038</v>
      </c>
      <c r="F661" t="s">
        <v>3039</v>
      </c>
      <c r="G661" t="s">
        <v>3040</v>
      </c>
      <c r="H661" s="537" t="s">
        <v>532</v>
      </c>
      <c r="I661" s="537" t="s">
        <v>533</v>
      </c>
      <c r="J661" s="537" t="s">
        <v>18</v>
      </c>
      <c r="K661" s="537" t="s">
        <v>57</v>
      </c>
      <c r="L661" s="61">
        <v>35358</v>
      </c>
      <c r="M661" s="1">
        <v>27</v>
      </c>
      <c r="N661" s="1">
        <v>1300</v>
      </c>
      <c r="P661" s="1">
        <v>1800</v>
      </c>
      <c r="Q661" s="537"/>
      <c r="R661" s="1">
        <v>500</v>
      </c>
      <c r="S661">
        <v>200000</v>
      </c>
      <c r="T661">
        <v>10010</v>
      </c>
      <c r="U661" t="s">
        <v>2639</v>
      </c>
      <c r="V661">
        <v>18300</v>
      </c>
      <c r="W661" s="1">
        <v>45281</v>
      </c>
      <c r="X661" s="537" t="s">
        <v>59</v>
      </c>
      <c r="Y661" s="537" t="s">
        <v>60</v>
      </c>
      <c r="Z661" s="1" t="s">
        <v>61</v>
      </c>
      <c r="AA661" s="537" t="s">
        <v>2641</v>
      </c>
      <c r="AB661" s="537" t="s">
        <v>3116</v>
      </c>
      <c r="AC661" s="1">
        <v>45101</v>
      </c>
      <c r="AD661" s="61">
        <v>45093</v>
      </c>
      <c r="AE661" s="61"/>
      <c r="AF661" s="61"/>
      <c r="AG661" s="1" t="s">
        <v>3216</v>
      </c>
      <c r="AH661" s="537"/>
      <c r="AI661" s="537"/>
      <c r="AK661" s="537"/>
      <c r="AM661" s="537" t="s">
        <v>3217</v>
      </c>
      <c r="AN661" s="537" t="s">
        <v>3218</v>
      </c>
    </row>
    <row r="662" spans="1:40" hidden="1">
      <c r="A662" s="537" t="s">
        <v>54</v>
      </c>
      <c r="B662" s="1">
        <v>230701</v>
      </c>
      <c r="D662" s="537" t="s">
        <v>2278</v>
      </c>
      <c r="E662" s="537" t="s">
        <v>2707</v>
      </c>
      <c r="F662" t="s">
        <v>2707</v>
      </c>
      <c r="G662" t="s">
        <v>3103</v>
      </c>
      <c r="H662" s="537" t="s">
        <v>3253</v>
      </c>
      <c r="I662" s="537" t="s">
        <v>3254</v>
      </c>
      <c r="J662" s="537" t="s">
        <v>18</v>
      </c>
      <c r="K662" s="537" t="s">
        <v>57</v>
      </c>
      <c r="L662" s="61">
        <v>31876</v>
      </c>
      <c r="M662" s="1">
        <v>36</v>
      </c>
      <c r="N662" s="1">
        <v>1350</v>
      </c>
      <c r="P662" s="1">
        <v>1800</v>
      </c>
      <c r="Q662" s="537"/>
      <c r="R662" s="1">
        <v>450</v>
      </c>
      <c r="S662">
        <v>220000</v>
      </c>
      <c r="T662">
        <v>11011</v>
      </c>
      <c r="U662" t="s">
        <v>2639</v>
      </c>
      <c r="V662">
        <v>20130</v>
      </c>
      <c r="W662" s="1">
        <v>46096</v>
      </c>
      <c r="X662" s="537" t="s">
        <v>65</v>
      </c>
      <c r="Y662" s="537" t="s">
        <v>60</v>
      </c>
      <c r="Z662" s="1" t="s">
        <v>2453</v>
      </c>
      <c r="AA662" s="537" t="s">
        <v>3169</v>
      </c>
      <c r="AB662" s="537" t="s">
        <v>3170</v>
      </c>
      <c r="AC662" s="1">
        <v>45104</v>
      </c>
      <c r="AD662" s="61">
        <v>45110</v>
      </c>
      <c r="AE662" s="61"/>
      <c r="AF662" s="61"/>
      <c r="AG662" s="1" t="s">
        <v>3247</v>
      </c>
      <c r="AH662" s="537"/>
      <c r="AI662" s="537"/>
      <c r="AK662" s="537"/>
      <c r="AM662" s="537" t="s">
        <v>3248</v>
      </c>
      <c r="AN662" s="537"/>
    </row>
    <row r="663" spans="1:40" hidden="1">
      <c r="A663" s="537" t="s">
        <v>179</v>
      </c>
      <c r="B663" s="1">
        <v>230705</v>
      </c>
      <c r="D663" s="537" t="s">
        <v>935</v>
      </c>
      <c r="E663" s="537" t="s">
        <v>936</v>
      </c>
      <c r="F663" t="s">
        <v>3041</v>
      </c>
      <c r="G663" t="s">
        <v>3042</v>
      </c>
      <c r="H663" s="537" t="s">
        <v>3255</v>
      </c>
      <c r="I663" s="537" t="s">
        <v>3256</v>
      </c>
      <c r="J663" s="537" t="s">
        <v>18</v>
      </c>
      <c r="K663" s="537" t="s">
        <v>2782</v>
      </c>
      <c r="L663" s="61">
        <v>28516</v>
      </c>
      <c r="M663" s="1">
        <v>45</v>
      </c>
      <c r="N663" s="1">
        <v>1400</v>
      </c>
      <c r="P663" s="1">
        <v>1872</v>
      </c>
      <c r="Q663" s="537"/>
      <c r="R663" s="1">
        <v>472</v>
      </c>
      <c r="S663">
        <v>220000</v>
      </c>
      <c r="T663">
        <v>11011</v>
      </c>
      <c r="U663">
        <v>2001.9999999999984</v>
      </c>
      <c r="V663">
        <v>20130</v>
      </c>
      <c r="W663" s="1">
        <v>46081</v>
      </c>
      <c r="X663" s="537" t="s">
        <v>65</v>
      </c>
      <c r="Y663" s="537" t="s">
        <v>2943</v>
      </c>
      <c r="Z663" s="1" t="s">
        <v>3257</v>
      </c>
      <c r="AA663" s="537" t="s">
        <v>3258</v>
      </c>
      <c r="AB663" s="537" t="s">
        <v>3259</v>
      </c>
      <c r="AC663" s="1" t="s">
        <v>63</v>
      </c>
      <c r="AD663" s="61">
        <v>45112</v>
      </c>
      <c r="AE663" s="61">
        <v>45229</v>
      </c>
      <c r="AF663" s="61"/>
      <c r="AG663" s="1" t="s">
        <v>3260</v>
      </c>
      <c r="AH663" s="537"/>
      <c r="AI663" s="537"/>
      <c r="AK663" s="537"/>
      <c r="AM663" s="537" t="s">
        <v>3248</v>
      </c>
      <c r="AN663" s="537"/>
    </row>
    <row r="664" spans="1:40" hidden="1">
      <c r="A664" s="537" t="s">
        <v>54</v>
      </c>
      <c r="B664" s="1">
        <v>230704</v>
      </c>
      <c r="D664" s="537" t="s">
        <v>2638</v>
      </c>
      <c r="E664" s="537"/>
      <c r="F664"/>
      <c r="G664"/>
      <c r="H664" s="537" t="s">
        <v>3261</v>
      </c>
      <c r="I664" s="537" t="s">
        <v>3262</v>
      </c>
      <c r="J664" s="537" t="s">
        <v>18</v>
      </c>
      <c r="K664" s="537" t="s">
        <v>57</v>
      </c>
      <c r="L664" s="61">
        <v>34363</v>
      </c>
      <c r="M664" s="1">
        <v>29</v>
      </c>
      <c r="N664" s="1">
        <v>1300</v>
      </c>
      <c r="P664" s="1">
        <v>1800</v>
      </c>
      <c r="Q664" s="537"/>
      <c r="R664" s="1">
        <v>500</v>
      </c>
      <c r="S664">
        <v>200000</v>
      </c>
      <c r="T664">
        <v>10010</v>
      </c>
      <c r="U664" t="s">
        <v>2639</v>
      </c>
      <c r="V664">
        <v>18300</v>
      </c>
      <c r="W664" s="1">
        <v>45451</v>
      </c>
      <c r="X664" s="537" t="s">
        <v>65</v>
      </c>
      <c r="Y664" s="537" t="s">
        <v>60</v>
      </c>
      <c r="Z664" s="1" t="s">
        <v>61</v>
      </c>
      <c r="AA664" s="537" t="s">
        <v>3263</v>
      </c>
      <c r="AB664" s="537" t="s">
        <v>3432</v>
      </c>
      <c r="AC664" s="1">
        <v>45207</v>
      </c>
      <c r="AD664" s="61">
        <v>45112</v>
      </c>
      <c r="AE664" s="61"/>
      <c r="AF664" s="61"/>
      <c r="AG664" s="1" t="s">
        <v>3260</v>
      </c>
      <c r="AH664" s="537"/>
      <c r="AI664" s="537"/>
      <c r="AK664" s="537"/>
      <c r="AM664" s="537" t="s">
        <v>3248</v>
      </c>
      <c r="AN664" s="537"/>
    </row>
    <row r="665" spans="1:40" hidden="1">
      <c r="A665" s="537" t="s">
        <v>54</v>
      </c>
      <c r="B665" s="1">
        <v>230709</v>
      </c>
      <c r="D665" s="537" t="s">
        <v>2278</v>
      </c>
      <c r="E665" s="537" t="s">
        <v>2707</v>
      </c>
      <c r="F665" t="s">
        <v>2707</v>
      </c>
      <c r="G665" t="s">
        <v>3103</v>
      </c>
      <c r="H665" s="537" t="s">
        <v>3277</v>
      </c>
      <c r="I665" s="537" t="s">
        <v>3278</v>
      </c>
      <c r="J665" s="537" t="s">
        <v>18</v>
      </c>
      <c r="K665" s="537" t="s">
        <v>57</v>
      </c>
      <c r="L665" s="61">
        <v>35288</v>
      </c>
      <c r="M665" s="1">
        <v>27</v>
      </c>
      <c r="N665" s="1">
        <v>1350</v>
      </c>
      <c r="P665" s="1">
        <v>1800</v>
      </c>
      <c r="Q665" s="537"/>
      <c r="R665" s="1">
        <v>450</v>
      </c>
      <c r="S665">
        <v>200000</v>
      </c>
      <c r="T665">
        <v>10010</v>
      </c>
      <c r="U665" t="s">
        <v>2639</v>
      </c>
      <c r="V665">
        <v>18300</v>
      </c>
      <c r="W665" s="1">
        <v>45369</v>
      </c>
      <c r="X665" s="537" t="s">
        <v>65</v>
      </c>
      <c r="Y665" s="537" t="s">
        <v>60</v>
      </c>
      <c r="Z665" s="1" t="s">
        <v>3279</v>
      </c>
      <c r="AA665" s="537" t="s">
        <v>3280</v>
      </c>
      <c r="AB665" s="537" t="s">
        <v>3281</v>
      </c>
      <c r="AC665" s="1">
        <v>45123</v>
      </c>
      <c r="AD665" s="61">
        <v>45132</v>
      </c>
      <c r="AE665" s="61"/>
      <c r="AF665" s="61"/>
      <c r="AG665" s="1" t="s">
        <v>3282</v>
      </c>
      <c r="AH665" s="537"/>
      <c r="AI665" s="537"/>
      <c r="AK665" s="537"/>
      <c r="AM665" s="537" t="s">
        <v>2155</v>
      </c>
      <c r="AN665" s="537"/>
    </row>
    <row r="666" spans="1:40" hidden="1">
      <c r="A666" s="537" t="s">
        <v>54</v>
      </c>
      <c r="B666" s="1">
        <v>230710</v>
      </c>
      <c r="D666" s="537" t="s">
        <v>2278</v>
      </c>
      <c r="E666" s="537" t="s">
        <v>2707</v>
      </c>
      <c r="F666" t="s">
        <v>2707</v>
      </c>
      <c r="G666" t="s">
        <v>3103</v>
      </c>
      <c r="H666" s="537" t="s">
        <v>3283</v>
      </c>
      <c r="I666" s="537" t="s">
        <v>3284</v>
      </c>
      <c r="J666" s="537" t="s">
        <v>18</v>
      </c>
      <c r="K666" s="537" t="s">
        <v>57</v>
      </c>
      <c r="L666" s="61">
        <v>35502</v>
      </c>
      <c r="M666" s="1">
        <v>26</v>
      </c>
      <c r="N666" s="1">
        <v>1350</v>
      </c>
      <c r="P666" s="1">
        <v>1800</v>
      </c>
      <c r="Q666" s="537"/>
      <c r="R666" s="1">
        <v>450</v>
      </c>
      <c r="S666">
        <v>200000</v>
      </c>
      <c r="T666">
        <v>10010</v>
      </c>
      <c r="U666" t="s">
        <v>2639</v>
      </c>
      <c r="V666">
        <v>18300</v>
      </c>
      <c r="W666" s="1">
        <v>45634</v>
      </c>
      <c r="X666" s="537" t="s">
        <v>65</v>
      </c>
      <c r="Y666" s="537" t="s">
        <v>60</v>
      </c>
      <c r="Z666" s="1" t="s">
        <v>3279</v>
      </c>
      <c r="AA666" s="537" t="s">
        <v>3280</v>
      </c>
      <c r="AB666" s="537" t="s">
        <v>3281</v>
      </c>
      <c r="AC666" s="1">
        <v>45123</v>
      </c>
      <c r="AD666" s="61">
        <v>45132</v>
      </c>
      <c r="AE666" s="61"/>
      <c r="AF666" s="61"/>
      <c r="AG666" s="1" t="s">
        <v>3282</v>
      </c>
      <c r="AH666" s="537"/>
      <c r="AI666" s="537"/>
      <c r="AK666" s="537"/>
      <c r="AM666" s="537" t="s">
        <v>2155</v>
      </c>
      <c r="AN666" s="537"/>
    </row>
    <row r="667" spans="1:40" hidden="1">
      <c r="A667" s="537" t="s">
        <v>54</v>
      </c>
      <c r="B667" s="1">
        <v>230713</v>
      </c>
      <c r="D667" s="537" t="s">
        <v>1066</v>
      </c>
      <c r="E667" s="537"/>
      <c r="F667"/>
      <c r="G667"/>
      <c r="H667" s="537" t="s">
        <v>3291</v>
      </c>
      <c r="I667" s="537" t="s">
        <v>3292</v>
      </c>
      <c r="J667" s="537" t="s">
        <v>18</v>
      </c>
      <c r="K667" s="537" t="s">
        <v>57</v>
      </c>
      <c r="L667" s="61">
        <v>37078</v>
      </c>
      <c r="M667" s="1">
        <v>22</v>
      </c>
      <c r="N667" s="1">
        <v>1200</v>
      </c>
      <c r="P667" s="1">
        <v>1700</v>
      </c>
      <c r="Q667" s="537"/>
      <c r="R667" s="1">
        <v>500</v>
      </c>
      <c r="S667">
        <v>190000</v>
      </c>
      <c r="T667">
        <v>9509.5</v>
      </c>
      <c r="U667" t="s">
        <v>2639</v>
      </c>
      <c r="V667">
        <v>17385</v>
      </c>
      <c r="W667" s="1">
        <v>45499</v>
      </c>
      <c r="X667" s="537" t="s">
        <v>65</v>
      </c>
      <c r="Y667" s="537" t="s">
        <v>60</v>
      </c>
      <c r="Z667" s="1" t="s">
        <v>1070</v>
      </c>
      <c r="AA667" s="537" t="s">
        <v>1071</v>
      </c>
      <c r="AB667" s="537" t="s">
        <v>3293</v>
      </c>
      <c r="AC667" s="1">
        <v>45133</v>
      </c>
      <c r="AD667" s="61">
        <v>45138</v>
      </c>
      <c r="AE667" s="61"/>
      <c r="AF667" s="61"/>
      <c r="AG667" s="1" t="s">
        <v>3294</v>
      </c>
      <c r="AH667" s="537"/>
      <c r="AI667" s="537"/>
      <c r="AK667" s="537"/>
      <c r="AM667" s="537" t="s">
        <v>3290</v>
      </c>
      <c r="AN667" s="537"/>
    </row>
    <row r="668" spans="1:40" hidden="1">
      <c r="A668" s="537" t="s">
        <v>54</v>
      </c>
      <c r="B668" s="1">
        <v>230714</v>
      </c>
      <c r="D668" s="537" t="s">
        <v>1066</v>
      </c>
      <c r="E668" s="537"/>
      <c r="F668"/>
      <c r="G668"/>
      <c r="H668" s="537" t="s">
        <v>3295</v>
      </c>
      <c r="I668" s="537" t="s">
        <v>3296</v>
      </c>
      <c r="J668" s="537" t="s">
        <v>18</v>
      </c>
      <c r="K668" s="537" t="s">
        <v>57</v>
      </c>
      <c r="L668" s="61">
        <v>35400</v>
      </c>
      <c r="M668" s="1">
        <v>27</v>
      </c>
      <c r="N668" s="1">
        <v>1200</v>
      </c>
      <c r="P668" s="1">
        <v>1700</v>
      </c>
      <c r="Q668" s="537"/>
      <c r="R668" s="1">
        <v>500</v>
      </c>
      <c r="S668">
        <v>190000</v>
      </c>
      <c r="T668">
        <v>9509.5</v>
      </c>
      <c r="U668" t="s">
        <v>2639</v>
      </c>
      <c r="V668">
        <v>17385</v>
      </c>
      <c r="W668" s="1">
        <v>45499</v>
      </c>
      <c r="X668" s="537" t="s">
        <v>65</v>
      </c>
      <c r="Y668" s="537" t="s">
        <v>60</v>
      </c>
      <c r="Z668" s="1" t="s">
        <v>1070</v>
      </c>
      <c r="AA668" s="537" t="s">
        <v>1071</v>
      </c>
      <c r="AB668" s="537" t="s">
        <v>3293</v>
      </c>
      <c r="AC668" s="1">
        <v>45133</v>
      </c>
      <c r="AD668" s="61">
        <v>45138</v>
      </c>
      <c r="AE668" s="61"/>
      <c r="AF668" s="61"/>
      <c r="AG668" s="1" t="s">
        <v>3294</v>
      </c>
      <c r="AH668" s="537"/>
      <c r="AI668" s="537"/>
      <c r="AK668" s="537"/>
      <c r="AM668" s="537" t="s">
        <v>3290</v>
      </c>
      <c r="AN668" s="537"/>
    </row>
    <row r="669" spans="1:40" hidden="1">
      <c r="A669" s="537" t="s">
        <v>54</v>
      </c>
      <c r="B669" s="1">
        <v>230715</v>
      </c>
      <c r="D669" s="537" t="s">
        <v>1066</v>
      </c>
      <c r="E669" s="537"/>
      <c r="F669"/>
      <c r="G669"/>
      <c r="H669" s="537" t="s">
        <v>3297</v>
      </c>
      <c r="I669" s="537" t="s">
        <v>3298</v>
      </c>
      <c r="J669" s="537" t="s">
        <v>18</v>
      </c>
      <c r="K669" s="537" t="s">
        <v>57</v>
      </c>
      <c r="L669" s="61">
        <v>36146</v>
      </c>
      <c r="M669" s="1">
        <v>24</v>
      </c>
      <c r="N669" s="1">
        <v>1200</v>
      </c>
      <c r="P669" s="1">
        <v>1700</v>
      </c>
      <c r="Q669" s="537"/>
      <c r="R669" s="1">
        <v>500</v>
      </c>
      <c r="S669">
        <v>190000</v>
      </c>
      <c r="T669">
        <v>9509.5</v>
      </c>
      <c r="U669" t="s">
        <v>2639</v>
      </c>
      <c r="V669">
        <v>17385</v>
      </c>
      <c r="W669" s="1">
        <v>45499</v>
      </c>
      <c r="X669" s="537" t="s">
        <v>65</v>
      </c>
      <c r="Y669" s="537" t="s">
        <v>60</v>
      </c>
      <c r="Z669" s="1" t="s">
        <v>1070</v>
      </c>
      <c r="AA669" s="537" t="s">
        <v>1071</v>
      </c>
      <c r="AB669" s="537" t="s">
        <v>1288</v>
      </c>
      <c r="AC669" s="1">
        <v>45133</v>
      </c>
      <c r="AD669" s="61">
        <v>45138</v>
      </c>
      <c r="AE669" s="61"/>
      <c r="AF669" s="61"/>
      <c r="AG669" s="1" t="s">
        <v>3294</v>
      </c>
      <c r="AH669" s="537"/>
      <c r="AI669" s="537"/>
      <c r="AK669" s="537"/>
      <c r="AM669" s="537" t="s">
        <v>3290</v>
      </c>
      <c r="AN669" s="537"/>
    </row>
    <row r="670" spans="1:40" hidden="1">
      <c r="A670" s="537" t="s">
        <v>54</v>
      </c>
      <c r="B670" s="1">
        <v>230816</v>
      </c>
      <c r="D670" s="537" t="s">
        <v>72</v>
      </c>
      <c r="E670" s="537"/>
      <c r="F670"/>
      <c r="G670"/>
      <c r="H670" s="537" t="s">
        <v>3341</v>
      </c>
      <c r="I670" s="537" t="s">
        <v>3342</v>
      </c>
      <c r="J670" s="537" t="s">
        <v>18</v>
      </c>
      <c r="K670" s="537" t="s">
        <v>57</v>
      </c>
      <c r="L670" s="61">
        <v>33874</v>
      </c>
      <c r="M670" s="1">
        <v>31</v>
      </c>
      <c r="N670" s="1">
        <v>1300</v>
      </c>
      <c r="P670" s="1">
        <v>1750</v>
      </c>
      <c r="Q670" s="537"/>
      <c r="R670" s="1">
        <v>450</v>
      </c>
      <c r="S670">
        <v>200000</v>
      </c>
      <c r="T670">
        <v>10010</v>
      </c>
      <c r="U670" t="s">
        <v>2639</v>
      </c>
      <c r="V670">
        <v>18300</v>
      </c>
      <c r="W670" s="1">
        <v>45298</v>
      </c>
      <c r="X670" s="537" t="s">
        <v>59</v>
      </c>
      <c r="Y670" s="537" t="s">
        <v>60</v>
      </c>
      <c r="Z670" s="1" t="s">
        <v>328</v>
      </c>
      <c r="AA670" s="537" t="s">
        <v>329</v>
      </c>
      <c r="AB670" s="537" t="s">
        <v>330</v>
      </c>
      <c r="AC670" s="1">
        <v>45140</v>
      </c>
      <c r="AD670" s="61">
        <v>45141</v>
      </c>
      <c r="AE670" s="61"/>
      <c r="AF670" s="61"/>
      <c r="AG670" s="1" t="s">
        <v>3338</v>
      </c>
      <c r="AH670" s="537"/>
      <c r="AI670" s="537"/>
      <c r="AK670" s="537"/>
      <c r="AM670" s="537" t="s">
        <v>3312</v>
      </c>
      <c r="AN670" s="537"/>
    </row>
    <row r="671" spans="1:40" hidden="1">
      <c r="A671" s="537" t="s">
        <v>179</v>
      </c>
      <c r="B671" s="1">
        <v>230903</v>
      </c>
      <c r="D671" s="537" t="s">
        <v>72</v>
      </c>
      <c r="E671" s="537"/>
      <c r="F671"/>
      <c r="G671"/>
      <c r="H671" s="537" t="s">
        <v>3369</v>
      </c>
      <c r="I671" s="537" t="s">
        <v>3370</v>
      </c>
      <c r="J671" s="537" t="s">
        <v>18</v>
      </c>
      <c r="K671" s="537" t="s">
        <v>57</v>
      </c>
      <c r="L671" s="61">
        <v>31674</v>
      </c>
      <c r="M671" s="1">
        <v>37</v>
      </c>
      <c r="N671" s="1">
        <v>1300</v>
      </c>
      <c r="P671" s="1">
        <v>1750</v>
      </c>
      <c r="Q671" s="537"/>
      <c r="R671" s="1">
        <v>450</v>
      </c>
      <c r="S671">
        <v>220000</v>
      </c>
      <c r="T671">
        <v>11011</v>
      </c>
      <c r="U671" t="s">
        <v>2639</v>
      </c>
      <c r="V671">
        <v>20130</v>
      </c>
      <c r="W671" s="1">
        <v>45427</v>
      </c>
      <c r="X671" s="537" t="s">
        <v>65</v>
      </c>
      <c r="Y671" s="537" t="s">
        <v>60</v>
      </c>
      <c r="Z671" s="1" t="s">
        <v>3371</v>
      </c>
      <c r="AA671" s="537" t="s">
        <v>3372</v>
      </c>
      <c r="AB671" s="537" t="s">
        <v>3373</v>
      </c>
      <c r="AC671" s="1" t="s">
        <v>63</v>
      </c>
      <c r="AD671" s="61">
        <v>45170</v>
      </c>
      <c r="AE671" s="61">
        <v>45239</v>
      </c>
      <c r="AF671" s="61"/>
      <c r="AG671" s="1" t="s">
        <v>3365</v>
      </c>
      <c r="AH671" s="537"/>
      <c r="AI671" s="537"/>
      <c r="AK671" s="537"/>
      <c r="AM671" s="537" t="s">
        <v>3366</v>
      </c>
      <c r="AN671" s="537"/>
    </row>
    <row r="672" spans="1:40" hidden="1">
      <c r="A672" s="537" t="s">
        <v>179</v>
      </c>
      <c r="B672" s="1">
        <v>230904</v>
      </c>
      <c r="D672" s="537" t="s">
        <v>2700</v>
      </c>
      <c r="E672" s="537"/>
      <c r="F672"/>
      <c r="G672"/>
      <c r="H672" s="537" t="s">
        <v>3374</v>
      </c>
      <c r="I672" s="537" t="s">
        <v>3375</v>
      </c>
      <c r="J672" s="537" t="s">
        <v>18</v>
      </c>
      <c r="K672" s="537" t="s">
        <v>57</v>
      </c>
      <c r="L672" s="61">
        <v>35730</v>
      </c>
      <c r="M672" s="1">
        <v>26</v>
      </c>
      <c r="N672" s="1">
        <v>1300</v>
      </c>
      <c r="P672" s="1">
        <v>1700</v>
      </c>
      <c r="Q672" s="537"/>
      <c r="R672" s="1">
        <v>400</v>
      </c>
      <c r="S672">
        <v>0</v>
      </c>
      <c r="T672">
        <v>0</v>
      </c>
      <c r="U672" t="s">
        <v>2639</v>
      </c>
      <c r="V672">
        <v>0</v>
      </c>
      <c r="W672" s="1">
        <v>45387</v>
      </c>
      <c r="X672" s="537" t="s">
        <v>65</v>
      </c>
      <c r="Y672" s="537" t="s">
        <v>60</v>
      </c>
      <c r="Z672" s="1" t="s">
        <v>2606</v>
      </c>
      <c r="AA672" s="537" t="s">
        <v>3149</v>
      </c>
      <c r="AB672" s="537" t="s">
        <v>3150</v>
      </c>
      <c r="AC672" s="1">
        <v>45173</v>
      </c>
      <c r="AD672" s="61">
        <v>45175</v>
      </c>
      <c r="AE672" s="61">
        <v>45181</v>
      </c>
      <c r="AF672" s="61"/>
      <c r="AG672" s="1" t="s">
        <v>3376</v>
      </c>
      <c r="AH672" s="537"/>
      <c r="AI672" s="537"/>
      <c r="AK672" s="537"/>
      <c r="AM672" s="537" t="s">
        <v>3366</v>
      </c>
      <c r="AN672" s="537"/>
    </row>
    <row r="673" spans="1:40" hidden="1">
      <c r="A673" s="537" t="s">
        <v>54</v>
      </c>
      <c r="B673" s="1">
        <v>231001</v>
      </c>
      <c r="D673" s="537" t="s">
        <v>2638</v>
      </c>
      <c r="E673" s="537"/>
      <c r="F673"/>
      <c r="G673"/>
      <c r="H673" s="537" t="s">
        <v>3430</v>
      </c>
      <c r="I673" s="537" t="s">
        <v>3431</v>
      </c>
      <c r="J673" s="537" t="s">
        <v>18</v>
      </c>
      <c r="K673" s="537" t="s">
        <v>57</v>
      </c>
      <c r="L673" s="61">
        <v>36675</v>
      </c>
      <c r="M673" s="1">
        <v>23</v>
      </c>
      <c r="N673" s="1">
        <v>1300</v>
      </c>
      <c r="P673" s="1">
        <v>1800</v>
      </c>
      <c r="Q673" s="537"/>
      <c r="R673" s="1">
        <v>500</v>
      </c>
      <c r="S673">
        <v>240000</v>
      </c>
      <c r="T673">
        <v>12012</v>
      </c>
      <c r="U673" t="s">
        <v>2639</v>
      </c>
      <c r="V673">
        <v>21960</v>
      </c>
      <c r="W673" s="1">
        <v>45353</v>
      </c>
      <c r="X673" s="537" t="s">
        <v>59</v>
      </c>
      <c r="Y673" s="537" t="s">
        <v>60</v>
      </c>
      <c r="Z673" s="1" t="s">
        <v>61</v>
      </c>
      <c r="AA673" s="537" t="s">
        <v>3263</v>
      </c>
      <c r="AB673" s="537" t="s">
        <v>3432</v>
      </c>
      <c r="AC673" s="1">
        <v>45199</v>
      </c>
      <c r="AD673" s="61">
        <v>45201</v>
      </c>
      <c r="AE673" s="61"/>
      <c r="AF673" s="61"/>
      <c r="AG673" s="1" t="s">
        <v>3468</v>
      </c>
      <c r="AH673" s="537"/>
      <c r="AI673" s="537"/>
      <c r="AK673" s="537"/>
      <c r="AM673" s="537" t="s">
        <v>3469</v>
      </c>
      <c r="AN673" s="537"/>
    </row>
    <row r="674" spans="1:40" hidden="1">
      <c r="A674" s="537" t="s">
        <v>179</v>
      </c>
      <c r="B674" s="1">
        <v>231009</v>
      </c>
      <c r="D674" s="537" t="s">
        <v>962</v>
      </c>
      <c r="E674" s="537"/>
      <c r="F674"/>
      <c r="G674"/>
      <c r="H674" s="537" t="s">
        <v>3470</v>
      </c>
      <c r="I674" s="537" t="s">
        <v>3471</v>
      </c>
      <c r="J674" s="537" t="s">
        <v>18</v>
      </c>
      <c r="K674" s="537" t="s">
        <v>57</v>
      </c>
      <c r="L674" s="61">
        <v>33095</v>
      </c>
      <c r="M674" s="1">
        <v>33</v>
      </c>
      <c r="N674" s="1">
        <v>1300</v>
      </c>
      <c r="P674" s="1">
        <v>1650</v>
      </c>
      <c r="Q674" s="537"/>
      <c r="R674" s="1">
        <v>350</v>
      </c>
      <c r="S674">
        <v>0</v>
      </c>
      <c r="T674">
        <v>0</v>
      </c>
      <c r="U674" t="s">
        <v>2639</v>
      </c>
      <c r="V674">
        <v>0</v>
      </c>
      <c r="W674" s="1">
        <v>45542</v>
      </c>
      <c r="X674" s="537" t="s">
        <v>65</v>
      </c>
      <c r="Y674" s="537" t="s">
        <v>60</v>
      </c>
      <c r="Z674" s="1" t="s">
        <v>3162</v>
      </c>
      <c r="AA674" s="537" t="s">
        <v>3163</v>
      </c>
      <c r="AB674" s="537" t="s">
        <v>3164</v>
      </c>
      <c r="AD674" s="61">
        <v>45201</v>
      </c>
      <c r="AE674" s="61">
        <v>45202</v>
      </c>
      <c r="AF674" s="61"/>
      <c r="AH674" s="537"/>
      <c r="AI674" s="537"/>
      <c r="AK674" s="537"/>
      <c r="AM674" s="537" t="s">
        <v>3472</v>
      </c>
      <c r="AN674" s="537"/>
    </row>
    <row r="675" spans="1:40" hidden="1">
      <c r="A675" s="537" t="s">
        <v>54</v>
      </c>
      <c r="B675" s="1">
        <v>231006</v>
      </c>
      <c r="D675" s="537" t="s">
        <v>962</v>
      </c>
      <c r="E675" s="537"/>
      <c r="F675"/>
      <c r="G675"/>
      <c r="H675" s="537" t="s">
        <v>3474</v>
      </c>
      <c r="I675" s="537" t="s">
        <v>3475</v>
      </c>
      <c r="J675" s="537" t="s">
        <v>18</v>
      </c>
      <c r="K675" s="537" t="s">
        <v>57</v>
      </c>
      <c r="L675" s="61">
        <v>35593</v>
      </c>
      <c r="M675" s="1">
        <v>26</v>
      </c>
      <c r="N675" s="1">
        <v>1300</v>
      </c>
      <c r="P675" s="1">
        <v>1650</v>
      </c>
      <c r="Q675" s="537"/>
      <c r="R675" s="1">
        <v>350</v>
      </c>
      <c r="S675">
        <v>220000</v>
      </c>
      <c r="T675">
        <v>11011</v>
      </c>
      <c r="U675" t="s">
        <v>2639</v>
      </c>
      <c r="V675">
        <v>20130</v>
      </c>
      <c r="W675" s="1">
        <v>45354</v>
      </c>
      <c r="X675" s="537" t="s">
        <v>59</v>
      </c>
      <c r="Y675" s="537" t="s">
        <v>60</v>
      </c>
      <c r="Z675" s="1" t="s">
        <v>3162</v>
      </c>
      <c r="AA675" s="537" t="s">
        <v>3163</v>
      </c>
      <c r="AB675" s="537" t="s">
        <v>3164</v>
      </c>
      <c r="AC675" s="1">
        <v>45215</v>
      </c>
      <c r="AD675" s="61">
        <v>45216</v>
      </c>
      <c r="AE675" s="61"/>
      <c r="AF675" s="61"/>
      <c r="AG675" s="1" t="s">
        <v>3476</v>
      </c>
      <c r="AH675" s="537"/>
      <c r="AI675" s="537"/>
      <c r="AK675" s="537"/>
      <c r="AM675" s="537" t="s">
        <v>3469</v>
      </c>
      <c r="AN675" s="537"/>
    </row>
    <row r="676" spans="1:40" hidden="1">
      <c r="A676" s="537" t="s">
        <v>54</v>
      </c>
      <c r="B676" s="1">
        <v>231007</v>
      </c>
      <c r="D676" s="537" t="s">
        <v>2638</v>
      </c>
      <c r="E676" s="537"/>
      <c r="F676"/>
      <c r="G676"/>
      <c r="H676" s="537" t="s">
        <v>3477</v>
      </c>
      <c r="I676" s="537" t="s">
        <v>3478</v>
      </c>
      <c r="J676" s="537" t="s">
        <v>17</v>
      </c>
      <c r="K676" s="537" t="s">
        <v>57</v>
      </c>
      <c r="L676" s="61">
        <v>33632</v>
      </c>
      <c r="M676" s="1">
        <v>31</v>
      </c>
      <c r="N676" s="1">
        <v>1300</v>
      </c>
      <c r="P676" s="1">
        <v>1800</v>
      </c>
      <c r="Q676" s="537"/>
      <c r="R676" s="1">
        <v>500</v>
      </c>
      <c r="S676">
        <v>240000</v>
      </c>
      <c r="T676">
        <v>12012</v>
      </c>
      <c r="U676" t="s">
        <v>2639</v>
      </c>
      <c r="V676">
        <v>21960</v>
      </c>
      <c r="W676" s="1">
        <v>45511</v>
      </c>
      <c r="X676" s="537" t="s">
        <v>65</v>
      </c>
      <c r="Y676" s="537" t="s">
        <v>60</v>
      </c>
      <c r="Z676" s="1" t="s">
        <v>61</v>
      </c>
      <c r="AA676" s="537" t="s">
        <v>2641</v>
      </c>
      <c r="AB676" s="537" t="s">
        <v>3098</v>
      </c>
      <c r="AD676" s="61">
        <v>45217</v>
      </c>
      <c r="AE676" s="61"/>
      <c r="AF676" s="61"/>
      <c r="AG676" s="1" t="s">
        <v>3479</v>
      </c>
      <c r="AH676" s="537"/>
      <c r="AI676" s="537"/>
      <c r="AK676" s="537"/>
      <c r="AM676" s="537" t="s">
        <v>3469</v>
      </c>
      <c r="AN676" s="537"/>
    </row>
    <row r="677" spans="1:40" hidden="1">
      <c r="A677" s="537" t="s">
        <v>54</v>
      </c>
      <c r="B677" s="1">
        <v>231012</v>
      </c>
      <c r="D677" s="537" t="s">
        <v>2165</v>
      </c>
      <c r="E677" s="537" t="s">
        <v>2699</v>
      </c>
      <c r="F677" t="s">
        <v>2376</v>
      </c>
      <c r="G677" t="s">
        <v>3103</v>
      </c>
      <c r="H677" s="537" t="s">
        <v>302</v>
      </c>
      <c r="I677" s="537" t="s">
        <v>3492</v>
      </c>
      <c r="J677" s="537" t="s">
        <v>18</v>
      </c>
      <c r="K677" s="537" t="s">
        <v>57</v>
      </c>
      <c r="L677" s="61">
        <v>34320</v>
      </c>
      <c r="M677" s="1">
        <v>29</v>
      </c>
      <c r="N677" s="1">
        <v>1300</v>
      </c>
      <c r="P677" s="1">
        <v>1900</v>
      </c>
      <c r="Q677" s="537"/>
      <c r="R677" s="1">
        <v>600</v>
      </c>
      <c r="S677">
        <v>240000</v>
      </c>
      <c r="T677">
        <v>12012</v>
      </c>
      <c r="U677" t="s">
        <v>2639</v>
      </c>
      <c r="V677">
        <v>21960</v>
      </c>
      <c r="W677" s="1">
        <v>45597</v>
      </c>
      <c r="X677" s="537" t="s">
        <v>65</v>
      </c>
      <c r="Y677" s="537" t="s">
        <v>60</v>
      </c>
      <c r="Z677" s="1" t="s">
        <v>3493</v>
      </c>
      <c r="AA677" s="537" t="s">
        <v>3494</v>
      </c>
      <c r="AB677" s="537" t="s">
        <v>3495</v>
      </c>
      <c r="AC677" s="1" t="s">
        <v>63</v>
      </c>
      <c r="AD677" s="61">
        <v>45230</v>
      </c>
      <c r="AE677" s="61"/>
      <c r="AF677" s="61"/>
      <c r="AG677" s="1" t="s">
        <v>3496</v>
      </c>
      <c r="AH677" s="537"/>
      <c r="AI677" s="537"/>
      <c r="AK677" s="537"/>
      <c r="AM677" s="537" t="s">
        <v>3488</v>
      </c>
      <c r="AN677" s="537"/>
    </row>
    <row r="678" spans="1:40" hidden="1">
      <c r="A678" s="537" t="s">
        <v>54</v>
      </c>
      <c r="B678" s="1">
        <v>231101</v>
      </c>
      <c r="D678" s="537" t="s">
        <v>72</v>
      </c>
      <c r="E678" s="537"/>
      <c r="F678"/>
      <c r="G678"/>
      <c r="H678" s="537" t="s">
        <v>3497</v>
      </c>
      <c r="I678" s="537" t="s">
        <v>3498</v>
      </c>
      <c r="J678" s="537" t="s">
        <v>18</v>
      </c>
      <c r="K678" s="537" t="s">
        <v>57</v>
      </c>
      <c r="L678" s="61">
        <v>33417</v>
      </c>
      <c r="M678" s="1">
        <v>32</v>
      </c>
      <c r="N678" s="1">
        <v>1300</v>
      </c>
      <c r="P678" s="1">
        <v>1750</v>
      </c>
      <c r="Q678" s="537"/>
      <c r="R678" s="1">
        <v>450</v>
      </c>
      <c r="S678">
        <v>220000</v>
      </c>
      <c r="T678">
        <v>11011</v>
      </c>
      <c r="U678" t="s">
        <v>2639</v>
      </c>
      <c r="V678">
        <v>20130</v>
      </c>
      <c r="W678" s="1">
        <v>45408</v>
      </c>
      <c r="X678" s="537" t="s">
        <v>65</v>
      </c>
      <c r="Y678" s="537" t="s">
        <v>60</v>
      </c>
      <c r="Z678" s="1" t="s">
        <v>174</v>
      </c>
      <c r="AA678" s="537" t="s">
        <v>175</v>
      </c>
      <c r="AB678" s="537" t="s">
        <v>176</v>
      </c>
      <c r="AD678" s="61">
        <v>45231</v>
      </c>
      <c r="AE678" s="61"/>
      <c r="AF678" s="61"/>
      <c r="AG678" s="1" t="s">
        <v>3499</v>
      </c>
      <c r="AH678" s="537"/>
      <c r="AI678" s="537"/>
      <c r="AK678" s="537"/>
      <c r="AM678" s="537" t="s">
        <v>3500</v>
      </c>
      <c r="AN678" s="537"/>
    </row>
    <row r="679" spans="1:40">
      <c r="A679" s="537" t="s">
        <v>54</v>
      </c>
      <c r="B679" s="1">
        <v>231106</v>
      </c>
      <c r="D679" s="537" t="s">
        <v>79</v>
      </c>
      <c r="E679" s="537" t="s">
        <v>667</v>
      </c>
      <c r="F679" s="1" t="s">
        <v>2568</v>
      </c>
      <c r="G679" s="1" t="s">
        <v>694</v>
      </c>
      <c r="H679" s="537" t="s">
        <v>3513</v>
      </c>
      <c r="I679" s="537" t="s">
        <v>3514</v>
      </c>
      <c r="J679" s="537" t="s">
        <v>18</v>
      </c>
      <c r="K679" s="537" t="s">
        <v>57</v>
      </c>
      <c r="L679" s="61">
        <v>33137</v>
      </c>
      <c r="M679" s="1">
        <v>33</v>
      </c>
      <c r="N679" s="1">
        <v>1200</v>
      </c>
      <c r="P679" s="1">
        <v>1650</v>
      </c>
      <c r="Q679" s="537"/>
      <c r="R679" s="1">
        <v>450</v>
      </c>
      <c r="S679" s="1">
        <v>200000</v>
      </c>
      <c r="T679" s="1">
        <v>10010</v>
      </c>
      <c r="U679" s="1" t="s">
        <v>2639</v>
      </c>
      <c r="V679" s="1">
        <v>18300</v>
      </c>
      <c r="W679" s="1">
        <v>45592</v>
      </c>
      <c r="X679" s="537" t="s">
        <v>65</v>
      </c>
      <c r="Y679" s="537" t="s">
        <v>60</v>
      </c>
      <c r="Z679" s="1" t="s">
        <v>84</v>
      </c>
      <c r="AA679" s="537" t="s">
        <v>2391</v>
      </c>
      <c r="AB679" s="537" t="s">
        <v>2511</v>
      </c>
      <c r="AD679" s="61">
        <v>45232</v>
      </c>
      <c r="AE679" s="61"/>
      <c r="AF679" s="61"/>
      <c r="AG679" s="1" t="s">
        <v>3515</v>
      </c>
      <c r="AH679" s="537"/>
      <c r="AI679" s="537"/>
      <c r="AK679" s="537"/>
      <c r="AM679" s="537" t="s">
        <v>3500</v>
      </c>
      <c r="AN679" s="537"/>
    </row>
    <row r="680" spans="1:40">
      <c r="A680" s="537" t="s">
        <v>54</v>
      </c>
      <c r="B680" s="1">
        <v>231107</v>
      </c>
      <c r="D680" s="537" t="s">
        <v>79</v>
      </c>
      <c r="E680" s="537" t="s">
        <v>667</v>
      </c>
      <c r="F680" s="1" t="s">
        <v>2568</v>
      </c>
      <c r="G680" s="1" t="s">
        <v>694</v>
      </c>
      <c r="H680" s="537" t="s">
        <v>3516</v>
      </c>
      <c r="I680" s="537" t="s">
        <v>3517</v>
      </c>
      <c r="J680" s="537" t="s">
        <v>18</v>
      </c>
      <c r="K680" s="537" t="s">
        <v>57</v>
      </c>
      <c r="L680" s="61">
        <v>36408</v>
      </c>
      <c r="M680" s="1">
        <v>24</v>
      </c>
      <c r="N680" s="1">
        <v>1200</v>
      </c>
      <c r="P680" s="1">
        <v>1650</v>
      </c>
      <c r="Q680" s="537"/>
      <c r="R680" s="1">
        <v>450</v>
      </c>
      <c r="S680" s="1">
        <v>200000</v>
      </c>
      <c r="T680" s="1">
        <v>10010</v>
      </c>
      <c r="U680" s="1" t="s">
        <v>2639</v>
      </c>
      <c r="V680" s="1">
        <v>18300</v>
      </c>
      <c r="W680" s="1">
        <v>45592</v>
      </c>
      <c r="X680" s="537" t="s">
        <v>65</v>
      </c>
      <c r="Y680" s="537" t="s">
        <v>60</v>
      </c>
      <c r="Z680" s="1" t="s">
        <v>3503</v>
      </c>
      <c r="AA680" s="537" t="s">
        <v>3504</v>
      </c>
      <c r="AB680" s="537" t="s">
        <v>3505</v>
      </c>
      <c r="AD680" s="61">
        <v>45232</v>
      </c>
      <c r="AE680" s="61"/>
      <c r="AF680" s="61"/>
      <c r="AG680" s="1" t="s">
        <v>3515</v>
      </c>
      <c r="AH680" s="537"/>
      <c r="AI680" s="537"/>
      <c r="AK680" s="537"/>
      <c r="AM680" s="537" t="s">
        <v>3500</v>
      </c>
      <c r="AN680" s="537"/>
    </row>
    <row r="681" spans="1:40">
      <c r="A681" s="537" t="s">
        <v>54</v>
      </c>
      <c r="B681" s="1">
        <v>231108</v>
      </c>
      <c r="D681" s="537" t="s">
        <v>79</v>
      </c>
      <c r="E681" s="537" t="s">
        <v>667</v>
      </c>
      <c r="F681" s="1" t="s">
        <v>2568</v>
      </c>
      <c r="G681" s="1" t="s">
        <v>694</v>
      </c>
      <c r="H681" s="537" t="s">
        <v>3518</v>
      </c>
      <c r="I681" s="537" t="s">
        <v>3519</v>
      </c>
      <c r="J681" s="537" t="s">
        <v>18</v>
      </c>
      <c r="K681" s="537" t="s">
        <v>939</v>
      </c>
      <c r="L681" s="61">
        <v>36615</v>
      </c>
      <c r="M681" s="1">
        <v>23</v>
      </c>
      <c r="N681" s="1">
        <v>1200</v>
      </c>
      <c r="P681" s="1">
        <v>1650</v>
      </c>
      <c r="Q681" s="537"/>
      <c r="R681" s="1">
        <v>450</v>
      </c>
      <c r="S681" s="1">
        <v>200000</v>
      </c>
      <c r="T681" s="1">
        <v>10010</v>
      </c>
      <c r="U681" s="1" t="s">
        <v>2639</v>
      </c>
      <c r="V681" s="1">
        <v>18300</v>
      </c>
      <c r="W681" s="1">
        <v>45590</v>
      </c>
      <c r="X681" s="537" t="s">
        <v>65</v>
      </c>
      <c r="Y681" s="537" t="s">
        <v>1568</v>
      </c>
      <c r="Z681" s="1" t="s">
        <v>84</v>
      </c>
      <c r="AA681" s="537" t="s">
        <v>109</v>
      </c>
      <c r="AB681" s="537" t="s">
        <v>377</v>
      </c>
      <c r="AD681" s="61">
        <v>45232</v>
      </c>
      <c r="AE681" s="61"/>
      <c r="AF681" s="61"/>
      <c r="AG681" s="1" t="s">
        <v>3515</v>
      </c>
      <c r="AH681" s="537"/>
      <c r="AI681" s="537"/>
      <c r="AK681" s="537"/>
      <c r="AM681" s="537" t="s">
        <v>3500</v>
      </c>
      <c r="AN681" s="537"/>
    </row>
    <row r="682" spans="1:40" hidden="1">
      <c r="A682" s="537" t="s">
        <v>54</v>
      </c>
      <c r="B682" s="1">
        <v>231111</v>
      </c>
      <c r="D682" s="537" t="s">
        <v>2638</v>
      </c>
      <c r="E682" s="537"/>
      <c r="F682"/>
      <c r="G682"/>
      <c r="H682" s="537" t="s">
        <v>3526</v>
      </c>
      <c r="I682" s="537" t="s">
        <v>3527</v>
      </c>
      <c r="J682" s="537" t="s">
        <v>17</v>
      </c>
      <c r="K682" s="537" t="s">
        <v>57</v>
      </c>
      <c r="L682" s="61">
        <v>36383</v>
      </c>
      <c r="M682" s="1">
        <v>24</v>
      </c>
      <c r="N682" s="1">
        <v>1300</v>
      </c>
      <c r="P682" s="1">
        <v>1800</v>
      </c>
      <c r="Q682" s="537"/>
      <c r="R682" s="1">
        <v>500</v>
      </c>
      <c r="S682">
        <v>240000</v>
      </c>
      <c r="T682">
        <v>12012</v>
      </c>
      <c r="U682" t="s">
        <v>2639</v>
      </c>
      <c r="V682">
        <v>21960</v>
      </c>
      <c r="W682" s="1">
        <v>45564</v>
      </c>
      <c r="X682" s="537" t="s">
        <v>65</v>
      </c>
      <c r="Y682" s="537" t="s">
        <v>60</v>
      </c>
      <c r="Z682" s="1" t="s">
        <v>3528</v>
      </c>
      <c r="AA682" s="537" t="s">
        <v>3529</v>
      </c>
      <c r="AB682" s="537" t="s">
        <v>3530</v>
      </c>
      <c r="AD682" s="61">
        <v>45232</v>
      </c>
      <c r="AE682" s="61"/>
      <c r="AF682" s="61"/>
      <c r="AG682" s="1" t="s">
        <v>3515</v>
      </c>
      <c r="AH682" s="537"/>
      <c r="AI682" s="537"/>
      <c r="AK682" s="537"/>
      <c r="AM682" s="537" t="s">
        <v>3500</v>
      </c>
      <c r="AN682" s="537"/>
    </row>
    <row r="683" spans="1:40" hidden="1">
      <c r="A683" s="537" t="s">
        <v>54</v>
      </c>
      <c r="B683" s="1">
        <v>220804</v>
      </c>
      <c r="D683" s="537" t="s">
        <v>72</v>
      </c>
      <c r="E683" s="537"/>
      <c r="F683"/>
      <c r="G683"/>
      <c r="H683" s="537" t="s">
        <v>2179</v>
      </c>
      <c r="I683" s="537" t="s">
        <v>2180</v>
      </c>
      <c r="J683" s="537" t="s">
        <v>18</v>
      </c>
      <c r="K683" s="537" t="s">
        <v>57</v>
      </c>
      <c r="L683" s="61">
        <v>34471</v>
      </c>
      <c r="M683" s="1">
        <v>29</v>
      </c>
      <c r="N683" s="1">
        <v>1400</v>
      </c>
      <c r="P683" s="1">
        <v>1800</v>
      </c>
      <c r="Q683" s="537"/>
      <c r="R683" s="1">
        <v>400</v>
      </c>
      <c r="S683">
        <v>240000</v>
      </c>
      <c r="T683">
        <v>12012</v>
      </c>
      <c r="U683" t="s">
        <v>2639</v>
      </c>
      <c r="V683">
        <v>21960</v>
      </c>
      <c r="W683" s="1">
        <v>45361</v>
      </c>
      <c r="X683" s="537" t="s">
        <v>65</v>
      </c>
      <c r="Y683" s="537" t="s">
        <v>60</v>
      </c>
      <c r="Z683" s="1" t="s">
        <v>328</v>
      </c>
      <c r="AA683" s="537" t="s">
        <v>329</v>
      </c>
      <c r="AB683" s="537" t="s">
        <v>330</v>
      </c>
      <c r="AD683" s="61">
        <v>45236</v>
      </c>
      <c r="AE683" s="61"/>
      <c r="AF683" s="61"/>
      <c r="AG683" s="1" t="s">
        <v>3531</v>
      </c>
      <c r="AH683" s="537"/>
      <c r="AI683" s="537"/>
      <c r="AK683" s="537"/>
      <c r="AM683" s="537" t="s">
        <v>3500</v>
      </c>
      <c r="AN683" s="537"/>
    </row>
    <row r="684" spans="1:40" hidden="1">
      <c r="A684" s="537" t="s">
        <v>54</v>
      </c>
      <c r="B684" s="1">
        <v>210420</v>
      </c>
      <c r="D684" s="537" t="s">
        <v>1142</v>
      </c>
      <c r="E684" s="537" t="s">
        <v>1143</v>
      </c>
      <c r="F684"/>
      <c r="G684"/>
      <c r="H684" s="537" t="s">
        <v>1159</v>
      </c>
      <c r="I684" s="537" t="s">
        <v>1160</v>
      </c>
      <c r="J684" s="537" t="s">
        <v>18</v>
      </c>
      <c r="K684" s="537" t="s">
        <v>57</v>
      </c>
      <c r="L684" s="61">
        <v>33714</v>
      </c>
      <c r="M684" s="1">
        <v>31</v>
      </c>
      <c r="N684" s="1">
        <v>1400</v>
      </c>
      <c r="P684" s="1">
        <v>2000</v>
      </c>
      <c r="Q684" s="537"/>
      <c r="R684" s="1">
        <v>600</v>
      </c>
      <c r="S684">
        <v>220000</v>
      </c>
      <c r="T684">
        <v>11011</v>
      </c>
      <c r="U684" t="s">
        <v>2639</v>
      </c>
      <c r="V684">
        <v>20130</v>
      </c>
      <c r="W684" s="1">
        <v>46073</v>
      </c>
      <c r="X684" s="537" t="s">
        <v>65</v>
      </c>
      <c r="Y684" s="537" t="s">
        <v>60</v>
      </c>
      <c r="Z684" s="1" t="s">
        <v>210</v>
      </c>
      <c r="AA684" s="537" t="s">
        <v>211</v>
      </c>
      <c r="AB684" s="537" t="s">
        <v>304</v>
      </c>
      <c r="AC684" s="1">
        <v>45231</v>
      </c>
      <c r="AD684" s="61">
        <v>45243</v>
      </c>
      <c r="AE684" s="61"/>
      <c r="AF684" s="61"/>
      <c r="AG684" s="1" t="s">
        <v>3534</v>
      </c>
      <c r="AH684" s="537"/>
      <c r="AI684" s="537"/>
      <c r="AK684" s="537"/>
      <c r="AM684" s="537" t="s">
        <v>3536</v>
      </c>
      <c r="AN684" s="537"/>
    </row>
    <row r="685" spans="1:40" hidden="1">
      <c r="A685" s="537" t="s">
        <v>54</v>
      </c>
      <c r="B685" s="1">
        <v>231118</v>
      </c>
      <c r="D685" s="537" t="s">
        <v>962</v>
      </c>
      <c r="E685" s="537"/>
      <c r="F685"/>
      <c r="G685"/>
      <c r="H685" s="537" t="s">
        <v>3548</v>
      </c>
      <c r="I685" s="537" t="s">
        <v>3549</v>
      </c>
      <c r="J685" s="537" t="s">
        <v>18</v>
      </c>
      <c r="K685" s="537" t="s">
        <v>57</v>
      </c>
      <c r="L685" s="61">
        <v>33449</v>
      </c>
      <c r="M685" s="1">
        <v>32</v>
      </c>
      <c r="N685" s="1">
        <v>1300</v>
      </c>
      <c r="P685" s="1">
        <v>1650</v>
      </c>
      <c r="Q685" s="537"/>
      <c r="R685" s="1">
        <v>350</v>
      </c>
      <c r="S685">
        <v>0</v>
      </c>
      <c r="T685">
        <v>0</v>
      </c>
      <c r="U685" t="s">
        <v>2639</v>
      </c>
      <c r="V685">
        <v>0</v>
      </c>
      <c r="W685" s="1">
        <v>45344</v>
      </c>
      <c r="X685" s="537" t="s">
        <v>59</v>
      </c>
      <c r="Y685" s="537" t="s">
        <v>60</v>
      </c>
      <c r="AA685" s="537"/>
      <c r="AB685" s="537"/>
      <c r="AD685" s="61">
        <v>45254</v>
      </c>
      <c r="AE685" s="61"/>
      <c r="AF685" s="61"/>
      <c r="AH685" s="537"/>
      <c r="AI685" s="537"/>
      <c r="AK685" s="537"/>
      <c r="AM685" s="537"/>
      <c r="AN685" s="537"/>
    </row>
    <row r="686" spans="1:40" hidden="1">
      <c r="A686" s="537" t="s">
        <v>54</v>
      </c>
      <c r="B686" s="1">
        <v>231119</v>
      </c>
      <c r="D686" s="537" t="s">
        <v>962</v>
      </c>
      <c r="E686" s="537"/>
      <c r="F686"/>
      <c r="G686"/>
      <c r="H686" s="537" t="s">
        <v>3550</v>
      </c>
      <c r="I686" s="537" t="s">
        <v>3551</v>
      </c>
      <c r="J686" s="537" t="s">
        <v>18</v>
      </c>
      <c r="K686" s="537" t="s">
        <v>57</v>
      </c>
      <c r="L686" s="61">
        <v>36246</v>
      </c>
      <c r="M686" s="1">
        <v>24</v>
      </c>
      <c r="N686" s="1">
        <v>1300</v>
      </c>
      <c r="P686" s="1">
        <v>1650</v>
      </c>
      <c r="Q686" s="537"/>
      <c r="R686" s="1">
        <v>350</v>
      </c>
      <c r="S686">
        <v>0</v>
      </c>
      <c r="T686">
        <v>0</v>
      </c>
      <c r="U686" t="s">
        <v>2639</v>
      </c>
      <c r="V686">
        <v>0</v>
      </c>
      <c r="W686" s="1">
        <v>45422</v>
      </c>
      <c r="X686" s="537" t="s">
        <v>65</v>
      </c>
      <c r="Y686" s="537" t="s">
        <v>60</v>
      </c>
      <c r="AA686" s="537"/>
      <c r="AB686" s="537"/>
      <c r="AD686" s="61">
        <v>45254</v>
      </c>
      <c r="AE686" s="61"/>
      <c r="AF686" s="61"/>
      <c r="AH686" s="537"/>
      <c r="AI686" s="537"/>
      <c r="AK686" s="537"/>
      <c r="AM686" s="537"/>
      <c r="AN686" s="537"/>
    </row>
    <row r="687" spans="1:40" hidden="1">
      <c r="A687" s="537" t="s">
        <v>54</v>
      </c>
      <c r="B687" s="1">
        <v>231120</v>
      </c>
      <c r="D687" s="537" t="s">
        <v>3552</v>
      </c>
      <c r="E687" s="537"/>
      <c r="F687"/>
      <c r="G687"/>
      <c r="H687" s="537" t="s">
        <v>3553</v>
      </c>
      <c r="I687" s="537" t="s">
        <v>3554</v>
      </c>
      <c r="J687" s="537" t="s">
        <v>18</v>
      </c>
      <c r="K687" s="537" t="s">
        <v>57</v>
      </c>
      <c r="L687" s="61">
        <v>34858</v>
      </c>
      <c r="M687" s="1">
        <v>28</v>
      </c>
      <c r="N687" s="1">
        <v>1300</v>
      </c>
      <c r="P687" s="1">
        <v>1900</v>
      </c>
      <c r="Q687" s="537"/>
      <c r="R687" s="1">
        <v>600</v>
      </c>
      <c r="S687">
        <v>0</v>
      </c>
      <c r="T687">
        <v>0</v>
      </c>
      <c r="U687" t="s">
        <v>2639</v>
      </c>
      <c r="V687">
        <v>0</v>
      </c>
      <c r="W687" s="1">
        <v>45323</v>
      </c>
      <c r="X687" s="537" t="s">
        <v>59</v>
      </c>
      <c r="Y687" s="537" t="s">
        <v>60</v>
      </c>
      <c r="AA687" s="537"/>
      <c r="AB687" s="537"/>
      <c r="AD687" s="61">
        <v>45258</v>
      </c>
      <c r="AE687" s="61"/>
      <c r="AF687" s="61"/>
      <c r="AH687" s="537"/>
      <c r="AI687" s="537"/>
      <c r="AK687" s="537"/>
      <c r="AM687" s="537"/>
      <c r="AN687" s="537"/>
    </row>
    <row r="688" spans="1:40" hidden="1">
      <c r="A688" s="537" t="s">
        <v>54</v>
      </c>
      <c r="B688" s="1">
        <v>231202</v>
      </c>
      <c r="D688" s="537" t="s">
        <v>962</v>
      </c>
      <c r="E688" s="537"/>
      <c r="F688"/>
      <c r="G688"/>
      <c r="H688" s="537" t="s">
        <v>3557</v>
      </c>
      <c r="I688" s="537" t="s">
        <v>3558</v>
      </c>
      <c r="J688" s="537" t="s">
        <v>18</v>
      </c>
      <c r="K688" s="537" t="s">
        <v>57</v>
      </c>
      <c r="L688" s="61">
        <v>34804</v>
      </c>
      <c r="M688" s="1">
        <v>28</v>
      </c>
      <c r="N688" s="1">
        <v>1300</v>
      </c>
      <c r="P688" s="1">
        <v>1650</v>
      </c>
      <c r="Q688" s="537"/>
      <c r="R688" s="1">
        <v>350</v>
      </c>
      <c r="S688">
        <v>0</v>
      </c>
      <c r="T688">
        <v>0</v>
      </c>
      <c r="U688" t="s">
        <v>2639</v>
      </c>
      <c r="V688">
        <v>0</v>
      </c>
      <c r="W688" s="1">
        <v>45500</v>
      </c>
      <c r="X688" s="537" t="s">
        <v>65</v>
      </c>
      <c r="Y688" s="537" t="s">
        <v>60</v>
      </c>
      <c r="AA688" s="537"/>
      <c r="AB688" s="537"/>
      <c r="AD688" s="61">
        <v>45261</v>
      </c>
      <c r="AE688" s="61"/>
      <c r="AF688" s="61"/>
      <c r="AH688" s="537"/>
      <c r="AI688" s="537"/>
      <c r="AK688" s="537"/>
      <c r="AM688" s="537"/>
      <c r="AN688" s="537"/>
    </row>
    <row r="689" spans="1:40">
      <c r="A689" s="537" t="s">
        <v>54</v>
      </c>
      <c r="B689" s="1">
        <v>231203</v>
      </c>
      <c r="D689" s="537" t="s">
        <v>79</v>
      </c>
      <c r="E689" s="537" t="s">
        <v>667</v>
      </c>
      <c r="F689" s="1" t="s">
        <v>2568</v>
      </c>
      <c r="G689" s="1" t="s">
        <v>694</v>
      </c>
      <c r="H689" s="537" t="s">
        <v>3249</v>
      </c>
      <c r="I689" s="537" t="s">
        <v>3559</v>
      </c>
      <c r="J689" s="537" t="s">
        <v>18</v>
      </c>
      <c r="K689" s="537" t="s">
        <v>57</v>
      </c>
      <c r="L689" s="61">
        <v>36803</v>
      </c>
      <c r="M689" s="1">
        <v>23</v>
      </c>
      <c r="N689" s="1">
        <v>1200</v>
      </c>
      <c r="P689" s="1">
        <v>1650</v>
      </c>
      <c r="Q689" s="537"/>
      <c r="R689" s="1">
        <v>450</v>
      </c>
      <c r="S689" s="1">
        <v>0</v>
      </c>
      <c r="T689" s="1">
        <v>0</v>
      </c>
      <c r="U689" s="1" t="s">
        <v>2639</v>
      </c>
      <c r="V689" s="1">
        <v>0</v>
      </c>
      <c r="W689" s="1">
        <v>45623</v>
      </c>
      <c r="X689" s="537" t="s">
        <v>65</v>
      </c>
      <c r="Y689" s="537" t="s">
        <v>60</v>
      </c>
      <c r="AA689" s="537"/>
      <c r="AB689" s="537"/>
      <c r="AC689" s="1">
        <v>45257</v>
      </c>
      <c r="AD689" s="61">
        <v>45261</v>
      </c>
      <c r="AE689" s="61"/>
      <c r="AF689" s="61"/>
      <c r="AH689" s="537"/>
      <c r="AI689" s="537"/>
      <c r="AK689" s="537"/>
      <c r="AM689" s="537"/>
      <c r="AN689" s="537"/>
    </row>
    <row r="690" spans="1:40">
      <c r="A690" s="537" t="s">
        <v>54</v>
      </c>
      <c r="B690" s="1">
        <v>231204</v>
      </c>
      <c r="D690" s="537" t="s">
        <v>79</v>
      </c>
      <c r="E690" s="537" t="s">
        <v>667</v>
      </c>
      <c r="F690" s="1" t="s">
        <v>2568</v>
      </c>
      <c r="G690" s="1" t="s">
        <v>694</v>
      </c>
      <c r="H690" s="537" t="s">
        <v>3560</v>
      </c>
      <c r="I690" s="537" t="s">
        <v>3561</v>
      </c>
      <c r="J690" s="537" t="s">
        <v>18</v>
      </c>
      <c r="K690" s="537" t="s">
        <v>57</v>
      </c>
      <c r="L690" s="61">
        <v>36471</v>
      </c>
      <c r="M690" s="1">
        <v>24</v>
      </c>
      <c r="N690" s="1">
        <v>1200</v>
      </c>
      <c r="P690" s="1">
        <v>1650</v>
      </c>
      <c r="Q690" s="537"/>
      <c r="R690" s="1">
        <v>450</v>
      </c>
      <c r="S690" s="1">
        <v>0</v>
      </c>
      <c r="T690" s="1">
        <v>0</v>
      </c>
      <c r="U690" s="1" t="s">
        <v>2639</v>
      </c>
      <c r="V690" s="1">
        <v>0</v>
      </c>
      <c r="W690" s="1">
        <v>45623</v>
      </c>
      <c r="X690" s="537" t="s">
        <v>65</v>
      </c>
      <c r="Y690" s="537" t="s">
        <v>60</v>
      </c>
      <c r="AA690" s="537"/>
      <c r="AB690" s="537"/>
      <c r="AC690" s="1">
        <v>45257</v>
      </c>
      <c r="AD690" s="61">
        <v>45261</v>
      </c>
      <c r="AE690" s="61"/>
      <c r="AF690" s="61"/>
      <c r="AH690" s="537"/>
      <c r="AI690" s="537"/>
      <c r="AK690" s="537"/>
      <c r="AM690" s="537"/>
      <c r="AN690" s="537"/>
    </row>
    <row r="691" spans="1:40">
      <c r="A691" s="537" t="s">
        <v>54</v>
      </c>
      <c r="B691" s="1">
        <v>231205</v>
      </c>
      <c r="D691" s="537" t="s">
        <v>159</v>
      </c>
      <c r="E691" s="537" t="s">
        <v>671</v>
      </c>
      <c r="F691" s="1" t="s">
        <v>2582</v>
      </c>
      <c r="G691" s="1" t="s">
        <v>3071</v>
      </c>
      <c r="H691" s="537" t="s">
        <v>3562</v>
      </c>
      <c r="I691" s="537" t="s">
        <v>3563</v>
      </c>
      <c r="J691" s="537" t="s">
        <v>18</v>
      </c>
      <c r="K691" s="537" t="s">
        <v>57</v>
      </c>
      <c r="L691" s="61">
        <v>35805</v>
      </c>
      <c r="M691" s="1">
        <v>25</v>
      </c>
      <c r="N691" s="1">
        <v>1200</v>
      </c>
      <c r="P691" s="1">
        <v>1650</v>
      </c>
      <c r="Q691" s="537"/>
      <c r="R691" s="1">
        <v>450</v>
      </c>
      <c r="S691" s="1">
        <v>0</v>
      </c>
      <c r="T691" s="1">
        <v>0</v>
      </c>
      <c r="U691" s="1" t="s">
        <v>2639</v>
      </c>
      <c r="V691" s="1">
        <v>0</v>
      </c>
      <c r="W691" s="1">
        <v>45623</v>
      </c>
      <c r="X691" s="537" t="s">
        <v>65</v>
      </c>
      <c r="Y691" s="537" t="s">
        <v>60</v>
      </c>
      <c r="AA691" s="537"/>
      <c r="AB691" s="537"/>
      <c r="AC691" s="1">
        <v>45257</v>
      </c>
      <c r="AD691" s="61">
        <v>45261</v>
      </c>
      <c r="AE691" s="61"/>
      <c r="AF691" s="61"/>
      <c r="AH691" s="537"/>
      <c r="AI691" s="537"/>
      <c r="AK691" s="537"/>
      <c r="AM691" s="537"/>
      <c r="AN691" s="537"/>
    </row>
    <row r="692" spans="1:40" hidden="1">
      <c r="A692" s="537" t="s">
        <v>54</v>
      </c>
      <c r="B692" s="1">
        <v>231207</v>
      </c>
      <c r="D692" s="537" t="s">
        <v>1066</v>
      </c>
      <c r="E692" s="537"/>
      <c r="F692"/>
      <c r="G692"/>
      <c r="H692" s="537" t="s">
        <v>3566</v>
      </c>
      <c r="I692" s="537" t="s">
        <v>3567</v>
      </c>
      <c r="J692" s="537" t="s">
        <v>18</v>
      </c>
      <c r="K692" s="537" t="s">
        <v>57</v>
      </c>
      <c r="L692" s="61">
        <v>36161</v>
      </c>
      <c r="M692" s="1">
        <v>24</v>
      </c>
      <c r="N692" s="1">
        <v>1200</v>
      </c>
      <c r="P692" s="1">
        <v>1700</v>
      </c>
      <c r="Q692" s="537"/>
      <c r="R692" s="1">
        <v>500</v>
      </c>
      <c r="S692">
        <v>0</v>
      </c>
      <c r="T692">
        <v>0</v>
      </c>
      <c r="U692" t="s">
        <v>2639</v>
      </c>
      <c r="V692">
        <v>0</v>
      </c>
      <c r="W692" s="1">
        <v>45623</v>
      </c>
      <c r="X692" s="537" t="s">
        <v>65</v>
      </c>
      <c r="Y692" s="537" t="s">
        <v>60</v>
      </c>
      <c r="Z692" s="1" t="s">
        <v>1070</v>
      </c>
      <c r="AA692" s="537" t="s">
        <v>1071</v>
      </c>
      <c r="AB692" s="537" t="s">
        <v>2940</v>
      </c>
      <c r="AC692" s="1">
        <v>45257</v>
      </c>
      <c r="AD692" s="61">
        <v>45261</v>
      </c>
      <c r="AE692" s="61"/>
      <c r="AF692" s="61"/>
      <c r="AH692" s="537"/>
      <c r="AI692" s="537"/>
      <c r="AK692" s="537"/>
      <c r="AM692" s="537"/>
      <c r="AN692" s="537"/>
    </row>
    <row r="693" spans="1:40" hidden="1">
      <c r="A693" s="537" t="s">
        <v>54</v>
      </c>
      <c r="B693" s="1">
        <v>231208</v>
      </c>
      <c r="D693" s="537" t="s">
        <v>1066</v>
      </c>
      <c r="E693" s="537"/>
      <c r="F693"/>
      <c r="G693"/>
      <c r="H693" s="537" t="s">
        <v>3568</v>
      </c>
      <c r="I693" s="537" t="s">
        <v>3569</v>
      </c>
      <c r="J693" s="537" t="s">
        <v>18</v>
      </c>
      <c r="K693" s="537" t="s">
        <v>57</v>
      </c>
      <c r="L693" s="61">
        <v>36021</v>
      </c>
      <c r="M693" s="1">
        <v>25</v>
      </c>
      <c r="N693" s="1">
        <v>1200</v>
      </c>
      <c r="P693" s="1">
        <v>1700</v>
      </c>
      <c r="Q693" s="537"/>
      <c r="R693" s="1">
        <v>500</v>
      </c>
      <c r="S693">
        <v>0</v>
      </c>
      <c r="T693">
        <v>0</v>
      </c>
      <c r="U693" t="s">
        <v>2639</v>
      </c>
      <c r="V693">
        <v>0</v>
      </c>
      <c r="W693" s="1">
        <v>45626</v>
      </c>
      <c r="X693" s="537" t="s">
        <v>65</v>
      </c>
      <c r="Y693" s="537" t="s">
        <v>60</v>
      </c>
      <c r="AA693" s="537"/>
      <c r="AB693" s="537"/>
      <c r="AC693" s="1">
        <v>45260</v>
      </c>
      <c r="AD693" s="61">
        <v>45261</v>
      </c>
      <c r="AE693" s="61"/>
      <c r="AF693" s="61"/>
      <c r="AH693" s="537"/>
      <c r="AI693" s="537"/>
      <c r="AK693" s="537"/>
      <c r="AM693" s="537"/>
      <c r="AN693" s="537"/>
    </row>
    <row r="694" spans="1:40" hidden="1">
      <c r="A694" s="537" t="s">
        <v>54</v>
      </c>
      <c r="B694" s="1">
        <v>231214</v>
      </c>
      <c r="D694" s="537" t="s">
        <v>118</v>
      </c>
      <c r="E694" s="537"/>
      <c r="F694"/>
      <c r="G694"/>
      <c r="H694" s="537" t="s">
        <v>3579</v>
      </c>
      <c r="I694" s="537" t="s">
        <v>3580</v>
      </c>
      <c r="J694" s="537" t="s">
        <v>18</v>
      </c>
      <c r="K694" s="537" t="s">
        <v>57</v>
      </c>
      <c r="L694" s="61">
        <v>37519</v>
      </c>
      <c r="M694" s="1">
        <v>21</v>
      </c>
      <c r="N694" s="1">
        <v>1200</v>
      </c>
      <c r="P694" s="1">
        <v>1650</v>
      </c>
      <c r="Q694" s="537"/>
      <c r="R694" s="1">
        <v>450</v>
      </c>
      <c r="S694">
        <v>0</v>
      </c>
      <c r="T694">
        <v>0</v>
      </c>
      <c r="U694" t="s">
        <v>2639</v>
      </c>
      <c r="V694">
        <v>0</v>
      </c>
      <c r="W694" s="1">
        <v>45623</v>
      </c>
      <c r="X694" s="537" t="s">
        <v>65</v>
      </c>
      <c r="Y694" s="537" t="s">
        <v>60</v>
      </c>
      <c r="AA694" s="537"/>
      <c r="AB694" s="537"/>
      <c r="AC694" s="1">
        <v>45257</v>
      </c>
      <c r="AD694" s="61">
        <v>45264</v>
      </c>
      <c r="AE694" s="61"/>
      <c r="AF694" s="61"/>
      <c r="AH694" s="537"/>
      <c r="AI694" s="537"/>
      <c r="AK694" s="537"/>
      <c r="AM694" s="537"/>
      <c r="AN694" s="537"/>
    </row>
    <row r="695" spans="1:40">
      <c r="A695" s="537" t="s">
        <v>54</v>
      </c>
      <c r="B695" s="1">
        <v>231215</v>
      </c>
      <c r="D695" s="537" t="s">
        <v>88</v>
      </c>
      <c r="E695" s="537"/>
      <c r="H695" s="537" t="s">
        <v>3581</v>
      </c>
      <c r="I695" s="537" t="s">
        <v>3582</v>
      </c>
      <c r="J695" s="537" t="s">
        <v>18</v>
      </c>
      <c r="K695" s="537" t="s">
        <v>57</v>
      </c>
      <c r="L695" s="61">
        <v>37082</v>
      </c>
      <c r="M695" s="1">
        <v>22</v>
      </c>
      <c r="N695" s="1">
        <v>1200</v>
      </c>
      <c r="P695" s="1">
        <v>1650</v>
      </c>
      <c r="Q695" s="537"/>
      <c r="R695" s="1">
        <v>450</v>
      </c>
      <c r="S695" s="1">
        <v>0</v>
      </c>
      <c r="T695" s="1">
        <v>0</v>
      </c>
      <c r="U695" s="1" t="s">
        <v>2639</v>
      </c>
      <c r="V695" s="1">
        <v>0</v>
      </c>
      <c r="W695" s="1">
        <v>45632</v>
      </c>
      <c r="X695" s="537" t="s">
        <v>65</v>
      </c>
      <c r="Y695" s="537" t="s">
        <v>60</v>
      </c>
      <c r="AA695" s="537"/>
      <c r="AB695" s="537"/>
      <c r="AD695" s="61">
        <v>45272</v>
      </c>
      <c r="AE695" s="61"/>
      <c r="AF695" s="61"/>
      <c r="AH695" s="537"/>
      <c r="AI695" s="537"/>
      <c r="AK695" s="537"/>
      <c r="AM695" s="537"/>
      <c r="AN695" s="537"/>
    </row>
    <row r="696" spans="1:40">
      <c r="A696" s="537" t="s">
        <v>54</v>
      </c>
      <c r="B696" s="1">
        <v>231216</v>
      </c>
      <c r="D696" s="537" t="s">
        <v>88</v>
      </c>
      <c r="E696" s="537"/>
      <c r="H696" s="537" t="s">
        <v>3583</v>
      </c>
      <c r="I696" s="537" t="s">
        <v>3584</v>
      </c>
      <c r="J696" s="537" t="s">
        <v>18</v>
      </c>
      <c r="K696" s="537" t="s">
        <v>57</v>
      </c>
      <c r="L696" s="61">
        <v>35325</v>
      </c>
      <c r="M696" s="1">
        <v>27</v>
      </c>
      <c r="N696" s="1">
        <v>1200</v>
      </c>
      <c r="P696" s="1">
        <v>1650</v>
      </c>
      <c r="Q696" s="537"/>
      <c r="R696" s="1">
        <v>450</v>
      </c>
      <c r="S696" s="1">
        <v>0</v>
      </c>
      <c r="T696" s="1">
        <v>0</v>
      </c>
      <c r="U696" s="1" t="s">
        <v>2639</v>
      </c>
      <c r="V696" s="1">
        <v>0</v>
      </c>
      <c r="W696" s="1">
        <v>45632</v>
      </c>
      <c r="X696" s="537" t="s">
        <v>65</v>
      </c>
      <c r="Y696" s="537" t="s">
        <v>60</v>
      </c>
      <c r="AA696" s="537"/>
      <c r="AB696" s="537"/>
      <c r="AD696" s="61">
        <v>45272</v>
      </c>
      <c r="AE696" s="61"/>
      <c r="AF696" s="61"/>
      <c r="AH696" s="537"/>
      <c r="AI696" s="537"/>
      <c r="AK696" s="537"/>
      <c r="AM696" s="537"/>
      <c r="AN696" s="537"/>
    </row>
    <row r="697" spans="1:40" hidden="1">
      <c r="A697" s="537" t="s">
        <v>2268</v>
      </c>
      <c r="D697" s="537" t="s">
        <v>118</v>
      </c>
      <c r="E697" s="537"/>
      <c r="F697"/>
      <c r="G697"/>
      <c r="H697" s="537" t="s">
        <v>3585</v>
      </c>
      <c r="I697" s="537" t="s">
        <v>3586</v>
      </c>
      <c r="J697" s="537" t="s">
        <v>17</v>
      </c>
      <c r="K697" s="537" t="s">
        <v>57</v>
      </c>
      <c r="L697" s="61">
        <v>35212</v>
      </c>
      <c r="M697" s="1">
        <v>27</v>
      </c>
      <c r="N697" s="1">
        <v>1110</v>
      </c>
      <c r="P697" s="1">
        <v>1610</v>
      </c>
      <c r="Q697" s="537"/>
      <c r="R697" s="1">
        <v>500</v>
      </c>
      <c r="S697">
        <v>0</v>
      </c>
      <c r="T697">
        <v>0</v>
      </c>
      <c r="U697" t="s">
        <v>2639</v>
      </c>
      <c r="V697">
        <v>0</v>
      </c>
      <c r="W697" s="1">
        <v>46185</v>
      </c>
      <c r="X697" s="537" t="s">
        <v>65</v>
      </c>
      <c r="Y697" s="537" t="s">
        <v>232</v>
      </c>
      <c r="AA697" s="537"/>
      <c r="AB697" s="537"/>
      <c r="AD697" s="61">
        <v>45278</v>
      </c>
      <c r="AE697" s="61"/>
      <c r="AF697" s="61"/>
      <c r="AH697" s="537"/>
      <c r="AI697" s="537"/>
      <c r="AK697" s="537"/>
      <c r="AM697" s="537"/>
      <c r="AN697" s="537"/>
    </row>
    <row r="698" spans="1:40" hidden="1">
      <c r="A698" s="537" t="s">
        <v>2268</v>
      </c>
      <c r="D698" s="537" t="s">
        <v>118</v>
      </c>
      <c r="E698" s="537"/>
      <c r="F698"/>
      <c r="G698"/>
      <c r="H698" s="537" t="s">
        <v>3587</v>
      </c>
      <c r="I698" s="537" t="s">
        <v>3588</v>
      </c>
      <c r="J698" s="537" t="s">
        <v>18</v>
      </c>
      <c r="K698" s="537" t="s">
        <v>57</v>
      </c>
      <c r="L698" s="61">
        <v>35883</v>
      </c>
      <c r="M698" s="1">
        <v>25</v>
      </c>
      <c r="N698" s="1">
        <v>1200</v>
      </c>
      <c r="P698" s="1">
        <v>1650</v>
      </c>
      <c r="Q698" s="537"/>
      <c r="R698" s="1">
        <v>450</v>
      </c>
      <c r="S698">
        <v>0</v>
      </c>
      <c r="T698">
        <v>0</v>
      </c>
      <c r="U698" t="s">
        <v>2639</v>
      </c>
      <c r="V698">
        <v>0</v>
      </c>
      <c r="W698" s="1">
        <v>45634</v>
      </c>
      <c r="X698" s="537" t="s">
        <v>65</v>
      </c>
      <c r="Y698" s="537" t="s">
        <v>60</v>
      </c>
      <c r="AA698" s="537"/>
      <c r="AB698" s="537"/>
      <c r="AD698" s="61"/>
      <c r="AE698" s="61"/>
      <c r="AF698" s="61"/>
      <c r="AH698" s="537"/>
      <c r="AI698" s="537"/>
      <c r="AK698" s="537"/>
      <c r="AM698" s="537"/>
      <c r="AN698" s="537"/>
    </row>
    <row r="699" spans="1:40" hidden="1">
      <c r="A699" s="537"/>
      <c r="D699" s="537"/>
      <c r="E699" s="537"/>
      <c r="F699"/>
      <c r="G699"/>
      <c r="H699" s="537"/>
      <c r="I699" s="537"/>
      <c r="J699" s="537"/>
      <c r="K699" s="537"/>
      <c r="L699" s="61"/>
      <c r="M699" s="1">
        <v>123</v>
      </c>
      <c r="Q699" s="537"/>
      <c r="R699" s="1">
        <v>0</v>
      </c>
      <c r="S699"/>
      <c r="T699" t="s">
        <v>65</v>
      </c>
      <c r="U699" t="s">
        <v>65</v>
      </c>
      <c r="V699" t="s">
        <v>2639</v>
      </c>
      <c r="X699" s="537" t="s">
        <v>65</v>
      </c>
      <c r="Y699" s="537"/>
      <c r="AA699" s="537"/>
      <c r="AB699" s="537"/>
      <c r="AD699" s="61"/>
      <c r="AE699" s="61"/>
      <c r="AF699" s="61"/>
      <c r="AH699" s="537"/>
      <c r="AI699" s="537"/>
      <c r="AK699" s="537"/>
      <c r="AM699" s="537"/>
      <c r="AN699" s="537"/>
    </row>
    <row r="700" spans="1:40" hidden="1">
      <c r="A700" s="537"/>
      <c r="D700" s="537"/>
      <c r="E700" s="537"/>
      <c r="F700"/>
      <c r="G700"/>
      <c r="H700" s="537"/>
      <c r="I700" s="537"/>
      <c r="J700" s="537"/>
      <c r="K700" s="537"/>
      <c r="L700" s="61"/>
      <c r="M700" s="1">
        <v>123</v>
      </c>
      <c r="Q700" s="537"/>
      <c r="R700" s="1">
        <v>0</v>
      </c>
      <c r="S700"/>
      <c r="T700" t="s">
        <v>65</v>
      </c>
      <c r="U700" t="s">
        <v>65</v>
      </c>
      <c r="V700" t="s">
        <v>2639</v>
      </c>
      <c r="X700" s="537" t="s">
        <v>65</v>
      </c>
      <c r="Y700" s="537"/>
      <c r="AA700" s="537"/>
      <c r="AB700" s="537"/>
      <c r="AD700" s="61"/>
      <c r="AE700" s="61"/>
      <c r="AF700" s="61"/>
      <c r="AH700" s="537"/>
      <c r="AI700" s="537"/>
      <c r="AK700" s="537"/>
      <c r="AM700" s="537"/>
      <c r="AN700" s="537"/>
    </row>
    <row r="701" spans="1:40" hidden="1">
      <c r="A701" s="537"/>
      <c r="D701" s="537"/>
      <c r="E701" s="537"/>
      <c r="F701"/>
      <c r="G701"/>
      <c r="H701" s="537"/>
      <c r="I701" s="537"/>
      <c r="J701" s="537"/>
      <c r="K701" s="537"/>
      <c r="L701" s="61"/>
      <c r="M701" s="1">
        <v>123</v>
      </c>
      <c r="Q701" s="537"/>
      <c r="R701" s="1">
        <v>0</v>
      </c>
      <c r="S701"/>
      <c r="T701" t="s">
        <v>65</v>
      </c>
      <c r="U701" t="s">
        <v>65</v>
      </c>
      <c r="V701" t="s">
        <v>2639</v>
      </c>
      <c r="X701" s="537" t="s">
        <v>65</v>
      </c>
      <c r="Y701" s="537"/>
      <c r="AA701" s="537"/>
      <c r="AB701" s="537"/>
      <c r="AD701" s="61"/>
      <c r="AE701" s="61"/>
      <c r="AF701" s="61"/>
      <c r="AH701" s="537"/>
      <c r="AI701" s="537"/>
      <c r="AK701" s="537"/>
      <c r="AM701" s="537"/>
      <c r="AN701" s="537"/>
    </row>
    <row r="702" spans="1:40" hidden="1">
      <c r="A702" s="537"/>
      <c r="D702" s="537"/>
      <c r="E702" s="537"/>
      <c r="F702"/>
      <c r="G702"/>
      <c r="H702" s="537"/>
      <c r="I702" s="537"/>
      <c r="J702" s="537"/>
      <c r="K702" s="537"/>
      <c r="L702" s="61"/>
      <c r="M702" s="1">
        <v>123</v>
      </c>
      <c r="Q702" s="537"/>
      <c r="R702" s="1">
        <v>0</v>
      </c>
      <c r="S702"/>
      <c r="T702" t="s">
        <v>65</v>
      </c>
      <c r="U702" t="s">
        <v>65</v>
      </c>
      <c r="V702" t="s">
        <v>2639</v>
      </c>
      <c r="X702" s="537" t="s">
        <v>65</v>
      </c>
      <c r="Y702" s="537"/>
      <c r="AA702" s="537"/>
      <c r="AB702" s="537"/>
      <c r="AD702" s="61"/>
      <c r="AE702" s="61"/>
      <c r="AF702" s="61"/>
      <c r="AH702" s="537"/>
      <c r="AI702" s="537"/>
      <c r="AK702" s="537"/>
      <c r="AM702" s="537"/>
      <c r="AN702" s="537"/>
    </row>
    <row r="703" spans="1:40" hidden="1">
      <c r="A703" s="537"/>
      <c r="D703" s="537"/>
      <c r="E703" s="537"/>
      <c r="F703"/>
      <c r="G703"/>
      <c r="H703" s="537"/>
      <c r="I703" s="537"/>
      <c r="J703" s="537"/>
      <c r="K703" s="537"/>
      <c r="L703" s="61"/>
      <c r="M703" s="1">
        <v>123</v>
      </c>
      <c r="Q703" s="537"/>
      <c r="R703" s="1">
        <v>0</v>
      </c>
      <c r="S703"/>
      <c r="T703" t="s">
        <v>65</v>
      </c>
      <c r="U703" t="s">
        <v>65</v>
      </c>
      <c r="V703" t="s">
        <v>2639</v>
      </c>
      <c r="X703" s="537" t="s">
        <v>65</v>
      </c>
      <c r="Y703" s="537"/>
      <c r="AA703" s="537"/>
      <c r="AB703" s="537"/>
      <c r="AD703" s="61"/>
      <c r="AE703" s="61"/>
      <c r="AF703" s="61"/>
      <c r="AH703" s="537"/>
      <c r="AI703" s="537"/>
      <c r="AK703" s="537"/>
      <c r="AM703" s="537"/>
      <c r="AN703" s="537"/>
    </row>
    <row r="704" spans="1:40" hidden="1">
      <c r="A704" s="537"/>
      <c r="D704" s="537"/>
      <c r="E704" s="537"/>
      <c r="F704"/>
      <c r="G704"/>
      <c r="H704" s="537"/>
      <c r="I704" s="537"/>
      <c r="J704" s="537"/>
      <c r="K704" s="537"/>
      <c r="L704" s="61"/>
      <c r="M704" s="1">
        <v>123</v>
      </c>
      <c r="Q704" s="537"/>
      <c r="R704" s="1">
        <v>0</v>
      </c>
      <c r="S704"/>
      <c r="T704" t="s">
        <v>65</v>
      </c>
      <c r="U704" t="s">
        <v>65</v>
      </c>
      <c r="V704" t="s">
        <v>2639</v>
      </c>
      <c r="X704" s="537" t="s">
        <v>65</v>
      </c>
      <c r="Y704" s="537"/>
      <c r="AA704" s="537"/>
      <c r="AB704" s="537"/>
      <c r="AD704" s="61"/>
      <c r="AE704" s="61"/>
      <c r="AF704" s="61"/>
      <c r="AH704" s="537"/>
      <c r="AI704" s="537"/>
      <c r="AK704" s="537"/>
      <c r="AM704" s="537"/>
      <c r="AN704" s="537"/>
    </row>
    <row r="705" spans="1:40" hidden="1">
      <c r="A705" s="537"/>
      <c r="D705" s="537"/>
      <c r="E705" s="537"/>
      <c r="F705"/>
      <c r="G705"/>
      <c r="H705" s="537"/>
      <c r="I705" s="537"/>
      <c r="J705" s="537"/>
      <c r="K705" s="537"/>
      <c r="L705" s="61"/>
      <c r="M705" s="1">
        <v>123</v>
      </c>
      <c r="Q705" s="537"/>
      <c r="R705" s="1">
        <v>0</v>
      </c>
      <c r="S705"/>
      <c r="T705" t="s">
        <v>65</v>
      </c>
      <c r="U705" t="s">
        <v>65</v>
      </c>
      <c r="V705" t="s">
        <v>2639</v>
      </c>
      <c r="X705" s="537" t="s">
        <v>65</v>
      </c>
      <c r="Y705" s="537"/>
      <c r="AA705" s="537"/>
      <c r="AB705" s="537"/>
      <c r="AD705" s="61"/>
      <c r="AE705" s="61"/>
      <c r="AF705" s="61"/>
      <c r="AH705" s="537"/>
      <c r="AI705" s="537"/>
      <c r="AK705" s="537"/>
      <c r="AM705" s="537"/>
      <c r="AN705" s="537"/>
    </row>
    <row r="706" spans="1:40" hidden="1">
      <c r="A706" s="537"/>
      <c r="D706" s="537"/>
      <c r="E706" s="537"/>
      <c r="F706"/>
      <c r="G706"/>
      <c r="H706" s="537"/>
      <c r="I706" s="537"/>
      <c r="J706" s="537"/>
      <c r="K706" s="537"/>
      <c r="L706" s="61"/>
      <c r="M706" s="1">
        <v>123</v>
      </c>
      <c r="Q706" s="537"/>
      <c r="R706" s="1">
        <v>0</v>
      </c>
      <c r="S706"/>
      <c r="T706" t="s">
        <v>65</v>
      </c>
      <c r="U706" t="s">
        <v>65</v>
      </c>
      <c r="V706" t="s">
        <v>2639</v>
      </c>
      <c r="X706" s="537" t="s">
        <v>65</v>
      </c>
      <c r="Y706" s="537"/>
      <c r="AA706" s="537"/>
      <c r="AB706" s="537"/>
      <c r="AD706" s="61"/>
      <c r="AE706" s="61"/>
      <c r="AF706" s="61"/>
      <c r="AH706" s="537"/>
      <c r="AI706" s="537"/>
      <c r="AK706" s="537"/>
      <c r="AM706" s="537"/>
      <c r="AN706" s="537"/>
    </row>
    <row r="707" spans="1:40" hidden="1">
      <c r="A707" s="537"/>
      <c r="D707" s="537"/>
      <c r="E707" s="537"/>
      <c r="F707"/>
      <c r="G707"/>
      <c r="H707" s="537"/>
      <c r="I707" s="537"/>
      <c r="J707" s="537"/>
      <c r="K707" s="537"/>
      <c r="L707" s="61"/>
      <c r="M707" s="1">
        <v>123</v>
      </c>
      <c r="Q707" s="537"/>
      <c r="R707" s="1">
        <v>0</v>
      </c>
      <c r="S707"/>
      <c r="T707" t="s">
        <v>65</v>
      </c>
      <c r="U707" t="s">
        <v>65</v>
      </c>
      <c r="V707" t="s">
        <v>2639</v>
      </c>
      <c r="X707" s="537" t="s">
        <v>65</v>
      </c>
      <c r="Y707" s="537"/>
      <c r="AA707" s="537"/>
      <c r="AB707" s="537"/>
      <c r="AD707" s="61"/>
      <c r="AE707" s="61"/>
      <c r="AF707" s="61"/>
      <c r="AH707" s="537"/>
      <c r="AI707" s="537"/>
      <c r="AK707" s="537"/>
      <c r="AM707" s="537"/>
      <c r="AN707" s="537"/>
    </row>
    <row r="708" spans="1:40" hidden="1">
      <c r="A708" s="537"/>
      <c r="D708" s="537"/>
      <c r="E708" s="537"/>
      <c r="F708"/>
      <c r="G708"/>
      <c r="H708" s="537"/>
      <c r="I708" s="537"/>
      <c r="J708" s="537"/>
      <c r="K708" s="537"/>
      <c r="L708" s="61"/>
      <c r="M708" s="1">
        <v>123</v>
      </c>
      <c r="Q708" s="537"/>
      <c r="R708" s="1">
        <v>0</v>
      </c>
      <c r="S708"/>
      <c r="T708" t="s">
        <v>65</v>
      </c>
      <c r="U708" t="s">
        <v>65</v>
      </c>
      <c r="V708" t="s">
        <v>2639</v>
      </c>
      <c r="X708" s="537" t="s">
        <v>65</v>
      </c>
      <c r="Y708" s="537"/>
      <c r="AA708" s="537"/>
      <c r="AB708" s="537"/>
      <c r="AD708" s="61"/>
      <c r="AE708" s="61"/>
      <c r="AF708" s="61"/>
      <c r="AH708" s="537"/>
      <c r="AI708" s="537"/>
      <c r="AK708" s="537"/>
      <c r="AM708" s="537"/>
      <c r="AN708" s="537"/>
    </row>
    <row r="709" spans="1:40" hidden="1">
      <c r="A709" s="537"/>
      <c r="D709" s="537"/>
      <c r="E709" s="537"/>
      <c r="F709"/>
      <c r="G709"/>
      <c r="H709" s="537"/>
      <c r="I709" s="537"/>
      <c r="J709" s="537"/>
      <c r="K709" s="537"/>
      <c r="L709" s="61"/>
      <c r="M709" s="1">
        <v>123</v>
      </c>
      <c r="Q709" s="537"/>
      <c r="R709" s="1">
        <v>0</v>
      </c>
      <c r="S709"/>
      <c r="T709" t="s">
        <v>65</v>
      </c>
      <c r="U709" t="s">
        <v>65</v>
      </c>
      <c r="V709" t="s">
        <v>2639</v>
      </c>
      <c r="X709" s="537" t="s">
        <v>65</v>
      </c>
      <c r="Y709" s="537"/>
      <c r="AA709" s="537"/>
      <c r="AB709" s="537"/>
      <c r="AD709" s="61"/>
      <c r="AE709" s="61"/>
      <c r="AF709" s="61"/>
      <c r="AH709" s="537"/>
      <c r="AI709" s="537"/>
      <c r="AK709" s="537"/>
      <c r="AM709" s="537"/>
      <c r="AN709" s="537"/>
    </row>
  </sheetData>
  <phoneticPr fontId="1"/>
  <pageMargins left="0.11811023622047244" right="0.11811023622047244" top="0" bottom="0" header="0.31496062992125984" footer="0.31496062992125984"/>
  <pageSetup paperSize="9" fitToWidth="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96CAB-EE57-4150-AF56-AF0A665FEA1C}">
  <sheetPr codeName="Hoja2">
    <tabColor theme="1"/>
  </sheetPr>
  <dimension ref="A1:AP1000"/>
  <sheetViews>
    <sheetView workbookViewId="0"/>
  </sheetViews>
  <sheetFormatPr baseColWidth="10" defaultColWidth="11" defaultRowHeight="13.5"/>
  <cols>
    <col min="1" max="1" width="37.125" customWidth="1"/>
    <col min="2" max="2" width="31.625" customWidth="1"/>
    <col min="8" max="8" width="24.125" customWidth="1"/>
  </cols>
  <sheetData>
    <row r="1" spans="1:42">
      <c r="B1" t="s">
        <v>666</v>
      </c>
      <c r="C1" t="str" cm="1">
        <f t="array" ref="C1:AP709">DBGenzai[#All]</f>
        <v>現在</v>
      </c>
      <c r="D1" t="str">
        <v>社員№</v>
      </c>
      <c r="E1" t="str">
        <v>派遣先ID</v>
      </c>
      <c r="F1" t="str">
        <v>派遣先</v>
      </c>
      <c r="G1" t="str">
        <v>配属先</v>
      </c>
      <c r="H1" t="str">
        <v>配属ライン</v>
      </c>
      <c r="I1" t="str">
        <v>仕事内容</v>
      </c>
      <c r="J1" t="str">
        <v>氏名</v>
      </c>
      <c r="K1" t="str">
        <v>カナ</v>
      </c>
      <c r="L1" t="str">
        <v>性別</v>
      </c>
      <c r="M1" t="str">
        <v>国籍</v>
      </c>
      <c r="N1" t="str">
        <v>生年月日</v>
      </c>
      <c r="O1" t="str">
        <v>年齢</v>
      </c>
      <c r="P1" t="str">
        <v>時給</v>
      </c>
      <c r="Q1" t="str">
        <v>時給改定</v>
      </c>
      <c r="R1" t="str">
        <v>請求単価</v>
      </c>
      <c r="S1" t="str">
        <v>請求改定</v>
      </c>
      <c r="T1" t="str">
        <v>差額利益</v>
      </c>
      <c r="U1" t="str">
        <v>標準報酬</v>
      </c>
      <c r="V1" t="str">
        <v>健康保険</v>
      </c>
      <c r="W1" t="str">
        <v>介護保険</v>
      </c>
      <c r="X1" t="str">
        <v>厚生年金</v>
      </c>
      <c r="Y1" t="str">
        <v>ビザ期限</v>
      </c>
      <c r="Z1" t="str">
        <v>ｱﾗｰﾄ(ﾋﾞｻﾞ更新)</v>
      </c>
      <c r="AA1" t="str">
        <v>ビザ種類</v>
      </c>
      <c r="AB1" t="str">
        <v>〒</v>
      </c>
      <c r="AC1" t="str">
        <v>住所</v>
      </c>
      <c r="AD1" t="str">
        <v>ｱﾊﾟｰﾄ</v>
      </c>
      <c r="AE1" t="str">
        <v>入居</v>
      </c>
      <c r="AF1" t="str">
        <v>入社日</v>
      </c>
      <c r="AG1" t="str">
        <v>退社日</v>
      </c>
      <c r="AH1" t="str">
        <v>退去</v>
      </c>
      <c r="AI1" t="str">
        <v>社保加入</v>
      </c>
      <c r="AJ1" t="str">
        <v>口座名義</v>
      </c>
      <c r="AK1" t="str">
        <v>銀行名</v>
      </c>
      <c r="AL1" t="str">
        <v>支店番号</v>
      </c>
      <c r="AM1" t="str">
        <v>支店名</v>
      </c>
      <c r="AN1" t="str">
        <v>口座番号</v>
      </c>
      <c r="AO1" t="str">
        <v>入社依頼</v>
      </c>
      <c r="AP1" t="str">
        <v>備考</v>
      </c>
    </row>
    <row r="2" spans="1:42">
      <c r="A2" t="str">
        <f>H2&amp;COUNTIF($H$2:H2,H2)</f>
        <v>01</v>
      </c>
      <c r="B2" t="str">
        <f>F2&amp;COUNTIF($F$2:F2,F2)</f>
        <v>ピーエムアイ1</v>
      </c>
      <c r="C2" t="str">
        <v>退社</v>
      </c>
      <c r="D2">
        <v>220109</v>
      </c>
      <c r="E2">
        <v>41</v>
      </c>
      <c r="F2" t="str">
        <v>ピーエムアイ</v>
      </c>
      <c r="G2">
        <v>0</v>
      </c>
      <c r="H2">
        <v>0</v>
      </c>
      <c r="I2">
        <v>0</v>
      </c>
      <c r="J2" t="str">
        <v>PHAM THANH TAM</v>
      </c>
      <c r="K2" t="str">
        <v>ファム　タン　タム</v>
      </c>
      <c r="L2" t="str">
        <v>男</v>
      </c>
      <c r="M2" t="str">
        <v>ﾍﾞﾄﾅﾑ</v>
      </c>
      <c r="N2">
        <v>33939</v>
      </c>
      <c r="O2">
        <v>31</v>
      </c>
      <c r="P2">
        <v>1300</v>
      </c>
      <c r="Q2">
        <v>0</v>
      </c>
      <c r="R2">
        <v>1800</v>
      </c>
      <c r="S2">
        <v>0</v>
      </c>
      <c r="T2">
        <v>500</v>
      </c>
      <c r="U2">
        <v>0</v>
      </c>
      <c r="V2">
        <v>0</v>
      </c>
      <c r="W2" t="str">
        <v>0</v>
      </c>
      <c r="X2">
        <v>0</v>
      </c>
      <c r="Y2">
        <v>46140</v>
      </c>
      <c r="Z2" t="str">
        <v/>
      </c>
      <c r="AA2" t="str">
        <v>技術・人文知識・国際業務</v>
      </c>
      <c r="AB2" t="str">
        <v>471-0805</v>
      </c>
      <c r="AC2" t="str">
        <v>愛知県豊田市美里2-6-9</v>
      </c>
      <c r="AD2" t="str">
        <v>ﾚｼﾞｪﾝﾄﾞK203</v>
      </c>
      <c r="AE2">
        <v>0</v>
      </c>
      <c r="AF2">
        <v>44569</v>
      </c>
      <c r="AG2">
        <v>44984</v>
      </c>
      <c r="AH2">
        <v>44982</v>
      </c>
      <c r="AI2">
        <v>22.03</v>
      </c>
      <c r="AJ2" t="str">
        <v>フアム　タン　タム</v>
      </c>
      <c r="AK2" t="str">
        <v>三井住友銀行</v>
      </c>
      <c r="AL2">
        <v>697</v>
      </c>
      <c r="AM2">
        <v>0</v>
      </c>
      <c r="AN2" t="str">
        <v>7783142</v>
      </c>
      <c r="AO2" t="str">
        <v>OK</v>
      </c>
      <c r="AP2">
        <v>0</v>
      </c>
    </row>
    <row r="3" spans="1:42">
      <c r="A3" t="str">
        <f>H3&amp;COUNTIF($H$2:H3,H3)</f>
        <v>成型ライン1</v>
      </c>
      <c r="B3" t="str">
        <f>F3&amp;COUNTIF($F$2:F3,F3)</f>
        <v>ピーエムアイ2</v>
      </c>
      <c r="C3" t="str">
        <v>退社</v>
      </c>
      <c r="D3">
        <v>210317</v>
      </c>
      <c r="E3">
        <v>42</v>
      </c>
      <c r="F3" t="str">
        <v>ピーエムアイ</v>
      </c>
      <c r="G3" t="str">
        <v>製造1</v>
      </c>
      <c r="H3" t="str">
        <v>成型ライン</v>
      </c>
      <c r="I3" t="str">
        <v>プラスチック製品の製造におけるすべての行為</v>
      </c>
      <c r="J3" t="str">
        <v>NGUYEN VAN MANH</v>
      </c>
      <c r="K3" t="str">
        <v>グエン　ヴァン　マイン</v>
      </c>
      <c r="L3" t="str">
        <v>男</v>
      </c>
      <c r="M3" t="str">
        <v>ﾍﾞﾄﾅﾑ</v>
      </c>
      <c r="N3">
        <v>32306</v>
      </c>
      <c r="O3">
        <v>35</v>
      </c>
      <c r="P3">
        <v>1300</v>
      </c>
      <c r="Q3" t="str">
        <v>2021/7/21　1250⇒1300</v>
      </c>
      <c r="R3">
        <v>1800</v>
      </c>
      <c r="S3">
        <v>0</v>
      </c>
      <c r="T3">
        <v>500</v>
      </c>
      <c r="U3">
        <v>240000</v>
      </c>
      <c r="V3">
        <v>12012</v>
      </c>
      <c r="W3" t="str">
        <v>0</v>
      </c>
      <c r="X3">
        <v>21960</v>
      </c>
      <c r="Y3">
        <v>45285</v>
      </c>
      <c r="Z3" t="str">
        <v>残り期限90日!</v>
      </c>
      <c r="AA3" t="str">
        <v>技術・人文知識・国際業務</v>
      </c>
      <c r="AB3" t="str">
        <v>471-0873</v>
      </c>
      <c r="AC3" t="str">
        <v>愛知県豊田市松平志賀町柿谷下28番地</v>
      </c>
      <c r="AD3" t="str">
        <v>市営B-107号</v>
      </c>
      <c r="AE3" t="str">
        <v>個人</v>
      </c>
      <c r="AF3">
        <v>44277</v>
      </c>
      <c r="AG3">
        <v>45127</v>
      </c>
      <c r="AH3">
        <v>0</v>
      </c>
      <c r="AI3">
        <v>44348</v>
      </c>
      <c r="AJ3" t="str">
        <v>グェン　ヴァン　マイン</v>
      </c>
      <c r="AK3" t="str">
        <v>ゆうちょ銀行</v>
      </c>
      <c r="AL3">
        <v>208</v>
      </c>
      <c r="AM3" t="str">
        <v>二〇八</v>
      </c>
      <c r="AN3" t="str">
        <v>2028320</v>
      </c>
      <c r="AO3" t="str">
        <v>OK</v>
      </c>
      <c r="AP3">
        <v>0</v>
      </c>
    </row>
    <row r="4" spans="1:42">
      <c r="A4" t="str">
        <f>H4&amp;COUNTIF($H$2:H4,H4)</f>
        <v>02</v>
      </c>
      <c r="B4" t="str">
        <f>F4&amp;COUNTIF($F$2:F4,F4)</f>
        <v>ピーエムアイ3</v>
      </c>
      <c r="C4" t="str">
        <v>退社</v>
      </c>
      <c r="D4">
        <v>220118</v>
      </c>
      <c r="E4">
        <v>44</v>
      </c>
      <c r="F4" t="str">
        <v>ピーエムアイ</v>
      </c>
      <c r="G4">
        <v>0</v>
      </c>
      <c r="H4">
        <v>0</v>
      </c>
      <c r="I4">
        <v>0</v>
      </c>
      <c r="J4" t="str">
        <v>NGUYEN CHI LINH</v>
      </c>
      <c r="K4" t="str">
        <v>グエン　チ　リン</v>
      </c>
      <c r="L4" t="str">
        <v>男</v>
      </c>
      <c r="M4" t="str">
        <v>ﾍﾞﾄﾅﾑ</v>
      </c>
      <c r="N4">
        <v>34418</v>
      </c>
      <c r="O4">
        <v>29</v>
      </c>
      <c r="P4">
        <v>1300</v>
      </c>
      <c r="Q4">
        <v>0</v>
      </c>
      <c r="R4">
        <v>1800</v>
      </c>
      <c r="S4">
        <v>0</v>
      </c>
      <c r="T4">
        <v>500</v>
      </c>
      <c r="U4">
        <v>0</v>
      </c>
      <c r="V4" t="str">
        <v/>
      </c>
      <c r="W4" t="str">
        <v>0</v>
      </c>
      <c r="X4" t="str">
        <v/>
      </c>
      <c r="Y4">
        <v>45132</v>
      </c>
      <c r="Z4" t="str">
        <v>残り期限90日!</v>
      </c>
      <c r="AA4" t="str">
        <v>技術・人文知識・国際業務</v>
      </c>
      <c r="AB4" t="str">
        <v>471-0805</v>
      </c>
      <c r="AC4" t="str">
        <v>愛知県豊田市美里2‐6‐9</v>
      </c>
      <c r="AD4" t="str">
        <v>ﾚｼﾞｪﾝﾄﾞK301</v>
      </c>
      <c r="AE4">
        <v>44576</v>
      </c>
      <c r="AF4">
        <v>44578</v>
      </c>
      <c r="AG4">
        <v>44845</v>
      </c>
      <c r="AH4">
        <v>44834</v>
      </c>
      <c r="AI4">
        <v>22.04</v>
      </c>
      <c r="AJ4" t="str">
        <v>グエン　チ　リン</v>
      </c>
      <c r="AK4" t="str">
        <v>ゆうちょ銀行</v>
      </c>
      <c r="AL4">
        <v>408</v>
      </c>
      <c r="AM4" t="str">
        <v>四〇八</v>
      </c>
      <c r="AN4" t="str">
        <v>8116642</v>
      </c>
      <c r="AO4" t="str">
        <v>OK</v>
      </c>
      <c r="AP4">
        <v>0</v>
      </c>
    </row>
    <row r="5" spans="1:42">
      <c r="A5" t="str">
        <f>H5&amp;COUNTIF($H$2:H5,H5)</f>
        <v>成型ライン2</v>
      </c>
      <c r="B5" t="str">
        <f>F5&amp;COUNTIF($F$2:F5,F5)</f>
        <v>ピーエムアイ4</v>
      </c>
      <c r="C5" t="str">
        <v>在職中</v>
      </c>
      <c r="D5">
        <v>200806</v>
      </c>
      <c r="E5">
        <v>45</v>
      </c>
      <c r="F5" t="str">
        <v>ピーエムアイ</v>
      </c>
      <c r="G5" t="str">
        <v>製造1</v>
      </c>
      <c r="H5" t="str">
        <v>成型ライン</v>
      </c>
      <c r="I5" t="str">
        <v>プラスチック製品の製造におけるすべての行為</v>
      </c>
      <c r="J5" t="str">
        <v>HOANG ANH DAC</v>
      </c>
      <c r="K5" t="str">
        <v>ホアン　アン　ダック</v>
      </c>
      <c r="L5" t="str">
        <v>男</v>
      </c>
      <c r="M5" t="str">
        <v>ﾍﾞﾄﾅﾑ</v>
      </c>
      <c r="N5">
        <v>33037</v>
      </c>
      <c r="O5">
        <v>33</v>
      </c>
      <c r="P5">
        <v>1450</v>
      </c>
      <c r="Q5">
        <v>0</v>
      </c>
      <c r="R5">
        <v>1950</v>
      </c>
      <c r="S5" t="str">
        <v>2021/2/21~　1800⇒1850</v>
      </c>
      <c r="T5">
        <v>500</v>
      </c>
      <c r="U5">
        <v>320000</v>
      </c>
      <c r="V5">
        <v>16015.999999999998</v>
      </c>
      <c r="W5" t="str">
        <v>0</v>
      </c>
      <c r="X5">
        <v>29280</v>
      </c>
      <c r="Y5">
        <v>45606</v>
      </c>
      <c r="Z5" t="str">
        <v/>
      </c>
      <c r="AA5" t="str">
        <v>技術・人文知識・国際業務</v>
      </c>
      <c r="AB5" t="str">
        <v>471-0805</v>
      </c>
      <c r="AC5" t="str">
        <v>愛知県豊田市松平志賀町柿谷下28番地</v>
      </c>
      <c r="AD5" t="str">
        <v>市営Ｂ102号</v>
      </c>
      <c r="AE5" t="str">
        <v>個人</v>
      </c>
      <c r="AF5">
        <v>44064</v>
      </c>
      <c r="AG5">
        <v>0</v>
      </c>
      <c r="AH5">
        <v>0</v>
      </c>
      <c r="AI5" t="str">
        <v>OK</v>
      </c>
      <c r="AJ5" t="str">
        <v>通帳なし</v>
      </c>
      <c r="AK5">
        <v>0</v>
      </c>
      <c r="AL5">
        <v>0</v>
      </c>
      <c r="AM5">
        <v>0</v>
      </c>
      <c r="AN5">
        <v>0</v>
      </c>
      <c r="AO5" t="str">
        <v>OK</v>
      </c>
      <c r="AP5">
        <v>0</v>
      </c>
    </row>
    <row r="6" spans="1:42">
      <c r="A6" t="str">
        <f>H6&amp;COUNTIF($H$2:H6,H6)</f>
        <v>成型ライン3</v>
      </c>
      <c r="B6" t="str">
        <f>F6&amp;COUNTIF($F$2:F6,F6)</f>
        <v>ピーエムアイ5</v>
      </c>
      <c r="C6" t="str">
        <v>在職中</v>
      </c>
      <c r="D6">
        <v>200901</v>
      </c>
      <c r="E6">
        <v>46</v>
      </c>
      <c r="F6" t="str">
        <v>ピーエムアイ</v>
      </c>
      <c r="G6" t="str">
        <v>製造1</v>
      </c>
      <c r="H6" t="str">
        <v>成型ライン</v>
      </c>
      <c r="I6" t="str">
        <v>プラスチック製品の製造におけるすべての行為</v>
      </c>
      <c r="J6" t="str">
        <v>VU VAN THANG</v>
      </c>
      <c r="K6" t="str">
        <v>ヴ　ヴァン　タン</v>
      </c>
      <c r="L6" t="str">
        <v>男</v>
      </c>
      <c r="M6" t="str">
        <v>ﾍﾞﾄﾅﾑ</v>
      </c>
      <c r="N6">
        <v>34765</v>
      </c>
      <c r="O6">
        <v>28</v>
      </c>
      <c r="P6">
        <v>1350</v>
      </c>
      <c r="Q6" t="str">
        <v>2021/2/21⇒1300</v>
      </c>
      <c r="R6">
        <v>1800</v>
      </c>
      <c r="S6">
        <v>0</v>
      </c>
      <c r="T6">
        <v>450</v>
      </c>
      <c r="U6">
        <v>300000</v>
      </c>
      <c r="V6">
        <v>15014.999999999998</v>
      </c>
      <c r="W6" t="str">
        <v>0</v>
      </c>
      <c r="X6">
        <v>27450</v>
      </c>
      <c r="Y6">
        <v>45482</v>
      </c>
      <c r="Z6" t="str">
        <v/>
      </c>
      <c r="AA6" t="str">
        <v>技術・人文知識・国際業務</v>
      </c>
      <c r="AB6" t="str">
        <v>471-0805</v>
      </c>
      <c r="AC6" t="str">
        <v>愛知県豊田市美里2-6-9</v>
      </c>
      <c r="AD6" t="str">
        <v>ﾚｼﾞｪﾝﾄﾞK203</v>
      </c>
      <c r="AE6">
        <v>44136</v>
      </c>
      <c r="AF6">
        <v>44083</v>
      </c>
      <c r="AG6">
        <v>0</v>
      </c>
      <c r="AH6">
        <v>0</v>
      </c>
      <c r="AI6" t="str">
        <v>OK</v>
      </c>
      <c r="AJ6" t="str">
        <v>ヴ　ヴァン　タン</v>
      </c>
      <c r="AK6" t="str">
        <v>ゆうちょ銀行</v>
      </c>
      <c r="AL6">
        <v>208</v>
      </c>
      <c r="AM6" t="str">
        <v>二〇八</v>
      </c>
      <c r="AN6" t="str">
        <v>2288507</v>
      </c>
      <c r="AO6" t="str">
        <v>OK</v>
      </c>
      <c r="AP6">
        <v>0</v>
      </c>
    </row>
    <row r="7" spans="1:42">
      <c r="A7" t="str">
        <f>H7&amp;COUNTIF($H$2:H7,H7)</f>
        <v>一次旋係1</v>
      </c>
      <c r="B7" t="str">
        <f>F7&amp;COUNTIF($F$2:F7,F7)</f>
        <v>ピーエムアイ6</v>
      </c>
      <c r="C7" t="str">
        <v>退社</v>
      </c>
      <c r="D7">
        <v>210426</v>
      </c>
      <c r="E7">
        <v>48</v>
      </c>
      <c r="F7" t="str">
        <v>ピーエムアイ</v>
      </c>
      <c r="G7">
        <v>0</v>
      </c>
      <c r="H7" t="str">
        <v>一次旋係</v>
      </c>
      <c r="I7">
        <v>0</v>
      </c>
      <c r="J7" t="str">
        <v>NGUYEN VAN DOANH</v>
      </c>
      <c r="K7" t="str">
        <v>グエン　ヴァン　ゾアン</v>
      </c>
      <c r="L7" t="str">
        <v>男</v>
      </c>
      <c r="M7" t="str">
        <v>ﾍﾞﾄﾅﾑ</v>
      </c>
      <c r="N7">
        <v>34509</v>
      </c>
      <c r="O7">
        <v>29</v>
      </c>
      <c r="P7">
        <v>1300</v>
      </c>
      <c r="Q7">
        <v>0</v>
      </c>
      <c r="R7">
        <v>1800</v>
      </c>
      <c r="S7">
        <v>0</v>
      </c>
      <c r="T7">
        <v>500</v>
      </c>
      <c r="U7">
        <v>0</v>
      </c>
      <c r="V7" t="str">
        <v/>
      </c>
      <c r="W7" t="str">
        <v>0</v>
      </c>
      <c r="X7" t="str">
        <v/>
      </c>
      <c r="Y7">
        <v>45734</v>
      </c>
      <c r="Z7" t="str">
        <v/>
      </c>
      <c r="AA7" t="str">
        <v>技術・人文知識・国際業務</v>
      </c>
      <c r="AB7" t="str">
        <v>471-0805</v>
      </c>
      <c r="AC7" t="str">
        <v>愛知県豊田市美里2‐6‐9</v>
      </c>
      <c r="AD7" t="str">
        <v>ﾚｼﾞｪﾝﾄﾞK301</v>
      </c>
      <c r="AE7">
        <v>44312</v>
      </c>
      <c r="AF7">
        <v>44313</v>
      </c>
      <c r="AG7">
        <v>44712</v>
      </c>
      <c r="AH7">
        <v>0</v>
      </c>
      <c r="AI7">
        <v>44378</v>
      </c>
      <c r="AJ7">
        <v>0</v>
      </c>
      <c r="AK7">
        <v>0</v>
      </c>
      <c r="AL7">
        <v>0</v>
      </c>
      <c r="AM7">
        <v>0</v>
      </c>
      <c r="AN7">
        <v>0</v>
      </c>
      <c r="AO7" t="str">
        <v>OK</v>
      </c>
      <c r="AP7">
        <v>0</v>
      </c>
    </row>
    <row r="8" spans="1:42">
      <c r="A8" t="str">
        <f>H8&amp;COUNTIF($H$2:H8,H8)</f>
        <v>03</v>
      </c>
      <c r="B8" t="str">
        <f>F8&amp;COUNTIF($F$2:F8,F8)</f>
        <v>三幸技研1</v>
      </c>
      <c r="C8" t="str">
        <v>退社</v>
      </c>
      <c r="D8">
        <v>220307</v>
      </c>
      <c r="E8">
        <v>104</v>
      </c>
      <c r="F8" t="str">
        <v>三幸技研</v>
      </c>
      <c r="G8">
        <v>0</v>
      </c>
      <c r="H8">
        <v>0</v>
      </c>
      <c r="I8">
        <v>0</v>
      </c>
      <c r="J8" t="str">
        <v>DANG TRONG HIEU</v>
      </c>
      <c r="K8" t="str">
        <v>ダン　チョン　ヒエウ</v>
      </c>
      <c r="L8" t="str">
        <v>男</v>
      </c>
      <c r="M8" t="str">
        <v>ﾍﾞﾄﾅﾑ</v>
      </c>
      <c r="N8">
        <v>34917</v>
      </c>
      <c r="O8">
        <v>28</v>
      </c>
      <c r="P8">
        <v>1300</v>
      </c>
      <c r="Q8">
        <v>0</v>
      </c>
      <c r="R8">
        <v>1750</v>
      </c>
      <c r="S8">
        <v>0</v>
      </c>
      <c r="T8">
        <v>450</v>
      </c>
      <c r="U8">
        <v>180000</v>
      </c>
      <c r="V8">
        <v>9009</v>
      </c>
      <c r="W8" t="str">
        <v>0</v>
      </c>
      <c r="X8">
        <v>16470</v>
      </c>
      <c r="Y8">
        <v>45282</v>
      </c>
      <c r="Z8" t="str">
        <v>残り期限90日!</v>
      </c>
      <c r="AA8" t="str">
        <v>技術・人文知識・国際業務</v>
      </c>
      <c r="AB8" t="str">
        <v>474-0057</v>
      </c>
      <c r="AC8" t="str">
        <v>愛知県大府市共和町2-18-8</v>
      </c>
      <c r="AD8" t="str">
        <v>共和ﾌﾟﾗｻﾞﾋﾞﾙ1号館203</v>
      </c>
      <c r="AE8">
        <v>44955</v>
      </c>
      <c r="AF8">
        <v>44664</v>
      </c>
      <c r="AG8">
        <v>45044</v>
      </c>
      <c r="AH8">
        <v>45061</v>
      </c>
      <c r="AI8">
        <v>44682</v>
      </c>
      <c r="AJ8" t="str">
        <v>ダン　チョン　ヒェウ</v>
      </c>
      <c r="AK8" t="str">
        <v>ゆうちょ銀行</v>
      </c>
      <c r="AL8">
        <v>208</v>
      </c>
      <c r="AM8" t="str">
        <v>二〇八</v>
      </c>
      <c r="AN8" t="str">
        <v>1912416</v>
      </c>
      <c r="AO8" t="str">
        <v>OK</v>
      </c>
      <c r="AP8" t="str">
        <v>3/2~3/30高雄岡山、3/31～4/4岡山請負4/13～三幸技研</v>
      </c>
    </row>
    <row r="9" spans="1:42">
      <c r="A9" t="str">
        <f>H9&amp;COUNTIF($H$2:H9,H9)</f>
        <v>04</v>
      </c>
      <c r="B9" t="str">
        <f>F9&amp;COUNTIF($F$2:F9,F9)</f>
        <v>三幸技研2</v>
      </c>
      <c r="C9" t="str">
        <v>退社</v>
      </c>
      <c r="D9">
        <v>210901</v>
      </c>
      <c r="E9">
        <v>106</v>
      </c>
      <c r="F9" t="str">
        <v>三幸技研</v>
      </c>
      <c r="G9">
        <v>0</v>
      </c>
      <c r="H9">
        <v>0</v>
      </c>
      <c r="I9">
        <v>0</v>
      </c>
      <c r="J9" t="str">
        <v>PHAM HUY HOANG</v>
      </c>
      <c r="K9" t="str">
        <v>ファム　フイ　ホアン</v>
      </c>
      <c r="L9" t="str">
        <v>男</v>
      </c>
      <c r="M9" t="str">
        <v>ﾍﾞﾄﾅﾑ</v>
      </c>
      <c r="N9">
        <v>34523</v>
      </c>
      <c r="O9">
        <v>29</v>
      </c>
      <c r="P9">
        <v>1300</v>
      </c>
      <c r="Q9" t="str">
        <v>9/2~\1200⇒12/21⇒1250⇒3/21⇒MAX1300</v>
      </c>
      <c r="R9">
        <v>1750</v>
      </c>
      <c r="S9">
        <v>0</v>
      </c>
      <c r="T9">
        <v>450</v>
      </c>
      <c r="U9">
        <v>260000</v>
      </c>
      <c r="V9">
        <v>13013</v>
      </c>
      <c r="W9" t="str">
        <v>0</v>
      </c>
      <c r="X9">
        <v>23790</v>
      </c>
      <c r="Y9">
        <v>45841</v>
      </c>
      <c r="Z9" t="str">
        <v/>
      </c>
      <c r="AA9" t="str">
        <v>技術・人文知識・国際業務</v>
      </c>
      <c r="AB9" t="str">
        <v>474-0052</v>
      </c>
      <c r="AC9" t="str">
        <v>愛知県大府市 長草町新池8</v>
      </c>
      <c r="AD9" t="str">
        <v>ﾋﾞﾚｯｼﾞﾊｳｽ長草2号棟203</v>
      </c>
      <c r="AE9" t="str">
        <v>個人</v>
      </c>
      <c r="AF9">
        <v>44441</v>
      </c>
      <c r="AG9">
        <v>44970</v>
      </c>
      <c r="AH9">
        <v>0</v>
      </c>
      <c r="AI9">
        <v>44501</v>
      </c>
      <c r="AJ9" t="str">
        <v>ファム　フイ　ホアン</v>
      </c>
      <c r="AK9" t="str">
        <v>ゆうちょ銀行</v>
      </c>
      <c r="AL9">
        <v>438</v>
      </c>
      <c r="AM9" t="str">
        <v>四三八</v>
      </c>
      <c r="AN9" t="str">
        <v>9566469</v>
      </c>
      <c r="AO9" t="str">
        <v>OK</v>
      </c>
      <c r="AP9">
        <v>0</v>
      </c>
    </row>
    <row r="10" spans="1:42">
      <c r="A10" t="str">
        <f>H10&amp;COUNTIF($H$2:H10,H10)</f>
        <v>05</v>
      </c>
      <c r="B10" t="str">
        <f>F10&amp;COUNTIF($F$2:F10,F10)</f>
        <v>三幸技研3</v>
      </c>
      <c r="C10" t="str">
        <v>退社</v>
      </c>
      <c r="D10">
        <v>201001</v>
      </c>
      <c r="E10">
        <v>108</v>
      </c>
      <c r="F10" t="str">
        <v>三幸技研</v>
      </c>
      <c r="G10">
        <v>0</v>
      </c>
      <c r="H10">
        <v>0</v>
      </c>
      <c r="I10">
        <v>0</v>
      </c>
      <c r="J10" t="str">
        <v>PHAM BA BACH</v>
      </c>
      <c r="K10" t="str">
        <v>ファン　バ　バック</v>
      </c>
      <c r="L10" t="str">
        <v>男</v>
      </c>
      <c r="M10" t="str">
        <v>ﾍﾞﾄﾅﾑ</v>
      </c>
      <c r="N10">
        <v>33380</v>
      </c>
      <c r="O10">
        <v>32</v>
      </c>
      <c r="P10">
        <v>1350</v>
      </c>
      <c r="Q10" t="str">
        <v>2021/2/21　1250⇒1300　2022/6/21　1300円⇒1350円</v>
      </c>
      <c r="R10">
        <v>1750</v>
      </c>
      <c r="S10">
        <v>0</v>
      </c>
      <c r="T10">
        <v>400</v>
      </c>
      <c r="U10">
        <v>220000</v>
      </c>
      <c r="V10">
        <v>11011</v>
      </c>
      <c r="W10" t="str">
        <v>0</v>
      </c>
      <c r="X10">
        <v>20130</v>
      </c>
      <c r="Y10">
        <v>45541</v>
      </c>
      <c r="Z10" t="str">
        <v/>
      </c>
      <c r="AA10" t="str">
        <v>技術・人文知識・国際業務</v>
      </c>
      <c r="AB10" t="str">
        <v>474-0052</v>
      </c>
      <c r="AC10" t="str">
        <v>愛知県大府市 長草町新池8</v>
      </c>
      <c r="AD10" t="str">
        <v>ﾋﾞﾚｯｼﾞﾊｳｽ長草5号棟104</v>
      </c>
      <c r="AE10" t="str">
        <v>個人</v>
      </c>
      <c r="AF10">
        <v>44130</v>
      </c>
      <c r="AG10">
        <v>45226</v>
      </c>
      <c r="AH10">
        <v>0</v>
      </c>
      <c r="AI10">
        <v>44197</v>
      </c>
      <c r="AJ10" t="str">
        <v>ファン　バ　バック</v>
      </c>
      <c r="AK10" t="str">
        <v>ゆうちょ銀行</v>
      </c>
      <c r="AL10">
        <v>0</v>
      </c>
      <c r="AM10">
        <v>0</v>
      </c>
      <c r="AN10" t="str">
        <v>1461　23214331</v>
      </c>
      <c r="AO10" t="str">
        <v>OK</v>
      </c>
      <c r="AP10" t="str">
        <v>2022/7/2~個人のアパートに移動</v>
      </c>
    </row>
    <row r="11" spans="1:42">
      <c r="A11" t="str">
        <f>H11&amp;COUNTIF($H$2:H11,H11)</f>
        <v>3課1</v>
      </c>
      <c r="B11" t="str">
        <f>F11&amp;COUNTIF($F$2:F11,F11)</f>
        <v>加藤木材工業 本社1</v>
      </c>
      <c r="C11" t="str">
        <v>在職中</v>
      </c>
      <c r="D11">
        <v>231005</v>
      </c>
      <c r="E11">
        <v>4805</v>
      </c>
      <c r="F11" t="str">
        <v>加藤木材工業 本社</v>
      </c>
      <c r="G11" t="str">
        <v>生産1部</v>
      </c>
      <c r="H11" t="str">
        <v>3課</v>
      </c>
      <c r="I11" t="str">
        <v>機械オペレーター及び機械メンテナンス他付随する業務</v>
      </c>
      <c r="J11" t="str">
        <v>HOANG XUAN TUAN</v>
      </c>
      <c r="K11" t="str">
        <v>ホアン　スアン　トゥアン</v>
      </c>
      <c r="L11" t="str">
        <v>男</v>
      </c>
      <c r="M11" t="str">
        <v>ﾍﾞﾄﾅﾑ</v>
      </c>
      <c r="N11">
        <v>33726</v>
      </c>
      <c r="O11">
        <v>31</v>
      </c>
      <c r="P11">
        <v>1300</v>
      </c>
      <c r="Q11">
        <v>0</v>
      </c>
      <c r="R11">
        <v>1700</v>
      </c>
      <c r="S11">
        <v>0</v>
      </c>
      <c r="T11">
        <v>400</v>
      </c>
      <c r="U11">
        <v>220000</v>
      </c>
      <c r="V11">
        <v>11011</v>
      </c>
      <c r="W11" t="str">
        <v>0</v>
      </c>
      <c r="X11">
        <v>20130</v>
      </c>
      <c r="Y11">
        <v>45462</v>
      </c>
      <c r="Z11" t="str">
        <v/>
      </c>
      <c r="AA11" t="str">
        <v>技術・人文知識・国際業務</v>
      </c>
      <c r="AB11" t="str">
        <v>486-0918</v>
      </c>
      <c r="AC11" t="str">
        <v>愛知県春日井市如意申町3丁目3－4</v>
      </c>
      <c r="AD11" t="str">
        <v>Residence Enfinity M1 201</v>
      </c>
      <c r="AE11">
        <v>0</v>
      </c>
      <c r="AF11">
        <v>45215</v>
      </c>
      <c r="AG11">
        <v>0</v>
      </c>
      <c r="AH11">
        <v>0</v>
      </c>
      <c r="AI11" t="str">
        <v>23.10.16</v>
      </c>
      <c r="AJ11">
        <v>0</v>
      </c>
      <c r="AK11">
        <v>0</v>
      </c>
      <c r="AL11">
        <v>0</v>
      </c>
      <c r="AM11">
        <v>0</v>
      </c>
      <c r="AN11">
        <v>0</v>
      </c>
      <c r="AO11" t="str">
        <v>10/30林</v>
      </c>
      <c r="AP11">
        <v>0</v>
      </c>
    </row>
    <row r="12" spans="1:42">
      <c r="A12" t="str">
        <f>H12&amp;COUNTIF($H$2:H12,H12)</f>
        <v>3課2</v>
      </c>
      <c r="B12" t="str">
        <f>F12&amp;COUNTIF($F$2:F12,F12)</f>
        <v>加藤木材工業 本社2</v>
      </c>
      <c r="C12" t="str">
        <v>在職中</v>
      </c>
      <c r="D12">
        <v>220809</v>
      </c>
      <c r="E12">
        <v>5465</v>
      </c>
      <c r="F12" t="str">
        <v>加藤木材工業 本社</v>
      </c>
      <c r="G12" t="str">
        <v>生産1部</v>
      </c>
      <c r="H12" t="str">
        <v>3課</v>
      </c>
      <c r="I12" t="str">
        <v>機械オペレーター及び機械メンテナンス他付随する業務</v>
      </c>
      <c r="J12" t="str">
        <v>NGUYEN HUU HOI</v>
      </c>
      <c r="K12" t="str">
        <v>グエン　フー　ホイ</v>
      </c>
      <c r="L12" t="str">
        <v>男</v>
      </c>
      <c r="M12" t="str">
        <v>ﾍﾞﾄﾅﾑ</v>
      </c>
      <c r="N12">
        <v>34779</v>
      </c>
      <c r="O12">
        <v>28</v>
      </c>
      <c r="P12">
        <v>1300</v>
      </c>
      <c r="Q12">
        <v>0</v>
      </c>
      <c r="R12">
        <v>1700</v>
      </c>
      <c r="S12">
        <v>0</v>
      </c>
      <c r="T12">
        <v>400</v>
      </c>
      <c r="U12">
        <v>300000</v>
      </c>
      <c r="V12">
        <v>15014.999999999998</v>
      </c>
      <c r="W12" t="str">
        <v>0</v>
      </c>
      <c r="X12">
        <v>27450</v>
      </c>
      <c r="Y12">
        <v>45435</v>
      </c>
      <c r="Z12" t="str">
        <v/>
      </c>
      <c r="AA12" t="str">
        <v>技術・人文知識・国際業務</v>
      </c>
      <c r="AB12" t="str">
        <v>486-0912</v>
      </c>
      <c r="AC12" t="str">
        <v>愛知県春日井市高山町2丁目32番地4</v>
      </c>
      <c r="AD12" t="str">
        <v>ﾊﾟｰｸｻｲﾄﾞｽｽﾞｷ101</v>
      </c>
      <c r="AE12">
        <v>44797</v>
      </c>
      <c r="AF12">
        <v>44798</v>
      </c>
      <c r="AG12">
        <v>0</v>
      </c>
      <c r="AH12">
        <v>0</v>
      </c>
      <c r="AI12" t="str">
        <v>22.10.01</v>
      </c>
      <c r="AJ12" t="str">
        <v>グエン　フウ　ホイ</v>
      </c>
      <c r="AK12" t="str">
        <v>ゆうちょ銀行</v>
      </c>
      <c r="AL12">
        <v>118</v>
      </c>
      <c r="AM12" t="str">
        <v>一一八</v>
      </c>
      <c r="AN12" t="str">
        <v>4243148</v>
      </c>
      <c r="AO12" t="str">
        <v>9/12林</v>
      </c>
      <c r="AP12">
        <v>0</v>
      </c>
    </row>
    <row r="13" spans="1:42">
      <c r="A13" t="str">
        <f>H13&amp;COUNTIF($H$2:H13,H13)</f>
        <v>生産課1</v>
      </c>
      <c r="B13" t="str">
        <f>F13&amp;COUNTIF($F$2:F13,F13)</f>
        <v>加藤木材工業 本社3</v>
      </c>
      <c r="C13" t="str">
        <v>在職中</v>
      </c>
      <c r="D13">
        <v>220810</v>
      </c>
      <c r="E13">
        <v>5466</v>
      </c>
      <c r="F13" t="str">
        <v>加藤木材工業 本社</v>
      </c>
      <c r="G13" t="str">
        <v>生産2部</v>
      </c>
      <c r="H13" t="str">
        <v>生産課</v>
      </c>
      <c r="I13" t="str">
        <v>機械オペレーター及び機械メンテナンス他付随する業務</v>
      </c>
      <c r="J13" t="str">
        <v>LE VAN MANH</v>
      </c>
      <c r="K13" t="str">
        <v>レー　ヴァン　マイン</v>
      </c>
      <c r="L13" t="str">
        <v>男</v>
      </c>
      <c r="M13" t="str">
        <v>ﾍﾞﾄﾅﾑ</v>
      </c>
      <c r="N13">
        <v>33186</v>
      </c>
      <c r="O13">
        <v>33</v>
      </c>
      <c r="P13">
        <v>1300</v>
      </c>
      <c r="Q13">
        <v>0</v>
      </c>
      <c r="R13">
        <v>1700</v>
      </c>
      <c r="S13">
        <v>0</v>
      </c>
      <c r="T13">
        <v>400</v>
      </c>
      <c r="U13">
        <v>260000</v>
      </c>
      <c r="V13">
        <v>13013</v>
      </c>
      <c r="W13" t="str">
        <v>0</v>
      </c>
      <c r="X13">
        <v>23790</v>
      </c>
      <c r="Y13">
        <v>45243</v>
      </c>
      <c r="Z13" t="str">
        <v>残り期限90日!</v>
      </c>
      <c r="AA13" t="str">
        <v>技術・人文知識・国際業務</v>
      </c>
      <c r="AB13" t="str">
        <v>486-0912</v>
      </c>
      <c r="AC13" t="str">
        <v>愛知県春日井市高山町2丁目32番地5</v>
      </c>
      <c r="AD13" t="str">
        <v>ﾊﾟｰｸｻｲﾄﾞｽｽﾞｷ101</v>
      </c>
      <c r="AE13">
        <v>44803</v>
      </c>
      <c r="AF13">
        <v>44798</v>
      </c>
      <c r="AG13">
        <v>0</v>
      </c>
      <c r="AH13">
        <v>0</v>
      </c>
      <c r="AI13" t="str">
        <v>22.10.01</v>
      </c>
      <c r="AJ13" t="str">
        <v>レー　ヴァン　マイン</v>
      </c>
      <c r="AK13" t="str">
        <v>ゆうちょ銀行</v>
      </c>
      <c r="AL13">
        <v>228</v>
      </c>
      <c r="AM13" t="str">
        <v>二二八</v>
      </c>
      <c r="AN13" t="str">
        <v>3556530</v>
      </c>
      <c r="AO13" t="str">
        <v>9/12林</v>
      </c>
      <c r="AP13">
        <v>0</v>
      </c>
    </row>
    <row r="14" spans="1:42">
      <c r="A14" t="str">
        <f>H14&amp;COUNTIF($H$2:H14,H14)</f>
        <v>J加工1課1</v>
      </c>
      <c r="B14" t="str">
        <f>F14&amp;COUNTIF($F$2:F14,F14)</f>
        <v>加藤木材工業 本社4</v>
      </c>
      <c r="C14" t="str">
        <v>退社</v>
      </c>
      <c r="D14">
        <v>220815</v>
      </c>
      <c r="E14">
        <v>5468</v>
      </c>
      <c r="F14" t="str">
        <v>加藤木材工業 本社</v>
      </c>
      <c r="G14" t="str">
        <v>生産2部</v>
      </c>
      <c r="H14" t="str">
        <v>J加工1課</v>
      </c>
      <c r="I14" t="str">
        <v>木材加工・検査・梱包</v>
      </c>
      <c r="J14" t="str">
        <v>NGUYEN VIET HA</v>
      </c>
      <c r="K14" t="str">
        <v>グエン　ヴィエット　ハー</v>
      </c>
      <c r="L14" t="str">
        <v>男</v>
      </c>
      <c r="M14" t="str">
        <v>ﾍﾞﾄﾅﾑ</v>
      </c>
      <c r="N14">
        <v>33013</v>
      </c>
      <c r="O14">
        <v>33</v>
      </c>
      <c r="P14">
        <v>1300</v>
      </c>
      <c r="Q14">
        <v>1700</v>
      </c>
      <c r="R14">
        <v>1700</v>
      </c>
      <c r="S14">
        <v>0</v>
      </c>
      <c r="T14">
        <v>400</v>
      </c>
      <c r="U14">
        <v>280000</v>
      </c>
      <c r="V14">
        <v>14014</v>
      </c>
      <c r="W14" t="str">
        <v>0</v>
      </c>
      <c r="X14">
        <v>25620</v>
      </c>
      <c r="Y14">
        <v>46174</v>
      </c>
      <c r="Z14" t="str">
        <v/>
      </c>
      <c r="AA14" t="str">
        <v>技術・人文知識・国際業務</v>
      </c>
      <c r="AB14" t="str">
        <v>486-0912</v>
      </c>
      <c r="AC14" t="str">
        <v>愛知県春日井市高山町4丁目13-13</v>
      </c>
      <c r="AD14" t="str">
        <v>ﾒｿﾞﾝ辻山105</v>
      </c>
      <c r="AE14">
        <v>44803</v>
      </c>
      <c r="AF14">
        <v>44804</v>
      </c>
      <c r="AG14">
        <v>45197</v>
      </c>
      <c r="AH14">
        <v>0</v>
      </c>
      <c r="AI14" t="str">
        <v>22.10.01</v>
      </c>
      <c r="AJ14" t="str">
        <v>グェン　ヴィエット　ハー</v>
      </c>
      <c r="AK14" t="str">
        <v>ゆうちょ銀行</v>
      </c>
      <c r="AL14">
        <v>0</v>
      </c>
      <c r="AM14">
        <v>0</v>
      </c>
      <c r="AN14" t="str">
        <v>12060　12264271</v>
      </c>
      <c r="AO14" t="str">
        <v>9/12林</v>
      </c>
      <c r="AP14">
        <v>0</v>
      </c>
    </row>
    <row r="15" spans="1:42">
      <c r="A15" t="str">
        <f>H15&amp;COUNTIF($H$2:H15,H15)</f>
        <v>J加工2課1</v>
      </c>
      <c r="B15" t="str">
        <f>F15&amp;COUNTIF($F$2:F15,F15)</f>
        <v>加藤木材工業 本社5</v>
      </c>
      <c r="C15" t="str">
        <v>在職中</v>
      </c>
      <c r="D15">
        <v>220814</v>
      </c>
      <c r="E15">
        <v>5469</v>
      </c>
      <c r="F15" t="str">
        <v>加藤木材工業 本社</v>
      </c>
      <c r="G15" t="str">
        <v>生産2部</v>
      </c>
      <c r="H15" t="str">
        <v>J加工2課</v>
      </c>
      <c r="I15" t="str">
        <v>機械オペレーター及び機械メンテナンス他付随する業務</v>
      </c>
      <c r="J15" t="str">
        <v>TRAN BA HAI</v>
      </c>
      <c r="K15" t="str">
        <v>チャン　バ　ハイ</v>
      </c>
      <c r="L15" t="str">
        <v>男</v>
      </c>
      <c r="M15" t="str">
        <v>ﾍﾞﾄﾅﾑ</v>
      </c>
      <c r="N15">
        <v>34787</v>
      </c>
      <c r="O15">
        <v>28</v>
      </c>
      <c r="P15">
        <v>1300</v>
      </c>
      <c r="Q15">
        <v>1700</v>
      </c>
      <c r="R15">
        <v>1700</v>
      </c>
      <c r="S15">
        <v>0</v>
      </c>
      <c r="T15">
        <v>400</v>
      </c>
      <c r="U15">
        <v>280000</v>
      </c>
      <c r="V15">
        <v>14014</v>
      </c>
      <c r="W15" t="str">
        <v>0</v>
      </c>
      <c r="X15">
        <v>25620</v>
      </c>
      <c r="Y15">
        <v>45746</v>
      </c>
      <c r="Z15" t="str">
        <v/>
      </c>
      <c r="AA15" t="str">
        <v>技術・人文知識・国際業務</v>
      </c>
      <c r="AB15" t="str">
        <v>486-0912</v>
      </c>
      <c r="AC15" t="str">
        <v>愛知県春日井市高山町4丁目13-13</v>
      </c>
      <c r="AD15" t="str">
        <v>ﾒｿﾞﾝ辻山105</v>
      </c>
      <c r="AE15">
        <v>44803</v>
      </c>
      <c r="AF15">
        <v>44804</v>
      </c>
      <c r="AG15">
        <v>0</v>
      </c>
      <c r="AH15">
        <v>0</v>
      </c>
      <c r="AI15" t="str">
        <v>22.10.01</v>
      </c>
      <c r="AJ15" t="str">
        <v>チャン　バ　ハイ</v>
      </c>
      <c r="AK15" t="str">
        <v>ゆうちょ銀行</v>
      </c>
      <c r="AL15">
        <v>0</v>
      </c>
      <c r="AM15">
        <v>0</v>
      </c>
      <c r="AN15" t="str">
        <v>12010　14923711</v>
      </c>
      <c r="AO15" t="str">
        <v>9/12林</v>
      </c>
      <c r="AP15">
        <v>0</v>
      </c>
    </row>
    <row r="16" spans="1:42">
      <c r="A16" t="str">
        <f>H16&amp;COUNTIF($H$2:H16,H16)</f>
        <v>J加工1課2</v>
      </c>
      <c r="B16" t="str">
        <f>F16&amp;COUNTIF($F$2:F16,F16)</f>
        <v>加藤木材工業 本社6</v>
      </c>
      <c r="C16" t="str">
        <v>在職中</v>
      </c>
      <c r="D16">
        <v>220816</v>
      </c>
      <c r="E16">
        <v>5470</v>
      </c>
      <c r="F16" t="str">
        <v>加藤木材工業 本社</v>
      </c>
      <c r="G16" t="str">
        <v>生産2部</v>
      </c>
      <c r="H16" t="str">
        <v>J加工1課</v>
      </c>
      <c r="I16" t="str">
        <v>機械オペレーター及び機械メンテナンス他付随する業務</v>
      </c>
      <c r="J16" t="str">
        <v>CHU VAN PHUONG</v>
      </c>
      <c r="K16" t="str">
        <v>チュ　バン　フオン</v>
      </c>
      <c r="L16" t="str">
        <v>男</v>
      </c>
      <c r="M16" t="str">
        <v>ﾍﾞﾄﾅﾑ</v>
      </c>
      <c r="N16">
        <v>34768</v>
      </c>
      <c r="O16">
        <v>28</v>
      </c>
      <c r="P16">
        <v>1300</v>
      </c>
      <c r="Q16">
        <v>1700</v>
      </c>
      <c r="R16">
        <v>1700</v>
      </c>
      <c r="S16">
        <v>0</v>
      </c>
      <c r="T16">
        <v>400</v>
      </c>
      <c r="U16">
        <v>280000</v>
      </c>
      <c r="V16">
        <v>14014</v>
      </c>
      <c r="W16" t="str">
        <v>0</v>
      </c>
      <c r="X16">
        <v>25620</v>
      </c>
      <c r="Y16">
        <v>45549</v>
      </c>
      <c r="Z16" t="str">
        <v/>
      </c>
      <c r="AA16" t="str">
        <v>技術・人文知識・国際業務</v>
      </c>
      <c r="AB16" t="str">
        <v>486-0912</v>
      </c>
      <c r="AC16" t="str">
        <v>愛知県春日井市高山町4丁目13-13</v>
      </c>
      <c r="AD16" t="str">
        <v>ﾒｿﾞﾝ辻山201</v>
      </c>
      <c r="AE16">
        <v>44803</v>
      </c>
      <c r="AF16">
        <v>44804</v>
      </c>
      <c r="AG16">
        <v>0</v>
      </c>
      <c r="AH16">
        <v>0</v>
      </c>
      <c r="AI16" t="str">
        <v>22.10.01</v>
      </c>
      <c r="AJ16" t="str">
        <v>チュ　バン　フオン</v>
      </c>
      <c r="AK16" t="str">
        <v>ゆうちょ銀行</v>
      </c>
      <c r="AL16">
        <v>208</v>
      </c>
      <c r="AM16" t="str">
        <v>二〇八</v>
      </c>
      <c r="AN16" t="str">
        <v>1493989</v>
      </c>
      <c r="AO16" t="str">
        <v>9/12林</v>
      </c>
      <c r="AP16">
        <v>0</v>
      </c>
    </row>
    <row r="17" spans="1:42">
      <c r="A17" t="str">
        <f>H17&amp;COUNTIF($H$2:H17,H17)</f>
        <v>J加工1課3</v>
      </c>
      <c r="B17" t="str">
        <f>F17&amp;COUNTIF($F$2:F17,F17)</f>
        <v>加藤木材工業 本社7</v>
      </c>
      <c r="C17" t="str">
        <v>在職中</v>
      </c>
      <c r="D17">
        <v>220912</v>
      </c>
      <c r="E17">
        <v>5480</v>
      </c>
      <c r="F17" t="str">
        <v>加藤木材工業 本社</v>
      </c>
      <c r="G17" t="str">
        <v>生産2部</v>
      </c>
      <c r="H17" t="str">
        <v>J加工1課</v>
      </c>
      <c r="I17" t="str">
        <v>機械オペレーター及び機械メンテナンス他付随する業務</v>
      </c>
      <c r="J17" t="str">
        <v>CHU DUC THANG</v>
      </c>
      <c r="K17" t="str">
        <v>チュ　ドゥック　タン</v>
      </c>
      <c r="L17" t="str">
        <v>男</v>
      </c>
      <c r="M17" t="str">
        <v>ﾍﾞﾄﾅﾑ</v>
      </c>
      <c r="N17">
        <v>35646</v>
      </c>
      <c r="O17">
        <v>26</v>
      </c>
      <c r="P17">
        <v>1300</v>
      </c>
      <c r="Q17">
        <v>0</v>
      </c>
      <c r="R17">
        <v>1700</v>
      </c>
      <c r="S17">
        <v>0</v>
      </c>
      <c r="T17">
        <v>400</v>
      </c>
      <c r="U17">
        <v>280000</v>
      </c>
      <c r="V17">
        <v>14014</v>
      </c>
      <c r="W17" t="str">
        <v>0</v>
      </c>
      <c r="X17">
        <v>25620</v>
      </c>
      <c r="Y17">
        <v>45484</v>
      </c>
      <c r="Z17" t="str">
        <v/>
      </c>
      <c r="AA17" t="str">
        <v>技術・人文知識・国際業務</v>
      </c>
      <c r="AB17" t="str">
        <v>486-0902</v>
      </c>
      <c r="AC17" t="str">
        <v>愛知県春日井市新開町字新開61－19</v>
      </c>
      <c r="AD17" t="str">
        <v>ｺｰﾎﾟ光201</v>
      </c>
      <c r="AE17">
        <v>45186</v>
      </c>
      <c r="AF17">
        <v>44818</v>
      </c>
      <c r="AG17">
        <v>0</v>
      </c>
      <c r="AH17">
        <v>0</v>
      </c>
      <c r="AI17" t="str">
        <v>22.10.01</v>
      </c>
      <c r="AJ17" t="str">
        <v>チュ　ドゥック　タン</v>
      </c>
      <c r="AK17" t="str">
        <v>ゆうちょ銀行</v>
      </c>
      <c r="AL17">
        <v>468</v>
      </c>
      <c r="AM17" t="str">
        <v>四六八</v>
      </c>
      <c r="AN17" t="str">
        <v>2355025</v>
      </c>
      <c r="AO17" t="str">
        <v>9/21林</v>
      </c>
      <c r="AP17">
        <v>0</v>
      </c>
    </row>
    <row r="18" spans="1:42">
      <c r="A18" t="str">
        <f>H18&amp;COUNTIF($H$2:H18,H18)</f>
        <v>J加工2課2</v>
      </c>
      <c r="B18" t="str">
        <f>F18&amp;COUNTIF($F$2:F18,F18)</f>
        <v>加藤木材工業 本社8</v>
      </c>
      <c r="C18" t="str">
        <v>在職中</v>
      </c>
      <c r="D18">
        <v>220914</v>
      </c>
      <c r="E18">
        <v>5481</v>
      </c>
      <c r="F18" t="str">
        <v>加藤木材工業 本社</v>
      </c>
      <c r="G18" t="str">
        <v>生産2部</v>
      </c>
      <c r="H18" t="str">
        <v>J加工2課</v>
      </c>
      <c r="I18" t="str">
        <v>機械オペレーター及び機械メンテナンス他付随する業務</v>
      </c>
      <c r="J18" t="str">
        <v>DINH CONG CUONG</v>
      </c>
      <c r="K18" t="str">
        <v>ディン　コン　クォン</v>
      </c>
      <c r="L18" t="str">
        <v>男</v>
      </c>
      <c r="M18" t="str">
        <v>ﾍﾞﾄﾅﾑ</v>
      </c>
      <c r="N18">
        <v>30926</v>
      </c>
      <c r="O18">
        <v>39</v>
      </c>
      <c r="P18">
        <v>1300</v>
      </c>
      <c r="Q18">
        <v>0</v>
      </c>
      <c r="R18">
        <v>1700</v>
      </c>
      <c r="S18">
        <v>0</v>
      </c>
      <c r="T18">
        <v>400</v>
      </c>
      <c r="U18">
        <v>260000</v>
      </c>
      <c r="V18">
        <v>13013</v>
      </c>
      <c r="W18" t="str">
        <v>0</v>
      </c>
      <c r="X18">
        <v>23790</v>
      </c>
      <c r="Y18">
        <v>45471</v>
      </c>
      <c r="Z18" t="str">
        <v/>
      </c>
      <c r="AA18" t="str">
        <v>技術・人文知識・国際業務</v>
      </c>
      <c r="AB18" t="str">
        <v>486-0928</v>
      </c>
      <c r="AC18" t="str">
        <v>愛知県春日井市妙慶町2丁目8</v>
      </c>
      <c r="AD18" t="str">
        <v>妙慶ﾊｲﾂ202号</v>
      </c>
      <c r="AE18">
        <v>44820</v>
      </c>
      <c r="AF18">
        <v>44823</v>
      </c>
      <c r="AG18">
        <v>0</v>
      </c>
      <c r="AH18">
        <v>0</v>
      </c>
      <c r="AI18" t="str">
        <v>22.10.01</v>
      </c>
      <c r="AJ18" t="str">
        <v>ディン　コン　クォン</v>
      </c>
      <c r="AK18" t="str">
        <v>ゆうちょ銀行</v>
      </c>
      <c r="AL18">
        <v>0</v>
      </c>
      <c r="AM18">
        <v>0</v>
      </c>
      <c r="AN18" t="str">
        <v>12350　5871922</v>
      </c>
      <c r="AO18" t="str">
        <v>9/21林</v>
      </c>
      <c r="AP18">
        <v>0</v>
      </c>
    </row>
    <row r="19" spans="1:42">
      <c r="A19" t="str">
        <f>H19&amp;COUNTIF($H$2:H19,H19)</f>
        <v>資材課1</v>
      </c>
      <c r="B19" t="str">
        <f>F19&amp;COUNTIF($F$2:F19,F19)</f>
        <v>加藤木材工業 本社9</v>
      </c>
      <c r="C19" t="str">
        <v>在職中</v>
      </c>
      <c r="D19">
        <v>220915</v>
      </c>
      <c r="E19">
        <v>5482</v>
      </c>
      <c r="F19" t="str">
        <v>加藤木材工業 本社</v>
      </c>
      <c r="G19" t="str">
        <v>生産企画部</v>
      </c>
      <c r="H19" t="str">
        <v>資材課</v>
      </c>
      <c r="I19" t="str">
        <v>機械オペレーター及び機械メンテナンス他付随する業務</v>
      </c>
      <c r="J19" t="str">
        <v>BUI VAN DOAN</v>
      </c>
      <c r="K19" t="str">
        <v>ブイ　ヴァン　ドアン</v>
      </c>
      <c r="L19" t="str">
        <v>男</v>
      </c>
      <c r="M19" t="str">
        <v>ﾍﾞﾄﾅﾑ</v>
      </c>
      <c r="N19">
        <v>31900</v>
      </c>
      <c r="O19">
        <v>36</v>
      </c>
      <c r="P19">
        <v>1300</v>
      </c>
      <c r="Q19">
        <v>0</v>
      </c>
      <c r="R19">
        <v>1700</v>
      </c>
      <c r="S19">
        <v>0</v>
      </c>
      <c r="T19">
        <v>400</v>
      </c>
      <c r="U19">
        <v>320000</v>
      </c>
      <c r="V19">
        <v>16015.999999999998</v>
      </c>
      <c r="W19" t="str">
        <v>0</v>
      </c>
      <c r="X19">
        <v>29280</v>
      </c>
      <c r="Y19">
        <v>46164</v>
      </c>
      <c r="Z19" t="str">
        <v/>
      </c>
      <c r="AA19" t="str">
        <v>技術・人文知識・国際業務</v>
      </c>
      <c r="AB19" t="str">
        <v>486-0958</v>
      </c>
      <c r="AC19" t="str">
        <v>愛知県春日井市西本町1丁目1－1</v>
      </c>
      <c r="AD19" t="str">
        <v>ﾊｲﾂｱｲｶ味美403</v>
      </c>
      <c r="AE19">
        <v>44820</v>
      </c>
      <c r="AF19">
        <v>44823</v>
      </c>
      <c r="AG19">
        <v>0</v>
      </c>
      <c r="AH19">
        <v>0</v>
      </c>
      <c r="AI19" t="str">
        <v>22.10.01</v>
      </c>
      <c r="AJ19" t="str">
        <v>ブイ　ヴァン　ドアン</v>
      </c>
      <c r="AK19" t="str">
        <v>ゆうちょ銀行</v>
      </c>
      <c r="AL19">
        <v>538</v>
      </c>
      <c r="AM19" t="str">
        <v>五三八</v>
      </c>
      <c r="AN19" t="str">
        <v>1586714</v>
      </c>
      <c r="AO19" t="str">
        <v>9/21林</v>
      </c>
      <c r="AP19">
        <v>0</v>
      </c>
    </row>
    <row r="20" spans="1:42">
      <c r="A20" t="str">
        <f>H20&amp;COUNTIF($H$2:H20,H20)</f>
        <v>生産2課1</v>
      </c>
      <c r="B20" t="str">
        <f>F20&amp;COUNTIF($F$2:F20,F20)</f>
        <v>加藤木材工業 本社10</v>
      </c>
      <c r="C20" t="str">
        <v>退社</v>
      </c>
      <c r="D20">
        <v>220922</v>
      </c>
      <c r="E20">
        <v>5493</v>
      </c>
      <c r="F20" t="str">
        <v>加藤木材工業 本社</v>
      </c>
      <c r="G20" t="str">
        <v>生産1部</v>
      </c>
      <c r="H20" t="str">
        <v>生産2課</v>
      </c>
      <c r="I20" t="str">
        <v>木材加工・検査・梱包</v>
      </c>
      <c r="J20" t="str">
        <v>HOANG ANH TU</v>
      </c>
      <c r="K20" t="str">
        <v>ホアン　アイン　トウ</v>
      </c>
      <c r="L20" t="str">
        <v>男</v>
      </c>
      <c r="M20" t="str">
        <v>ﾍﾞﾄﾅﾑ</v>
      </c>
      <c r="N20">
        <v>34978</v>
      </c>
      <c r="O20">
        <v>28</v>
      </c>
      <c r="P20">
        <v>1300</v>
      </c>
      <c r="Q20">
        <v>0</v>
      </c>
      <c r="R20">
        <v>1700</v>
      </c>
      <c r="S20">
        <v>0</v>
      </c>
      <c r="T20">
        <v>400</v>
      </c>
      <c r="U20">
        <v>300000</v>
      </c>
      <c r="V20">
        <v>15014.999999999998</v>
      </c>
      <c r="W20" t="str">
        <v>0</v>
      </c>
      <c r="X20">
        <v>27450</v>
      </c>
      <c r="Y20">
        <v>46128</v>
      </c>
      <c r="Z20" t="str">
        <v/>
      </c>
      <c r="AA20" t="str">
        <v>技術・人文知識・国際業務</v>
      </c>
      <c r="AB20" t="str">
        <v>486-0806</v>
      </c>
      <c r="AC20" t="str">
        <v>愛知県春日井市大手田酉町1-5-15</v>
      </c>
      <c r="AD20" t="str">
        <v>ｻﾝｳﾞｨﾚｯｼﾞ91-205</v>
      </c>
      <c r="AE20">
        <v>0</v>
      </c>
      <c r="AF20">
        <v>44830</v>
      </c>
      <c r="AG20">
        <v>45198</v>
      </c>
      <c r="AH20">
        <v>0</v>
      </c>
      <c r="AI20" t="str">
        <v>22.10.01</v>
      </c>
      <c r="AJ20">
        <v>0</v>
      </c>
      <c r="AK20">
        <v>0</v>
      </c>
      <c r="AL20">
        <v>0</v>
      </c>
      <c r="AM20">
        <v>0</v>
      </c>
      <c r="AN20">
        <v>0</v>
      </c>
      <c r="AO20" t="str">
        <v>9/29林</v>
      </c>
      <c r="AP20">
        <v>0</v>
      </c>
    </row>
    <row r="21" spans="1:42">
      <c r="A21" t="str">
        <f>H21&amp;COUNTIF($H$2:H21,H21)</f>
        <v>資材課2</v>
      </c>
      <c r="B21" t="str">
        <f>F21&amp;COUNTIF($F$2:F21,F21)</f>
        <v>加藤木材工業 本社11</v>
      </c>
      <c r="C21" t="str">
        <v>在職中</v>
      </c>
      <c r="D21">
        <v>221010</v>
      </c>
      <c r="E21">
        <v>5501</v>
      </c>
      <c r="F21" t="str">
        <v>加藤木材工業 本社</v>
      </c>
      <c r="G21" t="str">
        <v>生産企画部</v>
      </c>
      <c r="H21" t="str">
        <v>資材課</v>
      </c>
      <c r="I21" t="str">
        <v>機械オペレーター及び機械メンテナンス他付随する業務</v>
      </c>
      <c r="J21" t="str">
        <v>HUYNH TRUNG TUYEN</v>
      </c>
      <c r="K21" t="str">
        <v>フイン　チュン　トウエン</v>
      </c>
      <c r="L21" t="str">
        <v>男</v>
      </c>
      <c r="M21" t="str">
        <v>ﾍﾞﾄﾅﾑ</v>
      </c>
      <c r="N21">
        <v>35133</v>
      </c>
      <c r="O21">
        <v>27</v>
      </c>
      <c r="P21">
        <v>1300</v>
      </c>
      <c r="Q21">
        <v>0</v>
      </c>
      <c r="R21">
        <v>1700</v>
      </c>
      <c r="S21">
        <v>0</v>
      </c>
      <c r="T21">
        <v>400</v>
      </c>
      <c r="U21">
        <v>300000</v>
      </c>
      <c r="V21">
        <v>15014.999999999998</v>
      </c>
      <c r="W21" t="str">
        <v>0</v>
      </c>
      <c r="X21">
        <v>27450</v>
      </c>
      <c r="Y21">
        <v>45794</v>
      </c>
      <c r="Z21" t="str">
        <v/>
      </c>
      <c r="AA21" t="str">
        <v>技術・人文知識・国際業務</v>
      </c>
      <c r="AB21" t="str">
        <v>485-0023</v>
      </c>
      <c r="AC21" t="str">
        <v>愛知県小牧市大字北外山2643番地1</v>
      </c>
      <c r="AD21" t="str">
        <v>ｻﾝﾊﾟﾃｨｰｸⅡ3C</v>
      </c>
      <c r="AE21" t="str">
        <v>個人</v>
      </c>
      <c r="AF21">
        <v>44858</v>
      </c>
      <c r="AG21">
        <v>0</v>
      </c>
      <c r="AH21">
        <v>44983</v>
      </c>
      <c r="AI21">
        <v>44858</v>
      </c>
      <c r="AJ21">
        <v>0</v>
      </c>
      <c r="AK21">
        <v>0</v>
      </c>
      <c r="AL21">
        <v>0</v>
      </c>
      <c r="AM21">
        <v>0</v>
      </c>
      <c r="AN21">
        <v>0</v>
      </c>
      <c r="AO21" t="str">
        <v>10/26林</v>
      </c>
      <c r="AP21">
        <v>0</v>
      </c>
    </row>
    <row r="22" spans="1:42">
      <c r="A22" t="str">
        <f>H22&amp;COUNTIF($H$2:H22,H22)</f>
        <v>3課3</v>
      </c>
      <c r="B22" t="str">
        <f>F22&amp;COUNTIF($F$2:F22,F22)</f>
        <v>加藤木材工業 本社12</v>
      </c>
      <c r="C22" t="str">
        <v>在職中</v>
      </c>
      <c r="D22">
        <v>221103</v>
      </c>
      <c r="E22">
        <v>5509</v>
      </c>
      <c r="F22" t="str">
        <v>加藤木材工業 本社</v>
      </c>
      <c r="G22" t="str">
        <v>生産1部</v>
      </c>
      <c r="H22" t="str">
        <v>3課</v>
      </c>
      <c r="I22" t="str">
        <v>機械オペレーター及び機械メンテナンス他付随する業務</v>
      </c>
      <c r="J22" t="str">
        <v>MAI THI QUYEN</v>
      </c>
      <c r="K22" t="str">
        <v>マイ　ティ　クェン</v>
      </c>
      <c r="L22" t="str">
        <v>女</v>
      </c>
      <c r="M22" t="str">
        <v>ﾍﾞﾄﾅﾑ</v>
      </c>
      <c r="N22">
        <v>35464</v>
      </c>
      <c r="O22">
        <v>26</v>
      </c>
      <c r="P22">
        <v>1300</v>
      </c>
      <c r="Q22">
        <v>0</v>
      </c>
      <c r="R22">
        <v>1700</v>
      </c>
      <c r="S22">
        <v>0</v>
      </c>
      <c r="T22">
        <v>400</v>
      </c>
      <c r="U22">
        <v>280000</v>
      </c>
      <c r="V22">
        <v>14014</v>
      </c>
      <c r="W22" t="str">
        <v>0</v>
      </c>
      <c r="X22">
        <v>25620</v>
      </c>
      <c r="Y22">
        <v>46463</v>
      </c>
      <c r="Z22" t="str">
        <v/>
      </c>
      <c r="AA22" t="str">
        <v>技術・人文知識・国際業務</v>
      </c>
      <c r="AB22" t="str">
        <v>486-0918</v>
      </c>
      <c r="AC22" t="str">
        <v>愛知県春日井市如意申町6-11-17</v>
      </c>
      <c r="AD22" t="str">
        <v>ﾌﾚｸﾞﾗﾝｽｳｼ201</v>
      </c>
      <c r="AE22">
        <v>0</v>
      </c>
      <c r="AF22">
        <v>44880</v>
      </c>
      <c r="AG22">
        <v>0</v>
      </c>
      <c r="AH22">
        <v>0</v>
      </c>
      <c r="AI22" t="str">
        <v>22.12.1</v>
      </c>
      <c r="AJ22">
        <v>0</v>
      </c>
      <c r="AK22">
        <v>0</v>
      </c>
      <c r="AL22">
        <v>0</v>
      </c>
      <c r="AM22">
        <v>0</v>
      </c>
      <c r="AN22">
        <v>0</v>
      </c>
      <c r="AO22" t="str">
        <v>11/21林</v>
      </c>
      <c r="AP22">
        <v>0</v>
      </c>
    </row>
    <row r="23" spans="1:42">
      <c r="A23" t="str">
        <f>H23&amp;COUNTIF($H$2:H23,H23)</f>
        <v>加工課1</v>
      </c>
      <c r="B23" t="str">
        <f>F23&amp;COUNTIF($F$2:F23,F23)</f>
        <v>加藤木材工業 春日井1</v>
      </c>
      <c r="C23" t="str">
        <v>在職中</v>
      </c>
      <c r="D23">
        <v>221217</v>
      </c>
      <c r="E23">
        <v>5516</v>
      </c>
      <c r="F23" t="str">
        <v>加藤木材工業 春日井</v>
      </c>
      <c r="G23" t="str">
        <v>生産部</v>
      </c>
      <c r="H23" t="str">
        <v>加工課</v>
      </c>
      <c r="I23" t="str">
        <v>機械オペレーター及び機械メンテナンス他付随する業務</v>
      </c>
      <c r="J23" t="str">
        <v>NGUYEN VINH HIEU</v>
      </c>
      <c r="K23" t="str">
        <v>グエン　ヴィン　ヒエウ</v>
      </c>
      <c r="L23" t="str">
        <v>男</v>
      </c>
      <c r="M23" t="str">
        <v>ﾍﾞﾄﾅﾑ</v>
      </c>
      <c r="N23">
        <v>34773</v>
      </c>
      <c r="O23">
        <v>28</v>
      </c>
      <c r="P23">
        <v>1300</v>
      </c>
      <c r="Q23">
        <v>0</v>
      </c>
      <c r="R23">
        <v>1700</v>
      </c>
      <c r="S23">
        <v>0</v>
      </c>
      <c r="T23">
        <v>400</v>
      </c>
      <c r="U23">
        <v>300000</v>
      </c>
      <c r="V23">
        <v>15014.999999999998</v>
      </c>
      <c r="W23" t="str">
        <v>0</v>
      </c>
      <c r="X23">
        <v>27450</v>
      </c>
      <c r="Y23">
        <v>45319</v>
      </c>
      <c r="Z23" t="str">
        <v>残り期限90日!</v>
      </c>
      <c r="AA23" t="str">
        <v>技術・人文知識・国際業務</v>
      </c>
      <c r="AB23" t="str">
        <v>468-0807</v>
      </c>
      <c r="AC23" t="str">
        <v>愛知県春日井市大手町2-53-1</v>
      </c>
      <c r="AD23" t="str">
        <v>ﾊﾟｰｸｻｲﾄﾞ泉Ⅱ 201</v>
      </c>
      <c r="AE23">
        <v>0</v>
      </c>
      <c r="AF23">
        <v>44907</v>
      </c>
      <c r="AG23">
        <v>45282</v>
      </c>
      <c r="AH23">
        <v>0</v>
      </c>
      <c r="AI23" t="str">
        <v>23.1.1</v>
      </c>
      <c r="AJ23">
        <v>0</v>
      </c>
      <c r="AK23">
        <v>0</v>
      </c>
      <c r="AL23">
        <v>0</v>
      </c>
      <c r="AM23">
        <v>0</v>
      </c>
      <c r="AN23">
        <v>0</v>
      </c>
      <c r="AO23" t="str">
        <v>12/14林</v>
      </c>
      <c r="AP23">
        <v>0</v>
      </c>
    </row>
    <row r="24" spans="1:42">
      <c r="A24" t="str">
        <f>H24&amp;COUNTIF($H$2:H24,H24)</f>
        <v>加工課2</v>
      </c>
      <c r="B24" t="str">
        <f>F24&amp;COUNTIF($F$2:F24,F24)</f>
        <v>加藤木材工業 春日井2</v>
      </c>
      <c r="C24" t="str">
        <v>在職中</v>
      </c>
      <c r="D24">
        <v>221218</v>
      </c>
      <c r="E24">
        <v>5518</v>
      </c>
      <c r="F24" t="str">
        <v>加藤木材工業 春日井</v>
      </c>
      <c r="G24" t="str">
        <v>生産部</v>
      </c>
      <c r="H24" t="str">
        <v>加工課</v>
      </c>
      <c r="I24" t="str">
        <v>機械オペレーター及び機械メンテナンス他付随する業務</v>
      </c>
      <c r="J24" t="str">
        <v>NGUYEN THI LOC</v>
      </c>
      <c r="K24" t="str">
        <v>グエン　ティ　ロック</v>
      </c>
      <c r="L24" t="str">
        <v>女</v>
      </c>
      <c r="M24" t="str">
        <v>ﾍﾞﾄﾅﾑ</v>
      </c>
      <c r="N24">
        <v>32925</v>
      </c>
      <c r="O24">
        <v>33</v>
      </c>
      <c r="P24">
        <v>1300</v>
      </c>
      <c r="Q24">
        <v>0</v>
      </c>
      <c r="R24">
        <v>1700</v>
      </c>
      <c r="S24">
        <v>0</v>
      </c>
      <c r="T24">
        <v>400</v>
      </c>
      <c r="U24">
        <v>280000</v>
      </c>
      <c r="V24">
        <v>14014</v>
      </c>
      <c r="W24" t="str">
        <v>0</v>
      </c>
      <c r="X24">
        <v>25620</v>
      </c>
      <c r="Y24">
        <v>46194</v>
      </c>
      <c r="Z24" t="str">
        <v/>
      </c>
      <c r="AA24" t="str">
        <v>技術・人文知識・国際業務</v>
      </c>
      <c r="AB24" t="str">
        <v>485-0023</v>
      </c>
      <c r="AC24" t="str">
        <v>愛知県小牧市大字北外山2643番地1</v>
      </c>
      <c r="AD24" t="str">
        <v>ｻﾝﾊﾟﾃｨｰｸⅡ1E</v>
      </c>
      <c r="AE24">
        <v>0</v>
      </c>
      <c r="AF24">
        <v>44914</v>
      </c>
      <c r="AG24">
        <v>0</v>
      </c>
      <c r="AH24">
        <v>0</v>
      </c>
      <c r="AI24" t="str">
        <v>22.12.19</v>
      </c>
      <c r="AJ24">
        <v>0</v>
      </c>
      <c r="AK24">
        <v>0</v>
      </c>
      <c r="AL24">
        <v>0</v>
      </c>
      <c r="AM24">
        <v>0</v>
      </c>
      <c r="AN24">
        <v>0</v>
      </c>
      <c r="AO24" t="str">
        <v>1/9原</v>
      </c>
      <c r="AP24">
        <v>0</v>
      </c>
    </row>
    <row r="25" spans="1:42">
      <c r="A25" t="str">
        <f>H25&amp;COUNTIF($H$2:H25,H25)</f>
        <v>加工課3</v>
      </c>
      <c r="B25" t="str">
        <f>F25&amp;COUNTIF($F$2:F25,F25)</f>
        <v>加藤木材工業 春日井3</v>
      </c>
      <c r="C25" t="str">
        <v>在職中</v>
      </c>
      <c r="D25">
        <v>230102</v>
      </c>
      <c r="E25">
        <v>5519</v>
      </c>
      <c r="F25" t="str">
        <v>加藤木材工業 春日井</v>
      </c>
      <c r="G25" t="str">
        <v>生産部</v>
      </c>
      <c r="H25" t="str">
        <v>加工課</v>
      </c>
      <c r="I25" t="str">
        <v>機械オペレーター及び機械メンテナンス他付随する業務</v>
      </c>
      <c r="J25" t="str">
        <v>NGUYEN THI QUYEN</v>
      </c>
      <c r="K25" t="str">
        <v>グエン　ティ　クエン</v>
      </c>
      <c r="L25" t="str">
        <v>女</v>
      </c>
      <c r="M25" t="str">
        <v>ﾍﾞﾄﾅﾑ</v>
      </c>
      <c r="N25">
        <v>33671</v>
      </c>
      <c r="O25">
        <v>31</v>
      </c>
      <c r="P25">
        <v>1300</v>
      </c>
      <c r="Q25">
        <v>0</v>
      </c>
      <c r="R25">
        <v>1700</v>
      </c>
      <c r="S25">
        <v>0</v>
      </c>
      <c r="T25">
        <v>400</v>
      </c>
      <c r="U25">
        <v>300000</v>
      </c>
      <c r="V25">
        <v>15014.999999999998</v>
      </c>
      <c r="W25" t="str">
        <v>0</v>
      </c>
      <c r="X25">
        <v>27450</v>
      </c>
      <c r="Y25">
        <v>45457</v>
      </c>
      <c r="Z25" t="str">
        <v/>
      </c>
      <c r="AA25" t="str">
        <v>技術・人文知識・国際業務</v>
      </c>
      <c r="AB25" t="str">
        <v>485-0041</v>
      </c>
      <c r="AC25" t="str">
        <v>愛知県小牧市小牧大字3522番地</v>
      </c>
      <c r="AD25" t="str">
        <v>ﾋﾞﾚｯｼﾞﾊｳｽ山北4号棟</v>
      </c>
      <c r="AE25" t="str">
        <v>個人</v>
      </c>
      <c r="AF25">
        <v>44932</v>
      </c>
      <c r="AG25">
        <v>0</v>
      </c>
      <c r="AH25">
        <v>0</v>
      </c>
      <c r="AI25" t="str">
        <v>23.1.6</v>
      </c>
      <c r="AJ25">
        <v>0</v>
      </c>
      <c r="AK25">
        <v>0</v>
      </c>
      <c r="AL25">
        <v>0</v>
      </c>
      <c r="AM25">
        <v>0</v>
      </c>
      <c r="AN25">
        <v>0</v>
      </c>
      <c r="AO25" t="str">
        <v>1/18林</v>
      </c>
      <c r="AP25">
        <v>0</v>
      </c>
    </row>
    <row r="26" spans="1:42">
      <c r="A26" t="str">
        <f>H26&amp;COUNTIF($H$2:H26,H26)</f>
        <v>資材課3</v>
      </c>
      <c r="B26" t="str">
        <f>F26&amp;COUNTIF($F$2:F26,F26)</f>
        <v>加藤木材工業 本社13</v>
      </c>
      <c r="C26" t="str">
        <v>在職中</v>
      </c>
      <c r="D26">
        <v>230101</v>
      </c>
      <c r="E26">
        <v>5520</v>
      </c>
      <c r="F26" t="str">
        <v>加藤木材工業 本社</v>
      </c>
      <c r="G26" t="str">
        <v>生産企画部</v>
      </c>
      <c r="H26" t="str">
        <v>資材課</v>
      </c>
      <c r="I26" t="str">
        <v>機械オペレーター及び機械メンテナンス他付随する業務</v>
      </c>
      <c r="J26" t="str">
        <v>ZARATE SAKUDA SERGIO EDUARDO</v>
      </c>
      <c r="K26" t="str">
        <v>サラテ　サクダ　セルヒオ　エドゥアルド</v>
      </c>
      <c r="L26" t="str">
        <v>男</v>
      </c>
      <c r="M26" t="str">
        <v>ﾍﾟﾙｰ</v>
      </c>
      <c r="N26">
        <v>33164</v>
      </c>
      <c r="O26">
        <v>33</v>
      </c>
      <c r="P26">
        <v>1300</v>
      </c>
      <c r="Q26">
        <v>0</v>
      </c>
      <c r="R26">
        <v>1700</v>
      </c>
      <c r="S26">
        <v>0</v>
      </c>
      <c r="T26">
        <v>400</v>
      </c>
      <c r="U26">
        <v>320000</v>
      </c>
      <c r="V26">
        <v>16015.999999999998</v>
      </c>
      <c r="W26" t="str">
        <v>0</v>
      </c>
      <c r="X26">
        <v>29280</v>
      </c>
      <c r="Y26">
        <v>45405</v>
      </c>
      <c r="Z26" t="str">
        <v/>
      </c>
      <c r="AA26" t="str">
        <v>定住者</v>
      </c>
      <c r="AB26" t="str">
        <v>486-0904</v>
      </c>
      <c r="AC26" t="str">
        <v>愛知県春日井市宮町2-3-16</v>
      </c>
      <c r="AD26" t="str">
        <v>ﾘﾝﾋﾟｱ長斉203</v>
      </c>
      <c r="AE26">
        <v>44924</v>
      </c>
      <c r="AF26">
        <v>44932</v>
      </c>
      <c r="AG26">
        <v>0</v>
      </c>
      <c r="AH26">
        <v>0</v>
      </c>
      <c r="AI26" t="str">
        <v>23.2.1</v>
      </c>
      <c r="AJ26">
        <v>0</v>
      </c>
      <c r="AK26">
        <v>0</v>
      </c>
      <c r="AL26">
        <v>0</v>
      </c>
      <c r="AM26">
        <v>0</v>
      </c>
      <c r="AN26">
        <v>0</v>
      </c>
      <c r="AO26" t="str">
        <v>1/16林</v>
      </c>
      <c r="AP26">
        <v>0</v>
      </c>
    </row>
    <row r="27" spans="1:42">
      <c r="A27" t="str">
        <f>H27&amp;COUNTIF($H$2:H27,H27)</f>
        <v>加工課4</v>
      </c>
      <c r="B27" t="str">
        <f>F27&amp;COUNTIF($F$2:F27,F27)</f>
        <v>加藤木材工業 春日井4</v>
      </c>
      <c r="C27" t="str">
        <v>在職中</v>
      </c>
      <c r="D27">
        <v>230202</v>
      </c>
      <c r="E27">
        <v>5534</v>
      </c>
      <c r="F27" t="str">
        <v>加藤木材工業 春日井</v>
      </c>
      <c r="G27" t="str">
        <v>生産部</v>
      </c>
      <c r="H27" t="str">
        <v>加工課</v>
      </c>
      <c r="I27" t="str">
        <v>機械オペレーター及び機械メンテナンス他付随する業務</v>
      </c>
      <c r="J27" t="str">
        <v>NGUYEN VAN KIEN</v>
      </c>
      <c r="K27" t="str">
        <v>グエン　ヴァン　キエン</v>
      </c>
      <c r="L27" t="str">
        <v>男</v>
      </c>
      <c r="M27" t="str">
        <v>ﾍﾞﾄﾅﾑ</v>
      </c>
      <c r="N27">
        <v>35967</v>
      </c>
      <c r="O27">
        <v>25</v>
      </c>
      <c r="P27">
        <v>1300</v>
      </c>
      <c r="Q27">
        <v>0</v>
      </c>
      <c r="R27">
        <v>1700</v>
      </c>
      <c r="S27">
        <v>0</v>
      </c>
      <c r="T27">
        <v>400</v>
      </c>
      <c r="U27">
        <v>300000</v>
      </c>
      <c r="V27">
        <v>15014.999999999998</v>
      </c>
      <c r="W27" t="str">
        <v>0</v>
      </c>
      <c r="X27">
        <v>27450</v>
      </c>
      <c r="Y27">
        <v>45321</v>
      </c>
      <c r="Z27" t="str">
        <v>残り期限90日!</v>
      </c>
      <c r="AA27" t="str">
        <v>技術・人文知識・国際業務</v>
      </c>
      <c r="AB27" t="str">
        <v>486-0912</v>
      </c>
      <c r="AC27" t="str">
        <v>愛知県春日井市高山町4-13-13</v>
      </c>
      <c r="AD27" t="str">
        <v>ﾒｿﾞﾝ辻山201</v>
      </c>
      <c r="AE27">
        <v>0</v>
      </c>
      <c r="AF27">
        <v>44959</v>
      </c>
      <c r="AG27">
        <v>0</v>
      </c>
      <c r="AH27">
        <v>0</v>
      </c>
      <c r="AI27" t="str">
        <v>23.2.2</v>
      </c>
      <c r="AJ27">
        <v>0</v>
      </c>
      <c r="AK27">
        <v>0</v>
      </c>
      <c r="AL27">
        <v>0</v>
      </c>
      <c r="AM27">
        <v>0</v>
      </c>
      <c r="AN27">
        <v>0</v>
      </c>
      <c r="AO27" t="str">
        <v>2/8林</v>
      </c>
      <c r="AP27">
        <v>0</v>
      </c>
    </row>
    <row r="28" spans="1:42">
      <c r="A28" t="str">
        <f>H28&amp;COUNTIF($H$2:H28,H28)</f>
        <v>加工課5</v>
      </c>
      <c r="B28" t="str">
        <f>F28&amp;COUNTIF($F$2:F28,F28)</f>
        <v>加藤木材工業 春日井5</v>
      </c>
      <c r="C28" t="str">
        <v>在職中</v>
      </c>
      <c r="D28">
        <v>230203</v>
      </c>
      <c r="E28">
        <v>5535</v>
      </c>
      <c r="F28" t="str">
        <v>加藤木材工業 春日井</v>
      </c>
      <c r="G28" t="str">
        <v>生産部</v>
      </c>
      <c r="H28" t="str">
        <v>加工課</v>
      </c>
      <c r="I28" t="str">
        <v>機械オペレーター及び機械メンテナンス他付随する業務</v>
      </c>
      <c r="J28" t="str">
        <v>NGUYEN QUANG TRUONG</v>
      </c>
      <c r="K28" t="str">
        <v>グエン　クアン　チュオン</v>
      </c>
      <c r="L28" t="str">
        <v>男</v>
      </c>
      <c r="M28" t="str">
        <v>ﾍﾞﾄﾅﾑ</v>
      </c>
      <c r="N28">
        <v>36051</v>
      </c>
      <c r="O28">
        <v>25</v>
      </c>
      <c r="P28">
        <v>1300</v>
      </c>
      <c r="Q28">
        <v>0</v>
      </c>
      <c r="R28">
        <v>1700</v>
      </c>
      <c r="S28">
        <v>0</v>
      </c>
      <c r="T28">
        <v>400</v>
      </c>
      <c r="U28">
        <v>300000</v>
      </c>
      <c r="V28">
        <v>15014.999999999998</v>
      </c>
      <c r="W28" t="str">
        <v>0</v>
      </c>
      <c r="X28">
        <v>27450</v>
      </c>
      <c r="Y28">
        <v>45321</v>
      </c>
      <c r="Z28" t="str">
        <v>残り期限90日!</v>
      </c>
      <c r="AA28" t="str">
        <v>技術・人文知識・国際業務</v>
      </c>
      <c r="AB28" t="str">
        <v>486-0912</v>
      </c>
      <c r="AC28" t="str">
        <v>愛知県春日井市高山町4-13-13</v>
      </c>
      <c r="AD28" t="str">
        <v>ﾒｿﾞﾝ辻山201</v>
      </c>
      <c r="AE28">
        <v>0</v>
      </c>
      <c r="AF28">
        <v>44959</v>
      </c>
      <c r="AG28">
        <v>0</v>
      </c>
      <c r="AH28">
        <v>0</v>
      </c>
      <c r="AI28" t="str">
        <v>23.2.2</v>
      </c>
      <c r="AJ28">
        <v>0</v>
      </c>
      <c r="AK28">
        <v>0</v>
      </c>
      <c r="AL28">
        <v>0</v>
      </c>
      <c r="AM28">
        <v>0</v>
      </c>
      <c r="AN28">
        <v>0</v>
      </c>
      <c r="AO28" t="str">
        <v>2/8林</v>
      </c>
      <c r="AP28">
        <v>0</v>
      </c>
    </row>
    <row r="29" spans="1:42">
      <c r="A29" t="str">
        <f>H29&amp;COUNTIF($H$2:H29,H29)</f>
        <v>加工課6</v>
      </c>
      <c r="B29" t="str">
        <f>F29&amp;COUNTIF($F$2:F29,F29)</f>
        <v>加藤木材工業 春日井6</v>
      </c>
      <c r="C29" t="str">
        <v>在職中</v>
      </c>
      <c r="D29">
        <v>230204</v>
      </c>
      <c r="E29">
        <v>5536</v>
      </c>
      <c r="F29" t="str">
        <v>加藤木材工業 春日井</v>
      </c>
      <c r="G29" t="str">
        <v>生産部</v>
      </c>
      <c r="H29" t="str">
        <v>加工課</v>
      </c>
      <c r="I29" t="str">
        <v>機械オペレーター及び機械メンテナンス他付随する業務</v>
      </c>
      <c r="J29" t="str">
        <v>NGUYEN XUAN DUONG</v>
      </c>
      <c r="K29" t="str">
        <v>グエン　スアン　ズオン</v>
      </c>
      <c r="L29" t="str">
        <v>男</v>
      </c>
      <c r="M29" t="str">
        <v>ﾍﾞﾄﾅﾑ</v>
      </c>
      <c r="N29">
        <v>36058</v>
      </c>
      <c r="O29">
        <v>25</v>
      </c>
      <c r="P29">
        <v>1300</v>
      </c>
      <c r="Q29">
        <v>0</v>
      </c>
      <c r="R29">
        <v>1700</v>
      </c>
      <c r="S29">
        <v>0</v>
      </c>
      <c r="T29">
        <v>400</v>
      </c>
      <c r="U29">
        <v>280000</v>
      </c>
      <c r="V29">
        <v>14014</v>
      </c>
      <c r="W29" t="str">
        <v>0</v>
      </c>
      <c r="X29">
        <v>25620</v>
      </c>
      <c r="Y29">
        <v>45321</v>
      </c>
      <c r="Z29" t="str">
        <v>残り期限90日!</v>
      </c>
      <c r="AA29" t="str">
        <v>技術・人文知識・国際業務</v>
      </c>
      <c r="AB29" t="str">
        <v>468-0807</v>
      </c>
      <c r="AC29" t="str">
        <v>愛知県春日井市大手町2-53-1</v>
      </c>
      <c r="AD29" t="str">
        <v>ﾊﾟｰｸｻｲﾄﾞ泉Ⅱ 201</v>
      </c>
      <c r="AE29">
        <v>0</v>
      </c>
      <c r="AF29">
        <v>44959</v>
      </c>
      <c r="AG29">
        <v>0</v>
      </c>
      <c r="AH29">
        <v>0</v>
      </c>
      <c r="AI29" t="str">
        <v>23.2.2</v>
      </c>
      <c r="AJ29">
        <v>0</v>
      </c>
      <c r="AK29">
        <v>0</v>
      </c>
      <c r="AL29">
        <v>0</v>
      </c>
      <c r="AM29">
        <v>0</v>
      </c>
      <c r="AN29">
        <v>0</v>
      </c>
      <c r="AO29" t="str">
        <v>2/8林</v>
      </c>
      <c r="AP29">
        <v>0</v>
      </c>
    </row>
    <row r="30" spans="1:42">
      <c r="A30" t="str">
        <f>H30&amp;COUNTIF($H$2:H30,H30)</f>
        <v>メラミン課1</v>
      </c>
      <c r="B30" t="str">
        <f>F30&amp;COUNTIF($F$2:F30,F30)</f>
        <v>加藤木材工業 本社14</v>
      </c>
      <c r="C30" t="str">
        <v>在職中</v>
      </c>
      <c r="D30">
        <v>230219</v>
      </c>
      <c r="E30">
        <v>5538</v>
      </c>
      <c r="F30" t="str">
        <v>加藤木材工業 本社</v>
      </c>
      <c r="G30" t="str">
        <v>資材供給部</v>
      </c>
      <c r="H30" t="str">
        <v>メラミン課</v>
      </c>
      <c r="I30" t="str">
        <v>機械オペレーター及び機械メンテナンス他付随する業務</v>
      </c>
      <c r="J30" t="str">
        <v>TRAN BA HUNG</v>
      </c>
      <c r="K30" t="str">
        <v>チャン　バ　フン</v>
      </c>
      <c r="L30" t="str">
        <v>男</v>
      </c>
      <c r="M30" t="str">
        <v>ﾍﾞﾄﾅﾑ</v>
      </c>
      <c r="N30">
        <v>34874</v>
      </c>
      <c r="O30">
        <v>28</v>
      </c>
      <c r="P30">
        <v>1300</v>
      </c>
      <c r="Q30">
        <v>0</v>
      </c>
      <c r="R30">
        <v>1700</v>
      </c>
      <c r="S30">
        <v>0</v>
      </c>
      <c r="T30">
        <v>400</v>
      </c>
      <c r="U30">
        <v>260000</v>
      </c>
      <c r="V30">
        <v>13013</v>
      </c>
      <c r="W30" t="str">
        <v>0</v>
      </c>
      <c r="X30">
        <v>23790</v>
      </c>
      <c r="Y30">
        <v>46128</v>
      </c>
      <c r="Z30" t="str">
        <v/>
      </c>
      <c r="AA30" t="str">
        <v>技術・人文知識・国際業務</v>
      </c>
      <c r="AB30" t="str">
        <v>486-0806</v>
      </c>
      <c r="AC30" t="str">
        <v>愛知県春日井市大手田酉町1-5-15</v>
      </c>
      <c r="AD30" t="str">
        <v>ｻﾝｳﾞｨﾚｯｼﾞ91-205</v>
      </c>
      <c r="AE30">
        <v>0</v>
      </c>
      <c r="AF30">
        <v>44984</v>
      </c>
      <c r="AG30">
        <v>0</v>
      </c>
      <c r="AH30">
        <v>0</v>
      </c>
      <c r="AI30" t="str">
        <v>23.3.1</v>
      </c>
      <c r="AJ30">
        <v>0</v>
      </c>
      <c r="AK30">
        <v>0</v>
      </c>
      <c r="AL30">
        <v>0</v>
      </c>
      <c r="AM30">
        <v>0</v>
      </c>
      <c r="AN30">
        <v>0</v>
      </c>
      <c r="AO30" t="str">
        <v>3/16林</v>
      </c>
      <c r="AP30">
        <v>0</v>
      </c>
    </row>
    <row r="31" spans="1:42">
      <c r="A31" t="str">
        <f>H31&amp;COUNTIF($H$2:H31,H31)</f>
        <v>J加工2課3</v>
      </c>
      <c r="B31" t="str">
        <f>F31&amp;COUNTIF($F$2:F31,F31)</f>
        <v>加藤木材工業 本社15</v>
      </c>
      <c r="C31" t="str">
        <v>退社</v>
      </c>
      <c r="D31">
        <v>230315</v>
      </c>
      <c r="E31">
        <v>5543</v>
      </c>
      <c r="F31" t="str">
        <v>加藤木材工業 本社</v>
      </c>
      <c r="G31" t="str">
        <v>生産2部</v>
      </c>
      <c r="H31" t="str">
        <v>J加工2課</v>
      </c>
      <c r="I31" t="str">
        <v>木材加工・検査・梱包</v>
      </c>
      <c r="J31" t="str">
        <v>PHAM HUY TIEN</v>
      </c>
      <c r="K31" t="str">
        <v>ファム　フィ　テイエン</v>
      </c>
      <c r="L31" t="str">
        <v>男</v>
      </c>
      <c r="M31" t="str">
        <v>ﾍﾞﾄﾅﾑ</v>
      </c>
      <c r="N31">
        <v>30065</v>
      </c>
      <c r="O31">
        <v>41</v>
      </c>
      <c r="P31">
        <v>1300</v>
      </c>
      <c r="Q31">
        <v>0</v>
      </c>
      <c r="R31">
        <v>1700</v>
      </c>
      <c r="S31">
        <v>0</v>
      </c>
      <c r="T31">
        <v>400</v>
      </c>
      <c r="U31">
        <v>180000</v>
      </c>
      <c r="V31">
        <v>9009</v>
      </c>
      <c r="W31">
        <v>1637.9999999999982</v>
      </c>
      <c r="X31">
        <v>16470</v>
      </c>
      <c r="Y31">
        <v>45370</v>
      </c>
      <c r="Z31" t="str">
        <v/>
      </c>
      <c r="AA31" t="str">
        <v>技術・人文知識・国際業務</v>
      </c>
      <c r="AB31" t="str">
        <v>486-0904</v>
      </c>
      <c r="AC31" t="str">
        <v>愛知県春日井市宮町2-3-16</v>
      </c>
      <c r="AD31" t="str">
        <v>ﾘﾝﾋﾟｱ長斉302</v>
      </c>
      <c r="AE31">
        <v>45017</v>
      </c>
      <c r="AF31">
        <v>45007</v>
      </c>
      <c r="AG31">
        <v>45147</v>
      </c>
      <c r="AH31">
        <v>0</v>
      </c>
      <c r="AI31" t="str">
        <v>23.4.1</v>
      </c>
      <c r="AJ31">
        <v>0</v>
      </c>
      <c r="AK31">
        <v>0</v>
      </c>
      <c r="AL31">
        <v>0</v>
      </c>
      <c r="AM31">
        <v>0</v>
      </c>
      <c r="AN31">
        <v>0</v>
      </c>
      <c r="AO31" t="str">
        <v>4/12林</v>
      </c>
      <c r="AP31">
        <v>0</v>
      </c>
    </row>
    <row r="32" spans="1:42">
      <c r="A32" t="str">
        <f>H32&amp;COUNTIF($H$2:H32,H32)</f>
        <v>2課1</v>
      </c>
      <c r="B32" t="str">
        <f>F32&amp;COUNTIF($F$2:F32,F32)</f>
        <v>加藤木材工業 本社16</v>
      </c>
      <c r="C32" t="str">
        <v>在職中</v>
      </c>
      <c r="D32">
        <v>220504</v>
      </c>
      <c r="E32">
        <v>5547</v>
      </c>
      <c r="F32" t="str">
        <v>加藤木材工業 本社</v>
      </c>
      <c r="G32" t="str">
        <v>生産1部</v>
      </c>
      <c r="H32" t="str">
        <v>2課</v>
      </c>
      <c r="I32" t="str">
        <v>機械オペレーター及び機械メンテナンス他付随する業務</v>
      </c>
      <c r="J32" t="str">
        <v>VU DINH SON</v>
      </c>
      <c r="K32" t="str">
        <v>ヴー　ディン　ソン</v>
      </c>
      <c r="L32" t="str">
        <v>男</v>
      </c>
      <c r="M32" t="str">
        <v>ﾍﾞﾄﾅﾑ</v>
      </c>
      <c r="N32">
        <v>35828</v>
      </c>
      <c r="O32">
        <v>25</v>
      </c>
      <c r="P32">
        <v>1300</v>
      </c>
      <c r="Q32">
        <v>0</v>
      </c>
      <c r="R32">
        <v>1700</v>
      </c>
      <c r="S32">
        <v>0</v>
      </c>
      <c r="T32">
        <v>400</v>
      </c>
      <c r="U32">
        <v>300000</v>
      </c>
      <c r="V32">
        <v>15014.999999999998</v>
      </c>
      <c r="W32" t="str">
        <v>0</v>
      </c>
      <c r="X32">
        <v>27450</v>
      </c>
      <c r="Y32">
        <v>45407</v>
      </c>
      <c r="Z32" t="str">
        <v/>
      </c>
      <c r="AA32" t="str">
        <v>技術・人文知識・国際業務</v>
      </c>
      <c r="AB32" t="str">
        <v>486-0904</v>
      </c>
      <c r="AC32" t="str">
        <v>愛知県春日井市宮町2-3-16</v>
      </c>
      <c r="AD32" t="str">
        <v>ﾘﾝﾋﾟｱ長斉302</v>
      </c>
      <c r="AE32">
        <v>45025</v>
      </c>
      <c r="AF32">
        <v>44690</v>
      </c>
      <c r="AG32">
        <v>0</v>
      </c>
      <c r="AH32">
        <v>0</v>
      </c>
      <c r="AI32" t="str">
        <v>22.07.01</v>
      </c>
      <c r="AJ32">
        <v>0</v>
      </c>
      <c r="AK32">
        <v>0</v>
      </c>
      <c r="AL32">
        <v>0</v>
      </c>
      <c r="AM32">
        <v>0</v>
      </c>
      <c r="AN32" t="str">
        <v>1285143</v>
      </c>
      <c r="AO32" t="str">
        <v>5/17原</v>
      </c>
      <c r="AP32" t="str">
        <v>2022/5/9～2022/4/8まで高雄本社所属　2023/4/10~加藤木材に移動</v>
      </c>
    </row>
    <row r="33" spans="1:42">
      <c r="A33" t="str">
        <f>H33&amp;COUNTIF($H$2:H33,H33)</f>
        <v>生産課2</v>
      </c>
      <c r="B33" t="str">
        <f>F33&amp;COUNTIF($F$2:F33,F33)</f>
        <v>加藤木材工業 本社17</v>
      </c>
      <c r="C33" t="str">
        <v>在職中</v>
      </c>
      <c r="D33">
        <v>220511</v>
      </c>
      <c r="E33">
        <v>5548</v>
      </c>
      <c r="F33" t="str">
        <v>加藤木材工業 本社</v>
      </c>
      <c r="G33" t="str">
        <v>生産2部</v>
      </c>
      <c r="H33" t="str">
        <v>生産課</v>
      </c>
      <c r="I33" t="str">
        <v>機械オペレーター及び機械メンテナンス他付随する業務</v>
      </c>
      <c r="J33" t="str">
        <v>DUONG VAN TOAN</v>
      </c>
      <c r="K33" t="str">
        <v>ズオン　ヴァン　トアン</v>
      </c>
      <c r="L33" t="str">
        <v>男</v>
      </c>
      <c r="M33" t="str">
        <v>ﾍﾞﾄﾅﾑ</v>
      </c>
      <c r="N33">
        <v>34305</v>
      </c>
      <c r="O33">
        <v>30</v>
      </c>
      <c r="P33">
        <v>1300</v>
      </c>
      <c r="Q33">
        <v>0</v>
      </c>
      <c r="R33">
        <v>1700</v>
      </c>
      <c r="S33">
        <v>0</v>
      </c>
      <c r="T33">
        <v>400</v>
      </c>
      <c r="U33">
        <v>280000</v>
      </c>
      <c r="V33">
        <v>14014</v>
      </c>
      <c r="W33" t="str">
        <v>0</v>
      </c>
      <c r="X33">
        <v>25620</v>
      </c>
      <c r="Y33">
        <v>45408</v>
      </c>
      <c r="Z33" t="str">
        <v/>
      </c>
      <c r="AA33" t="str">
        <v>技術・人文知識・国際業務</v>
      </c>
      <c r="AB33" t="str">
        <v>486-0904</v>
      </c>
      <c r="AC33" t="str">
        <v>愛知県春日井市宮町2-3-16</v>
      </c>
      <c r="AD33" t="str">
        <v>ﾘﾝﾋﾟｱ長斉302</v>
      </c>
      <c r="AE33">
        <v>45025</v>
      </c>
      <c r="AF33">
        <v>44692</v>
      </c>
      <c r="AG33">
        <v>0</v>
      </c>
      <c r="AH33">
        <v>0</v>
      </c>
      <c r="AI33" t="str">
        <v>22.07.01</v>
      </c>
      <c r="AJ33">
        <v>0</v>
      </c>
      <c r="AK33">
        <v>0</v>
      </c>
      <c r="AL33">
        <v>0</v>
      </c>
      <c r="AM33">
        <v>0</v>
      </c>
      <c r="AN33" t="str">
        <v>1285143</v>
      </c>
      <c r="AO33" t="str">
        <v>5/19林</v>
      </c>
      <c r="AP33" t="str">
        <v>2022/5/9～2022/3/30まで高雄本社所属　2023/4/10~加藤木材に移動</v>
      </c>
    </row>
    <row r="34" spans="1:42">
      <c r="A34" t="str">
        <f>H34&amp;COUNTIF($H$2:H34,H34)</f>
        <v>資材課4</v>
      </c>
      <c r="B34" t="str">
        <f>F34&amp;COUNTIF($F$2:F34,F34)</f>
        <v>加藤木材工業 本社18</v>
      </c>
      <c r="C34" t="str">
        <v>在職中</v>
      </c>
      <c r="D34">
        <v>230403</v>
      </c>
      <c r="E34">
        <v>5550</v>
      </c>
      <c r="F34" t="str">
        <v>加藤木材工業 本社</v>
      </c>
      <c r="G34" t="str">
        <v>生産企画部</v>
      </c>
      <c r="H34" t="str">
        <v>資材課</v>
      </c>
      <c r="I34" t="str">
        <v>機械オペレーター及び機械メンテナンス他付随する業務</v>
      </c>
      <c r="J34" t="str">
        <v>PHAM DUY QUANG</v>
      </c>
      <c r="K34" t="str">
        <v>ファム　ズイ　クアン</v>
      </c>
      <c r="L34" t="str">
        <v>男</v>
      </c>
      <c r="M34" t="str">
        <v>ﾍﾞﾄﾅﾑ</v>
      </c>
      <c r="N34">
        <v>34497</v>
      </c>
      <c r="O34">
        <v>29</v>
      </c>
      <c r="P34">
        <v>1300</v>
      </c>
      <c r="Q34">
        <v>0</v>
      </c>
      <c r="R34">
        <v>1700</v>
      </c>
      <c r="S34">
        <v>0</v>
      </c>
      <c r="T34">
        <v>400</v>
      </c>
      <c r="U34">
        <v>300000</v>
      </c>
      <c r="V34">
        <v>15014.999999999998</v>
      </c>
      <c r="W34" t="str">
        <v>0</v>
      </c>
      <c r="X34">
        <v>27450</v>
      </c>
      <c r="Y34">
        <v>46783</v>
      </c>
      <c r="Z34" t="str">
        <v/>
      </c>
      <c r="AA34" t="str">
        <v>技術・人文知識・国際業務</v>
      </c>
      <c r="AB34" t="str">
        <v>486-0918</v>
      </c>
      <c r="AC34" t="str">
        <v>愛知県春日井市如意申町3丁目3－4</v>
      </c>
      <c r="AD34" t="str">
        <v>Residence Enfinity M1 201</v>
      </c>
      <c r="AE34">
        <v>45044</v>
      </c>
      <c r="AF34">
        <v>45026</v>
      </c>
      <c r="AG34">
        <v>0</v>
      </c>
      <c r="AH34">
        <v>0</v>
      </c>
      <c r="AI34" t="str">
        <v>23.5.1</v>
      </c>
      <c r="AJ34">
        <v>0</v>
      </c>
      <c r="AK34">
        <v>0</v>
      </c>
      <c r="AL34">
        <v>0</v>
      </c>
      <c r="AM34">
        <v>0</v>
      </c>
      <c r="AN34">
        <v>0</v>
      </c>
      <c r="AO34" t="str">
        <v>4/13林</v>
      </c>
      <c r="AP34">
        <v>0</v>
      </c>
    </row>
    <row r="35" spans="1:42">
      <c r="A35" t="str">
        <f>H35&amp;COUNTIF($H$2:H35,H35)</f>
        <v>資材課5</v>
      </c>
      <c r="B35" t="str">
        <f>F35&amp;COUNTIF($F$2:F35,F35)</f>
        <v>加藤木材工業 本社19</v>
      </c>
      <c r="C35" t="str">
        <v>在職中</v>
      </c>
      <c r="D35">
        <v>230404</v>
      </c>
      <c r="E35">
        <v>5551</v>
      </c>
      <c r="F35" t="str">
        <v>加藤木材工業 本社</v>
      </c>
      <c r="G35" t="str">
        <v>生産企画部</v>
      </c>
      <c r="H35" t="str">
        <v>資材課</v>
      </c>
      <c r="I35" t="str">
        <v>機械オペレーター及び機械メンテナンス他付随する業務</v>
      </c>
      <c r="J35" t="str">
        <v>THAI BA THACH</v>
      </c>
      <c r="K35" t="str">
        <v>タイ　バー　タック</v>
      </c>
      <c r="L35" t="str">
        <v>男</v>
      </c>
      <c r="M35" t="str">
        <v>ﾍﾞﾄﾅﾑ</v>
      </c>
      <c r="N35">
        <v>34497</v>
      </c>
      <c r="O35">
        <v>29</v>
      </c>
      <c r="P35">
        <v>1300</v>
      </c>
      <c r="Q35">
        <v>0</v>
      </c>
      <c r="R35">
        <v>1700</v>
      </c>
      <c r="S35">
        <v>0</v>
      </c>
      <c r="T35">
        <v>400</v>
      </c>
      <c r="U35">
        <v>280000</v>
      </c>
      <c r="V35">
        <v>14014</v>
      </c>
      <c r="W35" t="str">
        <v>0</v>
      </c>
      <c r="X35">
        <v>25620</v>
      </c>
      <c r="Y35">
        <v>45566</v>
      </c>
      <c r="Z35" t="str">
        <v/>
      </c>
      <c r="AA35" t="str">
        <v>技術・人文知識・国際業務</v>
      </c>
      <c r="AB35" t="str">
        <v>486-0904</v>
      </c>
      <c r="AC35" t="str">
        <v>愛知県春日井市宮町2-3-16</v>
      </c>
      <c r="AD35" t="str">
        <v>ﾘﾝﾋﾟｱ長斉302</v>
      </c>
      <c r="AE35">
        <v>45044</v>
      </c>
      <c r="AF35">
        <v>45026</v>
      </c>
      <c r="AG35">
        <v>0</v>
      </c>
      <c r="AH35">
        <v>0</v>
      </c>
      <c r="AI35" t="str">
        <v>23.5.1</v>
      </c>
      <c r="AJ35">
        <v>0</v>
      </c>
      <c r="AK35">
        <v>0</v>
      </c>
      <c r="AL35">
        <v>0</v>
      </c>
      <c r="AM35">
        <v>0</v>
      </c>
      <c r="AN35">
        <v>0</v>
      </c>
      <c r="AO35" t="str">
        <v>4/13林</v>
      </c>
      <c r="AP35">
        <v>0</v>
      </c>
    </row>
    <row r="36" spans="1:42">
      <c r="A36" t="str">
        <f>H36&amp;COUNTIF($H$2:H36,H36)</f>
        <v>生産課3</v>
      </c>
      <c r="B36" t="str">
        <f>F36&amp;COUNTIF($F$2:F36,F36)</f>
        <v>加藤木材工業 春日井7</v>
      </c>
      <c r="C36" t="str">
        <v>在職中</v>
      </c>
      <c r="D36">
        <v>230602</v>
      </c>
      <c r="E36">
        <v>5570</v>
      </c>
      <c r="F36" t="str">
        <v>加藤木材工業 春日井</v>
      </c>
      <c r="G36" t="str">
        <v>金物事業部</v>
      </c>
      <c r="H36" t="str">
        <v>生産課</v>
      </c>
      <c r="I36" t="str">
        <v>機械オペレーター及び機械メンテナンス他付随する業務</v>
      </c>
      <c r="J36" t="str">
        <v>NGUYEN VAN DU</v>
      </c>
      <c r="K36" t="str">
        <v>グエン　ヴァン　ズ</v>
      </c>
      <c r="L36" t="str">
        <v>男</v>
      </c>
      <c r="M36" t="str">
        <v>ﾍﾞﾄﾅﾑ</v>
      </c>
      <c r="N36">
        <v>33704</v>
      </c>
      <c r="O36">
        <v>31</v>
      </c>
      <c r="P36">
        <v>1300</v>
      </c>
      <c r="Q36">
        <v>0</v>
      </c>
      <c r="R36">
        <v>1700</v>
      </c>
      <c r="S36">
        <v>0</v>
      </c>
      <c r="T36">
        <v>400</v>
      </c>
      <c r="U36">
        <v>180000</v>
      </c>
      <c r="V36">
        <v>9009</v>
      </c>
      <c r="W36" t="str">
        <v>0</v>
      </c>
      <c r="X36">
        <v>16470</v>
      </c>
      <c r="Y36">
        <v>46361</v>
      </c>
      <c r="Z36" t="str">
        <v/>
      </c>
      <c r="AA36" t="str">
        <v>技術・人文知識・国際業務</v>
      </c>
      <c r="AB36" t="str">
        <v>485-0832</v>
      </c>
      <c r="AC36" t="str">
        <v>愛知県小牧市応時1丁目66番地</v>
      </c>
      <c r="AD36" t="str">
        <v>ﾌﾚｽｶｲﾄｳ301</v>
      </c>
      <c r="AE36">
        <v>45077</v>
      </c>
      <c r="AF36">
        <v>45082</v>
      </c>
      <c r="AG36">
        <v>0</v>
      </c>
      <c r="AH36">
        <v>0</v>
      </c>
      <c r="AI36" t="str">
        <v>23.6.5</v>
      </c>
      <c r="AJ36">
        <v>0</v>
      </c>
      <c r="AK36">
        <v>0</v>
      </c>
      <c r="AL36">
        <v>0</v>
      </c>
      <c r="AM36">
        <v>0</v>
      </c>
      <c r="AN36">
        <v>0</v>
      </c>
      <c r="AO36" t="str">
        <v>6/14林</v>
      </c>
      <c r="AP36">
        <v>0</v>
      </c>
    </row>
    <row r="37" spans="1:42">
      <c r="A37" t="str">
        <f>H37&amp;COUNTIF($H$2:H37,H37)</f>
        <v>生産課4</v>
      </c>
      <c r="B37" t="str">
        <f>F37&amp;COUNTIF($F$2:F37,F37)</f>
        <v>加藤木材工業 本社20</v>
      </c>
      <c r="C37" t="str">
        <v>退社</v>
      </c>
      <c r="D37">
        <v>230708</v>
      </c>
      <c r="E37">
        <v>5578</v>
      </c>
      <c r="F37" t="str">
        <v>加藤木材工業 本社</v>
      </c>
      <c r="G37" t="str">
        <v>生産2部</v>
      </c>
      <c r="H37" t="str">
        <v>生産課</v>
      </c>
      <c r="I37" t="str">
        <v>機械オペレーター及び機械メンテナンス他付随する業務</v>
      </c>
      <c r="J37" t="str">
        <v>NGUYEN VAN PHUC</v>
      </c>
      <c r="K37" t="str">
        <v>グエン　ヴァン　フック</v>
      </c>
      <c r="L37" t="str">
        <v>男</v>
      </c>
      <c r="M37" t="str">
        <v>ﾍﾞﾄﾅﾑ</v>
      </c>
      <c r="N37">
        <v>33552</v>
      </c>
      <c r="O37">
        <v>32</v>
      </c>
      <c r="P37">
        <v>1300</v>
      </c>
      <c r="Q37">
        <v>0</v>
      </c>
      <c r="R37">
        <v>1700</v>
      </c>
      <c r="S37">
        <v>0</v>
      </c>
      <c r="T37">
        <v>400</v>
      </c>
      <c r="U37">
        <v>220000</v>
      </c>
      <c r="V37">
        <v>11011</v>
      </c>
      <c r="W37" t="str">
        <v>0</v>
      </c>
      <c r="X37">
        <v>20130</v>
      </c>
      <c r="Y37">
        <v>46103</v>
      </c>
      <c r="Z37" t="str">
        <v/>
      </c>
      <c r="AA37" t="str">
        <v>技術・人文知識・国際業務</v>
      </c>
      <c r="AB37" t="str">
        <v>485-0832</v>
      </c>
      <c r="AC37" t="str">
        <v>愛知県小牧市応時1丁目66番地</v>
      </c>
      <c r="AD37" t="str">
        <v>ﾌﾚｽｶｲﾄｳ301</v>
      </c>
      <c r="AE37">
        <v>45126</v>
      </c>
      <c r="AF37">
        <v>45128</v>
      </c>
      <c r="AG37">
        <v>45248</v>
      </c>
      <c r="AH37">
        <v>0</v>
      </c>
      <c r="AI37" t="str">
        <v>23.7.21</v>
      </c>
      <c r="AJ37">
        <v>0</v>
      </c>
      <c r="AK37">
        <v>0</v>
      </c>
      <c r="AL37">
        <v>0</v>
      </c>
      <c r="AM37">
        <v>0</v>
      </c>
      <c r="AN37">
        <v>0</v>
      </c>
      <c r="AO37" t="str">
        <v>7/27林</v>
      </c>
      <c r="AP37">
        <v>0</v>
      </c>
    </row>
    <row r="38" spans="1:42">
      <c r="A38" t="str">
        <f>H38&amp;COUNTIF($H$2:H38,H38)</f>
        <v>加工課7</v>
      </c>
      <c r="B38" t="str">
        <f>F38&amp;COUNTIF($F$2:F38,F38)</f>
        <v>加藤木材工業 春日井8</v>
      </c>
      <c r="C38" t="str">
        <v>在職中</v>
      </c>
      <c r="D38">
        <v>230815</v>
      </c>
      <c r="E38">
        <v>5579</v>
      </c>
      <c r="F38" t="str">
        <v>加藤木材工業 春日井</v>
      </c>
      <c r="G38" t="str">
        <v>生産部</v>
      </c>
      <c r="H38" t="str">
        <v>加工課</v>
      </c>
      <c r="I38" t="str">
        <v>機械オペレーター及び機械メンテナンス他付随する業務</v>
      </c>
      <c r="J38" t="str">
        <v>NGUYEN VAN NGOC</v>
      </c>
      <c r="K38" t="str">
        <v>グエン　ヴァン　ゴック</v>
      </c>
      <c r="L38" t="str">
        <v>男</v>
      </c>
      <c r="M38" t="str">
        <v>ﾍﾞﾄﾅﾑ</v>
      </c>
      <c r="N38">
        <v>32314</v>
      </c>
      <c r="O38">
        <v>35</v>
      </c>
      <c r="P38">
        <v>1300</v>
      </c>
      <c r="Q38">
        <v>0</v>
      </c>
      <c r="R38">
        <v>1700</v>
      </c>
      <c r="S38">
        <v>0</v>
      </c>
      <c r="T38">
        <v>400</v>
      </c>
      <c r="U38">
        <v>220000</v>
      </c>
      <c r="V38">
        <v>11011</v>
      </c>
      <c r="W38" t="str">
        <v>0</v>
      </c>
      <c r="X38">
        <v>20130</v>
      </c>
      <c r="Y38">
        <v>46548</v>
      </c>
      <c r="Z38" t="str">
        <v/>
      </c>
      <c r="AA38" t="str">
        <v>技術・人文知識・国際業務</v>
      </c>
      <c r="AB38" t="str">
        <v>486-0912</v>
      </c>
      <c r="AC38" t="str">
        <v>愛知県春日井市高山町4丁目13-13</v>
      </c>
      <c r="AD38" t="str">
        <v>ﾒｿﾞﾝ辻山105</v>
      </c>
      <c r="AE38">
        <v>0</v>
      </c>
      <c r="AF38">
        <v>45140</v>
      </c>
      <c r="AG38">
        <v>0</v>
      </c>
      <c r="AH38">
        <v>0</v>
      </c>
      <c r="AI38" t="str">
        <v>23.8.2</v>
      </c>
      <c r="AJ38">
        <v>0</v>
      </c>
      <c r="AK38">
        <v>0</v>
      </c>
      <c r="AL38">
        <v>0</v>
      </c>
      <c r="AM38">
        <v>0</v>
      </c>
      <c r="AN38">
        <v>0</v>
      </c>
      <c r="AO38" t="str">
        <v>8/23林</v>
      </c>
      <c r="AP38">
        <v>0</v>
      </c>
    </row>
    <row r="39" spans="1:42">
      <c r="A39" t="str">
        <f>H39&amp;COUNTIF($H$2:H39,H39)</f>
        <v>3課4</v>
      </c>
      <c r="B39" t="str">
        <f>F39&amp;COUNTIF($F$2:F39,F39)</f>
        <v>加藤木材工業 本社21</v>
      </c>
      <c r="C39" t="str">
        <v>在職中</v>
      </c>
      <c r="D39">
        <v>231004</v>
      </c>
      <c r="E39">
        <v>5600</v>
      </c>
      <c r="F39" t="str">
        <v>加藤木材工業 本社</v>
      </c>
      <c r="G39" t="str">
        <v>生産1部</v>
      </c>
      <c r="H39" t="str">
        <v>3課</v>
      </c>
      <c r="I39" t="str">
        <v>機械オペレーター及び機械メンテナンス他付随する業務</v>
      </c>
      <c r="J39" t="str">
        <v>LE NGOC THONG</v>
      </c>
      <c r="K39" t="str">
        <v>レ　ゴック　トン</v>
      </c>
      <c r="L39" t="str">
        <v>男</v>
      </c>
      <c r="M39" t="str">
        <v>ﾍﾞﾄﾅﾑ</v>
      </c>
      <c r="N39">
        <v>34038</v>
      </c>
      <c r="O39">
        <v>30</v>
      </c>
      <c r="P39">
        <v>1300</v>
      </c>
      <c r="Q39">
        <v>0</v>
      </c>
      <c r="R39">
        <v>1700</v>
      </c>
      <c r="S39">
        <v>0</v>
      </c>
      <c r="T39">
        <v>400</v>
      </c>
      <c r="U39">
        <v>220000</v>
      </c>
      <c r="V39">
        <v>11011</v>
      </c>
      <c r="W39" t="str">
        <v>0</v>
      </c>
      <c r="X39">
        <v>20130</v>
      </c>
      <c r="Y39">
        <v>45535</v>
      </c>
      <c r="Z39" t="str">
        <v/>
      </c>
      <c r="AA39" t="str">
        <v>技術・人文知識・国際業務</v>
      </c>
      <c r="AB39" t="str">
        <v>486-0806</v>
      </c>
      <c r="AC39" t="str">
        <v>愛知県春日井市大手田酉町1-5-15</v>
      </c>
      <c r="AD39" t="str">
        <v>ｻﾝｳﾞｨﾚｯｼﾞ91-205</v>
      </c>
      <c r="AE39">
        <v>0</v>
      </c>
      <c r="AF39">
        <v>45215</v>
      </c>
      <c r="AG39">
        <v>0</v>
      </c>
      <c r="AH39">
        <v>0</v>
      </c>
      <c r="AI39" t="str">
        <v>23.10.16</v>
      </c>
      <c r="AJ39">
        <v>0</v>
      </c>
      <c r="AK39">
        <v>0</v>
      </c>
      <c r="AL39">
        <v>0</v>
      </c>
      <c r="AM39">
        <v>0</v>
      </c>
      <c r="AN39">
        <v>0</v>
      </c>
      <c r="AO39" t="str">
        <v>10/30林</v>
      </c>
      <c r="AP39">
        <v>0</v>
      </c>
    </row>
    <row r="40" spans="1:42">
      <c r="A40" t="str">
        <f>H40&amp;COUNTIF($H$2:H40,H40)</f>
        <v>製造1課1</v>
      </c>
      <c r="B40" t="str">
        <f>F40&amp;COUNTIF($F$2:F40,F40)</f>
        <v>ユアサ工機 本社1</v>
      </c>
      <c r="C40" t="str">
        <v>在職中</v>
      </c>
      <c r="D40">
        <v>220802</v>
      </c>
      <c r="E40">
        <v>6545</v>
      </c>
      <c r="F40" t="str">
        <v>ユアサ工機 本社</v>
      </c>
      <c r="G40" t="str">
        <v>本社製造部製造1課</v>
      </c>
      <c r="H40" t="str">
        <v>製造1課</v>
      </c>
      <c r="I40" t="str">
        <v>クランクシャフトの旋盤、マシニング、研磨、仕上げ加工など</v>
      </c>
      <c r="J40" t="str">
        <v>NGUYEN DUY THANG</v>
      </c>
      <c r="K40" t="str">
        <v>グエン　ズイ　タン</v>
      </c>
      <c r="L40" t="str">
        <v>男</v>
      </c>
      <c r="M40" t="str">
        <v>ﾍﾞﾄﾅﾑ</v>
      </c>
      <c r="N40">
        <v>34604</v>
      </c>
      <c r="O40">
        <v>29</v>
      </c>
      <c r="P40">
        <v>1400</v>
      </c>
      <c r="Q40">
        <v>0</v>
      </c>
      <c r="R40">
        <v>1800</v>
      </c>
      <c r="S40">
        <v>0</v>
      </c>
      <c r="T40">
        <v>400</v>
      </c>
      <c r="U40">
        <v>340000</v>
      </c>
      <c r="V40">
        <v>17017</v>
      </c>
      <c r="W40" t="str">
        <v>0</v>
      </c>
      <c r="X40">
        <v>31110</v>
      </c>
      <c r="Y40">
        <v>46214</v>
      </c>
      <c r="Z40" t="str">
        <v/>
      </c>
      <c r="AA40" t="str">
        <v>技術・人文知識・国際業務</v>
      </c>
      <c r="AB40" t="str">
        <v>701-0143</v>
      </c>
      <c r="AC40" t="str">
        <v>岡山県岡山市北区白石194-1</v>
      </c>
      <c r="AD40" t="str">
        <v>ｻﾝﾊｲﾂいたのC201</v>
      </c>
      <c r="AE40">
        <v>44772</v>
      </c>
      <c r="AF40">
        <v>44775</v>
      </c>
      <c r="AG40">
        <v>0</v>
      </c>
      <c r="AH40">
        <v>0</v>
      </c>
      <c r="AI40" t="str">
        <v>22.10.01</v>
      </c>
      <c r="AJ40">
        <v>0</v>
      </c>
      <c r="AK40">
        <v>0</v>
      </c>
      <c r="AL40">
        <v>0</v>
      </c>
      <c r="AM40">
        <v>0</v>
      </c>
      <c r="AN40">
        <v>0</v>
      </c>
      <c r="AO40" t="str">
        <v>8/24林</v>
      </c>
      <c r="AP40" t="str">
        <v>請負より異動</v>
      </c>
    </row>
    <row r="41" spans="1:42">
      <c r="A41" t="str">
        <f>H41&amp;COUNTIF($H$2:H41,H41)</f>
        <v>本社製造部製造3課1</v>
      </c>
      <c r="B41" t="str">
        <f>F41&amp;COUNTIF($F$2:F41,F41)</f>
        <v>ユアサ工機 新城1</v>
      </c>
      <c r="C41" t="str">
        <v>在職中</v>
      </c>
      <c r="D41">
        <v>221001</v>
      </c>
      <c r="E41">
        <v>6546</v>
      </c>
      <c r="F41" t="str">
        <v>ユアサ工機 新城</v>
      </c>
      <c r="G41" t="str">
        <v>本社製造部製造3課</v>
      </c>
      <c r="H41" t="str">
        <v>本社製造部製造3課</v>
      </c>
      <c r="I41" t="str">
        <v>クランクシャフトの旋盤、マシニング、研磨、仕上げ加工など</v>
      </c>
      <c r="J41" t="str">
        <v>NGUYEN HOANG PHIEN</v>
      </c>
      <c r="K41" t="str">
        <v>グエン　ホアン　フィエン</v>
      </c>
      <c r="L41" t="str">
        <v>男</v>
      </c>
      <c r="M41" t="str">
        <v>ﾍﾞﾄﾅﾑ</v>
      </c>
      <c r="N41">
        <v>35097</v>
      </c>
      <c r="O41">
        <v>27</v>
      </c>
      <c r="P41">
        <v>1400</v>
      </c>
      <c r="Q41">
        <v>0</v>
      </c>
      <c r="R41">
        <v>1900</v>
      </c>
      <c r="S41">
        <v>0</v>
      </c>
      <c r="T41">
        <v>500</v>
      </c>
      <c r="U41">
        <v>320000</v>
      </c>
      <c r="V41">
        <v>16015.999999999998</v>
      </c>
      <c r="W41" t="str">
        <v>0</v>
      </c>
      <c r="X41">
        <v>29280</v>
      </c>
      <c r="Y41">
        <v>45325</v>
      </c>
      <c r="Z41" t="str">
        <v>残り期限90日!</v>
      </c>
      <c r="AA41" t="str">
        <v>技術・人文知識・国際業務</v>
      </c>
      <c r="AB41" t="str">
        <v>441-1231</v>
      </c>
      <c r="AC41" t="str">
        <v>愛知県豊川市一宮町旭251番地</v>
      </c>
      <c r="AD41" t="str">
        <v>ｸﾞﾚｲｽ旭A202号</v>
      </c>
      <c r="AE41">
        <v>44833</v>
      </c>
      <c r="AF41">
        <v>44837</v>
      </c>
      <c r="AG41">
        <v>0</v>
      </c>
      <c r="AH41">
        <v>0</v>
      </c>
      <c r="AI41" t="str">
        <v>22.11.01</v>
      </c>
      <c r="AJ41">
        <v>0</v>
      </c>
      <c r="AK41">
        <v>0</v>
      </c>
      <c r="AL41">
        <v>0</v>
      </c>
      <c r="AM41">
        <v>0</v>
      </c>
      <c r="AN41">
        <v>0</v>
      </c>
      <c r="AO41" t="str">
        <v>10/17林</v>
      </c>
      <c r="AP41">
        <v>0</v>
      </c>
    </row>
    <row r="42" spans="1:42">
      <c r="A42" t="str">
        <f>H42&amp;COUNTIF($H$2:H42,H42)</f>
        <v>本社製造部製造3課2</v>
      </c>
      <c r="B42" t="str">
        <f>F42&amp;COUNTIF($F$2:F42,F42)</f>
        <v>ユアサ工機 新城2</v>
      </c>
      <c r="C42" t="str">
        <v>在職中</v>
      </c>
      <c r="D42">
        <v>221002</v>
      </c>
      <c r="E42">
        <v>6547</v>
      </c>
      <c r="F42" t="str">
        <v>ユアサ工機 新城</v>
      </c>
      <c r="G42" t="str">
        <v>本社製造部製造3課</v>
      </c>
      <c r="H42" t="str">
        <v>本社製造部製造3課</v>
      </c>
      <c r="I42" t="str">
        <v>クランクシャフトの旋盤、マシニング、研磨、仕上げ加工など</v>
      </c>
      <c r="J42" t="str">
        <v>VO MINH PHUONG</v>
      </c>
      <c r="K42" t="str">
        <v>ヴォ　ミン　フォン</v>
      </c>
      <c r="L42" t="str">
        <v>男</v>
      </c>
      <c r="M42" t="str">
        <v>ﾍﾞﾄﾅﾑ</v>
      </c>
      <c r="N42">
        <v>31801</v>
      </c>
      <c r="O42">
        <v>36</v>
      </c>
      <c r="P42">
        <v>1400</v>
      </c>
      <c r="Q42">
        <v>0</v>
      </c>
      <c r="R42">
        <v>1900</v>
      </c>
      <c r="S42">
        <v>0</v>
      </c>
      <c r="T42">
        <v>500</v>
      </c>
      <c r="U42">
        <v>320000</v>
      </c>
      <c r="V42">
        <v>16015.999999999998</v>
      </c>
      <c r="W42" t="str">
        <v>0</v>
      </c>
      <c r="X42">
        <v>29280</v>
      </c>
      <c r="Y42">
        <v>45513</v>
      </c>
      <c r="Z42" t="str">
        <v/>
      </c>
      <c r="AA42" t="str">
        <v>技術・人文知識・国際業務</v>
      </c>
      <c r="AB42" t="str">
        <v>441-1231</v>
      </c>
      <c r="AC42" t="str">
        <v>愛知県豊川市一宮町旭251番地</v>
      </c>
      <c r="AD42" t="str">
        <v>ｸﾞﾚｲｽ旭A202号</v>
      </c>
      <c r="AE42">
        <v>44833</v>
      </c>
      <c r="AF42">
        <v>44837</v>
      </c>
      <c r="AG42">
        <v>0</v>
      </c>
      <c r="AH42">
        <v>0</v>
      </c>
      <c r="AI42" t="str">
        <v>22.11.01</v>
      </c>
      <c r="AJ42">
        <v>0</v>
      </c>
      <c r="AK42">
        <v>0</v>
      </c>
      <c r="AL42">
        <v>0</v>
      </c>
      <c r="AM42">
        <v>0</v>
      </c>
      <c r="AN42">
        <v>0</v>
      </c>
      <c r="AO42" t="str">
        <v>10/17林</v>
      </c>
      <c r="AP42">
        <v>0</v>
      </c>
    </row>
    <row r="43" spans="1:42">
      <c r="A43" t="str">
        <f>H43&amp;COUNTIF($H$2:H43,H43)</f>
        <v>本社製造部製造3課3</v>
      </c>
      <c r="B43" t="str">
        <f>F43&amp;COUNTIF($F$2:F43,F43)</f>
        <v>ユアサ工機 新城3</v>
      </c>
      <c r="C43" t="str">
        <v>在職中</v>
      </c>
      <c r="D43">
        <v>230103</v>
      </c>
      <c r="E43">
        <v>6551</v>
      </c>
      <c r="F43" t="str">
        <v>ユアサ工機 新城</v>
      </c>
      <c r="G43" t="str">
        <v>本社製造部製造3課</v>
      </c>
      <c r="H43" t="str">
        <v>本社製造部製造3課</v>
      </c>
      <c r="I43" t="str">
        <v>クランクシャフトの旋盤、マシニング、研磨、仕上げ加工など</v>
      </c>
      <c r="J43" t="str">
        <v>PHAN QUANG HOP</v>
      </c>
      <c r="K43" t="str">
        <v>ファン　クアン　ホップ</v>
      </c>
      <c r="L43" t="str">
        <v>男</v>
      </c>
      <c r="M43" t="str">
        <v>ﾍﾞﾄﾅﾑ</v>
      </c>
      <c r="N43">
        <v>36393</v>
      </c>
      <c r="O43">
        <v>24</v>
      </c>
      <c r="P43">
        <v>1400</v>
      </c>
      <c r="Q43">
        <v>0</v>
      </c>
      <c r="R43">
        <v>1800</v>
      </c>
      <c r="S43">
        <v>0</v>
      </c>
      <c r="T43">
        <v>400</v>
      </c>
      <c r="U43">
        <v>320000</v>
      </c>
      <c r="V43">
        <v>16015.999999999998</v>
      </c>
      <c r="W43" t="str">
        <v>0</v>
      </c>
      <c r="X43">
        <v>29280</v>
      </c>
      <c r="Y43">
        <v>45899</v>
      </c>
      <c r="Z43" t="str">
        <v/>
      </c>
      <c r="AA43" t="str">
        <v>技術・人文知識・国際業務</v>
      </c>
      <c r="AB43" t="str">
        <v>441-1231</v>
      </c>
      <c r="AC43" t="str">
        <v>愛知県豊川市一宮町旭251番地</v>
      </c>
      <c r="AD43" t="str">
        <v>ｸﾞﾚｲｽ旭A202号</v>
      </c>
      <c r="AE43">
        <v>0</v>
      </c>
      <c r="AF43">
        <v>44935</v>
      </c>
      <c r="AG43">
        <v>0</v>
      </c>
      <c r="AH43">
        <v>0</v>
      </c>
      <c r="AI43" t="str">
        <v>23.1.9</v>
      </c>
      <c r="AJ43">
        <v>0</v>
      </c>
      <c r="AK43">
        <v>0</v>
      </c>
      <c r="AL43">
        <v>0</v>
      </c>
      <c r="AM43">
        <v>0</v>
      </c>
      <c r="AN43">
        <v>0</v>
      </c>
      <c r="AO43" t="str">
        <v>1/16林</v>
      </c>
      <c r="AP43">
        <v>0</v>
      </c>
    </row>
    <row r="44" spans="1:42">
      <c r="A44" t="str">
        <f>H44&amp;COUNTIF($H$2:H44,H44)</f>
        <v>06</v>
      </c>
      <c r="B44" t="str">
        <f>F44&amp;COUNTIF($F$2:F44,F44)</f>
        <v>六甲電子1</v>
      </c>
      <c r="C44" t="str">
        <v>退社</v>
      </c>
      <c r="D44">
        <v>211017</v>
      </c>
      <c r="E44">
        <v>60050</v>
      </c>
      <c r="F44" t="str">
        <v>六甲電子</v>
      </c>
      <c r="G44" t="str">
        <v>製造部　製造１課　バッチ</v>
      </c>
      <c r="H44">
        <v>0</v>
      </c>
      <c r="I44">
        <v>0</v>
      </c>
      <c r="J44" t="str">
        <v>TRAN HONG PHONG</v>
      </c>
      <c r="K44" t="str">
        <v>チャン　ホン　フォン</v>
      </c>
      <c r="L44" t="str">
        <v>男</v>
      </c>
      <c r="M44" t="str">
        <v>ﾍﾞﾄﾅﾑ</v>
      </c>
      <c r="N44">
        <v>32906</v>
      </c>
      <c r="O44">
        <v>33</v>
      </c>
      <c r="P44">
        <v>1400</v>
      </c>
      <c r="Q44">
        <v>0</v>
      </c>
      <c r="R44">
        <v>2000</v>
      </c>
      <c r="S44">
        <v>0</v>
      </c>
      <c r="T44">
        <v>600</v>
      </c>
      <c r="U44">
        <v>0</v>
      </c>
      <c r="V44" t="str">
        <v/>
      </c>
      <c r="W44" t="str">
        <v>0</v>
      </c>
      <c r="X44" t="str">
        <v/>
      </c>
      <c r="Y44">
        <v>45041</v>
      </c>
      <c r="Z44" t="str">
        <v>残り期限90日!</v>
      </c>
      <c r="AA44" t="str">
        <v>技術・人文知識・国際業務</v>
      </c>
      <c r="AB44" t="str">
        <v>663-8021</v>
      </c>
      <c r="AC44" t="str">
        <v>兵庫県西宮市上之町25-54</v>
      </c>
      <c r="AD44" t="str">
        <v>西宮ｵﾘｴﾝﾀﾙﾏﾝｼｮﾝ102</v>
      </c>
      <c r="AE44">
        <v>44480</v>
      </c>
      <c r="AF44">
        <v>44481</v>
      </c>
      <c r="AG44">
        <v>44923</v>
      </c>
      <c r="AH44">
        <v>44925</v>
      </c>
      <c r="AI44">
        <v>44531</v>
      </c>
      <c r="AJ44" t="str">
        <v>チャン　ホン　フォン</v>
      </c>
      <c r="AK44" t="str">
        <v>ゆうちょ銀行</v>
      </c>
      <c r="AL44">
        <v>238</v>
      </c>
      <c r="AM44" t="str">
        <v>二三八</v>
      </c>
      <c r="AN44" t="str">
        <v>5581684</v>
      </c>
      <c r="AO44" t="str">
        <v>OK</v>
      </c>
      <c r="AP44">
        <v>0</v>
      </c>
    </row>
    <row r="45" spans="1:42">
      <c r="A45" t="str">
        <f>H45&amp;COUNTIF($H$2:H45,H45)</f>
        <v>07</v>
      </c>
      <c r="B45" t="str">
        <f>F45&amp;COUNTIF($F$2:F45,F45)</f>
        <v>六甲電子2</v>
      </c>
      <c r="C45" t="str">
        <v>在職中</v>
      </c>
      <c r="D45">
        <v>211016</v>
      </c>
      <c r="E45">
        <v>60051</v>
      </c>
      <c r="F45" t="str">
        <v>六甲電子</v>
      </c>
      <c r="G45" t="str">
        <v>製造部　製造１課　バッチ</v>
      </c>
      <c r="H45">
        <v>0</v>
      </c>
      <c r="I45">
        <v>0</v>
      </c>
      <c r="J45" t="str">
        <v>HOANG NGOC BINH</v>
      </c>
      <c r="K45" t="str">
        <v>ホアン　ゴック　ビン</v>
      </c>
      <c r="L45" t="str">
        <v>男</v>
      </c>
      <c r="M45" t="str">
        <v>ﾍﾞﾄﾅﾑ</v>
      </c>
      <c r="N45">
        <v>34043</v>
      </c>
      <c r="O45">
        <v>30</v>
      </c>
      <c r="P45">
        <v>1400</v>
      </c>
      <c r="Q45">
        <v>0</v>
      </c>
      <c r="R45">
        <v>2000</v>
      </c>
      <c r="S45">
        <v>0</v>
      </c>
      <c r="T45">
        <v>600</v>
      </c>
      <c r="U45">
        <v>280000</v>
      </c>
      <c r="V45">
        <v>14014</v>
      </c>
      <c r="W45" t="str">
        <v>0</v>
      </c>
      <c r="X45">
        <v>25620</v>
      </c>
      <c r="Y45">
        <v>46805</v>
      </c>
      <c r="Z45" t="str">
        <v/>
      </c>
      <c r="AA45" t="str">
        <v>技術・人文知識・国際業務</v>
      </c>
      <c r="AB45" t="str">
        <v>663-8114</v>
      </c>
      <c r="AC45" t="str">
        <v>兵庫県西宮市上甲子園2丁目13-18</v>
      </c>
      <c r="AD45" t="str">
        <v>ﾙ･ｼｴｰﾙ上甲子園203</v>
      </c>
      <c r="AE45" t="str">
        <v>個人</v>
      </c>
      <c r="AF45">
        <v>44481</v>
      </c>
      <c r="AG45">
        <v>0</v>
      </c>
      <c r="AH45">
        <v>0</v>
      </c>
      <c r="AI45">
        <v>44531</v>
      </c>
      <c r="AJ45" t="str">
        <v>ホアン　ゴック　ビン</v>
      </c>
      <c r="AK45" t="str">
        <v>ゆうちょ銀行</v>
      </c>
      <c r="AL45">
        <v>438</v>
      </c>
      <c r="AM45" t="str">
        <v>四三八</v>
      </c>
      <c r="AN45" t="str">
        <v>8946137</v>
      </c>
      <c r="AO45" t="str">
        <v>OK</v>
      </c>
      <c r="AP45">
        <v>0</v>
      </c>
    </row>
    <row r="46" spans="1:42">
      <c r="A46" t="str">
        <f>H46&amp;COUNTIF($H$2:H46,H46)</f>
        <v>08</v>
      </c>
      <c r="B46" t="str">
        <f>F46&amp;COUNTIF($F$2:F46,F46)</f>
        <v>六甲電子3</v>
      </c>
      <c r="C46" t="str">
        <v>退社</v>
      </c>
      <c r="D46">
        <v>211018</v>
      </c>
      <c r="E46">
        <v>60052</v>
      </c>
      <c r="F46" t="str">
        <v>六甲電子</v>
      </c>
      <c r="G46" t="str">
        <v>製造部　製造１課　バッチ</v>
      </c>
      <c r="H46">
        <v>0</v>
      </c>
      <c r="I46">
        <v>0</v>
      </c>
      <c r="J46" t="str">
        <v>NGUYEN QUANG TUYEN</v>
      </c>
      <c r="K46" t="str">
        <v>グエン　クアン　トウエン</v>
      </c>
      <c r="L46" t="str">
        <v>男</v>
      </c>
      <c r="M46" t="str">
        <v>ﾍﾞﾄﾅﾑ</v>
      </c>
      <c r="N46">
        <v>35330</v>
      </c>
      <c r="O46">
        <v>27</v>
      </c>
      <c r="P46">
        <v>1400</v>
      </c>
      <c r="Q46">
        <v>0</v>
      </c>
      <c r="R46">
        <v>2000</v>
      </c>
      <c r="S46">
        <v>0</v>
      </c>
      <c r="T46">
        <v>600</v>
      </c>
      <c r="U46">
        <v>300000</v>
      </c>
      <c r="V46">
        <v>15014.999999999998</v>
      </c>
      <c r="W46" t="str">
        <v>0</v>
      </c>
      <c r="X46">
        <v>27450</v>
      </c>
      <c r="Y46">
        <v>45080</v>
      </c>
      <c r="Z46" t="str">
        <v>残り期限90日!</v>
      </c>
      <c r="AA46" t="str">
        <v>技術・人文知識・国際業務</v>
      </c>
      <c r="AB46" t="str">
        <v>660-0064</v>
      </c>
      <c r="AC46" t="str">
        <v>兵庫県尼崎市稲葉荘1-26-12</v>
      </c>
      <c r="AD46" t="str">
        <v>ﾚｵﾊﾟﾚｽｻﾝﾗｲｽﾞ103</v>
      </c>
      <c r="AE46">
        <v>44664</v>
      </c>
      <c r="AF46">
        <v>44481</v>
      </c>
      <c r="AG46">
        <v>45057</v>
      </c>
      <c r="AH46">
        <v>0</v>
      </c>
      <c r="AI46">
        <v>44531</v>
      </c>
      <c r="AJ46" t="str">
        <v>グエン　クアン　トゥエン</v>
      </c>
      <c r="AK46" t="str">
        <v>ゆうちょ銀行</v>
      </c>
      <c r="AL46">
        <v>208</v>
      </c>
      <c r="AM46" t="str">
        <v>二〇八</v>
      </c>
      <c r="AN46" t="str">
        <v>611039</v>
      </c>
      <c r="AO46" t="str">
        <v>OK</v>
      </c>
      <c r="AP46" t="str">
        <v>2022/4/13甲子園四番町ハイツ１Ｆ号～転入</v>
      </c>
    </row>
    <row r="47" spans="1:42">
      <c r="A47" t="str">
        <f>H47&amp;COUNTIF($H$2:H47,H47)</f>
        <v>09</v>
      </c>
      <c r="B47" t="str">
        <f>F47&amp;COUNTIF($F$2:F47,F47)</f>
        <v>六甲電子4</v>
      </c>
      <c r="C47" t="str">
        <v>退社</v>
      </c>
      <c r="D47">
        <v>211024</v>
      </c>
      <c r="E47">
        <v>60053</v>
      </c>
      <c r="F47" t="str">
        <v>六甲電子</v>
      </c>
      <c r="G47" t="str">
        <v>製造部　製造１課　バッチ</v>
      </c>
      <c r="H47">
        <v>0</v>
      </c>
      <c r="I47">
        <v>0</v>
      </c>
      <c r="J47" t="str">
        <v>NONG THANH TUNG</v>
      </c>
      <c r="K47" t="str">
        <v>ノン　タイン　トゥン</v>
      </c>
      <c r="L47" t="str">
        <v>男</v>
      </c>
      <c r="M47" t="str">
        <v>ﾍﾞﾄﾅﾑ</v>
      </c>
      <c r="N47">
        <v>33705</v>
      </c>
      <c r="O47">
        <v>31</v>
      </c>
      <c r="P47">
        <v>1400</v>
      </c>
      <c r="Q47">
        <v>0</v>
      </c>
      <c r="R47">
        <v>2000</v>
      </c>
      <c r="S47">
        <v>0</v>
      </c>
      <c r="T47">
        <v>600</v>
      </c>
      <c r="U47">
        <v>300000</v>
      </c>
      <c r="V47">
        <v>15014.999999999998</v>
      </c>
      <c r="W47" t="str">
        <v>0</v>
      </c>
      <c r="X47">
        <v>27450</v>
      </c>
      <c r="Y47">
        <v>45403</v>
      </c>
      <c r="Z47" t="str">
        <v/>
      </c>
      <c r="AA47" t="str">
        <v>技術・人文知識・国際業務</v>
      </c>
      <c r="AB47" t="str">
        <v>663-8105</v>
      </c>
      <c r="AC47" t="str">
        <v>兵庫県西宮市中島町7-5</v>
      </c>
      <c r="AD47" t="str">
        <v>ｼｬﾙﾑ三田303</v>
      </c>
      <c r="AE47">
        <v>44484</v>
      </c>
      <c r="AF47">
        <v>44487</v>
      </c>
      <c r="AG47">
        <v>45163</v>
      </c>
      <c r="AH47">
        <v>0</v>
      </c>
      <c r="AI47">
        <v>22.01</v>
      </c>
      <c r="AJ47" t="str">
        <v>ノン　タイン　トウン</v>
      </c>
      <c r="AK47" t="str">
        <v>三菱ＵＦＪ銀行</v>
      </c>
      <c r="AL47">
        <v>822</v>
      </c>
      <c r="AM47" t="str">
        <v>新大阪</v>
      </c>
      <c r="AN47" t="str">
        <v>307792</v>
      </c>
      <c r="AO47" t="str">
        <v>OK</v>
      </c>
      <c r="AP47">
        <v>0</v>
      </c>
    </row>
    <row r="48" spans="1:42">
      <c r="A48" t="str">
        <f>H48&amp;COUNTIF($H$2:H48,H48)</f>
        <v>010</v>
      </c>
      <c r="B48" t="str">
        <f>F48&amp;COUNTIF($F$2:F48,F48)</f>
        <v>六甲電子5</v>
      </c>
      <c r="C48" t="str">
        <v>退社</v>
      </c>
      <c r="D48">
        <v>211023</v>
      </c>
      <c r="E48">
        <v>60054</v>
      </c>
      <c r="F48" t="str">
        <v>六甲電子</v>
      </c>
      <c r="G48" t="str">
        <v>製造部　製造１課　バッチ</v>
      </c>
      <c r="H48">
        <v>0</v>
      </c>
      <c r="I48">
        <v>0</v>
      </c>
      <c r="J48" t="str">
        <v>PHAM THANH BINH</v>
      </c>
      <c r="K48" t="str">
        <v>ファム　タイン　ビン</v>
      </c>
      <c r="L48" t="str">
        <v>男</v>
      </c>
      <c r="M48" t="str">
        <v>ﾍﾞﾄﾅﾑ</v>
      </c>
      <c r="N48">
        <v>34262</v>
      </c>
      <c r="O48">
        <v>30</v>
      </c>
      <c r="P48">
        <v>1400</v>
      </c>
      <c r="Q48">
        <v>0</v>
      </c>
      <c r="R48">
        <v>2000</v>
      </c>
      <c r="S48">
        <v>0</v>
      </c>
      <c r="T48">
        <v>600</v>
      </c>
      <c r="U48">
        <v>300000</v>
      </c>
      <c r="V48">
        <v>15014.999999999998</v>
      </c>
      <c r="W48" t="str">
        <v>0</v>
      </c>
      <c r="X48">
        <v>27450</v>
      </c>
      <c r="Y48">
        <v>46077</v>
      </c>
      <c r="Z48" t="str">
        <v/>
      </c>
      <c r="AA48" t="str">
        <v>技術・人文知識・国際業務</v>
      </c>
      <c r="AB48" t="str">
        <v>663-8105</v>
      </c>
      <c r="AC48" t="str">
        <v>兵庫県西宮市中島町7-5</v>
      </c>
      <c r="AD48" t="str">
        <v>ｼｬﾙﾑ三田303</v>
      </c>
      <c r="AE48">
        <v>44484</v>
      </c>
      <c r="AF48">
        <v>44487</v>
      </c>
      <c r="AG48">
        <v>45106</v>
      </c>
      <c r="AH48">
        <v>0</v>
      </c>
      <c r="AI48">
        <v>22.01</v>
      </c>
      <c r="AJ48" t="str">
        <v>ファム　タイン　ビン</v>
      </c>
      <c r="AK48" t="str">
        <v>ゆうちょ銀行</v>
      </c>
      <c r="AL48">
        <v>788</v>
      </c>
      <c r="AM48" t="str">
        <v>七八八</v>
      </c>
      <c r="AN48" t="str">
        <v>3442546</v>
      </c>
      <c r="AO48" t="str">
        <v>OK</v>
      </c>
      <c r="AP48">
        <v>0</v>
      </c>
    </row>
    <row r="49" spans="1:42">
      <c r="A49" t="str">
        <f>H49&amp;COUNTIF($H$2:H49,H49)</f>
        <v>011</v>
      </c>
      <c r="B49" t="str">
        <f>F49&amp;COUNTIF($F$2:F49,F49)</f>
        <v>六甲電子6</v>
      </c>
      <c r="C49" t="str">
        <v>在職中</v>
      </c>
      <c r="D49">
        <v>211022</v>
      </c>
      <c r="E49">
        <v>60055</v>
      </c>
      <c r="F49" t="str">
        <v>六甲電子</v>
      </c>
      <c r="G49" t="str">
        <v>製造部　製造１課　バッチ</v>
      </c>
      <c r="H49">
        <v>0</v>
      </c>
      <c r="I49">
        <v>0</v>
      </c>
      <c r="J49" t="str">
        <v>NONG VAN SON</v>
      </c>
      <c r="K49" t="str">
        <v>ノン　ヴァン　ソン</v>
      </c>
      <c r="L49" t="str">
        <v>男</v>
      </c>
      <c r="M49" t="str">
        <v>ﾍﾞﾄﾅﾑ</v>
      </c>
      <c r="N49">
        <v>33773</v>
      </c>
      <c r="O49">
        <v>31</v>
      </c>
      <c r="P49">
        <v>1400</v>
      </c>
      <c r="Q49">
        <v>0</v>
      </c>
      <c r="R49">
        <v>2000</v>
      </c>
      <c r="S49">
        <v>0</v>
      </c>
      <c r="T49">
        <v>600</v>
      </c>
      <c r="U49">
        <v>280000</v>
      </c>
      <c r="V49">
        <v>14014</v>
      </c>
      <c r="W49" t="str">
        <v>0</v>
      </c>
      <c r="X49">
        <v>25620</v>
      </c>
      <c r="Y49">
        <v>45403</v>
      </c>
      <c r="Z49" t="str">
        <v/>
      </c>
      <c r="AA49" t="str">
        <v>技術・人文知識・国際業務</v>
      </c>
      <c r="AB49" t="str">
        <v>663-8105</v>
      </c>
      <c r="AC49" t="str">
        <v>兵庫県西宮市中島町7-5</v>
      </c>
      <c r="AD49" t="str">
        <v>ｼｬﾙﾑ三田303</v>
      </c>
      <c r="AE49">
        <v>44484</v>
      </c>
      <c r="AF49">
        <v>44487</v>
      </c>
      <c r="AG49">
        <v>0</v>
      </c>
      <c r="AH49">
        <v>0</v>
      </c>
      <c r="AI49">
        <v>22.01</v>
      </c>
      <c r="AJ49" t="str">
        <v>NONG　VAN　SON</v>
      </c>
      <c r="AK49" t="str">
        <v>三菱ＵＦＪ銀行</v>
      </c>
      <c r="AL49">
        <v>822</v>
      </c>
      <c r="AM49">
        <v>0</v>
      </c>
      <c r="AN49" t="str">
        <v>307776</v>
      </c>
      <c r="AO49" t="str">
        <v>OK</v>
      </c>
      <c r="AP49">
        <v>0</v>
      </c>
    </row>
    <row r="50" spans="1:42">
      <c r="A50" t="str">
        <f>H50&amp;COUNTIF($H$2:H50,H50)</f>
        <v>012</v>
      </c>
      <c r="B50" t="str">
        <f>F50&amp;COUNTIF($F$2:F50,F50)</f>
        <v>六甲電子7</v>
      </c>
      <c r="C50" t="str">
        <v>在職中</v>
      </c>
      <c r="D50">
        <v>220102</v>
      </c>
      <c r="E50">
        <v>60058</v>
      </c>
      <c r="F50" t="str">
        <v>六甲電子</v>
      </c>
      <c r="G50" t="str">
        <v>製造部　製造１課　枚葉</v>
      </c>
      <c r="H50">
        <v>0</v>
      </c>
      <c r="I50">
        <v>0</v>
      </c>
      <c r="J50" t="str">
        <v>NGUYEN KHANH DUY</v>
      </c>
      <c r="K50" t="str">
        <v>グエン　カン　ユイ</v>
      </c>
      <c r="L50" t="str">
        <v>男</v>
      </c>
      <c r="M50" t="str">
        <v>ﾍﾞﾄﾅﾑ</v>
      </c>
      <c r="N50">
        <v>33728</v>
      </c>
      <c r="O50">
        <v>31</v>
      </c>
      <c r="P50">
        <v>1400</v>
      </c>
      <c r="Q50">
        <v>0</v>
      </c>
      <c r="R50">
        <v>2000</v>
      </c>
      <c r="S50">
        <v>0</v>
      </c>
      <c r="T50">
        <v>600</v>
      </c>
      <c r="U50">
        <v>300000</v>
      </c>
      <c r="V50">
        <v>15014.999999999998</v>
      </c>
      <c r="W50" t="str">
        <v>0</v>
      </c>
      <c r="X50">
        <v>27450</v>
      </c>
      <c r="Y50">
        <v>46270</v>
      </c>
      <c r="Z50" t="str">
        <v/>
      </c>
      <c r="AA50" t="str">
        <v>技術・人文知識・国際業務</v>
      </c>
      <c r="AB50" t="str">
        <v>532-0024</v>
      </c>
      <c r="AC50" t="str">
        <v>大阪府大阪市淀川区十三本町3丁目5番19-405</v>
      </c>
      <c r="AD50">
        <v>0</v>
      </c>
      <c r="AE50" t="str">
        <v>個人</v>
      </c>
      <c r="AF50">
        <v>44566</v>
      </c>
      <c r="AG50">
        <v>0</v>
      </c>
      <c r="AH50">
        <v>0</v>
      </c>
      <c r="AI50">
        <v>22.03</v>
      </c>
      <c r="AJ50" t="str">
        <v>グエン　カン　ユイ</v>
      </c>
      <c r="AK50" t="str">
        <v>ゆうちょ銀行</v>
      </c>
      <c r="AL50">
        <v>408</v>
      </c>
      <c r="AM50" t="str">
        <v>四〇八</v>
      </c>
      <c r="AN50" t="str">
        <v>5011810</v>
      </c>
      <c r="AO50" t="str">
        <v>OK</v>
      </c>
      <c r="AP50">
        <v>0</v>
      </c>
    </row>
    <row r="51" spans="1:42">
      <c r="A51" t="str">
        <f>H51&amp;COUNTIF($H$2:H51,H51)</f>
        <v>013</v>
      </c>
      <c r="B51" t="str">
        <f>F51&amp;COUNTIF($F$2:F51,F51)</f>
        <v>六甲電子8</v>
      </c>
      <c r="C51" t="str">
        <v>退社</v>
      </c>
      <c r="D51">
        <v>220122</v>
      </c>
      <c r="E51">
        <v>60060</v>
      </c>
      <c r="F51" t="str">
        <v>六甲電子</v>
      </c>
      <c r="G51" t="str">
        <v>製造部　製造１課　枚葉</v>
      </c>
      <c r="H51">
        <v>0</v>
      </c>
      <c r="I51">
        <v>0</v>
      </c>
      <c r="J51" t="str">
        <v>TRAN TRONG TU</v>
      </c>
      <c r="K51" t="str">
        <v>チャン　チョン　トゥ</v>
      </c>
      <c r="L51" t="str">
        <v>男</v>
      </c>
      <c r="M51" t="str">
        <v>ﾍﾞﾄﾅﾑ</v>
      </c>
      <c r="N51">
        <v>34656</v>
      </c>
      <c r="O51">
        <v>29</v>
      </c>
      <c r="P51">
        <v>1400</v>
      </c>
      <c r="Q51">
        <v>0</v>
      </c>
      <c r="R51">
        <v>2000</v>
      </c>
      <c r="S51">
        <v>0</v>
      </c>
      <c r="T51">
        <v>600</v>
      </c>
      <c r="U51">
        <v>0</v>
      </c>
      <c r="V51" t="str">
        <v/>
      </c>
      <c r="W51" t="str">
        <v>0</v>
      </c>
      <c r="X51" t="str">
        <v/>
      </c>
      <c r="Y51">
        <v>45170</v>
      </c>
      <c r="Z51" t="str">
        <v>残り期限90日!</v>
      </c>
      <c r="AA51" t="str">
        <v>技術・人文知識・国際業務</v>
      </c>
      <c r="AB51" t="str">
        <v>663-8122</v>
      </c>
      <c r="AC51" t="str">
        <v>兵庫県西宮市小曽根町1丁目4-28</v>
      </c>
      <c r="AD51" t="str">
        <v>ｸﾞﾘｰﾝﾊｲﾂ小曽根403</v>
      </c>
      <c r="AE51">
        <v>44582</v>
      </c>
      <c r="AF51">
        <v>44579</v>
      </c>
      <c r="AG51">
        <v>44802</v>
      </c>
      <c r="AH51">
        <v>0</v>
      </c>
      <c r="AI51">
        <v>22.04</v>
      </c>
      <c r="AJ51">
        <v>0</v>
      </c>
      <c r="AK51">
        <v>0</v>
      </c>
      <c r="AL51">
        <v>0</v>
      </c>
      <c r="AM51">
        <v>0</v>
      </c>
      <c r="AN51">
        <v>0</v>
      </c>
      <c r="AO51" t="str">
        <v>OK</v>
      </c>
      <c r="AP51">
        <v>0</v>
      </c>
    </row>
    <row r="52" spans="1:42">
      <c r="A52" t="str">
        <f>H52&amp;COUNTIF($H$2:H52,H52)</f>
        <v>014</v>
      </c>
      <c r="B52" t="str">
        <f>F52&amp;COUNTIF($F$2:F52,F52)</f>
        <v>六甲電子9</v>
      </c>
      <c r="C52" t="str">
        <v>退社</v>
      </c>
      <c r="D52">
        <v>220215</v>
      </c>
      <c r="E52">
        <v>60062</v>
      </c>
      <c r="F52" t="str">
        <v>六甲電子</v>
      </c>
      <c r="G52" t="str">
        <v>製造部　製造２課</v>
      </c>
      <c r="H52">
        <v>0</v>
      </c>
      <c r="I52">
        <v>0</v>
      </c>
      <c r="J52" t="str">
        <v>LUYEN HUY TUAN</v>
      </c>
      <c r="K52" t="str">
        <v>ルイエン　フィ　トゥアン</v>
      </c>
      <c r="L52" t="str">
        <v>男</v>
      </c>
      <c r="M52" t="str">
        <v>ﾍﾞﾄﾅﾑ</v>
      </c>
      <c r="N52">
        <v>33924</v>
      </c>
      <c r="O52">
        <v>31</v>
      </c>
      <c r="P52">
        <v>1500</v>
      </c>
      <c r="Q52">
        <v>0</v>
      </c>
      <c r="R52">
        <v>2200</v>
      </c>
      <c r="S52">
        <v>0</v>
      </c>
      <c r="T52">
        <v>700</v>
      </c>
      <c r="U52">
        <v>0</v>
      </c>
      <c r="V52" t="str">
        <v/>
      </c>
      <c r="W52" t="str">
        <v>0</v>
      </c>
      <c r="X52" t="str">
        <v/>
      </c>
      <c r="Y52">
        <v>45517</v>
      </c>
      <c r="Z52" t="str">
        <v/>
      </c>
      <c r="AA52" t="str">
        <v>技術・人文知識・国際業務</v>
      </c>
      <c r="AB52" t="str">
        <v>663-8122</v>
      </c>
      <c r="AC52" t="str">
        <v>兵庫県西宮市小曽根町1丁目4-28</v>
      </c>
      <c r="AD52" t="str">
        <v>ｸﾞﾘｰﾝﾊｲﾂ小曽根403</v>
      </c>
      <c r="AE52">
        <v>44601</v>
      </c>
      <c r="AF52">
        <v>44608</v>
      </c>
      <c r="AG52">
        <v>44875</v>
      </c>
      <c r="AH52">
        <v>0</v>
      </c>
      <c r="AI52">
        <v>22.04</v>
      </c>
      <c r="AJ52" t="str">
        <v>ルイエン　フイ　トゥアン</v>
      </c>
      <c r="AK52" t="str">
        <v>ゆうちょ銀行</v>
      </c>
      <c r="AL52">
        <v>438</v>
      </c>
      <c r="AM52" t="str">
        <v>四三八</v>
      </c>
      <c r="AN52" t="str">
        <v>8954088</v>
      </c>
      <c r="AO52" t="str">
        <v>OK</v>
      </c>
      <c r="AP52">
        <v>0</v>
      </c>
    </row>
    <row r="53" spans="1:42">
      <c r="A53" t="str">
        <f>H53&amp;COUNTIF($H$2:H53,H53)</f>
        <v>015</v>
      </c>
      <c r="B53" t="str">
        <f>F53&amp;COUNTIF($F$2:F53,F53)</f>
        <v>六甲電子10</v>
      </c>
      <c r="C53" t="str">
        <v>在職中</v>
      </c>
      <c r="D53">
        <v>220220</v>
      </c>
      <c r="E53">
        <v>60063</v>
      </c>
      <c r="F53" t="str">
        <v>六甲電子</v>
      </c>
      <c r="G53" t="str">
        <v>製造部　製造２課</v>
      </c>
      <c r="H53">
        <v>0</v>
      </c>
      <c r="I53">
        <v>0</v>
      </c>
      <c r="J53" t="str">
        <v>HOANG XUAN QUOC</v>
      </c>
      <c r="K53" t="str">
        <v>ホアン　スアン　クオック</v>
      </c>
      <c r="L53" t="str">
        <v>男</v>
      </c>
      <c r="M53" t="str">
        <v>ﾍﾞﾄﾅﾑ</v>
      </c>
      <c r="N53">
        <v>35079</v>
      </c>
      <c r="O53">
        <v>27</v>
      </c>
      <c r="P53">
        <v>1500</v>
      </c>
      <c r="Q53">
        <v>0</v>
      </c>
      <c r="R53">
        <v>2200</v>
      </c>
      <c r="S53">
        <v>0</v>
      </c>
      <c r="T53">
        <v>700</v>
      </c>
      <c r="U53">
        <v>300000</v>
      </c>
      <c r="V53">
        <v>15014.999999999998</v>
      </c>
      <c r="W53" t="str">
        <v>0</v>
      </c>
      <c r="X53">
        <v>27450</v>
      </c>
      <c r="Y53">
        <v>45677</v>
      </c>
      <c r="Z53" t="str">
        <v/>
      </c>
      <c r="AA53" t="str">
        <v>技術・人文知識・国際業務</v>
      </c>
      <c r="AB53" t="str">
        <v>663-8222</v>
      </c>
      <c r="AC53" t="str">
        <v>兵庫県西宮市今津久寿川町6-7</v>
      </c>
      <c r="AD53" t="str">
        <v>久寿川岡田ﾏﾝｼｮﾝ202</v>
      </c>
      <c r="AE53">
        <v>44681</v>
      </c>
      <c r="AF53">
        <v>44614</v>
      </c>
      <c r="AG53">
        <v>0</v>
      </c>
      <c r="AH53">
        <v>0</v>
      </c>
      <c r="AI53">
        <v>22.05</v>
      </c>
      <c r="AJ53" t="str">
        <v>ホアン　スアン　クォック</v>
      </c>
      <c r="AK53" t="str">
        <v>ゆうちょ銀行</v>
      </c>
      <c r="AL53">
        <v>438</v>
      </c>
      <c r="AM53" t="str">
        <v>四三八</v>
      </c>
      <c r="AN53" t="str">
        <v>8821395</v>
      </c>
      <c r="AO53" t="str">
        <v>OK</v>
      </c>
      <c r="AP53">
        <v>0</v>
      </c>
    </row>
    <row r="54" spans="1:42">
      <c r="A54" t="str">
        <f>H54&amp;COUNTIF($H$2:H54,H54)</f>
        <v>016</v>
      </c>
      <c r="B54" t="str">
        <f>F54&amp;COUNTIF($F$2:F54,F54)</f>
        <v>六甲電子11</v>
      </c>
      <c r="C54" t="str">
        <v>在職中</v>
      </c>
      <c r="D54">
        <v>220316</v>
      </c>
      <c r="E54">
        <v>60064</v>
      </c>
      <c r="F54" t="str">
        <v>六甲電子</v>
      </c>
      <c r="G54" t="str">
        <v>製造部　製造１課　バッチ</v>
      </c>
      <c r="H54">
        <v>0</v>
      </c>
      <c r="I54">
        <v>0</v>
      </c>
      <c r="J54" t="str">
        <v>LE VAN MINH</v>
      </c>
      <c r="K54" t="str">
        <v>レー　バン　ミン</v>
      </c>
      <c r="L54" t="str">
        <v>男</v>
      </c>
      <c r="M54" t="str">
        <v>ﾍﾞﾄﾅﾑ</v>
      </c>
      <c r="N54">
        <v>35348</v>
      </c>
      <c r="O54">
        <v>27</v>
      </c>
      <c r="P54">
        <v>1400</v>
      </c>
      <c r="Q54">
        <v>0</v>
      </c>
      <c r="R54">
        <v>2000</v>
      </c>
      <c r="S54">
        <v>0</v>
      </c>
      <c r="T54">
        <v>600</v>
      </c>
      <c r="U54">
        <v>280000</v>
      </c>
      <c r="V54">
        <v>14014</v>
      </c>
      <c r="W54" t="str">
        <v>0</v>
      </c>
      <c r="X54">
        <v>25620</v>
      </c>
      <c r="Y54">
        <v>45665</v>
      </c>
      <c r="Z54" t="str">
        <v/>
      </c>
      <c r="AA54" t="str">
        <v>技術・人文知識・国際業務</v>
      </c>
      <c r="AB54" t="str">
        <v>663-8112</v>
      </c>
      <c r="AC54" t="str">
        <v>兵庫県西宮市六甲園口北町4－15</v>
      </c>
      <c r="AD54" t="str">
        <v>ﾊﾟﾗﾂｨｰﾅ六甲園口Ⅱ201</v>
      </c>
      <c r="AE54" t="str">
        <v>個人</v>
      </c>
      <c r="AF54">
        <v>44637</v>
      </c>
      <c r="AG54">
        <v>0</v>
      </c>
      <c r="AH54">
        <v>45192</v>
      </c>
      <c r="AI54">
        <v>22.04</v>
      </c>
      <c r="AJ54" t="str">
        <v>レー　バン　ミン</v>
      </c>
      <c r="AK54" t="str">
        <v>三井住友銀行</v>
      </c>
      <c r="AL54">
        <v>125</v>
      </c>
      <c r="AM54" t="str">
        <v>四貫島</v>
      </c>
      <c r="AN54" t="str">
        <v>2009933</v>
      </c>
      <c r="AO54" t="str">
        <v>OK</v>
      </c>
      <c r="AP54">
        <v>0</v>
      </c>
    </row>
    <row r="55" spans="1:42">
      <c r="A55" t="str">
        <f>H55&amp;COUNTIF($H$2:H55,H55)</f>
        <v>017</v>
      </c>
      <c r="B55" t="str">
        <f>F55&amp;COUNTIF($F$2:F55,F55)</f>
        <v>六甲電子12</v>
      </c>
      <c r="C55" t="str">
        <v>退社</v>
      </c>
      <c r="D55">
        <v>220323</v>
      </c>
      <c r="E55">
        <v>60065</v>
      </c>
      <c r="F55" t="str">
        <v>六甲電子</v>
      </c>
      <c r="G55" t="str">
        <v>製造部　製造２課</v>
      </c>
      <c r="H55">
        <v>0</v>
      </c>
      <c r="I55">
        <v>0</v>
      </c>
      <c r="J55" t="str">
        <v>DO VAN MINH</v>
      </c>
      <c r="K55" t="str">
        <v>ドー　バン　ミン</v>
      </c>
      <c r="L55" t="str">
        <v>男</v>
      </c>
      <c r="M55" t="str">
        <v>ﾍﾞﾄﾅﾑ</v>
      </c>
      <c r="N55">
        <v>33826</v>
      </c>
      <c r="O55">
        <v>31</v>
      </c>
      <c r="P55">
        <v>1500</v>
      </c>
      <c r="Q55">
        <v>0</v>
      </c>
      <c r="R55">
        <v>2200</v>
      </c>
      <c r="S55">
        <v>0</v>
      </c>
      <c r="T55">
        <v>700</v>
      </c>
      <c r="U55">
        <v>0</v>
      </c>
      <c r="V55" t="str">
        <v/>
      </c>
      <c r="W55" t="str">
        <v>0</v>
      </c>
      <c r="X55" t="str">
        <v/>
      </c>
      <c r="Y55">
        <v>45712</v>
      </c>
      <c r="Z55" t="str">
        <v/>
      </c>
      <c r="AA55" t="str">
        <v>技術・人文知識・国際業務</v>
      </c>
      <c r="AB55" t="str">
        <v>663-8222</v>
      </c>
      <c r="AC55" t="str">
        <v>兵庫県西宮市今津久寿川町6-7</v>
      </c>
      <c r="AD55" t="str">
        <v>久寿川岡田ﾏﾝｼｮﾝ402</v>
      </c>
      <c r="AE55">
        <v>44661</v>
      </c>
      <c r="AF55">
        <v>44645</v>
      </c>
      <c r="AG55">
        <v>44854</v>
      </c>
      <c r="AH55">
        <v>0</v>
      </c>
      <c r="AI55">
        <v>44713</v>
      </c>
      <c r="AJ55" t="str">
        <v>ドォ　バン　ミン</v>
      </c>
      <c r="AK55" t="str">
        <v>ゆうちょ銀行</v>
      </c>
      <c r="AL55">
        <v>408</v>
      </c>
      <c r="AM55" t="str">
        <v>四〇八</v>
      </c>
      <c r="AN55" t="str">
        <v>5152944</v>
      </c>
      <c r="AO55" t="str">
        <v>2022/04/18</v>
      </c>
      <c r="AP55">
        <v>0</v>
      </c>
    </row>
    <row r="56" spans="1:42">
      <c r="A56" t="str">
        <f>H56&amp;COUNTIF($H$2:H56,H56)</f>
        <v>018</v>
      </c>
      <c r="B56" t="str">
        <f>F56&amp;COUNTIF($F$2:F56,F56)</f>
        <v>六甲電子13</v>
      </c>
      <c r="C56" t="str">
        <v>退社</v>
      </c>
      <c r="D56">
        <v>220612</v>
      </c>
      <c r="E56">
        <v>60066</v>
      </c>
      <c r="F56" t="str">
        <v>六甲電子</v>
      </c>
      <c r="G56" t="str">
        <v>製造部　製造１課　枚葉</v>
      </c>
      <c r="H56">
        <v>0</v>
      </c>
      <c r="I56">
        <v>0</v>
      </c>
      <c r="J56" t="str">
        <v>NGUYEN NGOC CHIEN</v>
      </c>
      <c r="K56" t="str">
        <v>グエン　ゴック　チエン</v>
      </c>
      <c r="L56" t="str">
        <v>男</v>
      </c>
      <c r="M56" t="str">
        <v>ﾍﾞﾄﾅﾑ</v>
      </c>
      <c r="N56">
        <v>32574</v>
      </c>
      <c r="O56">
        <v>34</v>
      </c>
      <c r="P56">
        <v>1400</v>
      </c>
      <c r="Q56">
        <v>0</v>
      </c>
      <c r="R56">
        <v>2000</v>
      </c>
      <c r="S56">
        <v>0</v>
      </c>
      <c r="T56">
        <v>600</v>
      </c>
      <c r="U56">
        <v>0</v>
      </c>
      <c r="V56" t="str">
        <v/>
      </c>
      <c r="W56" t="str">
        <v>0</v>
      </c>
      <c r="X56" t="str">
        <v/>
      </c>
      <c r="Y56">
        <v>45029</v>
      </c>
      <c r="Z56" t="str">
        <v>残り期限90日!</v>
      </c>
      <c r="AA56" t="str">
        <v>技術・人文知識・国際業務</v>
      </c>
      <c r="AB56" t="str">
        <v>663-8222</v>
      </c>
      <c r="AC56" t="str">
        <v>兵庫県西宮市今津久寿川町6-7</v>
      </c>
      <c r="AD56" t="str">
        <v>久寿川岡田ﾏﾝｼｮﾝ202</v>
      </c>
      <c r="AE56">
        <v>44726</v>
      </c>
      <c r="AF56">
        <v>44726</v>
      </c>
      <c r="AG56">
        <v>44856</v>
      </c>
      <c r="AH56">
        <v>0</v>
      </c>
      <c r="AI56" t="str">
        <v>22.08.01</v>
      </c>
      <c r="AJ56" t="str">
        <v>ファム　ヴァン　ヒエウ</v>
      </c>
      <c r="AK56" t="str">
        <v>ゆうちょ銀行</v>
      </c>
      <c r="AL56">
        <v>408</v>
      </c>
      <c r="AM56" t="str">
        <v>四〇八</v>
      </c>
      <c r="AN56" t="str">
        <v>3267821</v>
      </c>
      <c r="AO56" t="str">
        <v>6/22林</v>
      </c>
      <c r="AP56">
        <v>0</v>
      </c>
    </row>
    <row r="57" spans="1:42">
      <c r="A57" t="str">
        <f>H57&amp;COUNTIF($H$2:H57,H57)</f>
        <v>019</v>
      </c>
      <c r="B57" t="str">
        <f>F57&amp;COUNTIF($F$2:F57,F57)</f>
        <v>プレテック1</v>
      </c>
      <c r="C57" t="str">
        <v>在職中</v>
      </c>
      <c r="D57">
        <v>210304</v>
      </c>
      <c r="E57">
        <v>83373</v>
      </c>
      <c r="F57" t="str">
        <v>プレテック</v>
      </c>
      <c r="G57" t="str">
        <v>岡山工場製造部TF課６インチ担当</v>
      </c>
      <c r="H57">
        <v>0</v>
      </c>
      <c r="I57">
        <v>0</v>
      </c>
      <c r="J57" t="str">
        <v>PHAM VAN TRONG</v>
      </c>
      <c r="K57" t="str">
        <v>ファム　バン　チョン</v>
      </c>
      <c r="L57" t="str">
        <v>男</v>
      </c>
      <c r="M57" t="str">
        <v>ﾍﾞﾄﾅﾑ</v>
      </c>
      <c r="N57">
        <v>32862</v>
      </c>
      <c r="O57">
        <v>33</v>
      </c>
      <c r="P57">
        <v>1400</v>
      </c>
      <c r="Q57" t="str">
        <v>2021/6/21~　1400⇒1500</v>
      </c>
      <c r="R57">
        <v>1850</v>
      </c>
      <c r="S57" t="str">
        <v>入社4ヵ月後50円UP</v>
      </c>
      <c r="T57">
        <v>450</v>
      </c>
      <c r="U57">
        <v>300000</v>
      </c>
      <c r="V57">
        <v>15014.999999999998</v>
      </c>
      <c r="W57" t="str">
        <v>0</v>
      </c>
      <c r="X57">
        <v>27450</v>
      </c>
      <c r="Y57">
        <v>46039</v>
      </c>
      <c r="Z57" t="str">
        <v/>
      </c>
      <c r="AA57" t="str">
        <v>技術・人文知識・国際業務</v>
      </c>
      <c r="AB57" t="str">
        <v>715-0004</v>
      </c>
      <c r="AC57" t="str">
        <v>岡山県井原市木之子町94番地１</v>
      </c>
      <c r="AD57" t="str">
        <v>ﾋﾞﾚｯｼﾞﾊｳｽ木之子1-403</v>
      </c>
      <c r="AE57" t="str">
        <v>個人</v>
      </c>
      <c r="AF57">
        <v>44258</v>
      </c>
      <c r="AG57">
        <v>0</v>
      </c>
      <c r="AH57">
        <v>0</v>
      </c>
      <c r="AI57">
        <v>44317</v>
      </c>
      <c r="AJ57" t="str">
        <v>フアン　バン　チヨン</v>
      </c>
      <c r="AK57" t="str">
        <v>三菱ＵＦＪ銀行</v>
      </c>
      <c r="AL57">
        <v>292</v>
      </c>
      <c r="AM57" t="str">
        <v>名古屋港</v>
      </c>
      <c r="AN57" t="str">
        <v>137290</v>
      </c>
      <c r="AO57" t="str">
        <v>OK</v>
      </c>
      <c r="AP57" t="str">
        <v>2023/1/23～ﾌｪﾆﾃｯｸ岡山からプレテックへ異動</v>
      </c>
    </row>
    <row r="58" spans="1:42">
      <c r="A58" t="str">
        <f>H58&amp;COUNTIF($H$2:H58,H58)</f>
        <v>020</v>
      </c>
      <c r="B58" t="str">
        <f>F58&amp;COUNTIF($F$2:F58,F58)</f>
        <v>ﾌｪﾆﾃｯｸｾﾐｺﾝﾀﾞｸﾀｰ 岡山1</v>
      </c>
      <c r="C58" t="str">
        <v>退社</v>
      </c>
      <c r="D58">
        <v>210312</v>
      </c>
      <c r="E58">
        <v>83448</v>
      </c>
      <c r="F58" t="str">
        <v>ﾌｪﾆﾃｯｸｾﾐｺﾝﾀﾞｸﾀｰ 岡山</v>
      </c>
      <c r="G58" t="str">
        <v>岡山工場製造部PR課５インチ担当</v>
      </c>
      <c r="H58">
        <v>0</v>
      </c>
      <c r="I58">
        <v>0</v>
      </c>
      <c r="J58" t="str">
        <v>VU DINH HIEP</v>
      </c>
      <c r="K58" t="str">
        <v>ヴー　ディン　ヒエップ</v>
      </c>
      <c r="L58" t="str">
        <v>男</v>
      </c>
      <c r="M58" t="str">
        <v>ﾍﾞﾄﾅﾑ</v>
      </c>
      <c r="N58">
        <v>33491</v>
      </c>
      <c r="O58">
        <v>32</v>
      </c>
      <c r="P58">
        <v>1500</v>
      </c>
      <c r="Q58" t="str">
        <v>2021/6/21~　1400⇒1500</v>
      </c>
      <c r="R58">
        <v>2300</v>
      </c>
      <c r="S58" t="str">
        <v>入社3か月後200円UP</v>
      </c>
      <c r="T58">
        <v>800</v>
      </c>
      <c r="U58">
        <v>340000</v>
      </c>
      <c r="V58">
        <v>17017</v>
      </c>
      <c r="W58" t="str">
        <v>0</v>
      </c>
      <c r="X58">
        <v>31110</v>
      </c>
      <c r="Y58">
        <v>45194</v>
      </c>
      <c r="Z58" t="str">
        <v>残り期限90日!</v>
      </c>
      <c r="AA58" t="str">
        <v>技術・人文知識・国際業務</v>
      </c>
      <c r="AB58" t="str">
        <v>715-0014</v>
      </c>
      <c r="AC58" t="str">
        <v>岡山県井原市七日市町696-2</v>
      </c>
      <c r="AD58" t="str">
        <v>Florence1997 203</v>
      </c>
      <c r="AE58">
        <v>44408</v>
      </c>
      <c r="AF58">
        <v>44272</v>
      </c>
      <c r="AG58">
        <v>44984</v>
      </c>
      <c r="AH58">
        <v>0</v>
      </c>
      <c r="AI58">
        <v>44348</v>
      </c>
      <c r="AJ58" t="str">
        <v>ヴー　ディン　ヒェップ</v>
      </c>
      <c r="AK58" t="str">
        <v>ゆうちょ銀行</v>
      </c>
      <c r="AL58">
        <v>48</v>
      </c>
      <c r="AM58" t="str">
        <v>〇四八</v>
      </c>
      <c r="AN58" t="str">
        <v>3451596</v>
      </c>
      <c r="AO58" t="str">
        <v>OK</v>
      </c>
      <c r="AP58">
        <v>0</v>
      </c>
    </row>
    <row r="59" spans="1:42">
      <c r="A59" t="str">
        <f>H59&amp;COUNTIF($H$2:H59,H59)</f>
        <v>021</v>
      </c>
      <c r="B59" t="str">
        <f>F59&amp;COUNTIF($F$2:F59,F59)</f>
        <v>ﾌｪﾆﾃｯｸｾﾐｺﾝﾀﾞｸﾀｰ 岡山2</v>
      </c>
      <c r="C59" t="str">
        <v>退社</v>
      </c>
      <c r="D59">
        <v>210313</v>
      </c>
      <c r="E59">
        <v>83455</v>
      </c>
      <c r="F59" t="str">
        <v>ﾌｪﾆﾃｯｸｾﾐｺﾝﾀﾞｸﾀｰ 岡山</v>
      </c>
      <c r="G59" t="str">
        <v>岡山工場製造部PR課５インチ担当</v>
      </c>
      <c r="H59">
        <v>0</v>
      </c>
      <c r="I59">
        <v>0</v>
      </c>
      <c r="J59" t="str">
        <v>LUONG XUAN NGOC</v>
      </c>
      <c r="K59" t="str">
        <v>ルオン　スアン　ゴック</v>
      </c>
      <c r="L59" t="str">
        <v>男</v>
      </c>
      <c r="M59" t="str">
        <v>ﾍﾞﾄﾅﾑ</v>
      </c>
      <c r="N59">
        <v>33608</v>
      </c>
      <c r="O59">
        <v>31</v>
      </c>
      <c r="P59">
        <v>1500</v>
      </c>
      <c r="Q59" t="str">
        <v>2021/6/21~　1400⇒1500</v>
      </c>
      <c r="R59">
        <v>2300</v>
      </c>
      <c r="S59" t="str">
        <v>入社3か月後200円UP</v>
      </c>
      <c r="T59">
        <v>800</v>
      </c>
      <c r="U59">
        <v>300000</v>
      </c>
      <c r="V59">
        <v>15014.999999999998</v>
      </c>
      <c r="W59" t="str">
        <v>0</v>
      </c>
      <c r="X59">
        <v>27450</v>
      </c>
      <c r="Y59">
        <v>45360</v>
      </c>
      <c r="Z59" t="str">
        <v>残り期限90日!</v>
      </c>
      <c r="AA59" t="str">
        <v>技術・人文知識・国際業務</v>
      </c>
      <c r="AB59" t="str">
        <v>715-0004</v>
      </c>
      <c r="AC59" t="str">
        <v>岡山県井原市木之子町5837-1</v>
      </c>
      <c r="AD59" t="str">
        <v>ｳｯﾄﾞﾌｨｰﾙﾄﾞB203</v>
      </c>
      <c r="AE59">
        <v>44270</v>
      </c>
      <c r="AF59">
        <v>44272</v>
      </c>
      <c r="AG59">
        <v>45015</v>
      </c>
      <c r="AH59">
        <v>0</v>
      </c>
      <c r="AI59">
        <v>44348</v>
      </c>
      <c r="AJ59" t="str">
        <v>ルオン　スァン　ゴック</v>
      </c>
      <c r="AK59" t="str">
        <v>ゆうちょ銀行</v>
      </c>
      <c r="AL59">
        <v>48</v>
      </c>
      <c r="AM59" t="str">
        <v>〇四八</v>
      </c>
      <c r="AN59" t="str">
        <v>3234908</v>
      </c>
      <c r="AO59" t="str">
        <v>OK</v>
      </c>
      <c r="AP59">
        <v>0</v>
      </c>
    </row>
    <row r="60" spans="1:42">
      <c r="A60" t="str">
        <f>H60&amp;COUNTIF($H$2:H60,H60)</f>
        <v>022</v>
      </c>
      <c r="B60" t="str">
        <f>F60&amp;COUNTIF($F$2:F60,F60)</f>
        <v>ﾌｪﾆﾃｯｸｾﾐｺﾝﾀﾞｸﾀｰ 岡山3</v>
      </c>
      <c r="C60" t="str">
        <v>退社</v>
      </c>
      <c r="D60">
        <v>210417</v>
      </c>
      <c r="E60">
        <v>83505</v>
      </c>
      <c r="F60" t="str">
        <v>ﾌｪﾆﾃｯｸｾﾐｺﾝﾀﾞｸﾀｰ 岡山</v>
      </c>
      <c r="G60" t="str">
        <v>岡山工場製造部DF課６インチ担当</v>
      </c>
      <c r="H60">
        <v>0</v>
      </c>
      <c r="I60">
        <v>0</v>
      </c>
      <c r="J60" t="str">
        <v>LE XUAN CU</v>
      </c>
      <c r="K60" t="str">
        <v>レー　スアン　クー</v>
      </c>
      <c r="L60" t="str">
        <v>男</v>
      </c>
      <c r="M60" t="str">
        <v>ﾍﾞﾄﾅﾑ</v>
      </c>
      <c r="N60">
        <v>33593</v>
      </c>
      <c r="O60">
        <v>31</v>
      </c>
      <c r="P60">
        <v>1500</v>
      </c>
      <c r="Q60" t="str">
        <v>2021/7/21～　1400⇒1500</v>
      </c>
      <c r="R60">
        <v>2300</v>
      </c>
      <c r="S60">
        <v>0</v>
      </c>
      <c r="T60">
        <v>800</v>
      </c>
      <c r="U60">
        <v>340000</v>
      </c>
      <c r="V60">
        <v>17017</v>
      </c>
      <c r="W60" t="str">
        <v>0</v>
      </c>
      <c r="X60">
        <v>31110</v>
      </c>
      <c r="Y60">
        <v>44996</v>
      </c>
      <c r="Z60" t="str">
        <v>残り期限90日!</v>
      </c>
      <c r="AA60" t="str">
        <v>技術・人文知識・国際業務</v>
      </c>
      <c r="AB60" t="str">
        <v>715-0004</v>
      </c>
      <c r="AC60" t="str">
        <v>岡山県井原市木之子町94番地1</v>
      </c>
      <c r="AD60" t="str">
        <v>ﾋﾞﾚｯｼﾞﾊｳｽ木之子1-104</v>
      </c>
      <c r="AE60" t="str">
        <v>個人</v>
      </c>
      <c r="AF60">
        <v>44306</v>
      </c>
      <c r="AG60">
        <v>45015</v>
      </c>
      <c r="AH60">
        <v>0</v>
      </c>
      <c r="AI60">
        <v>44378</v>
      </c>
      <c r="AJ60" t="str">
        <v>レー　スアン　クー</v>
      </c>
      <c r="AK60" t="str">
        <v>ゆうちょ銀行</v>
      </c>
      <c r="AL60">
        <v>328</v>
      </c>
      <c r="AM60" t="str">
        <v>三二八</v>
      </c>
      <c r="AN60" t="str">
        <v>1524577</v>
      </c>
      <c r="AO60" t="str">
        <v>OK</v>
      </c>
      <c r="AP60">
        <v>0</v>
      </c>
    </row>
    <row r="61" spans="1:42">
      <c r="A61" t="str">
        <f>H61&amp;COUNTIF($H$2:H61,H61)</f>
        <v>023</v>
      </c>
      <c r="B61" t="str">
        <f>F61&amp;COUNTIF($F$2:F61,F61)</f>
        <v>ﾌｪﾆﾃｯｸｾﾐｺﾝﾀﾞｸﾀｰ 岡山4</v>
      </c>
      <c r="C61" t="str">
        <v>退社</v>
      </c>
      <c r="D61">
        <v>210603</v>
      </c>
      <c r="E61">
        <v>83665</v>
      </c>
      <c r="F61" t="str">
        <v>ﾌｪﾆﾃｯｸｾﾐｺﾝﾀﾞｸﾀｰ 岡山</v>
      </c>
      <c r="G61" t="str">
        <v>岡山工場製造部PR課５インチ担当</v>
      </c>
      <c r="H61">
        <v>0</v>
      </c>
      <c r="I61">
        <v>0</v>
      </c>
      <c r="J61" t="str">
        <v>MAC VAN HUNG</v>
      </c>
      <c r="K61" t="str">
        <v>マック　ヴァン　フン</v>
      </c>
      <c r="L61" t="str">
        <v>男</v>
      </c>
      <c r="M61" t="str">
        <v>ﾍﾞﾄﾅﾑ</v>
      </c>
      <c r="N61">
        <v>33531</v>
      </c>
      <c r="O61">
        <v>32</v>
      </c>
      <c r="P61">
        <v>1500</v>
      </c>
      <c r="Q61" t="str">
        <v>2021/9/21~　1400⇒1500</v>
      </c>
      <c r="R61">
        <v>2300</v>
      </c>
      <c r="S61">
        <v>0</v>
      </c>
      <c r="T61">
        <v>800</v>
      </c>
      <c r="U61">
        <v>300000</v>
      </c>
      <c r="V61">
        <v>15014.999999999998</v>
      </c>
      <c r="W61" t="str">
        <v>0</v>
      </c>
      <c r="X61">
        <v>27450</v>
      </c>
      <c r="Y61">
        <v>45566</v>
      </c>
      <c r="Z61" t="str">
        <v/>
      </c>
      <c r="AA61" t="str">
        <v>技術・人文知識・国際業務</v>
      </c>
      <c r="AB61" t="str">
        <v>715-0022</v>
      </c>
      <c r="AC61" t="str">
        <v>岡山県井原市下出部町2丁目8-7</v>
      </c>
      <c r="AD61" t="str">
        <v>ｴｽﾃｰﾄｲﾃﾞﾊﾗB102</v>
      </c>
      <c r="AE61">
        <v>44348</v>
      </c>
      <c r="AF61">
        <v>44350</v>
      </c>
      <c r="AG61">
        <v>45015</v>
      </c>
      <c r="AH61">
        <v>0</v>
      </c>
      <c r="AI61">
        <v>44409</v>
      </c>
      <c r="AJ61" t="str">
        <v>マック　ヴァン　フン</v>
      </c>
      <c r="AK61" t="str">
        <v>ゆうちょ銀行</v>
      </c>
      <c r="AL61">
        <v>548</v>
      </c>
      <c r="AM61" t="str">
        <v>五四八</v>
      </c>
      <c r="AN61" t="str">
        <v>3249398</v>
      </c>
      <c r="AO61" t="str">
        <v>OK</v>
      </c>
      <c r="AP61">
        <v>0</v>
      </c>
    </row>
    <row r="62" spans="1:42">
      <c r="A62" t="str">
        <f>H62&amp;COUNTIF($H$2:H62,H62)</f>
        <v>024</v>
      </c>
      <c r="B62" t="str">
        <f>F62&amp;COUNTIF($F$2:F62,F62)</f>
        <v>ﾌｪﾆﾃｯｸｾﾐｺﾝﾀﾞｸﾀｰ 岡山5</v>
      </c>
      <c r="C62" t="str">
        <v>退社</v>
      </c>
      <c r="D62">
        <v>210801</v>
      </c>
      <c r="E62">
        <v>83829</v>
      </c>
      <c r="F62" t="str">
        <v>ﾌｪﾆﾃｯｸｾﾐｺﾝﾀﾞｸﾀｰ 岡山</v>
      </c>
      <c r="G62" t="str">
        <v>岡山工場製造部DF課５インチ担当</v>
      </c>
      <c r="H62">
        <v>0</v>
      </c>
      <c r="I62">
        <v>0</v>
      </c>
      <c r="J62" t="str">
        <v>TRAN XUAN HUNG</v>
      </c>
      <c r="K62" t="str">
        <v>チャン　スアン　フン</v>
      </c>
      <c r="L62" t="str">
        <v>男</v>
      </c>
      <c r="M62" t="str">
        <v>ﾍﾞﾄﾅﾑ</v>
      </c>
      <c r="N62">
        <v>34643</v>
      </c>
      <c r="O62">
        <v>29</v>
      </c>
      <c r="P62">
        <v>1500</v>
      </c>
      <c r="Q62" t="str">
        <v>2021/11/21～1400⇒1500</v>
      </c>
      <c r="R62">
        <v>2300</v>
      </c>
      <c r="S62">
        <v>0</v>
      </c>
      <c r="T62">
        <v>800</v>
      </c>
      <c r="U62">
        <v>320000</v>
      </c>
      <c r="V62">
        <v>16015.999999999998</v>
      </c>
      <c r="W62" t="str">
        <v>0</v>
      </c>
      <c r="X62">
        <v>29280</v>
      </c>
      <c r="Y62">
        <v>45200</v>
      </c>
      <c r="Z62" t="str">
        <v>残り期限90日!</v>
      </c>
      <c r="AA62" t="str">
        <v>技術・人文知識・国際業務</v>
      </c>
      <c r="AB62" t="str">
        <v>715-0006</v>
      </c>
      <c r="AC62" t="str">
        <v>岡山県井原市西江原町936-3</v>
      </c>
      <c r="AD62" t="str">
        <v>ｸﾞﾗﾝｴﾄﾜｰﾙA203</v>
      </c>
      <c r="AE62">
        <v>44417</v>
      </c>
      <c r="AF62">
        <v>44418</v>
      </c>
      <c r="AG62">
        <v>45015</v>
      </c>
      <c r="AH62">
        <v>0</v>
      </c>
      <c r="AI62">
        <v>44470</v>
      </c>
      <c r="AJ62" t="str">
        <v>チャン　スアン　フン</v>
      </c>
      <c r="AK62" t="str">
        <v>ゆうちょ銀行</v>
      </c>
      <c r="AL62">
        <v>548</v>
      </c>
      <c r="AM62" t="str">
        <v>五四八</v>
      </c>
      <c r="AN62" t="str">
        <v>3858792</v>
      </c>
      <c r="AO62" t="str">
        <v>OK</v>
      </c>
      <c r="AP62">
        <v>0</v>
      </c>
    </row>
    <row r="63" spans="1:42">
      <c r="A63" t="str">
        <f>H63&amp;COUNTIF($H$2:H63,H63)</f>
        <v>025</v>
      </c>
      <c r="B63" t="str">
        <f>F63&amp;COUNTIF($F$2:F63,F63)</f>
        <v>プレテック2</v>
      </c>
      <c r="C63" t="str">
        <v>在職中</v>
      </c>
      <c r="D63">
        <v>210802</v>
      </c>
      <c r="E63">
        <v>83836</v>
      </c>
      <c r="F63" t="str">
        <v>プレテック</v>
      </c>
      <c r="G63" t="str">
        <v>岡山工場製造部DF課５インチ担当</v>
      </c>
      <c r="H63">
        <v>0</v>
      </c>
      <c r="I63">
        <v>0</v>
      </c>
      <c r="J63" t="str">
        <v>DANG VAN KHANG</v>
      </c>
      <c r="K63" t="str">
        <v>ダン　ヴァン　カン</v>
      </c>
      <c r="L63" t="str">
        <v>男</v>
      </c>
      <c r="M63" t="str">
        <v>ﾍﾞﾄﾅﾑ</v>
      </c>
      <c r="N63">
        <v>34498</v>
      </c>
      <c r="O63">
        <v>29</v>
      </c>
      <c r="P63">
        <v>1400</v>
      </c>
      <c r="Q63" t="str">
        <v>2021/11/21～1400⇒1500</v>
      </c>
      <c r="R63">
        <v>1850</v>
      </c>
      <c r="S63">
        <v>0</v>
      </c>
      <c r="T63">
        <v>450</v>
      </c>
      <c r="U63">
        <v>260000</v>
      </c>
      <c r="V63">
        <v>13013</v>
      </c>
      <c r="W63" t="str">
        <v>0</v>
      </c>
      <c r="X63">
        <v>23790</v>
      </c>
      <c r="Y63">
        <v>46342</v>
      </c>
      <c r="Z63" t="str">
        <v/>
      </c>
      <c r="AA63" t="str">
        <v>技術・人文知識・国際業務</v>
      </c>
      <c r="AB63" t="str">
        <v>715-0004</v>
      </c>
      <c r="AC63" t="str">
        <v>岡山県井原市木之子町94番地1</v>
      </c>
      <c r="AD63" t="str">
        <v>ﾋﾞﾚｯｼﾞﾊｳｽ2号棟106</v>
      </c>
      <c r="AE63" t="str">
        <v>個人</v>
      </c>
      <c r="AF63">
        <v>44418</v>
      </c>
      <c r="AG63">
        <v>0</v>
      </c>
      <c r="AH63">
        <v>0</v>
      </c>
      <c r="AI63">
        <v>44470</v>
      </c>
      <c r="AJ63" t="str">
        <v>ダン　ヴァン　カン</v>
      </c>
      <c r="AK63" t="str">
        <v>ゆうちょ銀行</v>
      </c>
      <c r="AL63">
        <v>18</v>
      </c>
      <c r="AM63" t="str">
        <v>〇一八</v>
      </c>
      <c r="AN63" t="str">
        <v>7421177</v>
      </c>
      <c r="AO63" t="str">
        <v>OK</v>
      </c>
      <c r="AP63" t="str">
        <v>2021/8/10~ﾌｪﾆﾃｯｸｾﾐｺﾝﾀﾞｸﾀｰ岡山　2023/2/27~ﾌﾟﾚﾃｯｸに異動</v>
      </c>
    </row>
    <row r="64" spans="1:42">
      <c r="A64" t="str">
        <f>H64&amp;COUNTIF($H$2:H64,H64)</f>
        <v>026</v>
      </c>
      <c r="B64" t="str">
        <f>F64&amp;COUNTIF($F$2:F64,F64)</f>
        <v>プレテック3</v>
      </c>
      <c r="C64" t="str">
        <v>在職中</v>
      </c>
      <c r="D64">
        <v>210805</v>
      </c>
      <c r="E64">
        <v>83843</v>
      </c>
      <c r="F64" t="str">
        <v>プレテック</v>
      </c>
      <c r="G64" t="str">
        <v>岡山工場製造部TF課６インチ担当</v>
      </c>
      <c r="H64">
        <v>0</v>
      </c>
      <c r="I64">
        <v>0</v>
      </c>
      <c r="J64" t="str">
        <v>LE VAN NHANH</v>
      </c>
      <c r="K64" t="str">
        <v>レー　ヴァン　ニャン</v>
      </c>
      <c r="L64" t="str">
        <v>男</v>
      </c>
      <c r="M64" t="str">
        <v>ﾍﾞﾄﾅﾑ</v>
      </c>
      <c r="N64">
        <v>32818</v>
      </c>
      <c r="O64">
        <v>34</v>
      </c>
      <c r="P64">
        <v>1400</v>
      </c>
      <c r="Q64" t="str">
        <v>2021/11/21～1400⇒1500</v>
      </c>
      <c r="R64">
        <v>1850</v>
      </c>
      <c r="S64">
        <v>0</v>
      </c>
      <c r="T64">
        <v>450</v>
      </c>
      <c r="U64">
        <v>260000</v>
      </c>
      <c r="V64">
        <v>13013</v>
      </c>
      <c r="W64" t="str">
        <v>0</v>
      </c>
      <c r="X64">
        <v>23790</v>
      </c>
      <c r="Y64">
        <v>46121</v>
      </c>
      <c r="Z64" t="str">
        <v/>
      </c>
      <c r="AA64" t="str">
        <v>技術・人文知識・国際業務</v>
      </c>
      <c r="AB64" t="str">
        <v>715-0004</v>
      </c>
      <c r="AC64" t="str">
        <v>岡山県井原市木之子町94番地1</v>
      </c>
      <c r="AD64" t="str">
        <v>ﾋﾞﾚｯｼﾞﾊｳｽ木之子1-304</v>
      </c>
      <c r="AE64" t="str">
        <v>個人</v>
      </c>
      <c r="AF64">
        <v>44424</v>
      </c>
      <c r="AG64">
        <v>0</v>
      </c>
      <c r="AH64">
        <v>0</v>
      </c>
      <c r="AI64">
        <v>44470</v>
      </c>
      <c r="AJ64" t="str">
        <v>レ　ヴァン　ニャン</v>
      </c>
      <c r="AK64" t="str">
        <v>ゆうちょ銀行</v>
      </c>
      <c r="AL64">
        <v>748</v>
      </c>
      <c r="AM64" t="str">
        <v>七四八</v>
      </c>
      <c r="AN64" t="str">
        <v>7719301</v>
      </c>
      <c r="AO64" t="str">
        <v>OK</v>
      </c>
      <c r="AP64" t="str">
        <v>2023/3/25までﾌｪﾆﾃｯｸ⇒2023/3/27よりプレテックへ異動</v>
      </c>
    </row>
    <row r="65" spans="1:42">
      <c r="A65" t="str">
        <f>H65&amp;COUNTIF($H$2:H65,H65)</f>
        <v>027</v>
      </c>
      <c r="B65" t="str">
        <f>F65&amp;COUNTIF($F$2:F65,F65)</f>
        <v>ﾌｪﾆﾃｯｸｾﾐｺﾝﾀﾞｸﾀｰ 岡山6</v>
      </c>
      <c r="C65" t="str">
        <v>退社</v>
      </c>
      <c r="D65">
        <v>210806</v>
      </c>
      <c r="E65">
        <v>83850</v>
      </c>
      <c r="F65" t="str">
        <v>ﾌｪﾆﾃｯｸｾﾐｺﾝﾀﾞｸﾀｰ 岡山</v>
      </c>
      <c r="G65" t="str">
        <v>岡山工場製造部TF課６インチ担当</v>
      </c>
      <c r="H65">
        <v>0</v>
      </c>
      <c r="I65">
        <v>0</v>
      </c>
      <c r="J65" t="str">
        <v>PHAN MINH CHI</v>
      </c>
      <c r="K65" t="str">
        <v>ファン　ミン　チ</v>
      </c>
      <c r="L65" t="str">
        <v>男</v>
      </c>
      <c r="M65" t="str">
        <v>ﾍﾞﾄﾅﾑ</v>
      </c>
      <c r="N65">
        <v>33996</v>
      </c>
      <c r="O65">
        <v>30</v>
      </c>
      <c r="P65">
        <v>1500</v>
      </c>
      <c r="Q65" t="str">
        <v>2021/11/21～1400⇒1500</v>
      </c>
      <c r="R65">
        <v>2300</v>
      </c>
      <c r="S65">
        <v>0</v>
      </c>
      <c r="T65">
        <v>800</v>
      </c>
      <c r="U65">
        <v>320000</v>
      </c>
      <c r="V65">
        <v>16015.999999999998</v>
      </c>
      <c r="W65" t="str">
        <v>0</v>
      </c>
      <c r="X65">
        <v>29280</v>
      </c>
      <c r="Y65">
        <v>45348</v>
      </c>
      <c r="Z65" t="str">
        <v>残り期限90日!</v>
      </c>
      <c r="AA65" t="str">
        <v>技術・人文知識・国際業務</v>
      </c>
      <c r="AB65" t="str">
        <v>715-0006</v>
      </c>
      <c r="AC65" t="str">
        <v>岡山県井原市西江原町936-1</v>
      </c>
      <c r="AD65" t="str">
        <v>ｸﾞﾗﾝｴﾄﾜｰﾙB103</v>
      </c>
      <c r="AE65">
        <v>44423</v>
      </c>
      <c r="AF65">
        <v>44424</v>
      </c>
      <c r="AG65">
        <v>45028</v>
      </c>
      <c r="AH65">
        <v>0</v>
      </c>
      <c r="AI65">
        <v>44470</v>
      </c>
      <c r="AJ65" t="str">
        <v>ファン　ミン　チ</v>
      </c>
      <c r="AK65" t="str">
        <v>ゆうちょ銀行</v>
      </c>
      <c r="AL65">
        <v>238</v>
      </c>
      <c r="AM65" t="str">
        <v>二三八</v>
      </c>
      <c r="AN65" t="str">
        <v>5635218</v>
      </c>
      <c r="AO65" t="str">
        <v>OK</v>
      </c>
      <c r="AP65">
        <v>0</v>
      </c>
    </row>
    <row r="66" spans="1:42">
      <c r="A66" t="str">
        <f>H66&amp;COUNTIF($H$2:H66,H66)</f>
        <v>028</v>
      </c>
      <c r="B66" t="str">
        <f>F66&amp;COUNTIF($F$2:F66,F66)</f>
        <v>ﾌｪﾆﾃｯｸｾﾐｺﾝﾀﾞｸﾀｰ 岡山7</v>
      </c>
      <c r="C66" t="str">
        <v>退社</v>
      </c>
      <c r="D66">
        <v>210803</v>
      </c>
      <c r="E66">
        <v>83868</v>
      </c>
      <c r="F66" t="str">
        <v>ﾌｪﾆﾃｯｸｾﾐｺﾝﾀﾞｸﾀｰ 岡山</v>
      </c>
      <c r="G66" t="str">
        <v>岡山工場製造部PR課５インチ担当</v>
      </c>
      <c r="H66">
        <v>0</v>
      </c>
      <c r="I66">
        <v>0</v>
      </c>
      <c r="J66" t="str">
        <v>TRAN VAN TUAN</v>
      </c>
      <c r="K66" t="str">
        <v>チャン　ヴァン　トゥアン</v>
      </c>
      <c r="L66" t="str">
        <v>男</v>
      </c>
      <c r="M66" t="str">
        <v>ﾍﾞﾄﾅﾑ</v>
      </c>
      <c r="N66">
        <v>32950</v>
      </c>
      <c r="O66">
        <v>33</v>
      </c>
      <c r="P66">
        <v>1500</v>
      </c>
      <c r="Q66" t="str">
        <v>2021/11/21～1400⇒1500</v>
      </c>
      <c r="R66">
        <v>2300</v>
      </c>
      <c r="S66">
        <v>0</v>
      </c>
      <c r="T66">
        <v>800</v>
      </c>
      <c r="U66">
        <v>300000</v>
      </c>
      <c r="V66">
        <v>15014.999999999998</v>
      </c>
      <c r="W66" t="str">
        <v>0</v>
      </c>
      <c r="X66">
        <v>27450</v>
      </c>
      <c r="Y66">
        <v>45183</v>
      </c>
      <c r="Z66" t="str">
        <v>残り期限90日!</v>
      </c>
      <c r="AA66" t="str">
        <v>技術・人文知識・国際業務</v>
      </c>
      <c r="AB66" t="str">
        <v>715-0014</v>
      </c>
      <c r="AC66" t="str">
        <v>岡山県井原市七日市町696-2</v>
      </c>
      <c r="AD66" t="str">
        <v>Florence1997 201</v>
      </c>
      <c r="AE66">
        <v>44413</v>
      </c>
      <c r="AF66">
        <v>44424</v>
      </c>
      <c r="AG66">
        <v>45015</v>
      </c>
      <c r="AH66">
        <v>0</v>
      </c>
      <c r="AI66">
        <v>44470</v>
      </c>
      <c r="AJ66" t="str">
        <v>チャン　ヴァン　トァン</v>
      </c>
      <c r="AK66" t="str">
        <v>ゆうちょ銀行</v>
      </c>
      <c r="AL66">
        <v>548</v>
      </c>
      <c r="AM66" t="str">
        <v>五四八</v>
      </c>
      <c r="AN66" t="str">
        <v>1176050</v>
      </c>
      <c r="AO66" t="str">
        <v>OK</v>
      </c>
      <c r="AP66">
        <v>0</v>
      </c>
    </row>
    <row r="67" spans="1:42">
      <c r="A67" t="str">
        <f>H67&amp;COUNTIF($H$2:H67,H67)</f>
        <v>029</v>
      </c>
      <c r="B67" t="str">
        <f>F67&amp;COUNTIF($F$2:F67,F67)</f>
        <v>ﾌｪﾆﾃｯｸｾﾐｺﾝﾀﾞｸﾀｰ 岡山8</v>
      </c>
      <c r="C67" t="str">
        <v>退社</v>
      </c>
      <c r="D67">
        <v>210812</v>
      </c>
      <c r="E67">
        <v>83882</v>
      </c>
      <c r="F67" t="str">
        <v>ﾌｪﾆﾃｯｸｾﾐｺﾝﾀﾞｸﾀｰ 岡山</v>
      </c>
      <c r="G67" t="str">
        <v>岡山工場製造部PR課６インチ担当</v>
      </c>
      <c r="H67">
        <v>0</v>
      </c>
      <c r="I67">
        <v>0</v>
      </c>
      <c r="J67" t="str">
        <v>NGO NHAT QUYEN</v>
      </c>
      <c r="K67" t="str">
        <v>ゴー　ナット　クエン</v>
      </c>
      <c r="L67" t="str">
        <v>男</v>
      </c>
      <c r="M67" t="str">
        <v>ﾍﾞﾄﾅﾑ</v>
      </c>
      <c r="N67">
        <v>33805</v>
      </c>
      <c r="O67">
        <v>31</v>
      </c>
      <c r="P67">
        <v>1500</v>
      </c>
      <c r="Q67" t="str">
        <v>2021/11/21～1400⇒1500</v>
      </c>
      <c r="R67">
        <v>2300</v>
      </c>
      <c r="S67">
        <v>0</v>
      </c>
      <c r="T67">
        <v>800</v>
      </c>
      <c r="U67">
        <v>320000</v>
      </c>
      <c r="V67">
        <v>16015.999999999998</v>
      </c>
      <c r="W67" t="str">
        <v>0</v>
      </c>
      <c r="X67">
        <v>29280</v>
      </c>
      <c r="Y67">
        <v>45127</v>
      </c>
      <c r="Z67" t="str">
        <v>残り期限90日!</v>
      </c>
      <c r="AA67" t="str">
        <v>技術・人文知識・国際業務</v>
      </c>
      <c r="AB67" t="str">
        <v>715-0006</v>
      </c>
      <c r="AC67" t="str">
        <v>岡山県井原市西江原町936-3</v>
      </c>
      <c r="AD67" t="str">
        <v>ｸﾞﾗﾝｴﾄﾜｰﾙA203</v>
      </c>
      <c r="AE67">
        <v>44423</v>
      </c>
      <c r="AF67">
        <v>44424</v>
      </c>
      <c r="AG67">
        <v>45015</v>
      </c>
      <c r="AH67">
        <v>0</v>
      </c>
      <c r="AI67">
        <v>44470</v>
      </c>
      <c r="AJ67" t="str">
        <v>ゴー　ナット　クエン</v>
      </c>
      <c r="AK67" t="str">
        <v>ゆうちょ銀行</v>
      </c>
      <c r="AL67">
        <v>418</v>
      </c>
      <c r="AM67" t="str">
        <v>四一八</v>
      </c>
      <c r="AN67" t="str">
        <v>680955</v>
      </c>
      <c r="AO67" t="str">
        <v>OK</v>
      </c>
      <c r="AP67">
        <v>0</v>
      </c>
    </row>
    <row r="68" spans="1:42">
      <c r="A68" t="str">
        <f>H68&amp;COUNTIF($H$2:H68,H68)</f>
        <v>030</v>
      </c>
      <c r="B68" t="str">
        <f>F68&amp;COUNTIF($F$2:F68,F68)</f>
        <v>ﾌｪﾆﾃｯｸｾﾐｺﾝﾀﾞｸﾀｰ 岡山9</v>
      </c>
      <c r="C68" t="str">
        <v>退社</v>
      </c>
      <c r="D68">
        <v>210820</v>
      </c>
      <c r="E68">
        <v>83925</v>
      </c>
      <c r="F68" t="str">
        <v>ﾌｪﾆﾃｯｸｾﾐｺﾝﾀﾞｸﾀｰ 岡山</v>
      </c>
      <c r="G68" t="str">
        <v>岡山工場製造部BM課</v>
      </c>
      <c r="H68">
        <v>0</v>
      </c>
      <c r="I68">
        <v>0</v>
      </c>
      <c r="J68" t="str">
        <v>NGUYEN DINH DAN</v>
      </c>
      <c r="K68" t="str">
        <v>グエン　ディン　ダン</v>
      </c>
      <c r="L68" t="str">
        <v>男</v>
      </c>
      <c r="M68" t="str">
        <v>ﾍﾞﾄﾅﾑ</v>
      </c>
      <c r="N68">
        <v>31605</v>
      </c>
      <c r="O68">
        <v>37</v>
      </c>
      <c r="P68">
        <v>1500</v>
      </c>
      <c r="Q68">
        <v>0</v>
      </c>
      <c r="R68">
        <v>2300</v>
      </c>
      <c r="S68">
        <v>0</v>
      </c>
      <c r="T68">
        <v>800</v>
      </c>
      <c r="U68">
        <v>320000</v>
      </c>
      <c r="V68">
        <v>16015.999999999998</v>
      </c>
      <c r="W68" t="str">
        <v>0</v>
      </c>
      <c r="X68">
        <v>29280</v>
      </c>
      <c r="Y68">
        <v>45150</v>
      </c>
      <c r="Z68" t="str">
        <v>残り期限90日!</v>
      </c>
      <c r="AA68" t="str">
        <v>技術・人文知識・国際業務</v>
      </c>
      <c r="AB68" t="str">
        <v>715-0004</v>
      </c>
      <c r="AC68" t="str">
        <v>岡山県井原市木之子町82-1</v>
      </c>
      <c r="AD68" t="str">
        <v>ﾋﾞｱﾝｺ・ﾈﾛB102</v>
      </c>
      <c r="AE68">
        <v>44431</v>
      </c>
      <c r="AF68">
        <v>44434</v>
      </c>
      <c r="AG68">
        <v>45015</v>
      </c>
      <c r="AH68">
        <v>0</v>
      </c>
      <c r="AI68">
        <v>44501</v>
      </c>
      <c r="AJ68" t="str">
        <v>グエン　ディン　ダン</v>
      </c>
      <c r="AK68" t="str">
        <v>ゆうちょ銀行</v>
      </c>
      <c r="AL68">
        <v>438</v>
      </c>
      <c r="AM68" t="str">
        <v>四三八</v>
      </c>
      <c r="AN68" t="str">
        <v>6253814</v>
      </c>
      <c r="AO68" t="str">
        <v>OK</v>
      </c>
      <c r="AP68">
        <v>0</v>
      </c>
    </row>
    <row r="69" spans="1:42">
      <c r="A69" t="str">
        <f>H69&amp;COUNTIF($H$2:H69,H69)</f>
        <v>031</v>
      </c>
      <c r="B69" t="str">
        <f>F69&amp;COUNTIF($F$2:F69,F69)</f>
        <v>ﾌｪﾆﾃｯｸｾﾐｺﾝﾀﾞｸﾀｰ 岡山10</v>
      </c>
      <c r="C69" t="str">
        <v>退社</v>
      </c>
      <c r="D69">
        <v>210902</v>
      </c>
      <c r="E69">
        <v>83940</v>
      </c>
      <c r="F69" t="str">
        <v>ﾌｪﾆﾃｯｸｾﾐｺﾝﾀﾞｸﾀｰ 岡山</v>
      </c>
      <c r="G69" t="str">
        <v>岡山工場製造部BM課</v>
      </c>
      <c r="H69">
        <v>0</v>
      </c>
      <c r="I69">
        <v>0</v>
      </c>
      <c r="J69" t="str">
        <v>LE VIET TRUNG</v>
      </c>
      <c r="K69" t="str">
        <v>レ　ヴィエット　チュン</v>
      </c>
      <c r="L69" t="str">
        <v>男</v>
      </c>
      <c r="M69" t="str">
        <v>ﾍﾞﾄﾅﾑ</v>
      </c>
      <c r="N69">
        <v>32964</v>
      </c>
      <c r="O69">
        <v>33</v>
      </c>
      <c r="P69">
        <v>1500</v>
      </c>
      <c r="Q69">
        <v>0</v>
      </c>
      <c r="R69">
        <v>2300</v>
      </c>
      <c r="S69">
        <v>0</v>
      </c>
      <c r="T69">
        <v>800</v>
      </c>
      <c r="U69">
        <v>320000</v>
      </c>
      <c r="V69">
        <v>16015.999999999998</v>
      </c>
      <c r="W69" t="str">
        <v>0</v>
      </c>
      <c r="X69">
        <v>29280</v>
      </c>
      <c r="Y69">
        <v>45195</v>
      </c>
      <c r="Z69" t="str">
        <v>残り期限90日!</v>
      </c>
      <c r="AA69" t="str">
        <v>技術・人文知識・国際業務</v>
      </c>
      <c r="AB69" t="str">
        <v>715-0004</v>
      </c>
      <c r="AC69" t="str">
        <v>岡山県井原市木之子町94番地1</v>
      </c>
      <c r="AD69" t="str">
        <v>ﾋﾞﾚｯｼﾞﾊｳｽ1-106</v>
      </c>
      <c r="AE69" t="str">
        <v>個人</v>
      </c>
      <c r="AF69">
        <v>44445</v>
      </c>
      <c r="AG69">
        <v>45015</v>
      </c>
      <c r="AH69">
        <v>0</v>
      </c>
      <c r="AI69">
        <v>44501</v>
      </c>
      <c r="AJ69" t="str">
        <v>LE　VIET　TRUNG</v>
      </c>
      <c r="AK69" t="str">
        <v>中国銀行</v>
      </c>
      <c r="AL69">
        <v>220</v>
      </c>
      <c r="AM69" t="str">
        <v>井原</v>
      </c>
      <c r="AN69" t="str">
        <v>2514768</v>
      </c>
      <c r="AO69" t="str">
        <v>OK</v>
      </c>
      <c r="AP69">
        <v>0</v>
      </c>
    </row>
    <row r="70" spans="1:42">
      <c r="A70" t="str">
        <f>H70&amp;COUNTIF($H$2:H70,H70)</f>
        <v>032</v>
      </c>
      <c r="B70" t="str">
        <f>F70&amp;COUNTIF($F$2:F70,F70)</f>
        <v>ﾌｪﾆﾃｯｸｾﾐｺﾝﾀﾞｸﾀｰ 岡山11</v>
      </c>
      <c r="C70" t="str">
        <v>退社</v>
      </c>
      <c r="D70">
        <v>210909</v>
      </c>
      <c r="E70">
        <v>83964</v>
      </c>
      <c r="F70" t="str">
        <v>ﾌｪﾆﾃｯｸｾﾐｺﾝﾀﾞｸﾀｰ 岡山</v>
      </c>
      <c r="G70" t="str">
        <v>岡山工場製造部TF課５インチ担当</v>
      </c>
      <c r="H70">
        <v>0</v>
      </c>
      <c r="I70">
        <v>0</v>
      </c>
      <c r="J70" t="str">
        <v>MAI XUAN PHONG</v>
      </c>
      <c r="K70" t="str">
        <v>マイ　ジャン　フォン</v>
      </c>
      <c r="L70" t="str">
        <v>男</v>
      </c>
      <c r="M70" t="str">
        <v>ﾍﾞﾄﾅﾑ</v>
      </c>
      <c r="N70">
        <v>33600</v>
      </c>
      <c r="O70">
        <v>31</v>
      </c>
      <c r="P70">
        <v>1500</v>
      </c>
      <c r="Q70">
        <v>0</v>
      </c>
      <c r="R70">
        <v>2300</v>
      </c>
      <c r="S70">
        <v>0</v>
      </c>
      <c r="T70">
        <v>800</v>
      </c>
      <c r="U70">
        <v>0</v>
      </c>
      <c r="V70" t="str">
        <v/>
      </c>
      <c r="W70" t="str">
        <v>0</v>
      </c>
      <c r="X70" t="str">
        <v/>
      </c>
      <c r="Y70">
        <v>45157</v>
      </c>
      <c r="Z70" t="str">
        <v>残り期限90日!</v>
      </c>
      <c r="AA70" t="str">
        <v>技術・人文知識・国際業務</v>
      </c>
      <c r="AB70" t="str">
        <v>715-0014</v>
      </c>
      <c r="AC70" t="str">
        <v>岡山県井原氏七日市町735-1</v>
      </c>
      <c r="AD70" t="str">
        <v>ｻﾝﾋﾟｱｯﾂｧA101</v>
      </c>
      <c r="AE70">
        <v>44458</v>
      </c>
      <c r="AF70">
        <v>44460</v>
      </c>
      <c r="AG70">
        <v>44915</v>
      </c>
      <c r="AH70">
        <v>0</v>
      </c>
      <c r="AI70">
        <v>44531</v>
      </c>
      <c r="AJ70" t="str">
        <v>マイ　ジヤン　フオン</v>
      </c>
      <c r="AK70" t="str">
        <v>三井住友銀行</v>
      </c>
      <c r="AL70">
        <v>220</v>
      </c>
      <c r="AM70" t="str">
        <v>神田駅前</v>
      </c>
      <c r="AN70" t="str">
        <v>1951082</v>
      </c>
      <c r="AO70" t="str">
        <v>OK</v>
      </c>
      <c r="AP70">
        <v>0</v>
      </c>
    </row>
    <row r="71" spans="1:42">
      <c r="A71" t="str">
        <f>H71&amp;COUNTIF($H$2:H71,H71)</f>
        <v>033</v>
      </c>
      <c r="B71" t="str">
        <f>F71&amp;COUNTIF($F$2:F71,F71)</f>
        <v>プレテック4</v>
      </c>
      <c r="C71" t="str">
        <v>退社</v>
      </c>
      <c r="D71">
        <v>211027</v>
      </c>
      <c r="E71">
        <v>84030</v>
      </c>
      <c r="F71" t="str">
        <v>プレテック</v>
      </c>
      <c r="G71" t="str">
        <v>岡山工場製造部PE課６インチ担当</v>
      </c>
      <c r="H71">
        <v>0</v>
      </c>
      <c r="I71">
        <v>0</v>
      </c>
      <c r="J71" t="str">
        <v>NGUYEN HONG SON</v>
      </c>
      <c r="K71" t="str">
        <v>グエン　ホン　ソン</v>
      </c>
      <c r="L71" t="str">
        <v>男</v>
      </c>
      <c r="M71" t="str">
        <v>ﾍﾞﾄﾅﾑ</v>
      </c>
      <c r="N71">
        <v>35548</v>
      </c>
      <c r="O71">
        <v>26</v>
      </c>
      <c r="P71">
        <v>1400</v>
      </c>
      <c r="Q71" t="str">
        <v>22/1/21~1500</v>
      </c>
      <c r="R71">
        <v>1850</v>
      </c>
      <c r="S71">
        <v>0</v>
      </c>
      <c r="T71">
        <v>450</v>
      </c>
      <c r="U71">
        <v>280000</v>
      </c>
      <c r="V71">
        <v>14014</v>
      </c>
      <c r="W71" t="str">
        <v>0</v>
      </c>
      <c r="X71">
        <v>25620</v>
      </c>
      <c r="Y71">
        <v>46089</v>
      </c>
      <c r="Z71" t="str">
        <v/>
      </c>
      <c r="AA71" t="str">
        <v>技術・人文知識・国際業務</v>
      </c>
      <c r="AB71" t="str">
        <v>715-0014</v>
      </c>
      <c r="AC71" t="str">
        <v>岡山県井原市七日市町696-2</v>
      </c>
      <c r="AD71" t="str">
        <v>Florence1997 203</v>
      </c>
      <c r="AE71">
        <v>0</v>
      </c>
      <c r="AF71">
        <v>44494</v>
      </c>
      <c r="AG71">
        <v>45215</v>
      </c>
      <c r="AH71">
        <v>0</v>
      </c>
      <c r="AI71">
        <v>22.01</v>
      </c>
      <c r="AJ71" t="str">
        <v>グエン　ホン　ソン</v>
      </c>
      <c r="AK71" t="str">
        <v>りそな銀行</v>
      </c>
      <c r="AL71">
        <v>614</v>
      </c>
      <c r="AM71" t="str">
        <v>姫路</v>
      </c>
      <c r="AN71" t="str">
        <v>174738</v>
      </c>
      <c r="AO71" t="str">
        <v>OK</v>
      </c>
      <c r="AP71" t="str">
        <v>2023/2/6～ﾌｪﾆﾃｯｸ岡山からプレテックへ異動</v>
      </c>
    </row>
    <row r="72" spans="1:42">
      <c r="A72" t="str">
        <f>H72&amp;COUNTIF($H$2:H72,H72)</f>
        <v>034</v>
      </c>
      <c r="B72" t="str">
        <f>F72&amp;COUNTIF($F$2:F72,F72)</f>
        <v>ﾌｪﾆﾃｯｸｾﾐｺﾝﾀﾞｸﾀｰ 岡山12</v>
      </c>
      <c r="C72" t="str">
        <v>在職中</v>
      </c>
      <c r="D72">
        <v>200801</v>
      </c>
      <c r="E72">
        <v>84105</v>
      </c>
      <c r="F72" t="str">
        <v>ﾌｪﾆﾃｯｸｾﾐｺﾝﾀﾞｸﾀｰ 岡山</v>
      </c>
      <c r="G72" t="str">
        <v>岡山工場製造部BM課</v>
      </c>
      <c r="H72">
        <v>0</v>
      </c>
      <c r="I72">
        <v>0</v>
      </c>
      <c r="J72" t="str">
        <v>NGUYEN QUANG THANG</v>
      </c>
      <c r="K72" t="str">
        <v>グエン　クアン　タン</v>
      </c>
      <c r="L72" t="str">
        <v>男</v>
      </c>
      <c r="M72" t="str">
        <v>ﾍﾞﾄﾅﾑ</v>
      </c>
      <c r="N72">
        <v>32431</v>
      </c>
      <c r="O72">
        <v>35</v>
      </c>
      <c r="P72">
        <v>1600</v>
      </c>
      <c r="Q72" t="str">
        <v>1/21~1500</v>
      </c>
      <c r="R72">
        <v>2300</v>
      </c>
      <c r="S72" t="str">
        <v>22.04.01~200円UP</v>
      </c>
      <c r="T72">
        <v>700</v>
      </c>
      <c r="U72">
        <v>320000</v>
      </c>
      <c r="V72">
        <v>16015.999999999998</v>
      </c>
      <c r="W72" t="str">
        <v>0</v>
      </c>
      <c r="X72">
        <v>29280</v>
      </c>
      <c r="Y72">
        <v>46309</v>
      </c>
      <c r="Z72" t="str">
        <v/>
      </c>
      <c r="AA72" t="str">
        <v>技術・人文知識・国際業務</v>
      </c>
      <c r="AB72" t="str">
        <v>715-0014</v>
      </c>
      <c r="AC72" t="str">
        <v>岡山県井原市七日市町696-2</v>
      </c>
      <c r="AD72" t="str">
        <v>Florence1997 201</v>
      </c>
      <c r="AE72">
        <v>44571</v>
      </c>
      <c r="AF72">
        <v>44573</v>
      </c>
      <c r="AG72">
        <v>0</v>
      </c>
      <c r="AH72">
        <v>0</v>
      </c>
      <c r="AI72">
        <v>22.03</v>
      </c>
      <c r="AJ72" t="str">
        <v>クアンタン　グエン</v>
      </c>
      <c r="AK72" t="str">
        <v>セブン銀行</v>
      </c>
      <c r="AL72">
        <v>101</v>
      </c>
      <c r="AM72" t="str">
        <v>マーガレット</v>
      </c>
      <c r="AN72" t="str">
        <v>2612170</v>
      </c>
      <c r="AO72" t="str">
        <v>OK</v>
      </c>
      <c r="AP72" t="str">
        <v>2020/8/21～2021/3/31PMI所属　再入社</v>
      </c>
    </row>
    <row r="73" spans="1:42">
      <c r="A73" t="str">
        <f>H73&amp;COUNTIF($H$2:H73,H73)</f>
        <v>035</v>
      </c>
      <c r="B73" t="str">
        <f>F73&amp;COUNTIF($F$2:F73,F73)</f>
        <v>ﾌｪﾆﾃｯｸｾﾐｺﾝﾀﾞｸﾀｰ 岡山13</v>
      </c>
      <c r="C73" t="str">
        <v>退社</v>
      </c>
      <c r="D73">
        <v>220129</v>
      </c>
      <c r="E73">
        <v>84112</v>
      </c>
      <c r="F73" t="str">
        <v>ﾌｪﾆﾃｯｸｾﾐｺﾝﾀﾞｸﾀｰ 岡山</v>
      </c>
      <c r="G73" t="str">
        <v>岡山工場製造部PE課５インチ担当</v>
      </c>
      <c r="H73">
        <v>0</v>
      </c>
      <c r="I73">
        <v>0</v>
      </c>
      <c r="J73" t="str">
        <v>HO THANH BAO TRUNG</v>
      </c>
      <c r="K73" t="str">
        <v>ホー　タン　バオ　チュン</v>
      </c>
      <c r="L73" t="str">
        <v>男</v>
      </c>
      <c r="M73" t="str">
        <v>ﾍﾞﾄﾅﾑ</v>
      </c>
      <c r="N73">
        <v>33462</v>
      </c>
      <c r="O73">
        <v>32</v>
      </c>
      <c r="P73">
        <v>1500</v>
      </c>
      <c r="Q73" t="str">
        <v>4/21~1500</v>
      </c>
      <c r="R73">
        <v>2300</v>
      </c>
      <c r="S73" t="str">
        <v>22.04.01~200円UP</v>
      </c>
      <c r="T73">
        <v>800</v>
      </c>
      <c r="U73">
        <v>280000</v>
      </c>
      <c r="V73">
        <v>14014</v>
      </c>
      <c r="W73" t="str">
        <v>0</v>
      </c>
      <c r="X73">
        <v>25620</v>
      </c>
      <c r="Y73">
        <v>46372</v>
      </c>
      <c r="Z73" t="str">
        <v/>
      </c>
      <c r="AA73" t="str">
        <v>技術・人文知識・国際業務</v>
      </c>
      <c r="AB73" t="str">
        <v>714-1227</v>
      </c>
      <c r="AC73" t="str">
        <v>岡山県小田郡矢掛町小田5518-1</v>
      </c>
      <c r="AD73" t="str">
        <v>ｺｰﾎﾟ小田206</v>
      </c>
      <c r="AE73" t="str">
        <v>個人</v>
      </c>
      <c r="AF73">
        <v>44585</v>
      </c>
      <c r="AG73">
        <v>44946</v>
      </c>
      <c r="AH73">
        <v>0</v>
      </c>
      <c r="AI73">
        <v>22.02</v>
      </c>
      <c r="AJ73" t="str">
        <v>HO　THANH　BAO　TRUNG</v>
      </c>
      <c r="AK73" t="str">
        <v>中国銀行</v>
      </c>
      <c r="AL73">
        <v>181</v>
      </c>
      <c r="AM73" t="str">
        <v>倉敷</v>
      </c>
      <c r="AN73" t="str">
        <v>2174070</v>
      </c>
      <c r="AO73" t="str">
        <v>OK</v>
      </c>
      <c r="AP73">
        <v>0</v>
      </c>
    </row>
    <row r="74" spans="1:42">
      <c r="A74" t="str">
        <f>H74&amp;COUNTIF($H$2:H74,H74)</f>
        <v>Fライン1</v>
      </c>
      <c r="B74" t="str">
        <f>F74&amp;COUNTIF($F$2:F74,F74)</f>
        <v>高雄工業 本社1</v>
      </c>
      <c r="C74" t="str">
        <v>退社</v>
      </c>
      <c r="D74">
        <v>210102</v>
      </c>
      <c r="E74">
        <v>212004</v>
      </c>
      <c r="F74" t="str">
        <v>高雄工業 本社</v>
      </c>
      <c r="G74" t="str">
        <v>高雄工業株式会社 本社工場製作課</v>
      </c>
      <c r="H74" t="str">
        <v>Fライン</v>
      </c>
      <c r="I74">
        <v>0</v>
      </c>
      <c r="J74" t="str">
        <v>NGUYEN DUC HUNG</v>
      </c>
      <c r="K74" t="str">
        <v>グエン　ドック　フン</v>
      </c>
      <c r="L74" t="str">
        <v>男</v>
      </c>
      <c r="M74" t="str">
        <v>ﾍﾞﾄﾅﾑ</v>
      </c>
      <c r="N74">
        <v>34018</v>
      </c>
      <c r="O74">
        <v>30</v>
      </c>
      <c r="P74">
        <v>1400</v>
      </c>
      <c r="Q74">
        <v>0</v>
      </c>
      <c r="R74">
        <v>1770</v>
      </c>
      <c r="S74" t="str">
        <v>9/16~ 1600円→1750円</v>
      </c>
      <c r="T74">
        <v>370</v>
      </c>
      <c r="U74">
        <v>0</v>
      </c>
      <c r="V74" t="str">
        <v/>
      </c>
      <c r="W74" t="str">
        <v>0</v>
      </c>
      <c r="X74" t="str">
        <v/>
      </c>
      <c r="Y74">
        <v>45157</v>
      </c>
      <c r="Z74" t="str">
        <v>残り期限90日!</v>
      </c>
      <c r="AA74" t="str">
        <v>技術・人文知識・国際業務</v>
      </c>
      <c r="AB74" t="str">
        <v>498-0031</v>
      </c>
      <c r="AC74" t="str">
        <v>愛知県弥富市平島町中新田196-1</v>
      </c>
      <c r="AD74" t="str">
        <v>ｺﾝﾂｪﾙﾊｳｽＣ203</v>
      </c>
      <c r="AE74">
        <v>44193</v>
      </c>
      <c r="AF74">
        <v>44201</v>
      </c>
      <c r="AG74">
        <v>44860</v>
      </c>
      <c r="AH74">
        <v>0</v>
      </c>
      <c r="AI74">
        <v>44256</v>
      </c>
      <c r="AJ74" t="str">
        <v>グエン　ドック　フン</v>
      </c>
      <c r="AK74" t="str">
        <v>ゆうちょ銀行</v>
      </c>
      <c r="AL74">
        <v>0</v>
      </c>
      <c r="AM74">
        <v>0</v>
      </c>
      <c r="AN74" t="str">
        <v>14620　24131251</v>
      </c>
      <c r="AO74" t="str">
        <v>OK</v>
      </c>
      <c r="AP74">
        <v>0</v>
      </c>
    </row>
    <row r="75" spans="1:42">
      <c r="A75" t="str">
        <f>H75&amp;COUNTIF($H$2:H75,H75)</f>
        <v>Aライン1</v>
      </c>
      <c r="B75" t="str">
        <f>F75&amp;COUNTIF($F$2:F75,F75)</f>
        <v>高雄工業 本社2</v>
      </c>
      <c r="C75" t="str">
        <v>在職中</v>
      </c>
      <c r="D75">
        <v>210121</v>
      </c>
      <c r="E75">
        <v>212006</v>
      </c>
      <c r="F75" t="str">
        <v>高雄工業 本社</v>
      </c>
      <c r="G75" t="str">
        <v>高雄工業株式会社 本社工場製作課</v>
      </c>
      <c r="H75" t="str">
        <v>Aライン</v>
      </c>
      <c r="I75" t="str">
        <v>CVJメス型番の施削加工</v>
      </c>
      <c r="J75" t="str">
        <v>NGUYEN VAN THIEN</v>
      </c>
      <c r="K75" t="str">
        <v>グエン　ヴァン　ティエン</v>
      </c>
      <c r="L75" t="str">
        <v>男</v>
      </c>
      <c r="M75" t="str">
        <v>ﾍﾞﾄﾅﾑ</v>
      </c>
      <c r="N75">
        <v>34904</v>
      </c>
      <c r="O75">
        <v>28</v>
      </c>
      <c r="P75">
        <v>1400</v>
      </c>
      <c r="Q75" t="str">
        <v>6/16~ \1200⇒\1250</v>
      </c>
      <c r="R75">
        <v>1800</v>
      </c>
      <c r="S75" t="str">
        <v>9/16~ 1600円→1750円</v>
      </c>
      <c r="T75">
        <v>400</v>
      </c>
      <c r="U75">
        <v>260000</v>
      </c>
      <c r="V75">
        <v>13013</v>
      </c>
      <c r="W75" t="str">
        <v>0</v>
      </c>
      <c r="X75">
        <v>23790</v>
      </c>
      <c r="Y75">
        <v>46210</v>
      </c>
      <c r="Z75" t="str">
        <v/>
      </c>
      <c r="AA75" t="str">
        <v>技術・人文知識・国際業務</v>
      </c>
      <c r="AB75" t="str">
        <v>498-0017</v>
      </c>
      <c r="AC75" t="str">
        <v>愛知県弥富市前ヶ須町西勘助207</v>
      </c>
      <c r="AD75" t="str">
        <v>CASA弥冨A203</v>
      </c>
      <c r="AE75">
        <v>44983</v>
      </c>
      <c r="AF75">
        <v>44222</v>
      </c>
      <c r="AG75">
        <v>45289</v>
      </c>
      <c r="AH75">
        <v>0</v>
      </c>
      <c r="AI75">
        <v>44287</v>
      </c>
      <c r="AJ75" t="str">
        <v>グエン　ヴァン　ティエン</v>
      </c>
      <c r="AK75" t="str">
        <v>ゆうちょ銀行</v>
      </c>
      <c r="AL75">
        <v>478</v>
      </c>
      <c r="AM75" t="str">
        <v>四七八</v>
      </c>
      <c r="AN75" t="str">
        <v>1982818</v>
      </c>
      <c r="AO75" t="str">
        <v>OK</v>
      </c>
      <c r="AP75">
        <v>0</v>
      </c>
    </row>
    <row r="76" spans="1:42">
      <c r="A76" t="str">
        <f>H76&amp;COUNTIF($H$2:H76,H76)</f>
        <v>Gライン1</v>
      </c>
      <c r="B76" t="str">
        <f>F76&amp;COUNTIF($F$2:F76,F76)</f>
        <v>高雄工業 本社3</v>
      </c>
      <c r="C76" t="str">
        <v>退社</v>
      </c>
      <c r="D76">
        <v>210203</v>
      </c>
      <c r="E76">
        <v>212007</v>
      </c>
      <c r="F76" t="str">
        <v>高雄工業 本社</v>
      </c>
      <c r="G76" t="str">
        <v>高雄工業株式会社 本社工場製作課</v>
      </c>
      <c r="H76" t="str">
        <v>Gライン</v>
      </c>
      <c r="I76">
        <v>0</v>
      </c>
      <c r="J76" t="str">
        <v>LUONG QUANG QUAN</v>
      </c>
      <c r="K76" t="str">
        <v>ルォン　クァン　クァン</v>
      </c>
      <c r="L76" t="str">
        <v>男</v>
      </c>
      <c r="M76" t="str">
        <v>ﾍﾞﾄﾅﾑ</v>
      </c>
      <c r="N76">
        <v>35412</v>
      </c>
      <c r="O76">
        <v>26</v>
      </c>
      <c r="P76">
        <v>1400</v>
      </c>
      <c r="Q76">
        <v>0</v>
      </c>
      <c r="R76">
        <v>1780</v>
      </c>
      <c r="S76" t="str">
        <v>9/16~ 1600円→1750円</v>
      </c>
      <c r="T76">
        <v>380</v>
      </c>
      <c r="U76">
        <v>0</v>
      </c>
      <c r="V76" t="str">
        <v/>
      </c>
      <c r="W76" t="str">
        <v>0</v>
      </c>
      <c r="X76" t="str">
        <v/>
      </c>
      <c r="Y76">
        <v>45734</v>
      </c>
      <c r="Z76" t="str">
        <v/>
      </c>
      <c r="AA76" t="str">
        <v>技術・人文知識・国際業務</v>
      </c>
      <c r="AB76" t="str">
        <v>498-0017</v>
      </c>
      <c r="AC76" t="str">
        <v>愛知県弥富市前ヶ須町南本田522-１</v>
      </c>
      <c r="AD76" t="str">
        <v>ﾐﾉﾔ弥冨ﾊｲﾂ502</v>
      </c>
      <c r="AE76">
        <v>44223</v>
      </c>
      <c r="AF76">
        <v>44229</v>
      </c>
      <c r="AG76">
        <v>44923</v>
      </c>
      <c r="AH76">
        <v>0</v>
      </c>
      <c r="AI76">
        <v>44287</v>
      </c>
      <c r="AJ76" t="str">
        <v>ルオン　クアン　クアン</v>
      </c>
      <c r="AK76" t="str">
        <v>ゆうちょ銀行</v>
      </c>
      <c r="AL76">
        <v>48</v>
      </c>
      <c r="AM76" t="str">
        <v>〇四八</v>
      </c>
      <c r="AN76" t="str">
        <v>3563256</v>
      </c>
      <c r="AO76" t="str">
        <v>OK</v>
      </c>
      <c r="AP76">
        <v>0</v>
      </c>
    </row>
    <row r="77" spans="1:42">
      <c r="A77" t="str">
        <f>H77&amp;COUNTIF($H$2:H77,H77)</f>
        <v>Fライン2</v>
      </c>
      <c r="B77" t="str">
        <f>F77&amp;COUNTIF($F$2:F77,F77)</f>
        <v>高雄工業 本社4</v>
      </c>
      <c r="C77" t="str">
        <v>在職中</v>
      </c>
      <c r="D77">
        <v>210208</v>
      </c>
      <c r="E77">
        <v>212008</v>
      </c>
      <c r="F77" t="str">
        <v>高雄工業 本社</v>
      </c>
      <c r="G77" t="str">
        <v>高雄工業株式会社 本社工場製作課</v>
      </c>
      <c r="H77" t="str">
        <v>Fライン</v>
      </c>
      <c r="I77" t="str">
        <v>CVJ部品短軸品の施削加工、NCプログラム修正</v>
      </c>
      <c r="J77" t="str">
        <v>MAI VAN DO</v>
      </c>
      <c r="K77" t="str">
        <v>マイ　ヴァン　ドー</v>
      </c>
      <c r="L77" t="str">
        <v>男</v>
      </c>
      <c r="M77" t="str">
        <v>ﾍﾞﾄﾅﾑ</v>
      </c>
      <c r="N77">
        <v>33087</v>
      </c>
      <c r="O77">
        <v>33</v>
      </c>
      <c r="P77">
        <v>1400</v>
      </c>
      <c r="Q77">
        <v>0</v>
      </c>
      <c r="R77">
        <v>1800</v>
      </c>
      <c r="S77" t="str">
        <v>9/16~ 1600円→1750円</v>
      </c>
      <c r="T77">
        <v>400</v>
      </c>
      <c r="U77">
        <v>260000</v>
      </c>
      <c r="V77">
        <v>13013</v>
      </c>
      <c r="W77" t="str">
        <v>0</v>
      </c>
      <c r="X77">
        <v>23790</v>
      </c>
      <c r="Y77">
        <v>45580</v>
      </c>
      <c r="Z77" t="str">
        <v/>
      </c>
      <c r="AA77" t="str">
        <v>技術・人文知識・国際業務</v>
      </c>
      <c r="AB77" t="str">
        <v>498-0031</v>
      </c>
      <c r="AC77" t="str">
        <v>愛知県弥富市平島町中新田128</v>
      </c>
      <c r="AD77" t="str">
        <v>ﾊｲﾂ大富B棟1</v>
      </c>
      <c r="AE77">
        <v>44232</v>
      </c>
      <c r="AF77">
        <v>44243</v>
      </c>
      <c r="AG77">
        <v>0</v>
      </c>
      <c r="AH77">
        <v>0</v>
      </c>
      <c r="AI77">
        <v>44287</v>
      </c>
      <c r="AJ77" t="str">
        <v>マイ　バン　ド</v>
      </c>
      <c r="AK77" t="str">
        <v>ゆうちょ銀行</v>
      </c>
      <c r="AL77">
        <v>118</v>
      </c>
      <c r="AM77" t="str">
        <v>一一八</v>
      </c>
      <c r="AN77" t="str">
        <v>4247632</v>
      </c>
      <c r="AO77" t="str">
        <v>OK</v>
      </c>
      <c r="AP77">
        <v>0</v>
      </c>
    </row>
    <row r="78" spans="1:42">
      <c r="A78" t="str">
        <f>H78&amp;COUNTIF($H$2:H78,H78)</f>
        <v>六面加工1</v>
      </c>
      <c r="B78" t="str">
        <f>F78&amp;COUNTIF($F$2:F78,F78)</f>
        <v>高雄工業 本社5</v>
      </c>
      <c r="C78" t="str">
        <v>退社</v>
      </c>
      <c r="D78">
        <v>210410</v>
      </c>
      <c r="E78">
        <v>212011</v>
      </c>
      <c r="F78" t="str">
        <v>高雄工業 本社</v>
      </c>
      <c r="G78" t="str">
        <v>高雄工業株式会社 本社工場製作課</v>
      </c>
      <c r="H78" t="str">
        <v>六面加工</v>
      </c>
      <c r="I78">
        <v>0</v>
      </c>
      <c r="J78" t="str">
        <v>LE DINH TUAN</v>
      </c>
      <c r="K78" t="str">
        <v>レ　ディン　トゥアン</v>
      </c>
      <c r="L78" t="str">
        <v>男</v>
      </c>
      <c r="M78" t="str">
        <v>ﾍﾞﾄﾅﾑ</v>
      </c>
      <c r="N78">
        <v>35048</v>
      </c>
      <c r="O78">
        <v>27</v>
      </c>
      <c r="P78">
        <v>1400</v>
      </c>
      <c r="Q78" t="str">
        <v>6/16~ \1200⇒\1250</v>
      </c>
      <c r="R78">
        <v>1770</v>
      </c>
      <c r="S78" t="str">
        <v>9/16~ 1600円→1750円</v>
      </c>
      <c r="T78">
        <v>370</v>
      </c>
      <c r="U78">
        <v>0</v>
      </c>
      <c r="V78" t="str">
        <v/>
      </c>
      <c r="W78" t="str">
        <v>0</v>
      </c>
      <c r="X78" t="str">
        <v/>
      </c>
      <c r="Y78">
        <v>45003</v>
      </c>
      <c r="Z78" t="str">
        <v>残り期限90日!</v>
      </c>
      <c r="AA78" t="str">
        <v>技術・人文知識・国際業務</v>
      </c>
      <c r="AB78" t="str">
        <v>498-0017</v>
      </c>
      <c r="AC78" t="str">
        <v>愛知県弥富市前ヶ須町南本田522-１</v>
      </c>
      <c r="AD78" t="str">
        <v>ﾐﾉﾔ弥冨ﾊｲﾂ502</v>
      </c>
      <c r="AE78">
        <v>44287</v>
      </c>
      <c r="AF78">
        <v>44295</v>
      </c>
      <c r="AG78">
        <v>44915</v>
      </c>
      <c r="AH78">
        <v>0</v>
      </c>
      <c r="AI78">
        <v>44348</v>
      </c>
      <c r="AJ78" t="str">
        <v>レー　ディン　トゥアン</v>
      </c>
      <c r="AK78" t="str">
        <v>ゆうちょ銀行</v>
      </c>
      <c r="AL78">
        <v>128</v>
      </c>
      <c r="AM78" t="str">
        <v>一二八</v>
      </c>
      <c r="AN78" t="str">
        <v>4329071</v>
      </c>
      <c r="AO78" t="str">
        <v>OK</v>
      </c>
      <c r="AP78">
        <v>0</v>
      </c>
    </row>
    <row r="79" spans="1:42">
      <c r="A79" t="str">
        <f>H79&amp;COUNTIF($H$2:H79,H79)</f>
        <v>Gライン2</v>
      </c>
      <c r="B79" t="str">
        <f>F79&amp;COUNTIF($F$2:F79,F79)</f>
        <v>高雄工業 本社6</v>
      </c>
      <c r="C79" t="str">
        <v>退社</v>
      </c>
      <c r="D79">
        <v>211102</v>
      </c>
      <c r="E79">
        <v>212016</v>
      </c>
      <c r="F79" t="str">
        <v>高雄工業 本社</v>
      </c>
      <c r="G79" t="str">
        <v>高雄工業株式会社 本社工場製作課</v>
      </c>
      <c r="H79" t="str">
        <v>Gライン</v>
      </c>
      <c r="I79">
        <v>0</v>
      </c>
      <c r="J79" t="str">
        <v>LAM VAN THANH</v>
      </c>
      <c r="K79" t="str">
        <v>ラム　ヴァン　タン</v>
      </c>
      <c r="L79" t="str">
        <v>男</v>
      </c>
      <c r="M79" t="str">
        <v>ﾍﾞﾄﾅﾑ</v>
      </c>
      <c r="N79">
        <v>31725</v>
      </c>
      <c r="O79">
        <v>37</v>
      </c>
      <c r="P79">
        <v>1410</v>
      </c>
      <c r="Q79">
        <v>0</v>
      </c>
      <c r="R79">
        <v>1770</v>
      </c>
      <c r="S79">
        <v>0</v>
      </c>
      <c r="T79">
        <v>360</v>
      </c>
      <c r="U79">
        <v>0</v>
      </c>
      <c r="V79" t="str">
        <v/>
      </c>
      <c r="W79" t="str">
        <v>0</v>
      </c>
      <c r="X79" t="str">
        <v/>
      </c>
      <c r="Y79">
        <v>45242</v>
      </c>
      <c r="Z79" t="str">
        <v>残り期限90日!</v>
      </c>
      <c r="AA79" t="str">
        <v>技術・人文知識・国際業務</v>
      </c>
      <c r="AB79" t="str">
        <v>453-0844</v>
      </c>
      <c r="AC79" t="str">
        <v>愛知県名古屋市中村区小鴨町72番地</v>
      </c>
      <c r="AD79" t="str">
        <v>ﾏﾝｼｮﾝ早河302号室</v>
      </c>
      <c r="AE79" t="str">
        <v>個人</v>
      </c>
      <c r="AF79">
        <v>44501</v>
      </c>
      <c r="AG79">
        <v>44923</v>
      </c>
      <c r="AH79">
        <v>0</v>
      </c>
      <c r="AI79">
        <v>22.01</v>
      </c>
      <c r="AJ79" t="str">
        <v>ラム　ヴァン　タン</v>
      </c>
      <c r="AK79" t="str">
        <v>ゆうちょ銀行</v>
      </c>
      <c r="AL79">
        <v>228</v>
      </c>
      <c r="AM79" t="str">
        <v>二二八</v>
      </c>
      <c r="AN79" t="str">
        <v>3330715</v>
      </c>
      <c r="AO79" t="str">
        <v>OK</v>
      </c>
      <c r="AP79" t="str">
        <v>2021/11/１（アルバイト）＝2021/11/16から　派遣社員</v>
      </c>
    </row>
    <row r="80" spans="1:42">
      <c r="A80" t="str">
        <f>H80&amp;COUNTIF($H$2:H80,H80)</f>
        <v>Gライン3</v>
      </c>
      <c r="B80" t="str">
        <f>F80&amp;COUNTIF($F$2:F80,F80)</f>
        <v>高雄工業 本社7</v>
      </c>
      <c r="C80" t="str">
        <v>在職中</v>
      </c>
      <c r="D80">
        <v>220121</v>
      </c>
      <c r="E80">
        <v>212018</v>
      </c>
      <c r="F80" t="str">
        <v>高雄工業 本社</v>
      </c>
      <c r="G80" t="str">
        <v>高雄工業株式会社 本社工場製作課</v>
      </c>
      <c r="H80" t="str">
        <v>Gライン</v>
      </c>
      <c r="I80" t="str">
        <v>CVJ部品長軸品の施削加工、NCプログラム修正</v>
      </c>
      <c r="J80" t="str">
        <v>NGO VAN HIEP</v>
      </c>
      <c r="K80" t="str">
        <v>ゴー　ヴァン　ヒエップ</v>
      </c>
      <c r="L80" t="str">
        <v>男</v>
      </c>
      <c r="M80" t="str">
        <v>ﾍﾞﾄﾅﾑ</v>
      </c>
      <c r="N80">
        <v>35377</v>
      </c>
      <c r="O80">
        <v>27</v>
      </c>
      <c r="P80">
        <v>1400</v>
      </c>
      <c r="Q80">
        <v>0</v>
      </c>
      <c r="R80">
        <v>1780</v>
      </c>
      <c r="S80">
        <v>0</v>
      </c>
      <c r="T80">
        <v>380</v>
      </c>
      <c r="U80">
        <v>260000</v>
      </c>
      <c r="V80">
        <v>13013</v>
      </c>
      <c r="W80" t="str">
        <v>0</v>
      </c>
      <c r="X80">
        <v>23790</v>
      </c>
      <c r="Y80">
        <v>45373</v>
      </c>
      <c r="Z80" t="str">
        <v/>
      </c>
      <c r="AA80" t="str">
        <v>技術・人文知識・国際業務</v>
      </c>
      <c r="AB80" t="str">
        <v>498-0031</v>
      </c>
      <c r="AC80" t="str">
        <v>愛知県弥富市平島町中新田196-1</v>
      </c>
      <c r="AD80" t="str">
        <v>ｺﾝﾂｪﾙﾊｳｽⅡD202</v>
      </c>
      <c r="AE80">
        <v>44558</v>
      </c>
      <c r="AF80">
        <v>44579</v>
      </c>
      <c r="AG80">
        <v>0</v>
      </c>
      <c r="AH80">
        <v>0</v>
      </c>
      <c r="AI80">
        <v>22.04</v>
      </c>
      <c r="AJ80">
        <v>0</v>
      </c>
      <c r="AK80">
        <v>0</v>
      </c>
      <c r="AL80">
        <v>0</v>
      </c>
      <c r="AM80">
        <v>0</v>
      </c>
      <c r="AN80">
        <v>0</v>
      </c>
      <c r="AO80" t="str">
        <v>OK</v>
      </c>
      <c r="AP80">
        <v>0</v>
      </c>
    </row>
    <row r="81" spans="1:42">
      <c r="A81" t="str">
        <f>H81&amp;COUNTIF($H$2:H81,H81)</f>
        <v>Aライン2</v>
      </c>
      <c r="B81" t="str">
        <f>F81&amp;COUNTIF($F$2:F81,F81)</f>
        <v>高雄工業 本社8</v>
      </c>
      <c r="C81" t="str">
        <v>退社</v>
      </c>
      <c r="D81">
        <v>210105</v>
      </c>
      <c r="E81">
        <v>212019</v>
      </c>
      <c r="F81" t="str">
        <v>高雄工業 本社</v>
      </c>
      <c r="G81" t="str">
        <v>高雄工業株式会社 本社工場製作課</v>
      </c>
      <c r="H81" t="str">
        <v>Aライン</v>
      </c>
      <c r="I81">
        <v>0</v>
      </c>
      <c r="J81" t="str">
        <v>PHAM CONG HA</v>
      </c>
      <c r="K81" t="str">
        <v>ファム　コン　ハー</v>
      </c>
      <c r="L81" t="str">
        <v>男</v>
      </c>
      <c r="M81" t="str">
        <v>ﾍﾞﾄﾅﾑ</v>
      </c>
      <c r="N81">
        <v>35053</v>
      </c>
      <c r="O81">
        <v>27</v>
      </c>
      <c r="P81">
        <v>1400</v>
      </c>
      <c r="Q81">
        <v>0</v>
      </c>
      <c r="R81">
        <v>1770</v>
      </c>
      <c r="S81">
        <v>0</v>
      </c>
      <c r="T81">
        <v>370</v>
      </c>
      <c r="U81">
        <v>0</v>
      </c>
      <c r="V81" t="str">
        <v/>
      </c>
      <c r="W81" t="str">
        <v>0</v>
      </c>
      <c r="X81" t="str">
        <v/>
      </c>
      <c r="Y81">
        <v>44990</v>
      </c>
      <c r="Z81" t="str">
        <v>残り期限90日!</v>
      </c>
      <c r="AA81" t="str">
        <v>技術・人文知識・国際業務</v>
      </c>
      <c r="AB81" t="str">
        <v>498-0017</v>
      </c>
      <c r="AC81" t="str">
        <v>愛知県弥富市前ヶ須町西勘助207</v>
      </c>
      <c r="AD81" t="str">
        <v>CASA弥冨B203</v>
      </c>
      <c r="AE81">
        <v>0</v>
      </c>
      <c r="AF81">
        <v>44585</v>
      </c>
      <c r="AG81">
        <v>44881</v>
      </c>
      <c r="AH81">
        <v>0</v>
      </c>
      <c r="AI81">
        <v>22.04</v>
      </c>
      <c r="AJ81" t="str">
        <v>グエン　ヴアン　クオン</v>
      </c>
      <c r="AK81" t="str">
        <v>三菱ＵＦＪ銀行</v>
      </c>
      <c r="AL81">
        <v>180</v>
      </c>
      <c r="AM81" t="str">
        <v>日暮里</v>
      </c>
      <c r="AN81" t="str">
        <v>687937</v>
      </c>
      <c r="AO81" t="str">
        <v>OK</v>
      </c>
      <c r="AP81" t="str">
        <v>2021/1/6～2021/4/23川原鉄工所所属　再入社</v>
      </c>
    </row>
    <row r="82" spans="1:42">
      <c r="A82" t="str">
        <f>H82&amp;COUNTIF($H$2:H82,H82)</f>
        <v>Gライン4</v>
      </c>
      <c r="B82" t="str">
        <f>F82&amp;COUNTIF($F$2:F82,F82)</f>
        <v>高雄工業 本社9</v>
      </c>
      <c r="C82" t="str">
        <v>退社</v>
      </c>
      <c r="D82">
        <v>220204</v>
      </c>
      <c r="E82">
        <v>212021</v>
      </c>
      <c r="F82" t="str">
        <v>高雄工業 本社</v>
      </c>
      <c r="G82" t="str">
        <v>高雄工業株式会社 本社工場製作課</v>
      </c>
      <c r="H82" t="str">
        <v>Gライン</v>
      </c>
      <c r="I82">
        <v>0</v>
      </c>
      <c r="J82" t="str">
        <v>VU VAN QUYNH</v>
      </c>
      <c r="K82" t="str">
        <v>ヴー　ヴァン　クイン</v>
      </c>
      <c r="L82" t="str">
        <v>男</v>
      </c>
      <c r="M82" t="str">
        <v>ﾍﾞﾄﾅﾑ</v>
      </c>
      <c r="N82">
        <v>35733</v>
      </c>
      <c r="O82">
        <v>26</v>
      </c>
      <c r="P82">
        <v>1400</v>
      </c>
      <c r="Q82">
        <v>0</v>
      </c>
      <c r="R82">
        <v>1760</v>
      </c>
      <c r="S82">
        <v>0</v>
      </c>
      <c r="T82">
        <v>360</v>
      </c>
      <c r="U82">
        <v>180000</v>
      </c>
      <c r="V82">
        <v>9009</v>
      </c>
      <c r="W82" t="str">
        <v>0</v>
      </c>
      <c r="X82">
        <v>16470</v>
      </c>
      <c r="Y82">
        <v>45284</v>
      </c>
      <c r="Z82" t="str">
        <v>残り期限90日!</v>
      </c>
      <c r="AA82" t="str">
        <v>技術・人文知識・国際業務</v>
      </c>
      <c r="AB82" t="str">
        <v>498-0025</v>
      </c>
      <c r="AC82" t="str">
        <v>愛知県弥富市平島町喜右味名78-1</v>
      </c>
      <c r="AD82" t="str">
        <v>ﾌﾚｸﾞﾗﾝｽ桂E棟102号</v>
      </c>
      <c r="AE82">
        <v>44602</v>
      </c>
      <c r="AF82">
        <v>44599</v>
      </c>
      <c r="AG82">
        <v>45020</v>
      </c>
      <c r="AH82">
        <v>45020</v>
      </c>
      <c r="AI82">
        <v>22.04</v>
      </c>
      <c r="AJ82" t="str">
        <v>グエン　ヴアン　クオン</v>
      </c>
      <c r="AK82" t="str">
        <v>三菱ＵＦＪ銀行</v>
      </c>
      <c r="AL82">
        <v>180</v>
      </c>
      <c r="AM82" t="str">
        <v>日暮里</v>
      </c>
      <c r="AN82" t="str">
        <v>687937</v>
      </c>
      <c r="AO82" t="str">
        <v>OK</v>
      </c>
      <c r="AP82">
        <v>0</v>
      </c>
    </row>
    <row r="83" spans="1:42">
      <c r="A83" t="str">
        <f>H83&amp;COUNTIF($H$2:H83,H83)</f>
        <v>Gライン5</v>
      </c>
      <c r="B83" t="str">
        <f>F83&amp;COUNTIF($F$2:F83,F83)</f>
        <v>高雄工業 本社10</v>
      </c>
      <c r="C83" t="str">
        <v>在職中</v>
      </c>
      <c r="D83">
        <v>220209</v>
      </c>
      <c r="E83">
        <v>212023</v>
      </c>
      <c r="F83" t="str">
        <v>高雄工業 本社</v>
      </c>
      <c r="G83" t="str">
        <v>高雄工業株式会社 本社工場製作課</v>
      </c>
      <c r="H83" t="str">
        <v>Gライン</v>
      </c>
      <c r="I83" t="str">
        <v>CVJ部品長軸品の施削加工、NCプログラム修正</v>
      </c>
      <c r="J83" t="str">
        <v>NGUYEN VAN LAP</v>
      </c>
      <c r="K83" t="str">
        <v>グエン　ヴァン　ラップ</v>
      </c>
      <c r="L83" t="str">
        <v>男</v>
      </c>
      <c r="M83" t="str">
        <v>ﾍﾞﾄﾅﾑ</v>
      </c>
      <c r="N83">
        <v>35544</v>
      </c>
      <c r="O83">
        <v>26</v>
      </c>
      <c r="P83">
        <v>1400</v>
      </c>
      <c r="Q83">
        <v>0</v>
      </c>
      <c r="R83">
        <v>1770</v>
      </c>
      <c r="S83">
        <v>0</v>
      </c>
      <c r="T83">
        <v>370</v>
      </c>
      <c r="U83">
        <v>260000</v>
      </c>
      <c r="V83">
        <v>13013</v>
      </c>
      <c r="W83" t="str">
        <v>0</v>
      </c>
      <c r="X83">
        <v>23790</v>
      </c>
      <c r="Y83">
        <v>45281</v>
      </c>
      <c r="Z83" t="str">
        <v>残り期限90日!</v>
      </c>
      <c r="AA83" t="str">
        <v>技術・人文知識・国際業務</v>
      </c>
      <c r="AB83" t="str">
        <v>498-0031</v>
      </c>
      <c r="AC83" t="str">
        <v>愛知県弥富市平島町甲新田82番地１</v>
      </c>
      <c r="AD83" t="str">
        <v>ﾊﾟｰｸﾀｳﾝ平島D201</v>
      </c>
      <c r="AE83">
        <v>44632</v>
      </c>
      <c r="AF83">
        <v>44599</v>
      </c>
      <c r="AG83">
        <v>0</v>
      </c>
      <c r="AH83">
        <v>0</v>
      </c>
      <c r="AI83">
        <v>22.04</v>
      </c>
      <c r="AJ83">
        <v>0</v>
      </c>
      <c r="AK83">
        <v>0</v>
      </c>
      <c r="AL83">
        <v>0</v>
      </c>
      <c r="AM83">
        <v>0</v>
      </c>
      <c r="AN83" t="str">
        <v>8431916</v>
      </c>
      <c r="AO83" t="str">
        <v>OK</v>
      </c>
      <c r="AP83">
        <v>0</v>
      </c>
    </row>
    <row r="84" spans="1:42">
      <c r="A84" t="str">
        <f>H84&amp;COUNTIF($H$2:H84,H84)</f>
        <v>Gライン6</v>
      </c>
      <c r="B84" t="str">
        <f>F84&amp;COUNTIF($F$2:F84,F84)</f>
        <v>高雄工業 本社11</v>
      </c>
      <c r="C84" t="str">
        <v>退社</v>
      </c>
      <c r="D84">
        <v>220208</v>
      </c>
      <c r="E84">
        <v>212024</v>
      </c>
      <c r="F84" t="str">
        <v>高雄工業 本社</v>
      </c>
      <c r="G84" t="str">
        <v>高雄工業株式会社 本社工場製作課</v>
      </c>
      <c r="H84" t="str">
        <v>Gライン</v>
      </c>
      <c r="I84">
        <v>0</v>
      </c>
      <c r="J84" t="str">
        <v>NGO QUOC THINH</v>
      </c>
      <c r="K84" t="str">
        <v>ゴ　クオック　テイン</v>
      </c>
      <c r="L84" t="str">
        <v>男</v>
      </c>
      <c r="M84" t="str">
        <v>ﾍﾞﾄﾅﾑ</v>
      </c>
      <c r="N84">
        <v>35358</v>
      </c>
      <c r="O84">
        <v>27</v>
      </c>
      <c r="P84">
        <v>1400</v>
      </c>
      <c r="Q84">
        <v>0</v>
      </c>
      <c r="R84">
        <v>1760</v>
      </c>
      <c r="S84">
        <v>0</v>
      </c>
      <c r="T84">
        <v>360</v>
      </c>
      <c r="U84">
        <v>180000</v>
      </c>
      <c r="V84">
        <v>9009</v>
      </c>
      <c r="W84" t="str">
        <v>0</v>
      </c>
      <c r="X84">
        <v>16470</v>
      </c>
      <c r="Y84">
        <v>45281</v>
      </c>
      <c r="Z84" t="str">
        <v>残り期限90日!</v>
      </c>
      <c r="AA84" t="str">
        <v>技術・人文知識・国際業務</v>
      </c>
      <c r="AB84" t="str">
        <v>498-0031</v>
      </c>
      <c r="AC84" t="str">
        <v>愛知県弥富市平島町甲新田82番地１</v>
      </c>
      <c r="AD84" t="str">
        <v>ﾊﾟｰｸﾀｳﾝ平島D201</v>
      </c>
      <c r="AE84">
        <v>44632</v>
      </c>
      <c r="AF84">
        <v>44599</v>
      </c>
      <c r="AG84">
        <v>45002</v>
      </c>
      <c r="AH84">
        <v>44995</v>
      </c>
      <c r="AI84">
        <v>22.04</v>
      </c>
      <c r="AJ84" t="str">
        <v>グエン　ヴアン　クオン</v>
      </c>
      <c r="AK84" t="str">
        <v>三菱ＵＦＪ銀行</v>
      </c>
      <c r="AL84">
        <v>180</v>
      </c>
      <c r="AM84" t="str">
        <v>日暮里</v>
      </c>
      <c r="AN84" t="str">
        <v>687937</v>
      </c>
      <c r="AO84" t="str">
        <v>OK</v>
      </c>
      <c r="AP84">
        <v>0</v>
      </c>
    </row>
    <row r="85" spans="1:42">
      <c r="A85" t="str">
        <f>H85&amp;COUNTIF($H$2:H85,H85)</f>
        <v>Fライン3</v>
      </c>
      <c r="B85" t="str">
        <f>F85&amp;COUNTIF($F$2:F85,F85)</f>
        <v>高雄工業 本社12</v>
      </c>
      <c r="C85" t="str">
        <v>退社</v>
      </c>
      <c r="D85">
        <v>220212</v>
      </c>
      <c r="E85">
        <v>212025</v>
      </c>
      <c r="F85" t="str">
        <v>高雄工業 本社</v>
      </c>
      <c r="G85" t="str">
        <v>高雄工業株式会社 本社工場製作課</v>
      </c>
      <c r="H85" t="str">
        <v>Fライン</v>
      </c>
      <c r="I85" t="str">
        <v>CVJ部品短軸品の施削加工、NCプログラム修正</v>
      </c>
      <c r="J85" t="str">
        <v>NGUYEN NGOC TUNG</v>
      </c>
      <c r="K85" t="str">
        <v>グエン　ゴック　トゥン</v>
      </c>
      <c r="L85" t="str">
        <v>男</v>
      </c>
      <c r="M85" t="str">
        <v>ﾍﾞﾄﾅﾑ</v>
      </c>
      <c r="N85">
        <v>34669</v>
      </c>
      <c r="O85">
        <v>29</v>
      </c>
      <c r="P85">
        <v>1400</v>
      </c>
      <c r="Q85">
        <v>0</v>
      </c>
      <c r="R85">
        <v>1770</v>
      </c>
      <c r="S85">
        <v>0</v>
      </c>
      <c r="T85">
        <v>370</v>
      </c>
      <c r="U85">
        <v>180000</v>
      </c>
      <c r="V85">
        <v>9009</v>
      </c>
      <c r="W85" t="str">
        <v>0</v>
      </c>
      <c r="X85">
        <v>16470</v>
      </c>
      <c r="Y85">
        <v>45283</v>
      </c>
      <c r="Z85" t="str">
        <v>残り期限90日!</v>
      </c>
      <c r="AA85" t="str">
        <v>技術・人文知識・国際業務</v>
      </c>
      <c r="AB85" t="str">
        <v>498-0031</v>
      </c>
      <c r="AC85" t="str">
        <v>愛知県弥富市平島町甲新田72-4</v>
      </c>
      <c r="AD85" t="str">
        <v>ｲｰｽﾄｺｰﾄ202</v>
      </c>
      <c r="AE85">
        <v>44596</v>
      </c>
      <c r="AF85">
        <v>44602</v>
      </c>
      <c r="AG85">
        <v>45058</v>
      </c>
      <c r="AH85">
        <v>45071</v>
      </c>
      <c r="AI85">
        <v>22.04</v>
      </c>
      <c r="AJ85">
        <v>0</v>
      </c>
      <c r="AK85">
        <v>0</v>
      </c>
      <c r="AL85">
        <v>0</v>
      </c>
      <c r="AM85">
        <v>0</v>
      </c>
      <c r="AN85">
        <v>0</v>
      </c>
      <c r="AO85" t="str">
        <v>OK</v>
      </c>
      <c r="AP85">
        <v>0</v>
      </c>
    </row>
    <row r="86" spans="1:42">
      <c r="A86" t="str">
        <f>H86&amp;COUNTIF($H$2:H86,H86)</f>
        <v>Fライン4</v>
      </c>
      <c r="B86" t="str">
        <f>F86&amp;COUNTIF($F$2:F86,F86)</f>
        <v>高雄工業 本社13</v>
      </c>
      <c r="C86" t="str">
        <v>在職中</v>
      </c>
      <c r="D86">
        <v>220503</v>
      </c>
      <c r="E86">
        <v>212027</v>
      </c>
      <c r="F86" t="str">
        <v>高雄工業 本社</v>
      </c>
      <c r="G86" t="str">
        <v>高雄工業株式会社 本社工場製作課</v>
      </c>
      <c r="H86" t="str">
        <v>Fライン</v>
      </c>
      <c r="I86" t="str">
        <v>CVJ部品短軸品の施削加工、NCプログラム修正</v>
      </c>
      <c r="J86" t="str">
        <v>HA VIET THUY</v>
      </c>
      <c r="K86" t="str">
        <v>ハー　ヴィエット　トウイ</v>
      </c>
      <c r="L86" t="str">
        <v>男</v>
      </c>
      <c r="M86" t="str">
        <v>ﾍﾞﾄﾅﾑ</v>
      </c>
      <c r="N86">
        <v>34820</v>
      </c>
      <c r="O86">
        <v>28</v>
      </c>
      <c r="P86">
        <v>1300</v>
      </c>
      <c r="Q86">
        <v>0</v>
      </c>
      <c r="R86">
        <v>1660</v>
      </c>
      <c r="S86">
        <v>0</v>
      </c>
      <c r="T86">
        <v>360</v>
      </c>
      <c r="U86">
        <v>300000</v>
      </c>
      <c r="V86">
        <v>15014.999999999998</v>
      </c>
      <c r="W86" t="str">
        <v>0</v>
      </c>
      <c r="X86">
        <v>27450</v>
      </c>
      <c r="Y86">
        <v>45407</v>
      </c>
      <c r="Z86" t="str">
        <v/>
      </c>
      <c r="AA86" t="str">
        <v>技術・人文知識・国際業務</v>
      </c>
      <c r="AB86" t="str">
        <v>498-0017</v>
      </c>
      <c r="AC86" t="str">
        <v>愛知県弥富市前ヶ須町西勘助207</v>
      </c>
      <c r="AD86" t="str">
        <v>CASA弥冨B203</v>
      </c>
      <c r="AE86">
        <v>44678</v>
      </c>
      <c r="AF86">
        <v>44690</v>
      </c>
      <c r="AG86">
        <v>0</v>
      </c>
      <c r="AH86">
        <v>0</v>
      </c>
      <c r="AI86" t="str">
        <v>22.07.01</v>
      </c>
      <c r="AJ86">
        <v>0</v>
      </c>
      <c r="AK86">
        <v>0</v>
      </c>
      <c r="AL86">
        <v>0</v>
      </c>
      <c r="AM86">
        <v>0</v>
      </c>
      <c r="AN86">
        <v>0</v>
      </c>
      <c r="AO86" t="str">
        <v>5/17原</v>
      </c>
      <c r="AP86">
        <v>0</v>
      </c>
    </row>
    <row r="87" spans="1:42">
      <c r="A87" t="str">
        <f>H87&amp;COUNTIF($H$2:H87,H87)</f>
        <v>Gライン7</v>
      </c>
      <c r="B87" t="str">
        <f>F87&amp;COUNTIF($F$2:F87,F87)</f>
        <v>高雄工業 本社14</v>
      </c>
      <c r="C87" t="str">
        <v>在職中</v>
      </c>
      <c r="D87">
        <v>220505</v>
      </c>
      <c r="E87">
        <v>212028</v>
      </c>
      <c r="F87" t="str">
        <v>高雄工業 本社</v>
      </c>
      <c r="G87" t="str">
        <v>高雄工業株式会社 本社工場製作課</v>
      </c>
      <c r="H87" t="str">
        <v>Gライン</v>
      </c>
      <c r="I87" t="str">
        <v>CVJ部品長軸品の施削加工、NCプログラム修正</v>
      </c>
      <c r="J87" t="str">
        <v>DANG THIN VIET</v>
      </c>
      <c r="K87" t="str">
        <v>ダン　ティン　ヴィエット</v>
      </c>
      <c r="L87" t="str">
        <v>男</v>
      </c>
      <c r="M87" t="str">
        <v>ﾍﾞﾄﾅﾑ</v>
      </c>
      <c r="N87">
        <v>35477</v>
      </c>
      <c r="O87">
        <v>26</v>
      </c>
      <c r="P87">
        <v>1300</v>
      </c>
      <c r="Q87">
        <v>0</v>
      </c>
      <c r="R87">
        <v>1660</v>
      </c>
      <c r="S87">
        <v>0</v>
      </c>
      <c r="T87">
        <v>360</v>
      </c>
      <c r="U87">
        <v>300000</v>
      </c>
      <c r="V87">
        <v>15014.999999999998</v>
      </c>
      <c r="W87" t="str">
        <v>0</v>
      </c>
      <c r="X87">
        <v>27450</v>
      </c>
      <c r="Y87">
        <v>45407</v>
      </c>
      <c r="Z87" t="str">
        <v/>
      </c>
      <c r="AA87" t="str">
        <v>技術・人文知識・国際業務</v>
      </c>
      <c r="AB87" t="str">
        <v>498-0017</v>
      </c>
      <c r="AC87" t="str">
        <v>愛知県弥富市前ヶ須町西勘助207</v>
      </c>
      <c r="AD87" t="str">
        <v>CASA弥冨B203</v>
      </c>
      <c r="AE87">
        <v>44675</v>
      </c>
      <c r="AF87">
        <v>44690</v>
      </c>
      <c r="AG87">
        <v>0</v>
      </c>
      <c r="AH87">
        <v>0</v>
      </c>
      <c r="AI87" t="str">
        <v>22.07.01</v>
      </c>
      <c r="AJ87">
        <v>0</v>
      </c>
      <c r="AK87">
        <v>0</v>
      </c>
      <c r="AL87">
        <v>0</v>
      </c>
      <c r="AM87">
        <v>0</v>
      </c>
      <c r="AN87" t="str">
        <v>3267821</v>
      </c>
      <c r="AO87" t="str">
        <v>5/17原</v>
      </c>
      <c r="AP87">
        <v>0</v>
      </c>
    </row>
    <row r="88" spans="1:42">
      <c r="A88" t="str">
        <f>H88&amp;COUNTIF($H$2:H88,H88)</f>
        <v>Gライン8</v>
      </c>
      <c r="B88" t="str">
        <f>F88&amp;COUNTIF($F$2:F88,F88)</f>
        <v>高雄工業 本社15</v>
      </c>
      <c r="C88" t="str">
        <v>退社</v>
      </c>
      <c r="D88">
        <v>220510</v>
      </c>
      <c r="E88">
        <v>212031</v>
      </c>
      <c r="F88" t="str">
        <v>高雄工業 本社</v>
      </c>
      <c r="G88" t="str">
        <v>高雄工業株式会社 本社工場製作課</v>
      </c>
      <c r="H88" t="str">
        <v>Gライン</v>
      </c>
      <c r="I88" t="str">
        <v>CVJ部品長軸品の施削加工、NCプログラム修正</v>
      </c>
      <c r="J88" t="str">
        <v>HO HUYNH DINH NGHIEM</v>
      </c>
      <c r="K88" t="str">
        <v>ホー　フィン　ディン　ギエム</v>
      </c>
      <c r="L88" t="str">
        <v>男</v>
      </c>
      <c r="M88" t="str">
        <v>ﾍﾞﾄﾅﾑ</v>
      </c>
      <c r="N88">
        <v>35784</v>
      </c>
      <c r="O88">
        <v>25</v>
      </c>
      <c r="P88">
        <v>1250</v>
      </c>
      <c r="Q88">
        <v>0</v>
      </c>
      <c r="R88">
        <v>1660</v>
      </c>
      <c r="S88">
        <v>0</v>
      </c>
      <c r="T88">
        <v>410</v>
      </c>
      <c r="U88">
        <v>180000</v>
      </c>
      <c r="V88">
        <v>9009</v>
      </c>
      <c r="W88" t="str">
        <v>0</v>
      </c>
      <c r="X88">
        <v>16470</v>
      </c>
      <c r="Y88">
        <v>45408</v>
      </c>
      <c r="Z88" t="str">
        <v/>
      </c>
      <c r="AA88" t="str">
        <v>技術・人文知識・国際業務</v>
      </c>
      <c r="AB88" t="str">
        <v>498-0031</v>
      </c>
      <c r="AC88" t="str">
        <v>愛知県弥富市平島町北広畑10-1</v>
      </c>
      <c r="AD88" t="str">
        <v>ﾚﾌﾞﾗﾝｶﾐｰﾘｱＢ205</v>
      </c>
      <c r="AE88">
        <v>45039</v>
      </c>
      <c r="AF88">
        <v>44692</v>
      </c>
      <c r="AG88">
        <v>45107</v>
      </c>
      <c r="AH88">
        <v>0</v>
      </c>
      <c r="AI88" t="str">
        <v>22.07.01</v>
      </c>
      <c r="AJ88">
        <v>0</v>
      </c>
      <c r="AK88">
        <v>0</v>
      </c>
      <c r="AL88">
        <v>0</v>
      </c>
      <c r="AM88">
        <v>0</v>
      </c>
      <c r="AN88" t="str">
        <v>3267821</v>
      </c>
      <c r="AO88" t="str">
        <v>5/19林</v>
      </c>
      <c r="AP88">
        <v>0</v>
      </c>
    </row>
    <row r="89" spans="1:42">
      <c r="A89" t="str">
        <f>H89&amp;COUNTIF($H$2:H89,H89)</f>
        <v>Fライン5</v>
      </c>
      <c r="B89" t="str">
        <f>F89&amp;COUNTIF($F$2:F89,F89)</f>
        <v>高雄工業 本社16</v>
      </c>
      <c r="C89" t="str">
        <v>在職中</v>
      </c>
      <c r="D89">
        <v>221102</v>
      </c>
      <c r="E89">
        <v>212032</v>
      </c>
      <c r="F89" t="str">
        <v>高雄工業 本社</v>
      </c>
      <c r="G89" t="str">
        <v>高雄工業株式会社 本社工場製作課</v>
      </c>
      <c r="H89" t="str">
        <v>Fライン</v>
      </c>
      <c r="I89" t="str">
        <v>CVJ部品短軸品の施削加工、NCプログラム修正</v>
      </c>
      <c r="J89" t="str">
        <v>NGUYEN QUOC DAT</v>
      </c>
      <c r="K89" t="str">
        <v>グエン　クオック　ダット</v>
      </c>
      <c r="L89" t="str">
        <v>男</v>
      </c>
      <c r="M89" t="str">
        <v>ﾍﾞﾄﾅﾑ</v>
      </c>
      <c r="N89">
        <v>34790</v>
      </c>
      <c r="O89">
        <v>28</v>
      </c>
      <c r="P89">
        <v>1260</v>
      </c>
      <c r="Q89">
        <v>0</v>
      </c>
      <c r="R89">
        <v>1660</v>
      </c>
      <c r="S89">
        <v>0</v>
      </c>
      <c r="T89">
        <v>400</v>
      </c>
      <c r="U89">
        <v>280000</v>
      </c>
      <c r="V89">
        <v>14014</v>
      </c>
      <c r="W89" t="str">
        <v>0</v>
      </c>
      <c r="X89">
        <v>25620</v>
      </c>
      <c r="Y89">
        <v>45407</v>
      </c>
      <c r="Z89" t="str">
        <v/>
      </c>
      <c r="AA89" t="str">
        <v>技術・人文知識・国際業務</v>
      </c>
      <c r="AB89" t="str">
        <v>498-0025</v>
      </c>
      <c r="AC89" t="str">
        <v>愛知県弥富市前ヶ須町西勘助207</v>
      </c>
      <c r="AD89" t="str">
        <v>CASA弥冨A203</v>
      </c>
      <c r="AE89">
        <v>44869</v>
      </c>
      <c r="AF89">
        <v>44874</v>
      </c>
      <c r="AG89">
        <v>0</v>
      </c>
      <c r="AH89">
        <v>0</v>
      </c>
      <c r="AI89" t="str">
        <v>22.12.1</v>
      </c>
      <c r="AJ89">
        <v>0</v>
      </c>
      <c r="AK89">
        <v>0</v>
      </c>
      <c r="AL89">
        <v>0</v>
      </c>
      <c r="AM89">
        <v>0</v>
      </c>
      <c r="AN89">
        <v>0</v>
      </c>
      <c r="AO89" t="str">
        <v>11/14林</v>
      </c>
      <c r="AP89">
        <v>0</v>
      </c>
    </row>
    <row r="90" spans="1:42">
      <c r="A90" t="str">
        <f>H90&amp;COUNTIF($H$2:H90,H90)</f>
        <v>Gライン9</v>
      </c>
      <c r="B90" t="str">
        <f>F90&amp;COUNTIF($F$2:F90,F90)</f>
        <v>高雄工業 本社17</v>
      </c>
      <c r="C90" t="str">
        <v>在職中</v>
      </c>
      <c r="D90">
        <v>221104</v>
      </c>
      <c r="E90">
        <v>212033</v>
      </c>
      <c r="F90" t="str">
        <v>高雄工業 本社</v>
      </c>
      <c r="G90" t="str">
        <v>高雄工業株式会社 本社工場製作課</v>
      </c>
      <c r="H90" t="str">
        <v>Gライン</v>
      </c>
      <c r="I90" t="str">
        <v>CVJ部品長軸品の施削加工、NCプログラム修正</v>
      </c>
      <c r="J90" t="str">
        <v>HOANG DUY THANG</v>
      </c>
      <c r="K90" t="str">
        <v>ホアン　ズイ　タン</v>
      </c>
      <c r="L90" t="str">
        <v>男</v>
      </c>
      <c r="M90" t="str">
        <v>ﾍﾞﾄﾅﾑ</v>
      </c>
      <c r="N90">
        <v>35422</v>
      </c>
      <c r="O90">
        <v>26</v>
      </c>
      <c r="P90">
        <v>1250</v>
      </c>
      <c r="Q90">
        <v>0</v>
      </c>
      <c r="R90">
        <v>1650</v>
      </c>
      <c r="S90">
        <v>0</v>
      </c>
      <c r="T90">
        <v>400</v>
      </c>
      <c r="U90">
        <v>280000</v>
      </c>
      <c r="V90">
        <v>14014</v>
      </c>
      <c r="W90" t="str">
        <v>0</v>
      </c>
      <c r="X90">
        <v>25620</v>
      </c>
      <c r="Y90">
        <v>45244</v>
      </c>
      <c r="Z90" t="str">
        <v>残り期限90日!</v>
      </c>
      <c r="AA90" t="str">
        <v>技術・人文知識・国際業務</v>
      </c>
      <c r="AB90" t="str">
        <v>498-0032</v>
      </c>
      <c r="AC90" t="str">
        <v>愛知県弥富市平島中4丁目128</v>
      </c>
      <c r="AD90" t="str">
        <v>村上貸家</v>
      </c>
      <c r="AE90">
        <v>44879</v>
      </c>
      <c r="AF90">
        <v>44882</v>
      </c>
      <c r="AG90">
        <v>0</v>
      </c>
      <c r="AH90">
        <v>0</v>
      </c>
      <c r="AI90" t="str">
        <v>22.12.1</v>
      </c>
      <c r="AJ90">
        <v>0</v>
      </c>
      <c r="AK90">
        <v>0</v>
      </c>
      <c r="AL90">
        <v>0</v>
      </c>
      <c r="AM90">
        <v>0</v>
      </c>
      <c r="AN90">
        <v>0</v>
      </c>
      <c r="AO90" t="str">
        <v>11/21林</v>
      </c>
      <c r="AP90">
        <v>0</v>
      </c>
    </row>
    <row r="91" spans="1:42">
      <c r="A91" t="str">
        <f>H91&amp;COUNTIF($H$2:H91,H91)</f>
        <v>Gライン10</v>
      </c>
      <c r="B91" t="str">
        <f>F91&amp;COUNTIF($F$2:F91,F91)</f>
        <v>高雄工業 本社18</v>
      </c>
      <c r="C91" t="str">
        <v>在職中</v>
      </c>
      <c r="D91">
        <v>221202</v>
      </c>
      <c r="E91">
        <v>212035</v>
      </c>
      <c r="F91" t="str">
        <v>高雄工業 本社</v>
      </c>
      <c r="G91" t="str">
        <v>高雄工業株式会社 本社工場製作課</v>
      </c>
      <c r="H91" t="str">
        <v>Gライン</v>
      </c>
      <c r="I91" t="str">
        <v>CVJ部品長軸品の施削加工、NCプログラム修正</v>
      </c>
      <c r="J91" t="str">
        <v>LE VIET DUNG</v>
      </c>
      <c r="K91" t="str">
        <v>レー　ヴィエット　ズン</v>
      </c>
      <c r="L91" t="str">
        <v>男</v>
      </c>
      <c r="M91" t="str">
        <v>ﾍﾞﾄﾅﾑ</v>
      </c>
      <c r="N91">
        <v>35703</v>
      </c>
      <c r="O91">
        <v>26</v>
      </c>
      <c r="P91">
        <v>1250</v>
      </c>
      <c r="Q91">
        <v>0</v>
      </c>
      <c r="R91">
        <v>1650</v>
      </c>
      <c r="S91">
        <v>0</v>
      </c>
      <c r="T91">
        <v>400</v>
      </c>
      <c r="U91">
        <v>280000</v>
      </c>
      <c r="V91">
        <v>14014</v>
      </c>
      <c r="W91" t="str">
        <v>0</v>
      </c>
      <c r="X91">
        <v>25620</v>
      </c>
      <c r="Y91">
        <v>45258</v>
      </c>
      <c r="Z91" t="str">
        <v>残り期限90日!</v>
      </c>
      <c r="AA91" t="str">
        <v>技術・人文知識・国際業務</v>
      </c>
      <c r="AB91" t="str">
        <v>498-0032</v>
      </c>
      <c r="AC91" t="str">
        <v>愛知県弥富市平島中4丁目128</v>
      </c>
      <c r="AD91" t="str">
        <v>村上貸家</v>
      </c>
      <c r="AE91">
        <v>44893</v>
      </c>
      <c r="AF91">
        <v>44896</v>
      </c>
      <c r="AG91">
        <v>0</v>
      </c>
      <c r="AH91">
        <v>0</v>
      </c>
      <c r="AI91" t="str">
        <v>23.1.1</v>
      </c>
      <c r="AJ91">
        <v>0</v>
      </c>
      <c r="AK91">
        <v>0</v>
      </c>
      <c r="AL91">
        <v>0</v>
      </c>
      <c r="AM91">
        <v>0</v>
      </c>
      <c r="AN91">
        <v>0</v>
      </c>
      <c r="AO91" t="str">
        <v>12/19林</v>
      </c>
      <c r="AP91">
        <v>0</v>
      </c>
    </row>
    <row r="92" spans="1:42">
      <c r="A92" t="str">
        <f>H92&amp;COUNTIF($H$2:H92,H92)</f>
        <v>Fライン6</v>
      </c>
      <c r="B92" t="str">
        <f>F92&amp;COUNTIF($F$2:F92,F92)</f>
        <v>高雄工業 本社19</v>
      </c>
      <c r="C92" t="str">
        <v>在職中</v>
      </c>
      <c r="D92">
        <v>221210</v>
      </c>
      <c r="E92">
        <v>212036</v>
      </c>
      <c r="F92" t="str">
        <v>高雄工業 本社</v>
      </c>
      <c r="G92" t="str">
        <v>高雄工業株式会社 本社工場製作課</v>
      </c>
      <c r="H92" t="str">
        <v>Fライン</v>
      </c>
      <c r="I92" t="str">
        <v>CVJ部品短軸品の施削加工、NCプログラム修正</v>
      </c>
      <c r="J92" t="str">
        <v>VU VAN DINH</v>
      </c>
      <c r="K92" t="str">
        <v>ヴー　ヴァン　ディン</v>
      </c>
      <c r="L92" t="str">
        <v>男</v>
      </c>
      <c r="M92" t="str">
        <v>ﾍﾞﾄﾅﾑ</v>
      </c>
      <c r="N92">
        <v>31986</v>
      </c>
      <c r="O92">
        <v>36</v>
      </c>
      <c r="P92">
        <v>1250</v>
      </c>
      <c r="Q92">
        <v>0</v>
      </c>
      <c r="R92">
        <v>1650</v>
      </c>
      <c r="S92">
        <v>0</v>
      </c>
      <c r="T92">
        <v>400</v>
      </c>
      <c r="U92">
        <v>260000</v>
      </c>
      <c r="V92">
        <v>13013</v>
      </c>
      <c r="W92" t="str">
        <v>0</v>
      </c>
      <c r="X92">
        <v>23790</v>
      </c>
      <c r="Y92">
        <v>45267</v>
      </c>
      <c r="Z92" t="str">
        <v>残り期限90日!</v>
      </c>
      <c r="AA92" t="str">
        <v>技術・人文知識・国際業務</v>
      </c>
      <c r="AB92" t="str">
        <v>498-0025</v>
      </c>
      <c r="AC92" t="str">
        <v>愛知県弥富市前ヶ須町西勘助207</v>
      </c>
      <c r="AD92" t="str">
        <v>CASA弥冨B203</v>
      </c>
      <c r="AE92">
        <v>44904</v>
      </c>
      <c r="AF92">
        <v>44907</v>
      </c>
      <c r="AG92">
        <v>0</v>
      </c>
      <c r="AH92">
        <v>0</v>
      </c>
      <c r="AI92" t="str">
        <v>23.1.1</v>
      </c>
      <c r="AJ92">
        <v>0</v>
      </c>
      <c r="AK92">
        <v>0</v>
      </c>
      <c r="AL92">
        <v>0</v>
      </c>
      <c r="AM92">
        <v>0</v>
      </c>
      <c r="AN92">
        <v>0</v>
      </c>
      <c r="AO92" t="str">
        <v>12/15林</v>
      </c>
      <c r="AP92">
        <v>0</v>
      </c>
    </row>
    <row r="93" spans="1:42">
      <c r="A93" t="str">
        <f>H93&amp;COUNTIF($H$2:H93,H93)</f>
        <v>Gライン11</v>
      </c>
      <c r="B93" t="str">
        <f>F93&amp;COUNTIF($F$2:F93,F93)</f>
        <v>高雄工業 本社20</v>
      </c>
      <c r="C93" t="str">
        <v>在職中</v>
      </c>
      <c r="D93">
        <v>221209</v>
      </c>
      <c r="E93">
        <v>212037</v>
      </c>
      <c r="F93" t="str">
        <v>高雄工業 本社</v>
      </c>
      <c r="G93" t="str">
        <v>高雄工業株式会社 本社工場製作課</v>
      </c>
      <c r="H93" t="str">
        <v>Gライン</v>
      </c>
      <c r="I93" t="str">
        <v>CVJ部品長軸品の施削加工、NCプログラム修正</v>
      </c>
      <c r="J93" t="str">
        <v>TRAN DUC TRUONG</v>
      </c>
      <c r="K93" t="str">
        <v>チャン　ドゥック　チュオン</v>
      </c>
      <c r="L93" t="str">
        <v>男</v>
      </c>
      <c r="M93" t="str">
        <v>ﾍﾞﾄﾅﾑ</v>
      </c>
      <c r="N93">
        <v>34048</v>
      </c>
      <c r="O93">
        <v>30</v>
      </c>
      <c r="P93">
        <v>1250</v>
      </c>
      <c r="Q93">
        <v>0</v>
      </c>
      <c r="R93">
        <v>1650</v>
      </c>
      <c r="S93">
        <v>0</v>
      </c>
      <c r="T93">
        <v>400</v>
      </c>
      <c r="U93">
        <v>280000</v>
      </c>
      <c r="V93">
        <v>14014</v>
      </c>
      <c r="W93" t="str">
        <v>0</v>
      </c>
      <c r="X93">
        <v>25620</v>
      </c>
      <c r="Y93">
        <v>45267</v>
      </c>
      <c r="Z93" t="str">
        <v>残り期限90日!</v>
      </c>
      <c r="AA93" t="str">
        <v>技術・人文知識・国際業務</v>
      </c>
      <c r="AB93" t="str">
        <v>498-0031</v>
      </c>
      <c r="AC93" t="str">
        <v>愛知県弥富市平島町北広畑10-1</v>
      </c>
      <c r="AD93" t="str">
        <v>ﾚﾌﾞﾗﾝｶﾐｰﾘｱB205</v>
      </c>
      <c r="AE93">
        <v>44904</v>
      </c>
      <c r="AF93">
        <v>44907</v>
      </c>
      <c r="AG93">
        <v>0</v>
      </c>
      <c r="AH93">
        <v>0</v>
      </c>
      <c r="AI93" t="str">
        <v>23.1.1</v>
      </c>
      <c r="AJ93">
        <v>0</v>
      </c>
      <c r="AK93">
        <v>0</v>
      </c>
      <c r="AL93">
        <v>0</v>
      </c>
      <c r="AM93">
        <v>0</v>
      </c>
      <c r="AN93">
        <v>0</v>
      </c>
      <c r="AO93" t="str">
        <v>12/15林</v>
      </c>
      <c r="AP93">
        <v>0</v>
      </c>
    </row>
    <row r="94" spans="1:42">
      <c r="A94" t="str">
        <f>H94&amp;COUNTIF($H$2:H94,H94)</f>
        <v>リフト作業1</v>
      </c>
      <c r="B94" t="str">
        <f>F94&amp;COUNTIF($F$2:F94,F94)</f>
        <v>高雄工業 本社21</v>
      </c>
      <c r="C94" t="str">
        <v>在職中</v>
      </c>
      <c r="D94">
        <v>230220</v>
      </c>
      <c r="E94">
        <v>212038</v>
      </c>
      <c r="F94" t="str">
        <v>高雄工業 本社</v>
      </c>
      <c r="G94" t="str">
        <v>高雄工業株式会社 第一営業部本社営業課</v>
      </c>
      <c r="H94" t="str">
        <v>リフト作業</v>
      </c>
      <c r="I94" t="str">
        <v>鋳造材料の工場内加工ラインへの供給</v>
      </c>
      <c r="J94" t="str">
        <v>SIDO SERGIO HIROJI</v>
      </c>
      <c r="K94" t="str">
        <v>シドウ　セルジオ　ヒロジ</v>
      </c>
      <c r="L94" t="str">
        <v>男</v>
      </c>
      <c r="M94" t="str">
        <v>ﾌﾞﾗｼﾞﾙ</v>
      </c>
      <c r="N94">
        <v>21815</v>
      </c>
      <c r="O94">
        <v>64</v>
      </c>
      <c r="P94">
        <v>1400</v>
      </c>
      <c r="Q94">
        <v>0</v>
      </c>
      <c r="R94">
        <v>1750</v>
      </c>
      <c r="S94">
        <v>0</v>
      </c>
      <c r="T94">
        <v>350</v>
      </c>
      <c r="U94">
        <v>260000</v>
      </c>
      <c r="V94">
        <v>13013</v>
      </c>
      <c r="W94">
        <v>2365.9999999999982</v>
      </c>
      <c r="X94">
        <v>23790</v>
      </c>
      <c r="Y94">
        <v>47026</v>
      </c>
      <c r="Z94" t="str">
        <v/>
      </c>
      <c r="AA94" t="str">
        <v>永住者</v>
      </c>
      <c r="AB94" t="str">
        <v>478-0054</v>
      </c>
      <c r="AC94" t="str">
        <v>愛知県知多市つづじヶ丘1丁目14番地</v>
      </c>
      <c r="AD94" t="str">
        <v>2号棟306号</v>
      </c>
      <c r="AE94" t="str">
        <v>個人</v>
      </c>
      <c r="AF94">
        <v>44985</v>
      </c>
      <c r="AG94">
        <v>0</v>
      </c>
      <c r="AH94">
        <v>0</v>
      </c>
      <c r="AI94" t="str">
        <v>23.3.1</v>
      </c>
      <c r="AJ94">
        <v>0</v>
      </c>
      <c r="AK94">
        <v>0</v>
      </c>
      <c r="AL94">
        <v>0</v>
      </c>
      <c r="AM94">
        <v>0</v>
      </c>
      <c r="AN94">
        <v>0</v>
      </c>
      <c r="AO94" t="str">
        <v>3/1林</v>
      </c>
      <c r="AP94">
        <v>0</v>
      </c>
    </row>
    <row r="95" spans="1:42">
      <c r="A95" t="str">
        <f>H95&amp;COUNTIF($H$2:H95,H95)</f>
        <v>Fライン7</v>
      </c>
      <c r="B95" t="str">
        <f>F95&amp;COUNTIF($F$2:F95,F95)</f>
        <v>高雄工業 本社22</v>
      </c>
      <c r="C95" t="str">
        <v>在職中</v>
      </c>
      <c r="D95">
        <v>230505</v>
      </c>
      <c r="E95">
        <v>212039</v>
      </c>
      <c r="F95" t="str">
        <v>高雄工業 本社</v>
      </c>
      <c r="G95" t="str">
        <v>高雄工業株式会社 本社工場製作課</v>
      </c>
      <c r="H95" t="str">
        <v>Fライン</v>
      </c>
      <c r="I95" t="str">
        <v>CVJ部品短軸品の施削加工、NCプログラム修正</v>
      </c>
      <c r="J95" t="str">
        <v>NGUYEN VAN TY</v>
      </c>
      <c r="K95" t="str">
        <v>グエン　ヴァン　ティ</v>
      </c>
      <c r="L95" t="str">
        <v>男</v>
      </c>
      <c r="M95" t="str">
        <v>ﾍﾞﾄﾅﾑ</v>
      </c>
      <c r="N95">
        <v>35429</v>
      </c>
      <c r="O95">
        <v>26</v>
      </c>
      <c r="P95">
        <v>1200</v>
      </c>
      <c r="Q95">
        <v>0</v>
      </c>
      <c r="R95">
        <v>1650</v>
      </c>
      <c r="S95">
        <v>0</v>
      </c>
      <c r="T95">
        <v>450</v>
      </c>
      <c r="U95">
        <v>180000</v>
      </c>
      <c r="V95">
        <v>9009</v>
      </c>
      <c r="W95" t="str">
        <v>0</v>
      </c>
      <c r="X95">
        <v>16470</v>
      </c>
      <c r="Y95">
        <v>45422</v>
      </c>
      <c r="Z95" t="str">
        <v/>
      </c>
      <c r="AA95" t="str">
        <v>技術・人文知識・国際業務</v>
      </c>
      <c r="AB95" t="str">
        <v>498-0017</v>
      </c>
      <c r="AC95" t="str">
        <v>愛知県弥富市前ケ須町西勘助207番地</v>
      </c>
      <c r="AD95" t="str">
        <v>CASA弥富A105</v>
      </c>
      <c r="AE95">
        <v>45056</v>
      </c>
      <c r="AF95">
        <v>45061</v>
      </c>
      <c r="AG95">
        <v>0</v>
      </c>
      <c r="AH95">
        <v>0</v>
      </c>
      <c r="AI95" t="str">
        <v>23.6.1</v>
      </c>
      <c r="AJ95">
        <v>0</v>
      </c>
      <c r="AK95">
        <v>0</v>
      </c>
      <c r="AL95">
        <v>0</v>
      </c>
      <c r="AM95">
        <v>0</v>
      </c>
      <c r="AN95">
        <v>0</v>
      </c>
      <c r="AO95" t="str">
        <v>5/17林</v>
      </c>
      <c r="AP95">
        <v>0</v>
      </c>
    </row>
    <row r="96" spans="1:42">
      <c r="A96" t="str">
        <f>H96&amp;COUNTIF($H$2:H96,H96)</f>
        <v>Gライン12</v>
      </c>
      <c r="B96" t="str">
        <f>F96&amp;COUNTIF($F$2:F96,F96)</f>
        <v>高雄工業 本社23</v>
      </c>
      <c r="C96" t="str">
        <v>在職中</v>
      </c>
      <c r="D96">
        <v>230812</v>
      </c>
      <c r="E96">
        <v>212040</v>
      </c>
      <c r="F96" t="str">
        <v>高雄工業 本社</v>
      </c>
      <c r="G96" t="str">
        <v>高雄工業株式会社 本社工場製作課</v>
      </c>
      <c r="H96" t="str">
        <v>Gライン</v>
      </c>
      <c r="I96" t="str">
        <v>CVJ部品長軸品の施削加工、NCプログラム修正</v>
      </c>
      <c r="J96" t="str">
        <v>NGUYEN NGOC THANH</v>
      </c>
      <c r="K96" t="str">
        <v>グエン　ゴック　タイン</v>
      </c>
      <c r="L96" t="str">
        <v>男</v>
      </c>
      <c r="M96" t="str">
        <v>ﾍﾞﾄﾅﾑ</v>
      </c>
      <c r="N96">
        <v>34092</v>
      </c>
      <c r="O96">
        <v>30</v>
      </c>
      <c r="P96">
        <v>1200</v>
      </c>
      <c r="Q96">
        <v>0</v>
      </c>
      <c r="R96">
        <v>1650</v>
      </c>
      <c r="S96">
        <v>0</v>
      </c>
      <c r="T96">
        <v>450</v>
      </c>
      <c r="U96">
        <v>190000</v>
      </c>
      <c r="V96">
        <v>9509.5</v>
      </c>
      <c r="W96" t="str">
        <v>0</v>
      </c>
      <c r="X96">
        <v>17385</v>
      </c>
      <c r="Y96">
        <v>45499</v>
      </c>
      <c r="Z96" t="str">
        <v/>
      </c>
      <c r="AA96" t="str">
        <v>技術・人文知識・国際業務</v>
      </c>
      <c r="AB96" t="str">
        <v>498-0026</v>
      </c>
      <c r="AC96" t="str">
        <v>愛知県弥富市鯏浦町西前新田119-1</v>
      </c>
      <c r="AD96" t="str">
        <v>ﾗｲﾌｺｱ119　307号</v>
      </c>
      <c r="AE96">
        <v>45133</v>
      </c>
      <c r="AF96">
        <v>45139</v>
      </c>
      <c r="AG96">
        <v>0</v>
      </c>
      <c r="AH96">
        <v>0</v>
      </c>
      <c r="AI96" t="str">
        <v>23.8.1</v>
      </c>
      <c r="AJ96">
        <v>0</v>
      </c>
      <c r="AK96">
        <v>0</v>
      </c>
      <c r="AL96">
        <v>0</v>
      </c>
      <c r="AM96">
        <v>0</v>
      </c>
      <c r="AN96">
        <v>0</v>
      </c>
      <c r="AO96" t="str">
        <v>8/9林</v>
      </c>
      <c r="AP96">
        <v>0</v>
      </c>
    </row>
    <row r="97" spans="1:42">
      <c r="A97" t="str">
        <f>H97&amp;COUNTIF($H$2:H97,H97)</f>
        <v>Gライン13</v>
      </c>
      <c r="B97" t="str">
        <f>F97&amp;COUNTIF($F$2:F97,F97)</f>
        <v>高雄工業 本社24</v>
      </c>
      <c r="C97" t="str">
        <v>在職中</v>
      </c>
      <c r="D97">
        <v>230813</v>
      </c>
      <c r="E97">
        <v>212041</v>
      </c>
      <c r="F97" t="str">
        <v>高雄工業 本社</v>
      </c>
      <c r="G97" t="str">
        <v>高雄工業株式会社 本社工場製作課</v>
      </c>
      <c r="H97" t="str">
        <v>Gライン</v>
      </c>
      <c r="I97" t="str">
        <v>CVJ部品長軸品の施削加工、NCプログラム修正</v>
      </c>
      <c r="J97" t="str">
        <v>NGUYEN DUY LAN</v>
      </c>
      <c r="K97" t="str">
        <v>グエン　ズイ　ラン</v>
      </c>
      <c r="L97" t="str">
        <v>男</v>
      </c>
      <c r="M97" t="str">
        <v>ﾍﾞﾄﾅﾑ</v>
      </c>
      <c r="N97">
        <v>36654</v>
      </c>
      <c r="O97">
        <v>23</v>
      </c>
      <c r="P97">
        <v>1200</v>
      </c>
      <c r="Q97">
        <v>0</v>
      </c>
      <c r="R97">
        <v>1650</v>
      </c>
      <c r="S97">
        <v>0</v>
      </c>
      <c r="T97">
        <v>450</v>
      </c>
      <c r="U97">
        <v>190000</v>
      </c>
      <c r="V97">
        <v>9509.5</v>
      </c>
      <c r="W97" t="str">
        <v>0</v>
      </c>
      <c r="X97">
        <v>17385</v>
      </c>
      <c r="Y97">
        <v>45499</v>
      </c>
      <c r="Z97" t="str">
        <v/>
      </c>
      <c r="AA97" t="str">
        <v>技術・人文知識・国際業務</v>
      </c>
      <c r="AB97" t="str">
        <v>498-0026</v>
      </c>
      <c r="AC97" t="str">
        <v>愛知県弥富市鯏浦町西前新田119-1</v>
      </c>
      <c r="AD97" t="str">
        <v>ﾗｲﾌｺｱ119　301号</v>
      </c>
      <c r="AE97">
        <v>45133</v>
      </c>
      <c r="AF97">
        <v>45139</v>
      </c>
      <c r="AG97">
        <v>0</v>
      </c>
      <c r="AH97">
        <v>0</v>
      </c>
      <c r="AI97" t="str">
        <v>23.8.1</v>
      </c>
      <c r="AJ97">
        <v>0</v>
      </c>
      <c r="AK97">
        <v>0</v>
      </c>
      <c r="AL97">
        <v>0</v>
      </c>
      <c r="AM97">
        <v>0</v>
      </c>
      <c r="AN97">
        <v>0</v>
      </c>
      <c r="AO97" t="str">
        <v>8/9林</v>
      </c>
      <c r="AP97">
        <v>0</v>
      </c>
    </row>
    <row r="98" spans="1:42">
      <c r="A98" t="str">
        <f>H98&amp;COUNTIF($H$2:H98,H98)</f>
        <v>Fライン8</v>
      </c>
      <c r="B98" t="str">
        <f>F98&amp;COUNTIF($F$2:F98,F98)</f>
        <v>高雄工業 本社25</v>
      </c>
      <c r="C98" t="str">
        <v>在職中</v>
      </c>
      <c r="D98">
        <v>230811</v>
      </c>
      <c r="E98">
        <v>212042</v>
      </c>
      <c r="F98" t="str">
        <v>高雄工業 本社</v>
      </c>
      <c r="G98" t="str">
        <v>高雄工業株式会社 本社工場製作課</v>
      </c>
      <c r="H98" t="str">
        <v>Fライン</v>
      </c>
      <c r="I98" t="str">
        <v>CVJ部品短軸品の施削加工、NCプログラム修正</v>
      </c>
      <c r="J98" t="str">
        <v>NGUYEN VAN QUY</v>
      </c>
      <c r="K98" t="str">
        <v>グエン　ヴァン　クイ</v>
      </c>
      <c r="L98" t="str">
        <v>男</v>
      </c>
      <c r="M98" t="str">
        <v>ﾍﾞﾄﾅﾑ</v>
      </c>
      <c r="N98">
        <v>37213</v>
      </c>
      <c r="O98">
        <v>22</v>
      </c>
      <c r="P98">
        <v>1200</v>
      </c>
      <c r="Q98">
        <v>0</v>
      </c>
      <c r="R98">
        <v>1650</v>
      </c>
      <c r="S98">
        <v>0</v>
      </c>
      <c r="T98">
        <v>450</v>
      </c>
      <c r="U98">
        <v>190000</v>
      </c>
      <c r="V98">
        <v>9509.5</v>
      </c>
      <c r="W98" t="str">
        <v>0</v>
      </c>
      <c r="X98">
        <v>17385</v>
      </c>
      <c r="Y98">
        <v>45499</v>
      </c>
      <c r="Z98" t="str">
        <v/>
      </c>
      <c r="AA98" t="str">
        <v>技術・人文知識・国際業務</v>
      </c>
      <c r="AB98" t="str">
        <v>498-0026</v>
      </c>
      <c r="AC98" t="str">
        <v>愛知県弥富市鯏浦町西前新田119-1</v>
      </c>
      <c r="AD98" t="str">
        <v>ﾗｲﾌｺｱ119　301号</v>
      </c>
      <c r="AE98">
        <v>45133</v>
      </c>
      <c r="AF98">
        <v>45139</v>
      </c>
      <c r="AG98">
        <v>0</v>
      </c>
      <c r="AH98">
        <v>0</v>
      </c>
      <c r="AI98" t="str">
        <v>23.8.1</v>
      </c>
      <c r="AJ98">
        <v>0</v>
      </c>
      <c r="AK98">
        <v>0</v>
      </c>
      <c r="AL98">
        <v>0</v>
      </c>
      <c r="AM98">
        <v>0</v>
      </c>
      <c r="AN98">
        <v>0</v>
      </c>
      <c r="AO98" t="str">
        <v>8/9林</v>
      </c>
      <c r="AP98">
        <v>0</v>
      </c>
    </row>
    <row r="99" spans="1:42">
      <c r="A99" t="str">
        <f>H99&amp;COUNTIF($H$2:H99,H99)</f>
        <v>Tライン1</v>
      </c>
      <c r="B99" t="str">
        <f>F99&amp;COUNTIF($F$2:F99,F99)</f>
        <v>高雄工業 本社26</v>
      </c>
      <c r="C99" t="str">
        <v>在職中</v>
      </c>
      <c r="D99">
        <v>230908</v>
      </c>
      <c r="E99">
        <v>212043</v>
      </c>
      <c r="F99" t="str">
        <v>高雄工業 本社</v>
      </c>
      <c r="G99" t="str">
        <v>高雄工業株式会社 本社工場製作課</v>
      </c>
      <c r="H99" t="str">
        <v>Tライン</v>
      </c>
      <c r="I99" t="str">
        <v>CVJ部品長軸品と短軸品の転造加工。</v>
      </c>
      <c r="J99" t="str">
        <v>LE VAN HAI</v>
      </c>
      <c r="K99" t="str">
        <v>レー　バン　ハイ</v>
      </c>
      <c r="L99" t="str">
        <v>男</v>
      </c>
      <c r="M99" t="str">
        <v>ﾍﾞﾄﾅﾑ</v>
      </c>
      <c r="N99">
        <v>36910</v>
      </c>
      <c r="O99">
        <v>22</v>
      </c>
      <c r="P99">
        <v>1200</v>
      </c>
      <c r="Q99">
        <v>0</v>
      </c>
      <c r="R99">
        <v>1650</v>
      </c>
      <c r="S99">
        <v>0</v>
      </c>
      <c r="T99">
        <v>450</v>
      </c>
      <c r="U99">
        <v>200000</v>
      </c>
      <c r="V99">
        <v>10010</v>
      </c>
      <c r="W99" t="str">
        <v>0</v>
      </c>
      <c r="X99">
        <v>18300</v>
      </c>
      <c r="Y99">
        <v>45547</v>
      </c>
      <c r="Z99" t="str">
        <v/>
      </c>
      <c r="AA99" t="str">
        <v>技術・人文知識・国際業務</v>
      </c>
      <c r="AB99" t="str">
        <v>498-0026</v>
      </c>
      <c r="AC99" t="str">
        <v>愛知県弥富市鯏浦町西前新田119-1</v>
      </c>
      <c r="AD99" t="str">
        <v>ﾗｲﾌｺｱ119　301号</v>
      </c>
      <c r="AE99">
        <v>45181</v>
      </c>
      <c r="AF99">
        <v>45187</v>
      </c>
      <c r="AG99">
        <v>0</v>
      </c>
      <c r="AH99">
        <v>0</v>
      </c>
      <c r="AI99" t="str">
        <v>23.9.18</v>
      </c>
      <c r="AJ99">
        <v>0</v>
      </c>
      <c r="AK99">
        <v>0</v>
      </c>
      <c r="AL99">
        <v>0</v>
      </c>
      <c r="AM99">
        <v>0</v>
      </c>
      <c r="AN99">
        <v>0</v>
      </c>
      <c r="AO99" t="str">
        <v>9/29林</v>
      </c>
      <c r="AP99">
        <v>0</v>
      </c>
    </row>
    <row r="100" spans="1:42">
      <c r="A100" t="str">
        <f>H100&amp;COUNTIF($H$2:H100,H100)</f>
        <v>Fライン9</v>
      </c>
      <c r="B100" t="str">
        <f>F100&amp;COUNTIF($F$2:F100,F100)</f>
        <v>高雄工業 本社27</v>
      </c>
      <c r="C100" t="str">
        <v>在職中</v>
      </c>
      <c r="D100">
        <v>231102</v>
      </c>
      <c r="E100">
        <v>212044</v>
      </c>
      <c r="F100" t="str">
        <v>高雄工業 本社</v>
      </c>
      <c r="G100" t="str">
        <v>高雄工業株式会社 本社工場製作課</v>
      </c>
      <c r="H100" t="str">
        <v>Fライン</v>
      </c>
      <c r="I100" t="str">
        <v>CVJ部品短軸品の施削加工、NCプログラム修正</v>
      </c>
      <c r="J100" t="str">
        <v>DUONG THANH TUNG</v>
      </c>
      <c r="K100" t="str">
        <v>ズオン　タイン　トゥン</v>
      </c>
      <c r="L100" t="str">
        <v>男</v>
      </c>
      <c r="M100" t="str">
        <v>ﾍﾞﾄﾅﾑ</v>
      </c>
      <c r="N100">
        <v>35497</v>
      </c>
      <c r="O100">
        <v>26</v>
      </c>
      <c r="P100">
        <v>1200</v>
      </c>
      <c r="Q100">
        <v>0</v>
      </c>
      <c r="R100">
        <v>1650</v>
      </c>
      <c r="S100">
        <v>0</v>
      </c>
      <c r="T100">
        <v>450</v>
      </c>
      <c r="U100">
        <v>200000</v>
      </c>
      <c r="V100">
        <v>10010</v>
      </c>
      <c r="W100" t="str">
        <v>0</v>
      </c>
      <c r="X100">
        <v>18300</v>
      </c>
      <c r="Y100">
        <v>45592</v>
      </c>
      <c r="Z100" t="str">
        <v/>
      </c>
      <c r="AA100" t="str">
        <v>技術・人文知識・国際業務</v>
      </c>
      <c r="AB100" t="str">
        <v>498-0034</v>
      </c>
      <c r="AC100" t="str">
        <v>愛知県弥富市平島東2-18</v>
      </c>
      <c r="AD100" t="str">
        <v>ｸﾞﾗﾝﾂｺｰﾄ402</v>
      </c>
      <c r="AE100">
        <v>0</v>
      </c>
      <c r="AF100">
        <v>45231</v>
      </c>
      <c r="AG100">
        <v>0</v>
      </c>
      <c r="AH100">
        <v>0</v>
      </c>
      <c r="AI100" t="str">
        <v>23.11.1</v>
      </c>
      <c r="AJ100">
        <v>0</v>
      </c>
      <c r="AK100">
        <v>0</v>
      </c>
      <c r="AL100">
        <v>0</v>
      </c>
      <c r="AM100">
        <v>0</v>
      </c>
      <c r="AN100">
        <v>0</v>
      </c>
      <c r="AO100" t="str">
        <v>11/20林</v>
      </c>
      <c r="AP100">
        <v>0</v>
      </c>
    </row>
    <row r="101" spans="1:42">
      <c r="A101" t="str">
        <f>H101&amp;COUNTIF($H$2:H101,H101)</f>
        <v>Tライン2</v>
      </c>
      <c r="B101" t="str">
        <f>F101&amp;COUNTIF($F$2:F101,F101)</f>
        <v>高雄工業 本社28</v>
      </c>
      <c r="C101" t="str">
        <v>在職中</v>
      </c>
      <c r="D101">
        <v>231103</v>
      </c>
      <c r="E101">
        <v>212045</v>
      </c>
      <c r="F101" t="str">
        <v>高雄工業 本社</v>
      </c>
      <c r="G101" t="str">
        <v>高雄工業株式会社 本社工場製作課</v>
      </c>
      <c r="H101" t="str">
        <v>Tライン</v>
      </c>
      <c r="I101" t="str">
        <v>CVJ部品長軸品と短軸品の転造加工。</v>
      </c>
      <c r="J101" t="str">
        <v>LOC TRUNG THIEN</v>
      </c>
      <c r="K101" t="str">
        <v>ロック　チュン　ティエン</v>
      </c>
      <c r="L101" t="str">
        <v>男</v>
      </c>
      <c r="M101" t="str">
        <v>ﾍﾞﾄﾅﾑ</v>
      </c>
      <c r="N101">
        <v>36831</v>
      </c>
      <c r="O101">
        <v>23</v>
      </c>
      <c r="P101">
        <v>1200</v>
      </c>
      <c r="Q101">
        <v>0</v>
      </c>
      <c r="R101">
        <v>1650</v>
      </c>
      <c r="S101">
        <v>0</v>
      </c>
      <c r="T101">
        <v>450</v>
      </c>
      <c r="U101">
        <v>200000</v>
      </c>
      <c r="V101">
        <v>10010</v>
      </c>
      <c r="W101" t="str">
        <v>0</v>
      </c>
      <c r="X101">
        <v>18300</v>
      </c>
      <c r="Y101">
        <v>45592</v>
      </c>
      <c r="Z101" t="str">
        <v/>
      </c>
      <c r="AA101" t="str">
        <v>技術・人文知識・国際業務</v>
      </c>
      <c r="AB101" t="str">
        <v>498-0034</v>
      </c>
      <c r="AC101" t="str">
        <v>愛知県弥富市平島東2-18</v>
      </c>
      <c r="AD101" t="str">
        <v>ｸﾞﾗﾝﾂｺｰﾄ402</v>
      </c>
      <c r="AE101">
        <v>0</v>
      </c>
      <c r="AF101">
        <v>45231</v>
      </c>
      <c r="AG101">
        <v>0</v>
      </c>
      <c r="AH101">
        <v>0</v>
      </c>
      <c r="AI101" t="str">
        <v>23.11.1</v>
      </c>
      <c r="AJ101">
        <v>0</v>
      </c>
      <c r="AK101">
        <v>0</v>
      </c>
      <c r="AL101">
        <v>0</v>
      </c>
      <c r="AM101">
        <v>0</v>
      </c>
      <c r="AN101">
        <v>0</v>
      </c>
      <c r="AO101" t="str">
        <v>11/20林</v>
      </c>
      <c r="AP101">
        <v>0</v>
      </c>
    </row>
    <row r="102" spans="1:42">
      <c r="A102" t="str">
        <f>H102&amp;COUNTIF($H$2:H102,H102)</f>
        <v>Aライン3</v>
      </c>
      <c r="B102" t="str">
        <f>F102&amp;COUNTIF($F$2:F102,F102)</f>
        <v>高雄工業 本社29</v>
      </c>
      <c r="C102" t="str">
        <v>在職中</v>
      </c>
      <c r="D102">
        <v>231206</v>
      </c>
      <c r="E102">
        <v>212046</v>
      </c>
      <c r="F102" t="str">
        <v>高雄工業 本社</v>
      </c>
      <c r="G102" t="str">
        <v>高雄工業株式会社 本社工場製作課</v>
      </c>
      <c r="H102" t="str">
        <v>Aライン</v>
      </c>
      <c r="I102" t="str">
        <v>CVJ部品短軸品の施削加工、NCプログラム修正</v>
      </c>
      <c r="J102" t="str">
        <v>PHAM VAN PHUONG</v>
      </c>
      <c r="K102" t="str">
        <v>ファム　ヴァン　フォン</v>
      </c>
      <c r="L102" t="str">
        <v>男</v>
      </c>
      <c r="M102" t="str">
        <v>ﾍﾞﾄﾅﾑ</v>
      </c>
      <c r="N102">
        <v>36983</v>
      </c>
      <c r="O102">
        <v>22</v>
      </c>
      <c r="P102">
        <v>1200</v>
      </c>
      <c r="Q102">
        <v>0</v>
      </c>
      <c r="R102">
        <v>1650</v>
      </c>
      <c r="S102">
        <v>0</v>
      </c>
      <c r="T102">
        <v>450</v>
      </c>
      <c r="U102">
        <v>0</v>
      </c>
      <c r="V102">
        <v>0</v>
      </c>
      <c r="W102" t="str">
        <v>0</v>
      </c>
      <c r="X102">
        <v>0</v>
      </c>
      <c r="Y102">
        <v>45623</v>
      </c>
      <c r="Z102" t="str">
        <v/>
      </c>
      <c r="AA102" t="str">
        <v>技術・人文知識・国際業務</v>
      </c>
      <c r="AB102">
        <v>0</v>
      </c>
      <c r="AC102">
        <v>0</v>
      </c>
      <c r="AD102">
        <v>0</v>
      </c>
      <c r="AE102">
        <v>45257</v>
      </c>
      <c r="AF102">
        <v>45261</v>
      </c>
      <c r="AG102">
        <v>0</v>
      </c>
      <c r="AH102">
        <v>0</v>
      </c>
      <c r="AI102">
        <v>0</v>
      </c>
      <c r="AJ102">
        <v>0</v>
      </c>
      <c r="AK102">
        <v>0</v>
      </c>
      <c r="AL102">
        <v>0</v>
      </c>
      <c r="AM102">
        <v>0</v>
      </c>
      <c r="AN102">
        <v>0</v>
      </c>
      <c r="AO102">
        <v>0</v>
      </c>
      <c r="AP102">
        <v>0</v>
      </c>
    </row>
    <row r="103" spans="1:42">
      <c r="A103" t="str">
        <f>H103&amp;COUNTIF($H$2:H103,H103)</f>
        <v>HUB_第11</v>
      </c>
      <c r="B103" t="str">
        <f>F103&amp;COUNTIF($F$2:F103,F103)</f>
        <v>高雄工業 海南第一1</v>
      </c>
      <c r="C103" t="str">
        <v>在職中</v>
      </c>
      <c r="D103">
        <v>201106</v>
      </c>
      <c r="E103">
        <v>222004</v>
      </c>
      <c r="F103" t="str">
        <v>高雄工業 海南第一</v>
      </c>
      <c r="G103" t="str">
        <v>高雄工業株式会社 海南第一工場製作1課</v>
      </c>
      <c r="H103" t="str">
        <v>HUB_第1</v>
      </c>
      <c r="I103" t="str">
        <v>ハブ加工　自動ラインの機械オペレーター、NCプログラム修正</v>
      </c>
      <c r="J103" t="str">
        <v>NGUYEN DINH TOAN</v>
      </c>
      <c r="K103" t="str">
        <v>グエン　ディン　トアン</v>
      </c>
      <c r="L103" t="str">
        <v>男</v>
      </c>
      <c r="M103" t="str">
        <v>ﾍﾞﾄﾅﾑ</v>
      </c>
      <c r="N103">
        <v>34415</v>
      </c>
      <c r="O103">
        <v>29</v>
      </c>
      <c r="P103">
        <v>1410</v>
      </c>
      <c r="Q103" t="str">
        <v>6/16~　\1210⇒\1260</v>
      </c>
      <c r="R103">
        <v>1790</v>
      </c>
      <c r="S103" t="str">
        <v>9/16~ 1610円→1760円</v>
      </c>
      <c r="T103">
        <v>380</v>
      </c>
      <c r="U103">
        <v>240000</v>
      </c>
      <c r="V103">
        <v>12012</v>
      </c>
      <c r="W103" t="str">
        <v>0</v>
      </c>
      <c r="X103">
        <v>21960</v>
      </c>
      <c r="Y103">
        <v>45499</v>
      </c>
      <c r="Z103" t="str">
        <v/>
      </c>
      <c r="AA103" t="str">
        <v>技術・人文知識・国際業務</v>
      </c>
      <c r="AB103" t="str">
        <v>498-0026</v>
      </c>
      <c r="AC103" t="str">
        <v>愛知県弥富市鯏浦町西前新田119－1</v>
      </c>
      <c r="AD103" t="str">
        <v>ﾗｲﾌｺｱ119　306号</v>
      </c>
      <c r="AE103" t="str">
        <v>個人</v>
      </c>
      <c r="AF103">
        <v>44159</v>
      </c>
      <c r="AG103">
        <v>0</v>
      </c>
      <c r="AH103">
        <v>0</v>
      </c>
      <c r="AI103">
        <v>44197</v>
      </c>
      <c r="AJ103" t="str">
        <v>グエン　ディン　トアン</v>
      </c>
      <c r="AK103" t="str">
        <v>ゆうちょ銀行</v>
      </c>
      <c r="AL103">
        <v>408</v>
      </c>
      <c r="AM103" t="str">
        <v>四〇八</v>
      </c>
      <c r="AN103" t="str">
        <v>6976316</v>
      </c>
      <c r="AO103" t="str">
        <v>OK</v>
      </c>
      <c r="AP103">
        <v>0</v>
      </c>
    </row>
    <row r="104" spans="1:42">
      <c r="A104" t="str">
        <f>H104&amp;COUNTIF($H$2:H104,H104)</f>
        <v>HUB_第12</v>
      </c>
      <c r="B104" t="str">
        <f>F104&amp;COUNTIF($F$2:F104,F104)</f>
        <v>高雄工業 海南第一2</v>
      </c>
      <c r="C104" t="str">
        <v>在職中</v>
      </c>
      <c r="D104">
        <v>210110</v>
      </c>
      <c r="E104">
        <v>222008</v>
      </c>
      <c r="F104" t="str">
        <v>高雄工業 海南第一</v>
      </c>
      <c r="G104" t="str">
        <v>高雄工業株式会社 海南第一工場製作1課</v>
      </c>
      <c r="H104" t="str">
        <v>HUB_第1</v>
      </c>
      <c r="I104" t="str">
        <v>ハブ加工　自動ラインの機械オペレーター、NCプログラム修正</v>
      </c>
      <c r="J104" t="str">
        <v>PHAM NGOC LAM</v>
      </c>
      <c r="K104" t="str">
        <v>ファム　ゴック　ラム</v>
      </c>
      <c r="L104" t="str">
        <v>男</v>
      </c>
      <c r="M104" t="str">
        <v>ﾍﾞﾄﾅﾑ</v>
      </c>
      <c r="N104">
        <v>34363</v>
      </c>
      <c r="O104">
        <v>29</v>
      </c>
      <c r="P104">
        <v>1400</v>
      </c>
      <c r="Q104" t="str">
        <v>6/16~ \1200⇒\1250</v>
      </c>
      <c r="R104">
        <v>1780</v>
      </c>
      <c r="S104" t="str">
        <v>9/16~ 1600円→1750円</v>
      </c>
      <c r="T104">
        <v>380</v>
      </c>
      <c r="U104">
        <v>240000</v>
      </c>
      <c r="V104">
        <v>12012</v>
      </c>
      <c r="W104" t="str">
        <v>0</v>
      </c>
      <c r="X104">
        <v>21960</v>
      </c>
      <c r="Y104">
        <v>45591</v>
      </c>
      <c r="Z104" t="str">
        <v/>
      </c>
      <c r="AA104" t="str">
        <v>技術・人文知識・国際業務</v>
      </c>
      <c r="AB104" t="str">
        <v>498-0021</v>
      </c>
      <c r="AC104" t="str">
        <v>愛知県弥富市鯏浦町浦六1-1</v>
      </c>
      <c r="AD104" t="str">
        <v>ｸﾞﾘｰﾝﾊｲﾂA棟201</v>
      </c>
      <c r="AE104">
        <v>44188</v>
      </c>
      <c r="AF104">
        <v>44204</v>
      </c>
      <c r="AG104">
        <v>0</v>
      </c>
      <c r="AH104">
        <v>0</v>
      </c>
      <c r="AI104">
        <v>44256</v>
      </c>
      <c r="AJ104" t="str">
        <v>ファム　ゴック　ラム</v>
      </c>
      <c r="AK104" t="str">
        <v>ゆうちょ銀行</v>
      </c>
      <c r="AL104">
        <v>408</v>
      </c>
      <c r="AM104" t="str">
        <v>四〇八</v>
      </c>
      <c r="AN104" t="str">
        <v>7116159</v>
      </c>
      <c r="AO104" t="str">
        <v>OK</v>
      </c>
      <c r="AP104">
        <v>0</v>
      </c>
    </row>
    <row r="105" spans="1:42">
      <c r="A105" t="str">
        <f>H105&amp;COUNTIF($H$2:H105,H105)</f>
        <v>段取1</v>
      </c>
      <c r="B105" t="str">
        <f>F105&amp;COUNTIF($F$2:F105,F105)</f>
        <v>高雄工業 海南第一3</v>
      </c>
      <c r="C105" t="str">
        <v>在職中</v>
      </c>
      <c r="D105">
        <v>210201</v>
      </c>
      <c r="E105">
        <v>222009</v>
      </c>
      <c r="F105" t="str">
        <v>高雄工業 海南第一</v>
      </c>
      <c r="G105" t="str">
        <v>高雄工業株式会社 海南第一工場製作1課</v>
      </c>
      <c r="H105" t="str">
        <v>段取</v>
      </c>
      <c r="I105" t="str">
        <v>加工機や冶具・装置の設定を変更する作業</v>
      </c>
      <c r="J105" t="str">
        <v>LE VAN THUONG</v>
      </c>
      <c r="K105" t="str">
        <v>レー　ヴァン　トゥオン</v>
      </c>
      <c r="L105" t="str">
        <v>男</v>
      </c>
      <c r="M105" t="str">
        <v>ﾍﾞﾄﾅﾑ</v>
      </c>
      <c r="N105">
        <v>33480</v>
      </c>
      <c r="O105">
        <v>32</v>
      </c>
      <c r="P105">
        <v>1460</v>
      </c>
      <c r="Q105" t="str">
        <v>4/16~ 1200⇒1260へ</v>
      </c>
      <c r="R105">
        <v>1790</v>
      </c>
      <c r="S105" t="str">
        <v>9/16~ 1610円→1760円</v>
      </c>
      <c r="T105">
        <v>330</v>
      </c>
      <c r="U105">
        <v>280000</v>
      </c>
      <c r="V105">
        <v>14014</v>
      </c>
      <c r="W105" t="str">
        <v>0</v>
      </c>
      <c r="X105">
        <v>25620</v>
      </c>
      <c r="Y105">
        <v>45566</v>
      </c>
      <c r="Z105" t="str">
        <v/>
      </c>
      <c r="AA105" t="str">
        <v>技術・人文知識・国際業務</v>
      </c>
      <c r="AB105" t="str">
        <v>498-0006</v>
      </c>
      <c r="AC105" t="str">
        <v>愛知県弥富市佐古木3丁目289-2</v>
      </c>
      <c r="AD105" t="str">
        <v>ﾄﾞﾐｰﾙ佐古木 105</v>
      </c>
      <c r="AE105">
        <v>44226</v>
      </c>
      <c r="AF105">
        <v>44228</v>
      </c>
      <c r="AG105">
        <v>0</v>
      </c>
      <c r="AH105">
        <v>0</v>
      </c>
      <c r="AI105">
        <v>44287</v>
      </c>
      <c r="AJ105" t="str">
        <v>レー　ヴァン　トウオン</v>
      </c>
      <c r="AK105" t="str">
        <v>三菱ＵＦＪ銀行</v>
      </c>
      <c r="AL105">
        <v>273</v>
      </c>
      <c r="AM105" t="str">
        <v>鳴海</v>
      </c>
      <c r="AN105" t="str">
        <v>207632</v>
      </c>
      <c r="AO105" t="str">
        <v>OK</v>
      </c>
      <c r="AP105">
        <v>0</v>
      </c>
    </row>
    <row r="106" spans="1:42">
      <c r="A106" t="str">
        <f>H106&amp;COUNTIF($H$2:H106,H106)</f>
        <v>H_2次旋1</v>
      </c>
      <c r="B106" t="str">
        <f>F106&amp;COUNTIF($F$2:F106,F106)</f>
        <v>高雄工業 海南第一4</v>
      </c>
      <c r="C106" t="str">
        <v>在職中</v>
      </c>
      <c r="D106">
        <v>210202</v>
      </c>
      <c r="E106">
        <v>222010</v>
      </c>
      <c r="F106" t="str">
        <v>高雄工業 海南第一</v>
      </c>
      <c r="G106" t="str">
        <v>高雄工業株式会社 海南第一工場製作1課</v>
      </c>
      <c r="H106" t="str">
        <v>H_2次旋</v>
      </c>
      <c r="I106" t="str">
        <v>ハブ加工品の2次施削、手動機械オペレーターNCプログラム修正</v>
      </c>
      <c r="J106" t="str">
        <v>PHAM NGOC TUNG</v>
      </c>
      <c r="K106" t="str">
        <v>ファム　ゴック　トゥン</v>
      </c>
      <c r="L106" t="str">
        <v>男</v>
      </c>
      <c r="M106" t="str">
        <v>ﾍﾞﾄﾅﾑ</v>
      </c>
      <c r="N106">
        <v>33501</v>
      </c>
      <c r="O106">
        <v>32</v>
      </c>
      <c r="P106">
        <v>1400</v>
      </c>
      <c r="Q106" t="str">
        <v>6/16~ \1200⇒\1250</v>
      </c>
      <c r="R106">
        <v>1780</v>
      </c>
      <c r="S106" t="str">
        <v>9/16~ 1600円→1750円</v>
      </c>
      <c r="T106">
        <v>380</v>
      </c>
      <c r="U106">
        <v>220000</v>
      </c>
      <c r="V106">
        <v>11011</v>
      </c>
      <c r="W106" t="str">
        <v>0</v>
      </c>
      <c r="X106">
        <v>20130</v>
      </c>
      <c r="Y106">
        <v>45702</v>
      </c>
      <c r="Z106" t="str">
        <v/>
      </c>
      <c r="AA106" t="str">
        <v>技術・人文知識・国際業務</v>
      </c>
      <c r="AB106" t="str">
        <v>498-0017</v>
      </c>
      <c r="AC106" t="str">
        <v>愛知県弥富市前ケ須町西勘助207番地</v>
      </c>
      <c r="AD106" t="str">
        <v>CASA弥富A202</v>
      </c>
      <c r="AE106" t="str">
        <v>個人</v>
      </c>
      <c r="AF106">
        <v>44228</v>
      </c>
      <c r="AG106">
        <v>45275</v>
      </c>
      <c r="AH106">
        <v>0</v>
      </c>
      <c r="AI106">
        <v>44287</v>
      </c>
      <c r="AJ106" t="str">
        <v>ファム　ゴック　トゥン</v>
      </c>
      <c r="AK106" t="str">
        <v>ゆうちょ銀行</v>
      </c>
      <c r="AL106">
        <v>208</v>
      </c>
      <c r="AM106" t="str">
        <v>二〇八</v>
      </c>
      <c r="AN106" t="str">
        <v>1650581</v>
      </c>
      <c r="AO106" t="str">
        <v>OK</v>
      </c>
      <c r="AP106">
        <v>0</v>
      </c>
    </row>
    <row r="107" spans="1:42">
      <c r="A107" t="str">
        <f>H107&amp;COUNTIF($H$2:H107,H107)</f>
        <v>ト精密1</v>
      </c>
      <c r="B107" t="str">
        <f>F107&amp;COUNTIF($F$2:F107,F107)</f>
        <v>高雄工業 海南第二1</v>
      </c>
      <c r="C107" t="str">
        <v>退社</v>
      </c>
      <c r="D107">
        <v>210206</v>
      </c>
      <c r="E107">
        <v>222011</v>
      </c>
      <c r="F107" t="str">
        <v>高雄工業 海南第二</v>
      </c>
      <c r="G107" t="str">
        <v>高雄工業株式会社 海南第二工場製作課</v>
      </c>
      <c r="H107" t="str">
        <v>ト精密</v>
      </c>
      <c r="I107">
        <v>0</v>
      </c>
      <c r="J107" t="str">
        <v>TRAN VAN TUE</v>
      </c>
      <c r="K107" t="str">
        <v>チャン　ヴァン　トゥエ</v>
      </c>
      <c r="L107" t="str">
        <v>男</v>
      </c>
      <c r="M107" t="str">
        <v>ﾍﾞﾄﾅﾑ</v>
      </c>
      <c r="N107">
        <v>35024</v>
      </c>
      <c r="O107">
        <v>28</v>
      </c>
      <c r="P107">
        <v>1400</v>
      </c>
      <c r="Q107" t="str">
        <v>6/16~ \1200⇒\1250</v>
      </c>
      <c r="R107">
        <v>1770</v>
      </c>
      <c r="S107" t="str">
        <v>9/16~ 1600円→1750円</v>
      </c>
      <c r="T107">
        <v>370</v>
      </c>
      <c r="U107">
        <v>300000</v>
      </c>
      <c r="V107">
        <v>15014.999999999998</v>
      </c>
      <c r="W107" t="str">
        <v>0</v>
      </c>
      <c r="X107">
        <v>27450</v>
      </c>
      <c r="Y107">
        <v>45227</v>
      </c>
      <c r="Z107" t="str">
        <v>残り期限90日!</v>
      </c>
      <c r="AA107" t="str">
        <v>技術・人文知識・国際業務</v>
      </c>
      <c r="AB107" t="str">
        <v>498-0017</v>
      </c>
      <c r="AC107" t="str">
        <v>愛知県弥富市前ヶ須町東勘助138</v>
      </c>
      <c r="AD107" t="str">
        <v>安井ﾋﾞﾙ5D</v>
      </c>
      <c r="AE107">
        <v>44233</v>
      </c>
      <c r="AF107">
        <v>44235</v>
      </c>
      <c r="AG107">
        <v>45042</v>
      </c>
      <c r="AH107">
        <v>0</v>
      </c>
      <c r="AI107">
        <v>44287</v>
      </c>
      <c r="AJ107" t="str">
        <v>チャン　ヴァン　トゥエ</v>
      </c>
      <c r="AK107" t="str">
        <v>ゆうちょ銀行</v>
      </c>
      <c r="AL107">
        <v>458</v>
      </c>
      <c r="AM107" t="str">
        <v>四五八</v>
      </c>
      <c r="AN107" t="str">
        <v>2456842</v>
      </c>
      <c r="AO107" t="str">
        <v>OK</v>
      </c>
      <c r="AP107">
        <v>0</v>
      </c>
    </row>
    <row r="108" spans="1:42">
      <c r="A108" t="str">
        <f>H108&amp;COUNTIF($H$2:H108,H108)</f>
        <v>HUB_第13</v>
      </c>
      <c r="B108" t="str">
        <f>F108&amp;COUNTIF($F$2:F108,F108)</f>
        <v>高雄工業 海南第一5</v>
      </c>
      <c r="C108" t="str">
        <v>在職中</v>
      </c>
      <c r="D108">
        <v>210205</v>
      </c>
      <c r="E108">
        <v>222012</v>
      </c>
      <c r="F108" t="str">
        <v>高雄工業 海南第一</v>
      </c>
      <c r="G108" t="str">
        <v>高雄工業株式会社 海南第一工場製作1課</v>
      </c>
      <c r="H108" t="str">
        <v>HUB_第1</v>
      </c>
      <c r="I108" t="str">
        <v>ハブ加工　自動ラインの機械オペレーター、NCプログラム修正</v>
      </c>
      <c r="J108" t="str">
        <v>HOANG VAN VU</v>
      </c>
      <c r="K108" t="str">
        <v>ホアン　ヴァン　ヴー</v>
      </c>
      <c r="L108" t="str">
        <v>男</v>
      </c>
      <c r="M108" t="str">
        <v>ﾍﾞﾄﾅﾑ</v>
      </c>
      <c r="N108">
        <v>34482</v>
      </c>
      <c r="O108">
        <v>29</v>
      </c>
      <c r="P108">
        <v>1400</v>
      </c>
      <c r="Q108" t="str">
        <v>6/16~ \1200⇒\1250</v>
      </c>
      <c r="R108">
        <v>1780</v>
      </c>
      <c r="S108" t="str">
        <v>9/16~ 1600円→1750円</v>
      </c>
      <c r="T108">
        <v>380</v>
      </c>
      <c r="U108">
        <v>260000</v>
      </c>
      <c r="V108">
        <v>13013</v>
      </c>
      <c r="W108" t="str">
        <v>0</v>
      </c>
      <c r="X108">
        <v>23790</v>
      </c>
      <c r="Y108">
        <v>45598</v>
      </c>
      <c r="Z108" t="str">
        <v/>
      </c>
      <c r="AA108" t="str">
        <v>技術・人文知識・国際業務</v>
      </c>
      <c r="AB108" t="str">
        <v>498-0031</v>
      </c>
      <c r="AC108" t="str">
        <v>愛知県弥富市平島町甲新田72-4</v>
      </c>
      <c r="AD108" t="str">
        <v>EAST COURT Y･M202</v>
      </c>
      <c r="AE108">
        <v>44226</v>
      </c>
      <c r="AF108">
        <v>44235</v>
      </c>
      <c r="AG108">
        <v>0</v>
      </c>
      <c r="AH108">
        <v>0</v>
      </c>
      <c r="AI108">
        <v>44287</v>
      </c>
      <c r="AJ108" t="str">
        <v>ホアン　ヴァン　ヴー</v>
      </c>
      <c r="AK108" t="str">
        <v>ゆうちょ銀行</v>
      </c>
      <c r="AL108">
        <v>468</v>
      </c>
      <c r="AM108" t="str">
        <v>四六八</v>
      </c>
      <c r="AN108" t="str">
        <v>2554425</v>
      </c>
      <c r="AO108" t="str">
        <v>OK</v>
      </c>
      <c r="AP108">
        <v>0</v>
      </c>
    </row>
    <row r="109" spans="1:42">
      <c r="A109" t="str">
        <f>H109&amp;COUNTIF($H$2:H109,H109)</f>
        <v>HUB_第14</v>
      </c>
      <c r="B109" t="str">
        <f>F109&amp;COUNTIF($F$2:F109,F109)</f>
        <v>高雄工業 海南第一6</v>
      </c>
      <c r="C109" t="str">
        <v>在職中</v>
      </c>
      <c r="D109">
        <v>210610</v>
      </c>
      <c r="E109">
        <v>222020</v>
      </c>
      <c r="F109" t="str">
        <v>高雄工業 海南第一</v>
      </c>
      <c r="G109" t="str">
        <v>高雄工業株式会社 海南第一工場製作1課</v>
      </c>
      <c r="H109" t="str">
        <v>HUB_第1</v>
      </c>
      <c r="I109" t="str">
        <v>ハブ加工　自動ラインの機械オペレーター、NCプログラム修正</v>
      </c>
      <c r="J109" t="str">
        <v>CAO QUOC DUNG</v>
      </c>
      <c r="K109" t="str">
        <v>カオ　コック　ズン</v>
      </c>
      <c r="L109" t="str">
        <v>男</v>
      </c>
      <c r="M109" t="str">
        <v>ﾍﾞﾄﾅﾑ</v>
      </c>
      <c r="N109">
        <v>32979</v>
      </c>
      <c r="O109">
        <v>33</v>
      </c>
      <c r="P109">
        <v>1400</v>
      </c>
      <c r="Q109" t="str">
        <v>6/16~ \1200⇒\1250</v>
      </c>
      <c r="R109">
        <v>1780</v>
      </c>
      <c r="S109" t="str">
        <v>9/16~ 1600円→1750円</v>
      </c>
      <c r="T109">
        <v>380</v>
      </c>
      <c r="U109">
        <v>240000</v>
      </c>
      <c r="V109">
        <v>12012</v>
      </c>
      <c r="W109" t="str">
        <v>0</v>
      </c>
      <c r="X109">
        <v>21960</v>
      </c>
      <c r="Y109">
        <v>45626</v>
      </c>
      <c r="Z109" t="str">
        <v/>
      </c>
      <c r="AA109" t="str">
        <v>技術・人文知識・国際業務</v>
      </c>
      <c r="AB109" t="str">
        <v>498-0031</v>
      </c>
      <c r="AC109" t="str">
        <v>愛知県弥富市平島町甲新田82番地１</v>
      </c>
      <c r="AD109" t="str">
        <v>ﾊﾟｰｸﾀｳﾝ平島D201</v>
      </c>
      <c r="AE109">
        <v>44982</v>
      </c>
      <c r="AF109">
        <v>44363</v>
      </c>
      <c r="AG109">
        <v>0</v>
      </c>
      <c r="AH109">
        <v>0</v>
      </c>
      <c r="AI109">
        <v>44409</v>
      </c>
      <c r="AJ109" t="str">
        <v>カオ　コック　ズン</v>
      </c>
      <c r="AK109" t="str">
        <v>ゆうちょ銀行</v>
      </c>
      <c r="AL109">
        <v>748</v>
      </c>
      <c r="AM109" t="str">
        <v>七四八</v>
      </c>
      <c r="AN109" t="str">
        <v>7713645</v>
      </c>
      <c r="AO109" t="str">
        <v>OK</v>
      </c>
      <c r="AP109">
        <v>0</v>
      </c>
    </row>
    <row r="110" spans="1:42">
      <c r="A110" t="str">
        <f>H110&amp;COUNTIF($H$2:H110,H110)</f>
        <v>TKE第一営1</v>
      </c>
      <c r="B110" t="str">
        <f>F110&amp;COUNTIF($F$2:F110,F110)</f>
        <v>高雄工業 海南第一7</v>
      </c>
      <c r="C110" t="str">
        <v>退社</v>
      </c>
      <c r="D110">
        <v>210711</v>
      </c>
      <c r="E110">
        <v>222022</v>
      </c>
      <c r="F110" t="str">
        <v>高雄工業 海南第一</v>
      </c>
      <c r="G110" t="str">
        <v>高雄工業株式会社 TKE第一営</v>
      </c>
      <c r="H110" t="str">
        <v>TKE第一営</v>
      </c>
      <c r="I110">
        <v>0</v>
      </c>
      <c r="J110" t="str">
        <v>河野　依里香</v>
      </c>
      <c r="K110" t="str">
        <v>コウノ　エリコ</v>
      </c>
      <c r="L110" t="str">
        <v>女</v>
      </c>
      <c r="M110" t="str">
        <v>日本</v>
      </c>
      <c r="N110">
        <v>27134</v>
      </c>
      <c r="O110">
        <v>49</v>
      </c>
      <c r="P110">
        <v>1200</v>
      </c>
      <c r="Q110" t="str">
        <v>9/16~　1150円→1200円</v>
      </c>
      <c r="R110">
        <v>1770</v>
      </c>
      <c r="S110" t="str">
        <v>9/16~ 1700円→1750円</v>
      </c>
      <c r="T110">
        <v>570</v>
      </c>
      <c r="U110">
        <v>200000</v>
      </c>
      <c r="V110">
        <v>10010</v>
      </c>
      <c r="W110">
        <v>1819.9999999999984</v>
      </c>
      <c r="X110">
        <v>18300</v>
      </c>
      <c r="Y110">
        <v>0</v>
      </c>
      <c r="Z110" t="str">
        <v/>
      </c>
      <c r="AA110">
        <v>0</v>
      </c>
      <c r="AB110" t="str">
        <v>497-0032</v>
      </c>
      <c r="AC110" t="str">
        <v>愛知県海部郡蟹江町今市之坪16-5</v>
      </c>
      <c r="AD110">
        <v>0</v>
      </c>
      <c r="AE110" t="str">
        <v>個人</v>
      </c>
      <c r="AF110">
        <v>44396</v>
      </c>
      <c r="AG110">
        <v>45036</v>
      </c>
      <c r="AH110">
        <v>0</v>
      </c>
      <c r="AI110">
        <v>44470</v>
      </c>
      <c r="AJ110" t="str">
        <v>コウノ　エリコ</v>
      </c>
      <c r="AK110" t="str">
        <v>ゆうちょ銀行</v>
      </c>
      <c r="AL110">
        <v>218</v>
      </c>
      <c r="AM110" t="str">
        <v>二一八</v>
      </c>
      <c r="AN110" t="str">
        <v>577270</v>
      </c>
      <c r="AO110" t="str">
        <v>OK</v>
      </c>
      <c r="AP110">
        <v>0</v>
      </c>
    </row>
    <row r="111" spans="1:42">
      <c r="A111" t="str">
        <f>H111&amp;COUNTIF($H$2:H111,H111)</f>
        <v>CAD1</v>
      </c>
      <c r="B111" t="str">
        <f>F111&amp;COUNTIF($F$2:F111,F111)</f>
        <v>高雄工業 海南第二2</v>
      </c>
      <c r="C111" t="str">
        <v>在職中</v>
      </c>
      <c r="D111">
        <v>210712</v>
      </c>
      <c r="E111">
        <v>222023</v>
      </c>
      <c r="F111" t="str">
        <v>高雄工業 海南第二</v>
      </c>
      <c r="G111" t="str">
        <v>高雄工業株式会社 TKE高周波開発</v>
      </c>
      <c r="H111" t="str">
        <v>CAD</v>
      </c>
      <c r="I111" t="str">
        <v>コンピュータで、建築物、機械、工業製品などの設計・製図を行う。</v>
      </c>
      <c r="J111" t="str">
        <v xml:space="preserve">TRAN CONG PHUONG </v>
      </c>
      <c r="K111" t="str">
        <v>チャン　コン　フォン</v>
      </c>
      <c r="L111" t="str">
        <v>男</v>
      </c>
      <c r="M111" t="str">
        <v>ﾍﾞﾄﾅﾑ</v>
      </c>
      <c r="N111">
        <v>32467</v>
      </c>
      <c r="O111">
        <v>35</v>
      </c>
      <c r="P111">
        <v>1400</v>
      </c>
      <c r="Q111" t="str">
        <v>2022/2/15~1350 ⇒ 1400</v>
      </c>
      <c r="R111">
        <v>1810</v>
      </c>
      <c r="S111" t="str">
        <v>9/16~ 1600円→1750円</v>
      </c>
      <c r="T111">
        <v>410</v>
      </c>
      <c r="U111">
        <v>280000</v>
      </c>
      <c r="V111">
        <v>14014</v>
      </c>
      <c r="W111" t="str">
        <v>0</v>
      </c>
      <c r="X111">
        <v>25620</v>
      </c>
      <c r="Y111">
        <v>45318</v>
      </c>
      <c r="Z111" t="str">
        <v>残り期限90日!</v>
      </c>
      <c r="AA111" t="str">
        <v>技術・人文知識・国際業務</v>
      </c>
      <c r="AB111" t="str">
        <v>498-0031</v>
      </c>
      <c r="AC111" t="str">
        <v>愛知県弥富市平島町中新田194-1</v>
      </c>
      <c r="AD111" t="str">
        <v>ｺﾝﾂｪﾙﾊｳｽⅡD201</v>
      </c>
      <c r="AE111">
        <v>44396</v>
      </c>
      <c r="AF111">
        <v>44397</v>
      </c>
      <c r="AG111">
        <v>0</v>
      </c>
      <c r="AH111">
        <v>0</v>
      </c>
      <c r="AI111">
        <v>44470</v>
      </c>
      <c r="AJ111" t="str">
        <v>チヤン　コン　フオーン</v>
      </c>
      <c r="AK111" t="str">
        <v>西日本シティ銀行</v>
      </c>
      <c r="AL111">
        <v>735</v>
      </c>
      <c r="AM111" t="str">
        <v>大橋駅前</v>
      </c>
      <c r="AN111" t="str">
        <v>3118260</v>
      </c>
      <c r="AO111" t="str">
        <v>OK</v>
      </c>
      <c r="AP111">
        <v>0</v>
      </c>
    </row>
    <row r="112" spans="1:42">
      <c r="A112" t="str">
        <f>H112&amp;COUNTIF($H$2:H112,H112)</f>
        <v>HUB_第15</v>
      </c>
      <c r="B112" t="str">
        <f>F112&amp;COUNTIF($F$2:F112,F112)</f>
        <v>高雄工業 海南第一8</v>
      </c>
      <c r="C112" t="str">
        <v>在職中</v>
      </c>
      <c r="D112">
        <v>210904</v>
      </c>
      <c r="E112">
        <v>222025</v>
      </c>
      <c r="F112" t="str">
        <v>高雄工業 海南第一</v>
      </c>
      <c r="G112" t="str">
        <v>高雄工業株式会社 海南第一工場製作1課</v>
      </c>
      <c r="H112" t="str">
        <v>HUB_第1</v>
      </c>
      <c r="I112" t="str">
        <v>ハブ加工　自動ラインの機械オペレーター、NCプログラム修正</v>
      </c>
      <c r="J112" t="str">
        <v>NGUYEN QUANG HUY</v>
      </c>
      <c r="K112" t="str">
        <v>グエン　クアン　フィ</v>
      </c>
      <c r="L112" t="str">
        <v>男</v>
      </c>
      <c r="M112" t="str">
        <v>ﾍﾞﾄﾅﾑ</v>
      </c>
      <c r="N112">
        <v>35235</v>
      </c>
      <c r="O112">
        <v>27</v>
      </c>
      <c r="P112">
        <v>1420</v>
      </c>
      <c r="Q112">
        <v>0</v>
      </c>
      <c r="R112">
        <v>1790</v>
      </c>
      <c r="S112" t="str">
        <v>9/16~ 1620円→1770円</v>
      </c>
      <c r="T112">
        <v>370</v>
      </c>
      <c r="U112">
        <v>240000</v>
      </c>
      <c r="V112">
        <v>12012</v>
      </c>
      <c r="W112" t="str">
        <v>0</v>
      </c>
      <c r="X112">
        <v>21960</v>
      </c>
      <c r="Y112">
        <v>46370</v>
      </c>
      <c r="Z112" t="str">
        <v/>
      </c>
      <c r="AA112" t="str">
        <v>技術・人文知識・国際業務</v>
      </c>
      <c r="AB112" t="str">
        <v>498-0021</v>
      </c>
      <c r="AC112" t="str">
        <v>愛知県弥富市鯏浦町浦六1-1</v>
      </c>
      <c r="AD112" t="str">
        <v>ｸﾞﾘｰﾝﾊｲﾂA棟201</v>
      </c>
      <c r="AE112">
        <v>44444</v>
      </c>
      <c r="AF112">
        <v>44446</v>
      </c>
      <c r="AG112">
        <v>45303</v>
      </c>
      <c r="AH112">
        <v>0</v>
      </c>
      <c r="AI112">
        <v>44501</v>
      </c>
      <c r="AJ112" t="str">
        <v>グェン　クァン　フィ</v>
      </c>
      <c r="AK112" t="str">
        <v>ゆうちょ銀行</v>
      </c>
      <c r="AL112">
        <v>248</v>
      </c>
      <c r="AM112" t="str">
        <v>二四八</v>
      </c>
      <c r="AN112" t="str">
        <v>3694655</v>
      </c>
      <c r="AO112" t="str">
        <v>OK</v>
      </c>
      <c r="AP112">
        <v>0</v>
      </c>
    </row>
    <row r="113" spans="1:42">
      <c r="A113" t="str">
        <f>H113&amp;COUNTIF($H$2:H113,H113)</f>
        <v>HUB_第16</v>
      </c>
      <c r="B113" t="str">
        <f>F113&amp;COUNTIF($F$2:F113,F113)</f>
        <v>高雄工業 海南第一9</v>
      </c>
      <c r="C113" t="str">
        <v>在職中</v>
      </c>
      <c r="D113">
        <v>210910</v>
      </c>
      <c r="E113">
        <v>222027</v>
      </c>
      <c r="F113" t="str">
        <v>高雄工業 海南第一</v>
      </c>
      <c r="G113" t="str">
        <v>高雄工業株式会社 海南第一工場製作1課</v>
      </c>
      <c r="H113" t="str">
        <v>HUB_第1</v>
      </c>
      <c r="I113" t="str">
        <v>ハブ加工　自動ラインの機械オペレーター、NCプログラム修正</v>
      </c>
      <c r="J113" t="str">
        <v>DUONG VAN THIEP</v>
      </c>
      <c r="K113" t="str">
        <v>ズオン　ヴァン　ティェプ</v>
      </c>
      <c r="L113" t="str">
        <v>男</v>
      </c>
      <c r="M113" t="str">
        <v>ﾍﾞﾄﾅﾑ</v>
      </c>
      <c r="N113">
        <v>32792</v>
      </c>
      <c r="O113">
        <v>34</v>
      </c>
      <c r="P113">
        <v>1400</v>
      </c>
      <c r="Q113">
        <v>0</v>
      </c>
      <c r="R113">
        <v>1770</v>
      </c>
      <c r="S113" t="str">
        <v>9/16~ 1600円→1750円</v>
      </c>
      <c r="T113">
        <v>370</v>
      </c>
      <c r="U113">
        <v>260000</v>
      </c>
      <c r="V113">
        <v>13013</v>
      </c>
      <c r="W113" t="str">
        <v>0</v>
      </c>
      <c r="X113">
        <v>23790</v>
      </c>
      <c r="Y113">
        <v>45429</v>
      </c>
      <c r="Z113" t="str">
        <v/>
      </c>
      <c r="AA113" t="str">
        <v>技術・人文知識・国際業務</v>
      </c>
      <c r="AB113" t="str">
        <v>498-0021</v>
      </c>
      <c r="AC113" t="str">
        <v>愛知県弥富市鯏浦町浦六1-1</v>
      </c>
      <c r="AD113" t="str">
        <v>ｸﾞﾘｰﾝﾊｲﾂA棟201</v>
      </c>
      <c r="AE113">
        <v>44458</v>
      </c>
      <c r="AF113">
        <v>44460</v>
      </c>
      <c r="AG113">
        <v>0</v>
      </c>
      <c r="AH113">
        <v>0</v>
      </c>
      <c r="AI113">
        <v>44531</v>
      </c>
      <c r="AJ113" t="str">
        <v>ズォン　ヴァン　ティェプ</v>
      </c>
      <c r="AK113" t="str">
        <v>ゆうちょ銀行</v>
      </c>
      <c r="AL113">
        <v>408</v>
      </c>
      <c r="AM113" t="str">
        <v>四〇八</v>
      </c>
      <c r="AN113" t="str">
        <v>7493142</v>
      </c>
      <c r="AO113" t="str">
        <v>OK</v>
      </c>
      <c r="AP113">
        <v>0</v>
      </c>
    </row>
    <row r="114" spans="1:42">
      <c r="A114" t="str">
        <f>H114&amp;COUNTIF($H$2:H114,H114)</f>
        <v>H_2次旋2</v>
      </c>
      <c r="B114" t="str">
        <f>F114&amp;COUNTIF($F$2:F114,F114)</f>
        <v>高雄工業 海南第一10</v>
      </c>
      <c r="C114" t="str">
        <v>在職中</v>
      </c>
      <c r="D114">
        <v>210911</v>
      </c>
      <c r="E114">
        <v>222028</v>
      </c>
      <c r="F114" t="str">
        <v>高雄工業 海南第一</v>
      </c>
      <c r="G114" t="str">
        <v>高雄工業株式会社 海南第一工場製作1課</v>
      </c>
      <c r="H114" t="str">
        <v>H_2次旋</v>
      </c>
      <c r="I114" t="str">
        <v>ハブ加工品の2次施削、手動機械オペレーターNCプログラム修正</v>
      </c>
      <c r="J114" t="str">
        <v>LE VIET HUNG</v>
      </c>
      <c r="K114" t="str">
        <v>レー　ヴィエット　フン</v>
      </c>
      <c r="L114" t="str">
        <v>男</v>
      </c>
      <c r="M114" t="str">
        <v>ﾍﾞﾄﾅﾑ</v>
      </c>
      <c r="N114">
        <v>33282</v>
      </c>
      <c r="O114">
        <v>32</v>
      </c>
      <c r="P114">
        <v>1400</v>
      </c>
      <c r="Q114">
        <v>0</v>
      </c>
      <c r="R114">
        <v>1780</v>
      </c>
      <c r="S114" t="str">
        <v>9/16~ 1600円→1750円</v>
      </c>
      <c r="T114">
        <v>380</v>
      </c>
      <c r="U114">
        <v>240000</v>
      </c>
      <c r="V114">
        <v>12012</v>
      </c>
      <c r="W114" t="str">
        <v>0</v>
      </c>
      <c r="X114">
        <v>21960</v>
      </c>
      <c r="Y114">
        <v>45469</v>
      </c>
      <c r="Z114" t="str">
        <v/>
      </c>
      <c r="AA114" t="str">
        <v>技術・人文知識・国際業務</v>
      </c>
      <c r="AB114" t="str">
        <v>498-0017</v>
      </c>
      <c r="AC114" t="str">
        <v>愛知県弥富市前ヶ須堪助走34-1</v>
      </c>
      <c r="AD114" t="str">
        <v>ｱﾄﾚA101</v>
      </c>
      <c r="AE114">
        <v>44864</v>
      </c>
      <c r="AF114">
        <v>44466</v>
      </c>
      <c r="AG114">
        <v>0</v>
      </c>
      <c r="AH114">
        <v>0</v>
      </c>
      <c r="AI114">
        <v>44531</v>
      </c>
      <c r="AJ114" t="str">
        <v>レー　ヴェット　フン</v>
      </c>
      <c r="AK114" t="str">
        <v>ゆうちょ銀行</v>
      </c>
      <c r="AL114">
        <v>208</v>
      </c>
      <c r="AM114" t="str">
        <v>二〇八</v>
      </c>
      <c r="AN114" t="str">
        <v>2571028</v>
      </c>
      <c r="AO114" t="str">
        <v>OK</v>
      </c>
      <c r="AP114">
        <v>0</v>
      </c>
    </row>
    <row r="115" spans="1:42">
      <c r="A115" t="str">
        <f>H115&amp;COUNTIF($H$2:H115,H115)</f>
        <v>HUB_第17</v>
      </c>
      <c r="B115" t="str">
        <f>F115&amp;COUNTIF($F$2:F115,F115)</f>
        <v>高雄工業 海南第一11</v>
      </c>
      <c r="C115" t="str">
        <v>在職中</v>
      </c>
      <c r="D115">
        <v>210914</v>
      </c>
      <c r="E115">
        <v>222029</v>
      </c>
      <c r="F115" t="str">
        <v>高雄工業 海南第一</v>
      </c>
      <c r="G115" t="str">
        <v>高雄工業株式会社 海南第一工場製作1課</v>
      </c>
      <c r="H115" t="str">
        <v>HUB_第1</v>
      </c>
      <c r="I115" t="str">
        <v>ハブ加工　自動ラインの機械オペレーター、NCプログラム修正</v>
      </c>
      <c r="J115" t="str">
        <v>TRAN VAN PHONG</v>
      </c>
      <c r="K115" t="str">
        <v>チャン　ヴァン　フォン</v>
      </c>
      <c r="L115" t="str">
        <v>男</v>
      </c>
      <c r="M115" t="str">
        <v>ﾍﾞﾄﾅﾑ</v>
      </c>
      <c r="N115">
        <v>34689</v>
      </c>
      <c r="O115">
        <v>28</v>
      </c>
      <c r="P115">
        <v>1400</v>
      </c>
      <c r="Q115">
        <v>0</v>
      </c>
      <c r="R115">
        <v>1780</v>
      </c>
      <c r="S115" t="str">
        <v>9/16~ 1600円→1750円</v>
      </c>
      <c r="T115">
        <v>380</v>
      </c>
      <c r="U115">
        <v>240000</v>
      </c>
      <c r="V115">
        <v>12012</v>
      </c>
      <c r="W115" t="str">
        <v>0</v>
      </c>
      <c r="X115">
        <v>21960</v>
      </c>
      <c r="Y115">
        <v>45437</v>
      </c>
      <c r="Z115" t="str">
        <v/>
      </c>
      <c r="AA115" t="str">
        <v>技術・人文知識・国際業務</v>
      </c>
      <c r="AB115" t="str">
        <v>498-0017</v>
      </c>
      <c r="AC115" t="str">
        <v>愛知県弥富市前ヶ須田堪助走34-1</v>
      </c>
      <c r="AD115" t="str">
        <v>ｱﾄﾚB棟101</v>
      </c>
      <c r="AE115">
        <v>44473</v>
      </c>
      <c r="AF115">
        <v>44469</v>
      </c>
      <c r="AG115">
        <v>45275</v>
      </c>
      <c r="AH115">
        <v>0</v>
      </c>
      <c r="AI115">
        <v>44531</v>
      </c>
      <c r="AJ115" t="str">
        <v>チヤン　ヴァン　フオン</v>
      </c>
      <c r="AK115" t="str">
        <v>ゆうちょ銀行</v>
      </c>
      <c r="AL115">
        <v>458</v>
      </c>
      <c r="AM115" t="str">
        <v>四五八</v>
      </c>
      <c r="AN115" t="str">
        <v>2706708</v>
      </c>
      <c r="AO115" t="str">
        <v>OK</v>
      </c>
      <c r="AP115">
        <v>0</v>
      </c>
    </row>
    <row r="116" spans="1:42">
      <c r="A116" t="str">
        <f>H116&amp;COUNTIF($H$2:H116,H116)</f>
        <v>段取2</v>
      </c>
      <c r="B116" t="str">
        <f>F116&amp;COUNTIF($F$2:F116,F116)</f>
        <v>高雄工業 海南第一12</v>
      </c>
      <c r="C116" t="str">
        <v>在職中</v>
      </c>
      <c r="D116">
        <v>211010</v>
      </c>
      <c r="E116">
        <v>222030</v>
      </c>
      <c r="F116" t="str">
        <v>高雄工業 海南第一</v>
      </c>
      <c r="G116" t="str">
        <v>高雄工業株式会社 海南第一工場製作1課</v>
      </c>
      <c r="H116" t="str">
        <v>段取</v>
      </c>
      <c r="I116" t="str">
        <v>加工機や冶具・装置の設定を変更する作業</v>
      </c>
      <c r="J116" t="str">
        <v>HIRATA AISAWA ALEXANDRE HIROSHI</v>
      </c>
      <c r="K116" t="str">
        <v>ヒラタ　アイザワ　アレキサンドレ　ヒロシ</v>
      </c>
      <c r="L116" t="str">
        <v>男</v>
      </c>
      <c r="M116" t="str">
        <v>ﾌﾞﾗｼﾞﾙ</v>
      </c>
      <c r="N116">
        <v>28551</v>
      </c>
      <c r="O116">
        <v>45</v>
      </c>
      <c r="P116">
        <v>1400</v>
      </c>
      <c r="Q116">
        <v>0</v>
      </c>
      <c r="R116">
        <v>1810</v>
      </c>
      <c r="S116" t="str">
        <v>9/16~ 1600円→1750円</v>
      </c>
      <c r="T116">
        <v>410</v>
      </c>
      <c r="U116">
        <v>300000</v>
      </c>
      <c r="V116">
        <v>15014.999999999998</v>
      </c>
      <c r="W116">
        <v>2730</v>
      </c>
      <c r="X116">
        <v>27450</v>
      </c>
      <c r="Y116">
        <v>45216</v>
      </c>
      <c r="Z116" t="str">
        <v>残り期限90日!</v>
      </c>
      <c r="AA116" t="str">
        <v>定住者</v>
      </c>
      <c r="AB116" t="str">
        <v>498-0031</v>
      </c>
      <c r="AC116" t="str">
        <v>愛知県弥富市平島町中新田196-1</v>
      </c>
      <c r="AD116" t="str">
        <v>ｺﾝﾂｪﾙﾊｳｽB106</v>
      </c>
      <c r="AE116">
        <v>44593</v>
      </c>
      <c r="AF116">
        <v>44476</v>
      </c>
      <c r="AG116">
        <v>0</v>
      </c>
      <c r="AH116">
        <v>0</v>
      </c>
      <c r="AI116">
        <v>44531</v>
      </c>
      <c r="AJ116" t="str">
        <v>ヒラタ　アイサワ　アレキサンドレ　ヒロシ</v>
      </c>
      <c r="AK116" t="str">
        <v>三菱東京ＵＦＪ</v>
      </c>
      <c r="AL116">
        <v>234</v>
      </c>
      <c r="AM116" t="str">
        <v>蟹江</v>
      </c>
      <c r="AN116" t="str">
        <v>11397</v>
      </c>
      <c r="AO116" t="str">
        <v>OK</v>
      </c>
      <c r="AP116">
        <v>0</v>
      </c>
    </row>
    <row r="117" spans="1:42">
      <c r="A117" t="str">
        <f>H117&amp;COUNTIF($H$2:H117,H117)</f>
        <v>HUB_第18</v>
      </c>
      <c r="B117" t="str">
        <f>F117&amp;COUNTIF($F$2:F117,F117)</f>
        <v>高雄工業 海南第一13</v>
      </c>
      <c r="C117" t="str">
        <v>在職中</v>
      </c>
      <c r="D117">
        <v>211011</v>
      </c>
      <c r="E117">
        <v>222031</v>
      </c>
      <c r="F117" t="str">
        <v>高雄工業 海南第一</v>
      </c>
      <c r="G117" t="str">
        <v>高雄工業株式会社 海南第一工場製作1課</v>
      </c>
      <c r="H117" t="str">
        <v>HUB_第1</v>
      </c>
      <c r="I117" t="str">
        <v>ハブ加工　自動ラインの機械オペレーター、NCプログラム修正</v>
      </c>
      <c r="J117" t="str">
        <v>LUU THANH SON</v>
      </c>
      <c r="K117" t="str">
        <v>リュー　タイン　ソン</v>
      </c>
      <c r="L117" t="str">
        <v>男</v>
      </c>
      <c r="M117" t="str">
        <v>ﾍﾞﾄﾅﾑ</v>
      </c>
      <c r="N117">
        <v>35351</v>
      </c>
      <c r="O117">
        <v>27</v>
      </c>
      <c r="P117">
        <v>1410</v>
      </c>
      <c r="Q117">
        <v>0</v>
      </c>
      <c r="R117">
        <v>1790</v>
      </c>
      <c r="S117" t="str">
        <v>9/16~ 1610円→1760円</v>
      </c>
      <c r="T117">
        <v>380</v>
      </c>
      <c r="U117">
        <v>260000</v>
      </c>
      <c r="V117">
        <v>13013</v>
      </c>
      <c r="W117" t="str">
        <v>0</v>
      </c>
      <c r="X117">
        <v>23790</v>
      </c>
      <c r="Y117">
        <v>45380</v>
      </c>
      <c r="Z117" t="str">
        <v/>
      </c>
      <c r="AA117" t="str">
        <v>技術・人文知識・国際業務</v>
      </c>
      <c r="AB117" t="str">
        <v>498-0017</v>
      </c>
      <c r="AC117" t="str">
        <v>愛知県弥富市前ヶ須町勘助走34-1</v>
      </c>
      <c r="AD117" t="str">
        <v>ｱﾄﾚB棟101</v>
      </c>
      <c r="AE117">
        <v>44475</v>
      </c>
      <c r="AF117">
        <v>44477</v>
      </c>
      <c r="AG117">
        <v>0</v>
      </c>
      <c r="AH117">
        <v>0</v>
      </c>
      <c r="AI117">
        <v>44531</v>
      </c>
      <c r="AJ117" t="str">
        <v>リュー　タイン　ソン</v>
      </c>
      <c r="AK117" t="str">
        <v>ゆうちょ銀行</v>
      </c>
      <c r="AL117">
        <v>528</v>
      </c>
      <c r="AM117" t="str">
        <v>五二八</v>
      </c>
      <c r="AN117" t="str">
        <v>1186863</v>
      </c>
      <c r="AO117" t="str">
        <v>OK</v>
      </c>
      <c r="AP117">
        <v>0</v>
      </c>
    </row>
    <row r="118" spans="1:42">
      <c r="A118" t="str">
        <f>H118&amp;COUNTIF($H$2:H118,H118)</f>
        <v>H_2次旋3</v>
      </c>
      <c r="B118" t="str">
        <f>F118&amp;COUNTIF($F$2:F118,F118)</f>
        <v>高雄工業 海南第一14</v>
      </c>
      <c r="C118" t="str">
        <v>在職中</v>
      </c>
      <c r="D118">
        <v>211020</v>
      </c>
      <c r="E118">
        <v>222032</v>
      </c>
      <c r="F118" t="str">
        <v>高雄工業 海南第一</v>
      </c>
      <c r="G118" t="str">
        <v>高雄工業株式会社 海南第一工場製作1課</v>
      </c>
      <c r="H118" t="str">
        <v>H_2次旋</v>
      </c>
      <c r="I118" t="str">
        <v>ハブ加工品の2次施削、手動機械オペレーターNCプログラム修正</v>
      </c>
      <c r="J118" t="str">
        <v>LE SY THINH</v>
      </c>
      <c r="K118" t="str">
        <v>レー　シー　ティン</v>
      </c>
      <c r="L118" t="str">
        <v>男</v>
      </c>
      <c r="M118" t="str">
        <v>ﾍﾞﾄﾅﾑ</v>
      </c>
      <c r="N118">
        <v>33832</v>
      </c>
      <c r="O118">
        <v>31</v>
      </c>
      <c r="P118">
        <v>1400</v>
      </c>
      <c r="Q118">
        <v>0</v>
      </c>
      <c r="R118">
        <v>1770</v>
      </c>
      <c r="S118" t="str">
        <v>9/16~ 1600円→1750円</v>
      </c>
      <c r="T118">
        <v>370</v>
      </c>
      <c r="U118">
        <v>240000</v>
      </c>
      <c r="V118">
        <v>12012</v>
      </c>
      <c r="W118" t="str">
        <v>0</v>
      </c>
      <c r="X118">
        <v>21960</v>
      </c>
      <c r="Y118">
        <v>45459</v>
      </c>
      <c r="Z118" t="str">
        <v/>
      </c>
      <c r="AA118" t="str">
        <v>技術・人文知識・国際業務</v>
      </c>
      <c r="AB118" t="str">
        <v>498-0027</v>
      </c>
      <c r="AC118" t="str">
        <v>愛知県鯏浦町南前新田83-1</v>
      </c>
      <c r="AD118" t="str">
        <v>ﾋﾞｰﾌﾘｰ8 203号</v>
      </c>
      <c r="AE118">
        <v>44476</v>
      </c>
      <c r="AF118">
        <v>44487</v>
      </c>
      <c r="AG118">
        <v>0</v>
      </c>
      <c r="AH118">
        <v>0</v>
      </c>
      <c r="AI118">
        <v>22.01</v>
      </c>
      <c r="AJ118" t="str">
        <v>レー　シー　ティン</v>
      </c>
      <c r="AK118" t="str">
        <v>ゆうちょ銀行</v>
      </c>
      <c r="AL118">
        <v>78</v>
      </c>
      <c r="AM118" t="str">
        <v>〇七八</v>
      </c>
      <c r="AN118" t="str">
        <v>3680167</v>
      </c>
      <c r="AO118" t="str">
        <v>OK</v>
      </c>
      <c r="AP118">
        <v>0</v>
      </c>
    </row>
    <row r="119" spans="1:42">
      <c r="A119" t="str">
        <f>H119&amp;COUNTIF($H$2:H119,H119)</f>
        <v>H_2次旋4</v>
      </c>
      <c r="B119" t="str">
        <f>F119&amp;COUNTIF($F$2:F119,F119)</f>
        <v>高雄工業 海南第一15</v>
      </c>
      <c r="C119" t="str">
        <v>退社</v>
      </c>
      <c r="D119">
        <v>211021</v>
      </c>
      <c r="E119">
        <v>222033</v>
      </c>
      <c r="F119" t="str">
        <v>高雄工業 海南第一</v>
      </c>
      <c r="G119" t="str">
        <v>高雄工業株式会社 海南第一工場製作1課</v>
      </c>
      <c r="H119" t="str">
        <v>H_2次旋</v>
      </c>
      <c r="I119">
        <v>0</v>
      </c>
      <c r="J119" t="str">
        <v>TRAN HUU HUNG</v>
      </c>
      <c r="K119" t="str">
        <v>チャン　フュ　フン</v>
      </c>
      <c r="L119" t="str">
        <v>男</v>
      </c>
      <c r="M119" t="str">
        <v>ﾍﾞﾄﾅﾑ</v>
      </c>
      <c r="N119">
        <v>34506</v>
      </c>
      <c r="O119">
        <v>29</v>
      </c>
      <c r="P119">
        <v>1400</v>
      </c>
      <c r="Q119">
        <v>0</v>
      </c>
      <c r="R119">
        <v>1780</v>
      </c>
      <c r="S119" t="str">
        <v>9/16~ 1600円→1750円</v>
      </c>
      <c r="T119">
        <v>380</v>
      </c>
      <c r="U119">
        <v>0</v>
      </c>
      <c r="V119" t="str">
        <v/>
      </c>
      <c r="W119" t="str">
        <v>0</v>
      </c>
      <c r="X119" t="str">
        <v/>
      </c>
      <c r="Y119">
        <v>45474</v>
      </c>
      <c r="Z119" t="str">
        <v/>
      </c>
      <c r="AA119" t="str">
        <v>技術・人文知識・国際業務</v>
      </c>
      <c r="AB119" t="str">
        <v>498-0031</v>
      </c>
      <c r="AC119" t="str">
        <v>愛知県弥富市平島町中新田196-1</v>
      </c>
      <c r="AD119" t="str">
        <v>ｺﾝﾂｪﾙﾊｳｽD202</v>
      </c>
      <c r="AE119">
        <v>44484</v>
      </c>
      <c r="AF119">
        <v>44487</v>
      </c>
      <c r="AG119">
        <v>44923</v>
      </c>
      <c r="AH119">
        <v>0</v>
      </c>
      <c r="AI119">
        <v>22.01</v>
      </c>
      <c r="AJ119" t="str">
        <v>チャン　フュ　フン</v>
      </c>
      <c r="AK119" t="str">
        <v>ゆうちょ銀行</v>
      </c>
      <c r="AL119">
        <v>18</v>
      </c>
      <c r="AM119" t="str">
        <v>〇一八</v>
      </c>
      <c r="AN119" t="str">
        <v>8942306</v>
      </c>
      <c r="AO119" t="str">
        <v>OK</v>
      </c>
      <c r="AP119">
        <v>0</v>
      </c>
    </row>
    <row r="120" spans="1:42">
      <c r="A120" t="str">
        <f>H120&amp;COUNTIF($H$2:H120,H120)</f>
        <v>HUB_第19</v>
      </c>
      <c r="B120" t="str">
        <f>F120&amp;COUNTIF($F$2:F120,F120)</f>
        <v>高雄工業 海南第一16</v>
      </c>
      <c r="C120" t="str">
        <v>在職中</v>
      </c>
      <c r="D120">
        <v>211028</v>
      </c>
      <c r="E120">
        <v>222034</v>
      </c>
      <c r="F120" t="str">
        <v>高雄工業 海南第一</v>
      </c>
      <c r="G120" t="str">
        <v>高雄工業株式会社 海南第一工場製作1課</v>
      </c>
      <c r="H120" t="str">
        <v>HUB_第1</v>
      </c>
      <c r="I120" t="str">
        <v>ハブ加工　自動ラインの機械オペレーター、NCプログラム修正</v>
      </c>
      <c r="J120" t="str">
        <v>PHUNG QUANG TU</v>
      </c>
      <c r="K120" t="str">
        <v>フン　クアン　トゥ</v>
      </c>
      <c r="L120" t="str">
        <v>男</v>
      </c>
      <c r="M120" t="str">
        <v>ﾍﾞﾄﾅﾑ</v>
      </c>
      <c r="N120">
        <v>35038</v>
      </c>
      <c r="O120">
        <v>28</v>
      </c>
      <c r="P120">
        <v>1400</v>
      </c>
      <c r="Q120">
        <v>0</v>
      </c>
      <c r="R120">
        <v>1780</v>
      </c>
      <c r="S120" t="str">
        <v>9/16~ 1600円→1750円</v>
      </c>
      <c r="T120">
        <v>380</v>
      </c>
      <c r="U120">
        <v>260000</v>
      </c>
      <c r="V120">
        <v>13013</v>
      </c>
      <c r="W120" t="str">
        <v>0</v>
      </c>
      <c r="X120">
        <v>23790</v>
      </c>
      <c r="Y120">
        <v>45429</v>
      </c>
      <c r="Z120" t="str">
        <v/>
      </c>
      <c r="AA120" t="str">
        <v>技術・人文知識・国際業務</v>
      </c>
      <c r="AB120" t="str">
        <v>498-0027</v>
      </c>
      <c r="AC120" t="str">
        <v>愛知県鯏浦町南前新田83-1</v>
      </c>
      <c r="AD120" t="str">
        <v>ﾋﾞｰﾌﾘｰ8 203号</v>
      </c>
      <c r="AE120">
        <v>44492</v>
      </c>
      <c r="AF120">
        <v>44496</v>
      </c>
      <c r="AG120">
        <v>0</v>
      </c>
      <c r="AH120">
        <v>0</v>
      </c>
      <c r="AI120">
        <v>22.01</v>
      </c>
      <c r="AJ120" t="str">
        <v>フン　クアン　トゥ</v>
      </c>
      <c r="AK120" t="str">
        <v>ゆうちょ銀行</v>
      </c>
      <c r="AL120">
        <v>248</v>
      </c>
      <c r="AM120" t="str">
        <v>二四八</v>
      </c>
      <c r="AN120" t="str">
        <v>3692633</v>
      </c>
      <c r="AO120" t="str">
        <v>OK</v>
      </c>
      <c r="AP120">
        <v>0</v>
      </c>
    </row>
    <row r="121" spans="1:42">
      <c r="A121" t="str">
        <f>H121&amp;COUNTIF($H$2:H121,H121)</f>
        <v>036</v>
      </c>
      <c r="B121" t="str">
        <f>F121&amp;COUNTIF($F$2:F121,F121)</f>
        <v>高雄工業 海南第一17</v>
      </c>
      <c r="C121" t="str">
        <v>退社</v>
      </c>
      <c r="D121">
        <v>211029</v>
      </c>
      <c r="E121">
        <v>222035</v>
      </c>
      <c r="F121" t="str">
        <v>高雄工業 海南第一</v>
      </c>
      <c r="G121" t="str">
        <v>高雄工業株式会社 海南第一工場製作1課</v>
      </c>
      <c r="H121">
        <v>0</v>
      </c>
      <c r="I121">
        <v>0</v>
      </c>
      <c r="J121" t="str">
        <v>VUONG PHUC HA</v>
      </c>
      <c r="K121" t="str">
        <v>ヴォン　フック　ハ</v>
      </c>
      <c r="L121" t="str">
        <v>男</v>
      </c>
      <c r="M121" t="str">
        <v>ﾍﾞﾄﾅﾑ</v>
      </c>
      <c r="N121">
        <v>35306</v>
      </c>
      <c r="O121">
        <v>27</v>
      </c>
      <c r="P121">
        <v>1400</v>
      </c>
      <c r="Q121">
        <v>0</v>
      </c>
      <c r="R121">
        <v>1770</v>
      </c>
      <c r="S121" t="str">
        <v>9/16~ 1600円→1750円</v>
      </c>
      <c r="T121">
        <v>370</v>
      </c>
      <c r="U121">
        <v>0</v>
      </c>
      <c r="V121" t="str">
        <v/>
      </c>
      <c r="W121" t="str">
        <v>0</v>
      </c>
      <c r="X121" t="str">
        <v/>
      </c>
      <c r="Y121">
        <v>45311</v>
      </c>
      <c r="Z121" t="str">
        <v>残り期限90日!</v>
      </c>
      <c r="AA121" t="str">
        <v>技術・人文知識・国際業務</v>
      </c>
      <c r="AB121" t="str">
        <v>498-0032</v>
      </c>
      <c r="AC121" t="str">
        <v>愛知県弥富市平島中4丁目128</v>
      </c>
      <c r="AD121" t="str">
        <v>村上貸家</v>
      </c>
      <c r="AE121">
        <v>44489</v>
      </c>
      <c r="AF121">
        <v>44496</v>
      </c>
      <c r="AG121">
        <v>44844</v>
      </c>
      <c r="AH121">
        <v>0</v>
      </c>
      <c r="AI121">
        <v>22.01</v>
      </c>
      <c r="AJ121" t="str">
        <v>ヴオン　フツク　ハ</v>
      </c>
      <c r="AK121" t="str">
        <v>三菱ＵＦＪ銀行</v>
      </c>
      <c r="AL121">
        <v>894</v>
      </c>
      <c r="AM121" t="str">
        <v>尾張新川</v>
      </c>
      <c r="AN121" t="str">
        <v>213134</v>
      </c>
      <c r="AO121" t="str">
        <v>OK</v>
      </c>
      <c r="AP121">
        <v>0</v>
      </c>
    </row>
    <row r="122" spans="1:42">
      <c r="A122" t="str">
        <f>H122&amp;COUNTIF($H$2:H122,H122)</f>
        <v>H_2次旋5</v>
      </c>
      <c r="B122" t="str">
        <f>F122&amp;COUNTIF($F$2:F122,F122)</f>
        <v>高雄工業 海南第一18</v>
      </c>
      <c r="C122" t="str">
        <v>退社</v>
      </c>
      <c r="D122">
        <v>211107</v>
      </c>
      <c r="E122">
        <v>222036</v>
      </c>
      <c r="F122" t="str">
        <v>高雄工業 海南第一</v>
      </c>
      <c r="G122" t="str">
        <v>高雄工業株式会社 海南第一工場製作1課</v>
      </c>
      <c r="H122" t="str">
        <v>H_2次旋</v>
      </c>
      <c r="I122">
        <v>0</v>
      </c>
      <c r="J122" t="str">
        <v>HOANG VAN QUAN</v>
      </c>
      <c r="K122" t="str">
        <v>ホアン　ヴァン　クアン</v>
      </c>
      <c r="L122" t="str">
        <v>男</v>
      </c>
      <c r="M122" t="str">
        <v>ﾍﾞﾄﾅﾑ</v>
      </c>
      <c r="N122">
        <v>35128</v>
      </c>
      <c r="O122">
        <v>27</v>
      </c>
      <c r="P122">
        <v>1410</v>
      </c>
      <c r="Q122">
        <v>0</v>
      </c>
      <c r="R122">
        <v>1780</v>
      </c>
      <c r="S122" t="str">
        <v>9/16~ 1600円→1750円</v>
      </c>
      <c r="T122">
        <v>370</v>
      </c>
      <c r="U122">
        <v>0</v>
      </c>
      <c r="V122" t="str">
        <v/>
      </c>
      <c r="W122" t="str">
        <v>0</v>
      </c>
      <c r="X122" t="str">
        <v/>
      </c>
      <c r="Y122">
        <v>45391</v>
      </c>
      <c r="Z122" t="str">
        <v/>
      </c>
      <c r="AA122" t="str">
        <v>技術・人文知識・国際業務</v>
      </c>
      <c r="AB122" t="str">
        <v>498-0032</v>
      </c>
      <c r="AC122" t="str">
        <v>愛知県弥富市平島中4丁目128</v>
      </c>
      <c r="AD122" t="str">
        <v>村上貸家</v>
      </c>
      <c r="AE122">
        <v>44506</v>
      </c>
      <c r="AF122">
        <v>44508</v>
      </c>
      <c r="AG122">
        <v>44874</v>
      </c>
      <c r="AH122">
        <v>0</v>
      </c>
      <c r="AI122">
        <v>21.12</v>
      </c>
      <c r="AJ122" t="str">
        <v>ホアン　ヴァン　クアン</v>
      </c>
      <c r="AK122" t="str">
        <v>ゆうちょ銀行</v>
      </c>
      <c r="AL122">
        <v>208</v>
      </c>
      <c r="AM122" t="str">
        <v>二〇八</v>
      </c>
      <c r="AN122" t="str">
        <v>2426117</v>
      </c>
      <c r="AO122" t="str">
        <v>OK</v>
      </c>
      <c r="AP122">
        <v>0</v>
      </c>
    </row>
    <row r="123" spans="1:42">
      <c r="A123" t="str">
        <f>H123&amp;COUNTIF($H$2:H123,H123)</f>
        <v>W研磨1</v>
      </c>
      <c r="B123" t="str">
        <f>F123&amp;COUNTIF($F$2:F123,F123)</f>
        <v>高雄工業 海南第二3</v>
      </c>
      <c r="C123" t="str">
        <v>在職中</v>
      </c>
      <c r="D123">
        <v>211201</v>
      </c>
      <c r="E123">
        <v>222037</v>
      </c>
      <c r="F123" t="str">
        <v>高雄工業 海南第二</v>
      </c>
      <c r="G123" t="str">
        <v>高雄工業株式会社 海南第二工場製作課</v>
      </c>
      <c r="H123" t="str">
        <v>W研磨</v>
      </c>
      <c r="I123" t="str">
        <v>産業機械部品の研磨加工、MCプログラム修正</v>
      </c>
      <c r="J123" t="str">
        <v>NGUYEN VAN TIEP</v>
      </c>
      <c r="K123" t="str">
        <v>グエン　ヴァン　ティエップ</v>
      </c>
      <c r="L123" t="str">
        <v>男</v>
      </c>
      <c r="M123" t="str">
        <v>ﾍﾞﾄﾅﾑ</v>
      </c>
      <c r="N123">
        <v>33100</v>
      </c>
      <c r="O123">
        <v>33</v>
      </c>
      <c r="P123">
        <v>1400</v>
      </c>
      <c r="Q123">
        <v>0</v>
      </c>
      <c r="R123">
        <v>1780</v>
      </c>
      <c r="S123">
        <v>0</v>
      </c>
      <c r="T123">
        <v>380</v>
      </c>
      <c r="U123">
        <v>280000</v>
      </c>
      <c r="V123">
        <v>14014</v>
      </c>
      <c r="W123" t="str">
        <v>0</v>
      </c>
      <c r="X123">
        <v>25620</v>
      </c>
      <c r="Y123">
        <v>45581</v>
      </c>
      <c r="Z123" t="str">
        <v/>
      </c>
      <c r="AA123" t="str">
        <v>技術・人文知識・国際業務</v>
      </c>
      <c r="AB123" t="str">
        <v>498-0031</v>
      </c>
      <c r="AC123" t="str">
        <v>愛知県弥富市平島町北広畑10-1</v>
      </c>
      <c r="AD123" t="str">
        <v>ﾚﾌﾞﾗﾝｶﾐｰﾘｱA201</v>
      </c>
      <c r="AE123" t="str">
        <v>個人</v>
      </c>
      <c r="AF123">
        <v>44531</v>
      </c>
      <c r="AG123">
        <v>0</v>
      </c>
      <c r="AH123">
        <v>0</v>
      </c>
      <c r="AI123">
        <v>22.02</v>
      </c>
      <c r="AJ123" t="str">
        <v>グェン　ヴァン　ティエップ</v>
      </c>
      <c r="AK123" t="str">
        <v>ゆうちょ銀行</v>
      </c>
      <c r="AL123">
        <v>208</v>
      </c>
      <c r="AM123" t="str">
        <v>二〇八</v>
      </c>
      <c r="AN123" t="str">
        <v>1236360</v>
      </c>
      <c r="AO123" t="str">
        <v>OK</v>
      </c>
      <c r="AP123">
        <v>0</v>
      </c>
    </row>
    <row r="124" spans="1:42">
      <c r="A124" t="str">
        <f>H124&amp;COUNTIF($H$2:H124,H124)</f>
        <v>HUB_第110</v>
      </c>
      <c r="B124" t="str">
        <f>F124&amp;COUNTIF($F$2:F124,F124)</f>
        <v>高雄工業 海南第一19</v>
      </c>
      <c r="C124" t="str">
        <v>在職中</v>
      </c>
      <c r="D124">
        <v>220116</v>
      </c>
      <c r="E124">
        <v>222038</v>
      </c>
      <c r="F124" t="str">
        <v>高雄工業 海南第一</v>
      </c>
      <c r="G124" t="str">
        <v>高雄工業株式会社 海南第一工場製作1課</v>
      </c>
      <c r="H124" t="str">
        <v>HUB_第1</v>
      </c>
      <c r="I124" t="str">
        <v>ハブ加工　自動ラインの機械オペレーター、NCプログラム修正</v>
      </c>
      <c r="J124" t="str">
        <v>NGUYEN VAN CANH</v>
      </c>
      <c r="K124" t="str">
        <v>グエン　バン　カイン</v>
      </c>
      <c r="L124" t="str">
        <v>男</v>
      </c>
      <c r="M124" t="str">
        <v>ﾍﾞﾄﾅﾑ</v>
      </c>
      <c r="N124">
        <v>34773</v>
      </c>
      <c r="O124">
        <v>28</v>
      </c>
      <c r="P124">
        <v>1400</v>
      </c>
      <c r="Q124">
        <v>0</v>
      </c>
      <c r="R124">
        <v>1780</v>
      </c>
      <c r="S124">
        <v>0</v>
      </c>
      <c r="T124">
        <v>380</v>
      </c>
      <c r="U124">
        <v>240000</v>
      </c>
      <c r="V124">
        <v>12012</v>
      </c>
      <c r="W124" t="str">
        <v>0</v>
      </c>
      <c r="X124">
        <v>21960</v>
      </c>
      <c r="Y124">
        <v>45625</v>
      </c>
      <c r="Z124" t="str">
        <v/>
      </c>
      <c r="AA124" t="str">
        <v>技術・人文知識・国際業務</v>
      </c>
      <c r="AB124" t="str">
        <v>498-0028</v>
      </c>
      <c r="AC124" t="str">
        <v>愛知県弥富市鯏浦町中六109-1</v>
      </c>
      <c r="AD124" t="str">
        <v>ｾﾗﾀｳﾝ弥冨C棟201</v>
      </c>
      <c r="AE124">
        <v>44589</v>
      </c>
      <c r="AF124">
        <v>44578</v>
      </c>
      <c r="AG124">
        <v>0</v>
      </c>
      <c r="AH124">
        <v>0</v>
      </c>
      <c r="AI124">
        <v>22.04</v>
      </c>
      <c r="AJ124">
        <v>0</v>
      </c>
      <c r="AK124">
        <v>0</v>
      </c>
      <c r="AL124">
        <v>0</v>
      </c>
      <c r="AM124">
        <v>0</v>
      </c>
      <c r="AN124">
        <v>0</v>
      </c>
      <c r="AO124" t="str">
        <v>OK</v>
      </c>
      <c r="AP124" t="str">
        <v>2022/1/17～2022/1/20ｺｰﾘﾂ州の崎所属　2022/1/31～高雄工業海南第一へ異動</v>
      </c>
    </row>
    <row r="125" spans="1:42">
      <c r="A125" t="str">
        <f>H125&amp;COUNTIF($H$2:H125,H125)</f>
        <v>037</v>
      </c>
      <c r="B125" t="str">
        <f>F125&amp;COUNTIF($F$2:F125,F125)</f>
        <v>高雄工業 海南第二4</v>
      </c>
      <c r="C125" t="str">
        <v>退社</v>
      </c>
      <c r="D125">
        <v>220207</v>
      </c>
      <c r="E125">
        <v>222039</v>
      </c>
      <c r="F125" t="str">
        <v>高雄工業 海南第二</v>
      </c>
      <c r="G125" t="str">
        <v>006310 高雄工業株式会社 海南第二工場製作課</v>
      </c>
      <c r="H125">
        <v>0</v>
      </c>
      <c r="I125">
        <v>0</v>
      </c>
      <c r="J125" t="str">
        <v>TRINH HOANG ANH</v>
      </c>
      <c r="K125" t="str">
        <v>チン　ホアン　アイン</v>
      </c>
      <c r="L125" t="str">
        <v>男</v>
      </c>
      <c r="M125" t="str">
        <v>ﾍﾞﾄﾅﾑ</v>
      </c>
      <c r="N125">
        <v>35681</v>
      </c>
      <c r="O125">
        <v>26</v>
      </c>
      <c r="P125">
        <v>1360</v>
      </c>
      <c r="Q125">
        <v>0</v>
      </c>
      <c r="R125">
        <v>1760</v>
      </c>
      <c r="S125">
        <v>0</v>
      </c>
      <c r="T125">
        <v>400</v>
      </c>
      <c r="U125">
        <v>0</v>
      </c>
      <c r="V125" t="str">
        <v/>
      </c>
      <c r="W125" t="str">
        <v>0</v>
      </c>
      <c r="X125" t="str">
        <v/>
      </c>
      <c r="Y125">
        <v>44916</v>
      </c>
      <c r="Z125" t="str">
        <v>残り期限90日!</v>
      </c>
      <c r="AA125" t="str">
        <v>技術・人文知識・国際業務</v>
      </c>
      <c r="AB125" t="str">
        <v>498-0017</v>
      </c>
      <c r="AC125" t="str">
        <v>愛知県弥富市前ヶ須町西勘助207</v>
      </c>
      <c r="AD125" t="str">
        <v>CASA弥冨A105</v>
      </c>
      <c r="AE125">
        <v>44595</v>
      </c>
      <c r="AF125">
        <v>44599</v>
      </c>
      <c r="AG125">
        <v>44709</v>
      </c>
      <c r="AH125">
        <v>0</v>
      </c>
      <c r="AI125">
        <v>22.04</v>
      </c>
      <c r="AJ125" t="str">
        <v>グエン　ヴアン　クオン</v>
      </c>
      <c r="AK125" t="str">
        <v>三菱ＵＦＪ銀行</v>
      </c>
      <c r="AL125">
        <v>180</v>
      </c>
      <c r="AM125" t="str">
        <v>日暮里</v>
      </c>
      <c r="AN125" t="str">
        <v>687937</v>
      </c>
      <c r="AO125" t="str">
        <v>OK</v>
      </c>
      <c r="AP125">
        <v>0</v>
      </c>
    </row>
    <row r="126" spans="1:42">
      <c r="A126" t="str">
        <f>H126&amp;COUNTIF($H$2:H126,H126)</f>
        <v>HUB_第111</v>
      </c>
      <c r="B126" t="str">
        <f>F126&amp;COUNTIF($F$2:F126,F126)</f>
        <v>高雄工業 海南第一20</v>
      </c>
      <c r="C126" t="str">
        <v>退社</v>
      </c>
      <c r="D126">
        <v>220216</v>
      </c>
      <c r="E126">
        <v>222040</v>
      </c>
      <c r="F126" t="str">
        <v>高雄工業 海南第一</v>
      </c>
      <c r="G126" t="str">
        <v>高雄工業株式会社 海南第一工場製作1課</v>
      </c>
      <c r="H126" t="str">
        <v>HUB_第1</v>
      </c>
      <c r="I126">
        <v>0</v>
      </c>
      <c r="J126" t="str">
        <v>THAI DOAN PHONG</v>
      </c>
      <c r="K126" t="str">
        <v>タイ　ゾアン　フォン</v>
      </c>
      <c r="L126" t="str">
        <v>男</v>
      </c>
      <c r="M126" t="str">
        <v>ﾍﾞﾄﾅﾑ</v>
      </c>
      <c r="N126">
        <v>32553</v>
      </c>
      <c r="O126">
        <v>34</v>
      </c>
      <c r="P126">
        <v>1400</v>
      </c>
      <c r="Q126">
        <v>0</v>
      </c>
      <c r="R126">
        <v>1770</v>
      </c>
      <c r="S126">
        <v>0</v>
      </c>
      <c r="T126">
        <v>370</v>
      </c>
      <c r="U126">
        <v>0</v>
      </c>
      <c r="V126" t="str">
        <v/>
      </c>
      <c r="W126" t="str">
        <v>0</v>
      </c>
      <c r="X126" t="str">
        <v/>
      </c>
      <c r="Y126">
        <v>45185</v>
      </c>
      <c r="Z126" t="str">
        <v>残り期限90日!</v>
      </c>
      <c r="AA126" t="str">
        <v>技術・人文知識・国際業務</v>
      </c>
      <c r="AB126" t="str">
        <v>498-0017</v>
      </c>
      <c r="AC126" t="str">
        <v>愛知県弥富市前ヶ須町東勘助138</v>
      </c>
      <c r="AD126" t="str">
        <v>安井ﾋﾞﾙ2C</v>
      </c>
      <c r="AE126">
        <v>44608</v>
      </c>
      <c r="AF126">
        <v>44613</v>
      </c>
      <c r="AG126">
        <v>44923</v>
      </c>
      <c r="AH126">
        <v>0</v>
      </c>
      <c r="AI126">
        <v>22.04</v>
      </c>
      <c r="AJ126">
        <v>0</v>
      </c>
      <c r="AK126">
        <v>0</v>
      </c>
      <c r="AL126">
        <v>0</v>
      </c>
      <c r="AM126">
        <v>0</v>
      </c>
      <c r="AN126">
        <v>0</v>
      </c>
      <c r="AO126" t="str">
        <v>OK</v>
      </c>
      <c r="AP126">
        <v>0</v>
      </c>
    </row>
    <row r="127" spans="1:42">
      <c r="A127" t="str">
        <f>H127&amp;COUNTIF($H$2:H127,H127)</f>
        <v>成型ライン4</v>
      </c>
      <c r="B127" t="str">
        <f>F127&amp;COUNTIF($F$2:F127,F127)</f>
        <v>ピーエムアイ7</v>
      </c>
      <c r="C127" t="str">
        <v>在職中</v>
      </c>
      <c r="D127">
        <v>220314</v>
      </c>
      <c r="E127">
        <v>222042</v>
      </c>
      <c r="F127" t="str">
        <v>ピーエムアイ</v>
      </c>
      <c r="G127" t="str">
        <v>製造1</v>
      </c>
      <c r="H127" t="str">
        <v>成型ライン</v>
      </c>
      <c r="I127" t="str">
        <v>プラスチック製品の製造におけるすべての行為</v>
      </c>
      <c r="J127" t="str">
        <v>HOANG TRUNG HIEU</v>
      </c>
      <c r="K127" t="str">
        <v>ホアン　ツーン　ヒエウ</v>
      </c>
      <c r="L127" t="str">
        <v>男</v>
      </c>
      <c r="M127" t="str">
        <v>ﾍﾞﾄﾅﾑ</v>
      </c>
      <c r="N127">
        <v>34424</v>
      </c>
      <c r="O127">
        <v>29</v>
      </c>
      <c r="P127">
        <v>1300</v>
      </c>
      <c r="Q127">
        <v>0</v>
      </c>
      <c r="R127">
        <v>1800</v>
      </c>
      <c r="S127">
        <v>0</v>
      </c>
      <c r="T127">
        <v>500</v>
      </c>
      <c r="U127">
        <v>280000</v>
      </c>
      <c r="V127">
        <v>14014</v>
      </c>
      <c r="W127" t="str">
        <v>0</v>
      </c>
      <c r="X127">
        <v>25620</v>
      </c>
      <c r="Y127">
        <v>45281</v>
      </c>
      <c r="Z127" t="str">
        <v>残り期限90日!</v>
      </c>
      <c r="AA127" t="str">
        <v>技術・人文知識・国際業務</v>
      </c>
      <c r="AB127" t="str">
        <v>471-0805</v>
      </c>
      <c r="AC127" t="str">
        <v>愛知県豊田市美里2-6-9</v>
      </c>
      <c r="AD127" t="str">
        <v>ﾚｼﾞｪﾝﾄﾞK305</v>
      </c>
      <c r="AE127">
        <v>44835</v>
      </c>
      <c r="AF127">
        <v>44837</v>
      </c>
      <c r="AG127">
        <v>0</v>
      </c>
      <c r="AH127">
        <v>0</v>
      </c>
      <c r="AI127">
        <v>22.05</v>
      </c>
      <c r="AJ127">
        <v>0</v>
      </c>
      <c r="AK127">
        <v>0</v>
      </c>
      <c r="AL127">
        <v>0</v>
      </c>
      <c r="AM127">
        <v>0</v>
      </c>
      <c r="AN127">
        <v>0</v>
      </c>
      <c r="AO127" t="str">
        <v>OK</v>
      </c>
      <c r="AP127" t="str">
        <v>2022/3/8~2022/9/30まで高雄工業海南第一　2022/10/3～ﾋﾟｰｴﾑｱｲへ異動、2023/7/8～305へ移動</v>
      </c>
    </row>
    <row r="128" spans="1:42">
      <c r="A128" t="str">
        <f>H128&amp;COUNTIF($H$2:H128,H128)</f>
        <v>P1</v>
      </c>
      <c r="B128" t="str">
        <f>F128&amp;COUNTIF($F$2:F128,F128)</f>
        <v>高雄工業 海南第二5</v>
      </c>
      <c r="C128" t="str">
        <v>退社</v>
      </c>
      <c r="D128">
        <v>220322</v>
      </c>
      <c r="E128">
        <v>222043</v>
      </c>
      <c r="F128" t="str">
        <v>高雄工業 海南第二</v>
      </c>
      <c r="G128" t="str">
        <v>高雄工業株式会社 海南第二工場製作課</v>
      </c>
      <c r="H128" t="str">
        <v>P</v>
      </c>
      <c r="I128">
        <v>0</v>
      </c>
      <c r="J128" t="str">
        <v>NGUYEN TUAN CUONG</v>
      </c>
      <c r="K128" t="str">
        <v>グエン　トゥアン　クオン</v>
      </c>
      <c r="L128" t="str">
        <v>男</v>
      </c>
      <c r="M128" t="str">
        <v>ﾍﾞﾄﾅﾑ</v>
      </c>
      <c r="N128">
        <v>35247</v>
      </c>
      <c r="O128">
        <v>27</v>
      </c>
      <c r="P128">
        <v>1370</v>
      </c>
      <c r="Q128">
        <v>0</v>
      </c>
      <c r="R128">
        <v>1770</v>
      </c>
      <c r="S128">
        <v>0</v>
      </c>
      <c r="T128">
        <v>400</v>
      </c>
      <c r="U128">
        <v>0</v>
      </c>
      <c r="V128" t="str">
        <v/>
      </c>
      <c r="W128" t="str">
        <v>0</v>
      </c>
      <c r="X128" t="str">
        <v/>
      </c>
      <c r="Y128">
        <v>45226</v>
      </c>
      <c r="Z128" t="str">
        <v>残り期限90日!</v>
      </c>
      <c r="AA128" t="str">
        <v>技術・人文知識・国際業務</v>
      </c>
      <c r="AB128" t="str">
        <v>498-0017</v>
      </c>
      <c r="AC128" t="str">
        <v>愛知県弥富市前ヶ須町西勘助207</v>
      </c>
      <c r="AD128" t="str">
        <v>CASA弥冨A105</v>
      </c>
      <c r="AE128">
        <v>44637</v>
      </c>
      <c r="AF128">
        <v>44643</v>
      </c>
      <c r="AG128">
        <v>44862</v>
      </c>
      <c r="AH128">
        <v>0</v>
      </c>
      <c r="AI128">
        <v>44682</v>
      </c>
      <c r="AJ128" t="str">
        <v>グエン　トゥアン　クオン</v>
      </c>
      <c r="AK128" t="str">
        <v>ゆうちょ銀行</v>
      </c>
      <c r="AL128">
        <v>208</v>
      </c>
      <c r="AM128" t="str">
        <v>二〇八</v>
      </c>
      <c r="AN128" t="str">
        <v>2175566</v>
      </c>
      <c r="AO128" t="str">
        <v>2022/04/18</v>
      </c>
      <c r="AP128">
        <v>0</v>
      </c>
    </row>
    <row r="129" spans="1:42">
      <c r="A129" t="str">
        <f>H129&amp;COUNTIF($H$2:H129,H129)</f>
        <v>HUB_第112</v>
      </c>
      <c r="B129" t="str">
        <f>F129&amp;COUNTIF($F$2:F129,F129)</f>
        <v>高雄工業 海南第一21</v>
      </c>
      <c r="C129" t="str">
        <v>在職中</v>
      </c>
      <c r="D129">
        <v>220515</v>
      </c>
      <c r="E129">
        <v>222045</v>
      </c>
      <c r="F129" t="str">
        <v>高雄工業 海南第一</v>
      </c>
      <c r="G129" t="str">
        <v>高雄工業株式会社 海南第一工場製作1課</v>
      </c>
      <c r="H129" t="str">
        <v>HUB_第1</v>
      </c>
      <c r="I129" t="str">
        <v>ハブ加工　自動ラインの機械オペレーター、NCプログラム修正</v>
      </c>
      <c r="J129" t="str">
        <v>NGUYEN VAN HIEN</v>
      </c>
      <c r="K129" t="str">
        <v>グエン　ヴァン　ヒエン</v>
      </c>
      <c r="L129" t="str">
        <v>男</v>
      </c>
      <c r="M129" t="str">
        <v>ﾍﾞﾄﾅﾑ</v>
      </c>
      <c r="N129">
        <v>36160</v>
      </c>
      <c r="O129">
        <v>24</v>
      </c>
      <c r="P129">
        <v>1300</v>
      </c>
      <c r="Q129">
        <v>0</v>
      </c>
      <c r="R129">
        <v>1660</v>
      </c>
      <c r="S129">
        <v>0</v>
      </c>
      <c r="T129">
        <v>360</v>
      </c>
      <c r="U129">
        <v>280000</v>
      </c>
      <c r="V129">
        <v>14014</v>
      </c>
      <c r="W129" t="str">
        <v>0</v>
      </c>
      <c r="X129">
        <v>25620</v>
      </c>
      <c r="Y129">
        <v>45408</v>
      </c>
      <c r="Z129" t="str">
        <v/>
      </c>
      <c r="AA129" t="str">
        <v>技術・人文知識・国際業務</v>
      </c>
      <c r="AB129" t="str">
        <v>498-0017</v>
      </c>
      <c r="AC129" t="str">
        <v>愛知県弥富市前ヶ須町西勘助207</v>
      </c>
      <c r="AD129" t="str">
        <v>CASA弥冨A105</v>
      </c>
      <c r="AE129">
        <v>44677</v>
      </c>
      <c r="AF129">
        <v>44693</v>
      </c>
      <c r="AG129">
        <v>0</v>
      </c>
      <c r="AH129">
        <v>0</v>
      </c>
      <c r="AI129" t="str">
        <v>22.07.01</v>
      </c>
      <c r="AJ129" t="str">
        <v>ファム　ヴァン　ヒエウ</v>
      </c>
      <c r="AK129" t="str">
        <v>ゆうちょ銀行</v>
      </c>
      <c r="AL129">
        <v>408</v>
      </c>
      <c r="AM129" t="str">
        <v>四〇八</v>
      </c>
      <c r="AN129" t="str">
        <v>3267821</v>
      </c>
      <c r="AO129" t="str">
        <v>5/19林</v>
      </c>
      <c r="AP129">
        <v>0</v>
      </c>
    </row>
    <row r="130" spans="1:42">
      <c r="A130" t="str">
        <f>H130&amp;COUNTIF($H$2:H130,H130)</f>
        <v>HUB_第113</v>
      </c>
      <c r="B130" t="str">
        <f>F130&amp;COUNTIF($F$2:F130,F130)</f>
        <v>高雄工業 海南第一22</v>
      </c>
      <c r="C130" t="str">
        <v>退社</v>
      </c>
      <c r="D130">
        <v>220516</v>
      </c>
      <c r="E130">
        <v>222046</v>
      </c>
      <c r="F130" t="str">
        <v>高雄工業 海南第一</v>
      </c>
      <c r="G130" t="str">
        <v>高雄工業株式会社 海南第一工場製作1課</v>
      </c>
      <c r="H130" t="str">
        <v>HUB_第1</v>
      </c>
      <c r="I130" t="str">
        <v>ハブ加工　自動ラインの機械オペレーター、NCプログラム修正</v>
      </c>
      <c r="J130" t="str">
        <v>NGUYEN HOANG VIET LAM</v>
      </c>
      <c r="K130" t="str">
        <v>グエン　ホアン　ヴィエット　ラム</v>
      </c>
      <c r="L130" t="str">
        <v>男</v>
      </c>
      <c r="M130" t="str">
        <v>ﾍﾞﾄﾅﾑ</v>
      </c>
      <c r="N130">
        <v>36111</v>
      </c>
      <c r="O130">
        <v>25</v>
      </c>
      <c r="P130">
        <v>1220</v>
      </c>
      <c r="Q130">
        <v>0</v>
      </c>
      <c r="R130">
        <v>1660</v>
      </c>
      <c r="S130">
        <v>0</v>
      </c>
      <c r="T130">
        <v>440</v>
      </c>
      <c r="U130">
        <v>180000</v>
      </c>
      <c r="V130">
        <v>9009</v>
      </c>
      <c r="W130" t="str">
        <v>0</v>
      </c>
      <c r="X130">
        <v>16470</v>
      </c>
      <c r="Y130">
        <v>45408</v>
      </c>
      <c r="Z130" t="str">
        <v/>
      </c>
      <c r="AA130" t="str">
        <v>技術・人文知識・国際業務</v>
      </c>
      <c r="AB130" t="str">
        <v>498-0025</v>
      </c>
      <c r="AC130" t="str">
        <v>愛知県弥富市前ヶ須町西勘助207</v>
      </c>
      <c r="AD130" t="str">
        <v>CASA弥冨A105</v>
      </c>
      <c r="AE130">
        <v>44864</v>
      </c>
      <c r="AF130">
        <v>44693</v>
      </c>
      <c r="AG130">
        <v>45106</v>
      </c>
      <c r="AH130">
        <v>0</v>
      </c>
      <c r="AI130" t="str">
        <v>22.07.01</v>
      </c>
      <c r="AJ130" t="str">
        <v>ファム　デイン　トウン</v>
      </c>
      <c r="AK130" t="str">
        <v>ゆうちょ銀行</v>
      </c>
      <c r="AL130">
        <v>98</v>
      </c>
      <c r="AM130" t="str">
        <v>〇九八</v>
      </c>
      <c r="AN130" t="str">
        <v>1285143</v>
      </c>
      <c r="AO130" t="str">
        <v>5/19林</v>
      </c>
      <c r="AP130">
        <v>0</v>
      </c>
    </row>
    <row r="131" spans="1:42">
      <c r="A131" t="str">
        <f>H131&amp;COUNTIF($H$2:H131,H131)</f>
        <v>P2</v>
      </c>
      <c r="B131" t="str">
        <f>F131&amp;COUNTIF($F$2:F131,F131)</f>
        <v>高雄工業 海南第二6</v>
      </c>
      <c r="C131" t="str">
        <v>退社</v>
      </c>
      <c r="D131">
        <v>220520</v>
      </c>
      <c r="E131">
        <v>222047</v>
      </c>
      <c r="F131" t="str">
        <v>高雄工業 海南第二</v>
      </c>
      <c r="G131" t="str">
        <v>高雄工業株式会社 海南第二工場製作課</v>
      </c>
      <c r="H131" t="str">
        <v>P</v>
      </c>
      <c r="I131">
        <v>0</v>
      </c>
      <c r="J131" t="str">
        <v>TA QUAN VUONG</v>
      </c>
      <c r="K131" t="str">
        <v>ター　クアン　ヴオン</v>
      </c>
      <c r="L131" t="str">
        <v>男</v>
      </c>
      <c r="M131" t="str">
        <v>ﾍﾞﾄﾅﾑ</v>
      </c>
      <c r="N131">
        <v>34352</v>
      </c>
      <c r="O131">
        <v>29</v>
      </c>
      <c r="P131">
        <v>1200</v>
      </c>
      <c r="Q131">
        <v>0</v>
      </c>
      <c r="R131">
        <v>1650</v>
      </c>
      <c r="S131">
        <v>0</v>
      </c>
      <c r="T131">
        <v>450</v>
      </c>
      <c r="U131">
        <v>0</v>
      </c>
      <c r="V131" t="str">
        <v/>
      </c>
      <c r="W131" t="str">
        <v>0</v>
      </c>
      <c r="X131" t="str">
        <v/>
      </c>
      <c r="Y131">
        <v>45062</v>
      </c>
      <c r="Z131" t="str">
        <v>残り期限90日!</v>
      </c>
      <c r="AA131" t="str">
        <v>技術・人文知識・国際業務</v>
      </c>
      <c r="AB131" t="str">
        <v>498-0017</v>
      </c>
      <c r="AC131" t="str">
        <v>愛知県弥富市前ヶ須町西勘助207</v>
      </c>
      <c r="AD131" t="str">
        <v>CASA弥冨A203</v>
      </c>
      <c r="AE131">
        <v>44704</v>
      </c>
      <c r="AF131">
        <v>44705</v>
      </c>
      <c r="AG131">
        <v>44923</v>
      </c>
      <c r="AH131">
        <v>0</v>
      </c>
      <c r="AI131" t="str">
        <v>22.07.01</v>
      </c>
      <c r="AJ131" t="str">
        <v>ター　クァン　ヴォン</v>
      </c>
      <c r="AK131" t="str">
        <v>ゆうちょ銀行</v>
      </c>
      <c r="AL131">
        <v>208</v>
      </c>
      <c r="AM131" t="str">
        <v>二〇八</v>
      </c>
      <c r="AN131" t="str">
        <v>1517237</v>
      </c>
      <c r="AO131" t="str">
        <v>6/6林</v>
      </c>
      <c r="AP131">
        <v>0</v>
      </c>
    </row>
    <row r="132" spans="1:42">
      <c r="A132" t="str">
        <f>H132&amp;COUNTIF($H$2:H132,H132)</f>
        <v>HUB_第114</v>
      </c>
      <c r="B132" t="str">
        <f>F132&amp;COUNTIF($F$2:F132,F132)</f>
        <v>高雄工業 海南第一23</v>
      </c>
      <c r="C132" t="str">
        <v>在職中</v>
      </c>
      <c r="D132">
        <v>220602</v>
      </c>
      <c r="E132">
        <v>222048</v>
      </c>
      <c r="F132" t="str">
        <v>高雄工業 海南第一</v>
      </c>
      <c r="G132" t="str">
        <v>高雄工業株式会社 海南第一工場製作1課</v>
      </c>
      <c r="H132" t="str">
        <v>HUB_第1</v>
      </c>
      <c r="I132" t="str">
        <v>ハブ加工　自動ラインの機械オペレーター、NCプログラム修正</v>
      </c>
      <c r="J132" t="str">
        <v>PHAM THANH LONG</v>
      </c>
      <c r="K132" t="str">
        <v>ファム　タイン　ロン</v>
      </c>
      <c r="L132" t="str">
        <v>男</v>
      </c>
      <c r="M132" t="str">
        <v>ﾍﾞﾄﾅﾑ</v>
      </c>
      <c r="N132">
        <v>36623</v>
      </c>
      <c r="O132">
        <v>23</v>
      </c>
      <c r="P132">
        <v>1300</v>
      </c>
      <c r="Q132">
        <v>0</v>
      </c>
      <c r="R132">
        <v>1660</v>
      </c>
      <c r="S132">
        <v>0</v>
      </c>
      <c r="T132">
        <v>360</v>
      </c>
      <c r="U132">
        <v>300000</v>
      </c>
      <c r="V132">
        <v>15014.999999999998</v>
      </c>
      <c r="W132" t="str">
        <v>0</v>
      </c>
      <c r="X132">
        <v>27450</v>
      </c>
      <c r="Y132">
        <v>45459</v>
      </c>
      <c r="Z132" t="str">
        <v/>
      </c>
      <c r="AA132" t="str">
        <v>技術・人文知識・国際業務</v>
      </c>
      <c r="AB132" t="str">
        <v>498-0031</v>
      </c>
      <c r="AC132" t="str">
        <v>愛知県弥富市平島町甲新田72-4</v>
      </c>
      <c r="AD132" t="str">
        <v>EAST COURT Y･M202</v>
      </c>
      <c r="AE132">
        <v>44713</v>
      </c>
      <c r="AF132">
        <v>44713</v>
      </c>
      <c r="AG132">
        <v>0</v>
      </c>
      <c r="AH132">
        <v>0</v>
      </c>
      <c r="AI132">
        <v>44774</v>
      </c>
      <c r="AJ132">
        <v>0</v>
      </c>
      <c r="AK132">
        <v>0</v>
      </c>
      <c r="AL132">
        <v>0</v>
      </c>
      <c r="AM132">
        <v>0</v>
      </c>
      <c r="AN132">
        <v>0</v>
      </c>
      <c r="AO132" t="str">
        <v>6/6林</v>
      </c>
      <c r="AP132">
        <v>0</v>
      </c>
    </row>
    <row r="133" spans="1:42">
      <c r="A133" t="str">
        <f>H133&amp;COUNTIF($H$2:H133,H133)</f>
        <v>H_2次旋6</v>
      </c>
      <c r="B133" t="str">
        <f>F133&amp;COUNTIF($F$2:F133,F133)</f>
        <v>高雄工業 海南第一24</v>
      </c>
      <c r="C133" t="str">
        <v>在職中</v>
      </c>
      <c r="D133">
        <v>220601</v>
      </c>
      <c r="E133">
        <v>222049</v>
      </c>
      <c r="F133" t="str">
        <v>高雄工業 海南第一</v>
      </c>
      <c r="G133" t="str">
        <v>高雄工業株式会社 海南第一工場製作1課</v>
      </c>
      <c r="H133" t="str">
        <v>H_2次旋</v>
      </c>
      <c r="I133" t="str">
        <v>ハブ加工品の2次施削、手動機械オペレーターNCプログラム修正</v>
      </c>
      <c r="J133" t="str">
        <v>LE HUU THUAN</v>
      </c>
      <c r="K133" t="str">
        <v>レー　フー　トゥアン</v>
      </c>
      <c r="L133" t="str">
        <v>男</v>
      </c>
      <c r="M133" t="str">
        <v>ﾍﾞﾄﾅﾑ</v>
      </c>
      <c r="N133">
        <v>35954</v>
      </c>
      <c r="O133">
        <v>25</v>
      </c>
      <c r="P133">
        <v>1300</v>
      </c>
      <c r="Q133">
        <v>0</v>
      </c>
      <c r="R133">
        <v>1660</v>
      </c>
      <c r="S133">
        <v>0</v>
      </c>
      <c r="T133">
        <v>360</v>
      </c>
      <c r="U133">
        <v>300000</v>
      </c>
      <c r="V133">
        <v>15014.999999999998</v>
      </c>
      <c r="W133" t="str">
        <v>0</v>
      </c>
      <c r="X133">
        <v>27450</v>
      </c>
      <c r="Y133">
        <v>45459</v>
      </c>
      <c r="Z133" t="str">
        <v/>
      </c>
      <c r="AA133" t="str">
        <v>技術・人文知識・国際業務</v>
      </c>
      <c r="AB133" t="str">
        <v>498-0032</v>
      </c>
      <c r="AC133" t="str">
        <v>愛知県弥富市平島中4丁目128</v>
      </c>
      <c r="AD133" t="str">
        <v>村上貸家</v>
      </c>
      <c r="AE133">
        <v>45032</v>
      </c>
      <c r="AF133">
        <v>44713</v>
      </c>
      <c r="AG133">
        <v>0</v>
      </c>
      <c r="AH133">
        <v>0</v>
      </c>
      <c r="AI133">
        <v>44774</v>
      </c>
      <c r="AJ133">
        <v>0</v>
      </c>
      <c r="AK133">
        <v>0</v>
      </c>
      <c r="AL133">
        <v>0</v>
      </c>
      <c r="AM133">
        <v>0</v>
      </c>
      <c r="AN133">
        <v>0</v>
      </c>
      <c r="AO133" t="str">
        <v>6/6林</v>
      </c>
      <c r="AP133">
        <v>0</v>
      </c>
    </row>
    <row r="134" spans="1:42">
      <c r="A134" t="str">
        <f>H134&amp;COUNTIF($H$2:H134,H134)</f>
        <v>H_2次旋7</v>
      </c>
      <c r="B134" t="str">
        <f>F134&amp;COUNTIF($F$2:F134,F134)</f>
        <v>高雄工業 海南第一25</v>
      </c>
      <c r="C134" t="str">
        <v>在職中</v>
      </c>
      <c r="D134">
        <v>220603</v>
      </c>
      <c r="E134">
        <v>222050</v>
      </c>
      <c r="F134" t="str">
        <v>高雄工業 海南第一</v>
      </c>
      <c r="G134" t="str">
        <v>高雄工業株式会社 海南第一工場製作1課</v>
      </c>
      <c r="H134" t="str">
        <v>H_2次旋</v>
      </c>
      <c r="I134" t="str">
        <v>ハブ加工品の2次施削、手動機械オペレーターNCプログラム修正</v>
      </c>
      <c r="J134" t="str">
        <v>VU ANH VUONG</v>
      </c>
      <c r="K134" t="str">
        <v>ヴー　アイン　ヴォン</v>
      </c>
      <c r="L134" t="str">
        <v>男</v>
      </c>
      <c r="M134" t="str">
        <v>ﾍﾞﾄﾅﾑ</v>
      </c>
      <c r="N134">
        <v>36788</v>
      </c>
      <c r="O134">
        <v>23</v>
      </c>
      <c r="P134">
        <v>1300</v>
      </c>
      <c r="Q134">
        <v>0</v>
      </c>
      <c r="R134">
        <v>1660</v>
      </c>
      <c r="S134">
        <v>0</v>
      </c>
      <c r="T134">
        <v>360</v>
      </c>
      <c r="U134">
        <v>300000</v>
      </c>
      <c r="V134">
        <v>15014.999999999998</v>
      </c>
      <c r="W134" t="str">
        <v>0</v>
      </c>
      <c r="X134">
        <v>27450</v>
      </c>
      <c r="Y134">
        <v>45459</v>
      </c>
      <c r="Z134" t="str">
        <v/>
      </c>
      <c r="AA134" t="str">
        <v>技術・人文知識・国際業務</v>
      </c>
      <c r="AB134" t="str">
        <v>498-0028</v>
      </c>
      <c r="AC134" t="str">
        <v>愛知県弥富市鯏浦町中六109-1</v>
      </c>
      <c r="AD134" t="str">
        <v>ｾﾗﾀｳﾝ弥冨C棟201</v>
      </c>
      <c r="AE134">
        <v>44713</v>
      </c>
      <c r="AF134">
        <v>44713</v>
      </c>
      <c r="AG134">
        <v>0</v>
      </c>
      <c r="AH134">
        <v>0</v>
      </c>
      <c r="AI134">
        <v>44774</v>
      </c>
      <c r="AJ134">
        <v>0</v>
      </c>
      <c r="AK134">
        <v>0</v>
      </c>
      <c r="AL134">
        <v>0</v>
      </c>
      <c r="AM134">
        <v>0</v>
      </c>
      <c r="AN134">
        <v>0</v>
      </c>
      <c r="AO134" t="str">
        <v>6/6林</v>
      </c>
      <c r="AP134">
        <v>0</v>
      </c>
    </row>
    <row r="135" spans="1:42">
      <c r="A135" t="str">
        <f>H135&amp;COUNTIF($H$2:H135,H135)</f>
        <v>P3</v>
      </c>
      <c r="B135" t="str">
        <f>F135&amp;COUNTIF($F$2:F135,F135)</f>
        <v>高雄工業 海南第二7</v>
      </c>
      <c r="C135" t="str">
        <v>在職中</v>
      </c>
      <c r="D135">
        <v>220609</v>
      </c>
      <c r="E135">
        <v>222051</v>
      </c>
      <c r="F135" t="str">
        <v>高雄工業 海南第二</v>
      </c>
      <c r="G135" t="str">
        <v>高雄工業株式会社 海南第二工場製作課</v>
      </c>
      <c r="H135" t="str">
        <v>P</v>
      </c>
      <c r="I135" t="str">
        <v>産業機械部品の施削加工、NCプログラム修正</v>
      </c>
      <c r="J135" t="str">
        <v>TRAN HUU HUNG</v>
      </c>
      <c r="K135" t="str">
        <v>チャン　フウ　フン</v>
      </c>
      <c r="L135" t="str">
        <v>男</v>
      </c>
      <c r="M135" t="str">
        <v>ﾍﾞﾄﾅﾑ</v>
      </c>
      <c r="N135">
        <v>36016</v>
      </c>
      <c r="O135">
        <v>25</v>
      </c>
      <c r="P135">
        <v>1300</v>
      </c>
      <c r="Q135">
        <v>0</v>
      </c>
      <c r="R135">
        <v>1670</v>
      </c>
      <c r="S135">
        <v>0</v>
      </c>
      <c r="T135">
        <v>370</v>
      </c>
      <c r="U135">
        <v>320000</v>
      </c>
      <c r="V135">
        <v>16015.999999999998</v>
      </c>
      <c r="W135" t="str">
        <v>0</v>
      </c>
      <c r="X135">
        <v>29280</v>
      </c>
      <c r="Y135">
        <v>45459</v>
      </c>
      <c r="Z135" t="str">
        <v/>
      </c>
      <c r="AA135" t="str">
        <v>技術・人文知識・国際業務</v>
      </c>
      <c r="AB135" t="str">
        <v>498-0031</v>
      </c>
      <c r="AC135" t="str">
        <v>愛知県弥富市平島町北広畑10-1</v>
      </c>
      <c r="AD135" t="str">
        <v>ﾚﾌﾞﾗﾝｶﾐｰﾘｱB205</v>
      </c>
      <c r="AE135">
        <v>44716</v>
      </c>
      <c r="AF135">
        <v>44725</v>
      </c>
      <c r="AG135">
        <v>0</v>
      </c>
      <c r="AH135">
        <v>0</v>
      </c>
      <c r="AI135" t="str">
        <v>22.08.01</v>
      </c>
      <c r="AJ135" t="str">
        <v>チャン　フウ　フン</v>
      </c>
      <c r="AK135" t="str">
        <v>ゆうちょ銀行</v>
      </c>
      <c r="AL135">
        <v>208</v>
      </c>
      <c r="AM135" t="str">
        <v>二〇八</v>
      </c>
      <c r="AN135" t="str">
        <v>630627</v>
      </c>
      <c r="AO135" t="str">
        <v>6/22林</v>
      </c>
      <c r="AP135">
        <v>0</v>
      </c>
    </row>
    <row r="136" spans="1:42">
      <c r="A136" t="str">
        <f>H136&amp;COUNTIF($H$2:H136,H136)</f>
        <v>リフト作業2</v>
      </c>
      <c r="B136" t="str">
        <f>F136&amp;COUNTIF($F$2:F136,F136)</f>
        <v>高雄工業 海南第一26</v>
      </c>
      <c r="C136" t="str">
        <v>在職中</v>
      </c>
      <c r="D136">
        <v>220706</v>
      </c>
      <c r="E136">
        <v>222052</v>
      </c>
      <c r="F136" t="str">
        <v>高雄工業 海南第一</v>
      </c>
      <c r="G136" t="str">
        <v>高雄工業株式会社 海南第一工場営業課</v>
      </c>
      <c r="H136" t="str">
        <v>リフト作業</v>
      </c>
      <c r="I136" t="str">
        <v>鋳造材料の工場内加工ラインへの供給</v>
      </c>
      <c r="J136" t="str">
        <v>佐藤　マルセロ　ヒトシ</v>
      </c>
      <c r="K136" t="str">
        <v>サトウ　マルセロ　ヒトシ</v>
      </c>
      <c r="L136" t="str">
        <v>男</v>
      </c>
      <c r="M136" t="str">
        <v>ﾌﾞﾗｼﾞﾙ</v>
      </c>
      <c r="N136">
        <v>28323</v>
      </c>
      <c r="O136">
        <v>46</v>
      </c>
      <c r="P136">
        <v>1400</v>
      </c>
      <c r="Q136">
        <v>0</v>
      </c>
      <c r="R136">
        <v>1760</v>
      </c>
      <c r="S136">
        <v>0</v>
      </c>
      <c r="T136">
        <v>360</v>
      </c>
      <c r="U136">
        <v>260000</v>
      </c>
      <c r="V136">
        <v>13013</v>
      </c>
      <c r="W136">
        <v>2365.9999999999982</v>
      </c>
      <c r="X136">
        <v>23790</v>
      </c>
      <c r="Y136">
        <v>45541</v>
      </c>
      <c r="Z136" t="str">
        <v/>
      </c>
      <c r="AA136" t="str">
        <v>定住者</v>
      </c>
      <c r="AB136" t="str">
        <v>498-0021</v>
      </c>
      <c r="AC136" t="str">
        <v>愛知県弥富市鯏浦町東気開51番地1</v>
      </c>
      <c r="AD136" t="str">
        <v>ﾌｨﾚﾝﾂｪ弥冨2-406</v>
      </c>
      <c r="AE136" t="str">
        <v>個人</v>
      </c>
      <c r="AF136">
        <v>44760</v>
      </c>
      <c r="AG136">
        <v>0</v>
      </c>
      <c r="AH136">
        <v>0</v>
      </c>
      <c r="AI136" t="str">
        <v>22.08.01</v>
      </c>
      <c r="AJ136">
        <v>0</v>
      </c>
      <c r="AK136">
        <v>0</v>
      </c>
      <c r="AL136">
        <v>0</v>
      </c>
      <c r="AM136">
        <v>0</v>
      </c>
      <c r="AN136">
        <v>0</v>
      </c>
      <c r="AO136" t="str">
        <v>8/1林</v>
      </c>
      <c r="AP136">
        <v>0</v>
      </c>
    </row>
    <row r="137" spans="1:42">
      <c r="A137" t="str">
        <f>H137&amp;COUNTIF($H$2:H137,H137)</f>
        <v>リフト作業3</v>
      </c>
      <c r="B137" t="str">
        <f>F137&amp;COUNTIF($F$2:F137,F137)</f>
        <v>高雄工業 海南第一27</v>
      </c>
      <c r="C137" t="str">
        <v>在職中</v>
      </c>
      <c r="D137">
        <v>220907</v>
      </c>
      <c r="E137">
        <v>222053</v>
      </c>
      <c r="F137" t="str">
        <v>高雄工業 海南第一</v>
      </c>
      <c r="G137" t="str">
        <v>高雄工業株式会社 海南第一工場営業課</v>
      </c>
      <c r="H137" t="str">
        <v>リフト作業</v>
      </c>
      <c r="I137" t="str">
        <v>鋳造材料の工場内加工ラインへの供給</v>
      </c>
      <c r="J137" t="str">
        <v>保科　クラウジオ</v>
      </c>
      <c r="K137" t="str">
        <v>ホシナ　クラウジオ</v>
      </c>
      <c r="L137" t="str">
        <v>男</v>
      </c>
      <c r="M137" t="str">
        <v>ﾌﾞﾗｼﾞﾙ</v>
      </c>
      <c r="N137">
        <v>26057</v>
      </c>
      <c r="O137">
        <v>52</v>
      </c>
      <c r="P137">
        <v>1400</v>
      </c>
      <c r="Q137">
        <v>0</v>
      </c>
      <c r="R137">
        <v>1750</v>
      </c>
      <c r="S137">
        <v>0</v>
      </c>
      <c r="T137">
        <v>350</v>
      </c>
      <c r="U137">
        <v>260000</v>
      </c>
      <c r="V137">
        <v>13013</v>
      </c>
      <c r="W137">
        <v>2365.9999999999982</v>
      </c>
      <c r="X137">
        <v>23790</v>
      </c>
      <c r="Y137">
        <v>47404</v>
      </c>
      <c r="Z137" t="str">
        <v/>
      </c>
      <c r="AA137" t="str">
        <v>永住者</v>
      </c>
      <c r="AB137" t="str">
        <v>496-0026</v>
      </c>
      <c r="AC137" t="str">
        <v>愛知県津島市唐臼町西島69-2</v>
      </c>
      <c r="AD137">
        <v>0</v>
      </c>
      <c r="AE137" t="str">
        <v>個人</v>
      </c>
      <c r="AF137">
        <v>44816</v>
      </c>
      <c r="AG137">
        <v>0</v>
      </c>
      <c r="AH137">
        <v>0</v>
      </c>
      <c r="AI137" t="str">
        <v>22.10.01</v>
      </c>
      <c r="AJ137">
        <v>0</v>
      </c>
      <c r="AK137">
        <v>0</v>
      </c>
      <c r="AL137">
        <v>0</v>
      </c>
      <c r="AM137">
        <v>0</v>
      </c>
      <c r="AN137">
        <v>0</v>
      </c>
      <c r="AO137" t="str">
        <v>9/26林</v>
      </c>
      <c r="AP137">
        <v>0</v>
      </c>
    </row>
    <row r="138" spans="1:42">
      <c r="A138" t="str">
        <f>H138&amp;COUNTIF($H$2:H138,H138)</f>
        <v>W研磨2</v>
      </c>
      <c r="B138" t="str">
        <f>F138&amp;COUNTIF($F$2:F138,F138)</f>
        <v>高雄工業 海南第二8</v>
      </c>
      <c r="C138" t="str">
        <v>在職中</v>
      </c>
      <c r="D138">
        <v>230814</v>
      </c>
      <c r="E138">
        <v>222054</v>
      </c>
      <c r="F138" t="str">
        <v>高雄工業 海南第二</v>
      </c>
      <c r="G138" t="str">
        <v>高雄工業株式会社 海南第二工場製作課</v>
      </c>
      <c r="H138" t="str">
        <v>W研磨</v>
      </c>
      <c r="I138" t="str">
        <v>産業機械部品の研磨加工、MCプログラム修正</v>
      </c>
      <c r="J138" t="str">
        <v>VO HOANG CHUONG</v>
      </c>
      <c r="K138" t="str">
        <v>ヴォ　ホアン　チュオン</v>
      </c>
      <c r="L138" t="str">
        <v>男</v>
      </c>
      <c r="M138" t="str">
        <v>ﾍﾞﾄﾅﾑ</v>
      </c>
      <c r="N138">
        <v>32096</v>
      </c>
      <c r="O138">
        <v>36</v>
      </c>
      <c r="P138">
        <v>1200</v>
      </c>
      <c r="Q138">
        <v>0</v>
      </c>
      <c r="R138">
        <v>1650</v>
      </c>
      <c r="S138">
        <v>0</v>
      </c>
      <c r="T138">
        <v>450</v>
      </c>
      <c r="U138">
        <v>190000</v>
      </c>
      <c r="V138">
        <v>9509.5</v>
      </c>
      <c r="W138" t="str">
        <v>0</v>
      </c>
      <c r="X138">
        <v>17385</v>
      </c>
      <c r="Y138">
        <v>45499</v>
      </c>
      <c r="Z138" t="str">
        <v/>
      </c>
      <c r="AA138" t="str">
        <v>技術・人文知識・国際業務</v>
      </c>
      <c r="AB138" t="str">
        <v>498-0026</v>
      </c>
      <c r="AC138" t="str">
        <v>愛知県弥富市鯏浦町西前新田119-1</v>
      </c>
      <c r="AD138" t="str">
        <v>ﾗｲﾌｺｱ119　307号</v>
      </c>
      <c r="AE138">
        <v>45133</v>
      </c>
      <c r="AF138">
        <v>45140</v>
      </c>
      <c r="AG138">
        <v>0</v>
      </c>
      <c r="AH138">
        <v>0</v>
      </c>
      <c r="AI138" t="str">
        <v>23.8.2</v>
      </c>
      <c r="AJ138">
        <v>0</v>
      </c>
      <c r="AK138">
        <v>0</v>
      </c>
      <c r="AL138">
        <v>0</v>
      </c>
      <c r="AM138">
        <v>0</v>
      </c>
      <c r="AN138">
        <v>0</v>
      </c>
      <c r="AO138" t="str">
        <v>8/10林</v>
      </c>
      <c r="AP138">
        <v>0</v>
      </c>
    </row>
    <row r="139" spans="1:42">
      <c r="A139" t="str">
        <f>H139&amp;COUNTIF($H$2:H139,H139)</f>
        <v>リフト作業4</v>
      </c>
      <c r="B139" t="str">
        <f>F139&amp;COUNTIF($F$2:F139,F139)</f>
        <v>高雄工業 海南第一28</v>
      </c>
      <c r="C139" t="str">
        <v>在職中</v>
      </c>
      <c r="D139">
        <v>230821</v>
      </c>
      <c r="E139">
        <v>222055</v>
      </c>
      <c r="F139" t="str">
        <v>高雄工業 海南第一</v>
      </c>
      <c r="G139" t="str">
        <v>高雄工業株式会社 海南第一工場営業課</v>
      </c>
      <c r="H139" t="str">
        <v>リフト作業</v>
      </c>
      <c r="I139" t="str">
        <v>鋳造材料の工場内加工ラインへの供給</v>
      </c>
      <c r="J139" t="str">
        <v>GOTO TAMIO MARIO</v>
      </c>
      <c r="K139" t="str">
        <v>ゴトウ　タミオ　マリオ</v>
      </c>
      <c r="L139" t="str">
        <v>男</v>
      </c>
      <c r="M139" t="str">
        <v>ﾌﾞﾗｼﾞﾙ</v>
      </c>
      <c r="N139">
        <v>22150</v>
      </c>
      <c r="O139">
        <v>63</v>
      </c>
      <c r="P139">
        <v>1400</v>
      </c>
      <c r="Q139">
        <v>0</v>
      </c>
      <c r="R139">
        <v>1750</v>
      </c>
      <c r="S139">
        <v>0</v>
      </c>
      <c r="T139">
        <v>350</v>
      </c>
      <c r="U139">
        <v>200000</v>
      </c>
      <c r="V139">
        <v>10010</v>
      </c>
      <c r="W139">
        <v>1819.9999999999984</v>
      </c>
      <c r="X139">
        <v>18300</v>
      </c>
      <c r="Y139">
        <v>46918</v>
      </c>
      <c r="Z139" t="str">
        <v/>
      </c>
      <c r="AA139" t="str">
        <v>永住者</v>
      </c>
      <c r="AB139" t="str">
        <v>497-0040</v>
      </c>
      <c r="AC139" t="str">
        <v>愛知県海部郡蟹江町城2丁目131</v>
      </c>
      <c r="AD139" t="str">
        <v>丸庄ﾋﾞﾙ401</v>
      </c>
      <c r="AE139" t="str">
        <v>個人</v>
      </c>
      <c r="AF139">
        <v>45159</v>
      </c>
      <c r="AG139">
        <v>0</v>
      </c>
      <c r="AH139">
        <v>0</v>
      </c>
      <c r="AI139" t="str">
        <v>23.8.21</v>
      </c>
      <c r="AJ139">
        <v>0</v>
      </c>
      <c r="AK139">
        <v>0</v>
      </c>
      <c r="AL139">
        <v>0</v>
      </c>
      <c r="AM139">
        <v>0</v>
      </c>
      <c r="AN139">
        <v>0</v>
      </c>
      <c r="AO139" t="str">
        <v>8/31林</v>
      </c>
      <c r="AP139">
        <v>0</v>
      </c>
    </row>
    <row r="140" spans="1:42">
      <c r="A140" t="str">
        <f>H140&amp;COUNTIF($H$2:H140,H140)</f>
        <v>一次旋係2</v>
      </c>
      <c r="B140" t="str">
        <f>F140&amp;COUNTIF($F$2:F140,F140)</f>
        <v>高雄工業 岡山1</v>
      </c>
      <c r="C140" t="str">
        <v>在職中</v>
      </c>
      <c r="D140">
        <v>210117</v>
      </c>
      <c r="E140">
        <v>232002</v>
      </c>
      <c r="F140" t="str">
        <v>高雄工業 岡山</v>
      </c>
      <c r="G140" t="str">
        <v>高雄工業株式会社 岡山事業所HUB工場製作1課</v>
      </c>
      <c r="H140" t="str">
        <v>一次旋係</v>
      </c>
      <c r="I140" t="str">
        <v>ハブ加工・自動機の操作・ＮＣプログラム修正</v>
      </c>
      <c r="J140" t="str">
        <v>NGUYEN TUAN ANH</v>
      </c>
      <c r="K140" t="str">
        <v>グエン　トゥアン　アイン</v>
      </c>
      <c r="L140" t="str">
        <v>男</v>
      </c>
      <c r="M140" t="str">
        <v>ﾍﾞﾄﾅﾑ</v>
      </c>
      <c r="N140">
        <v>33588</v>
      </c>
      <c r="O140">
        <v>31</v>
      </c>
      <c r="P140">
        <v>1400</v>
      </c>
      <c r="Q140" t="str">
        <v>6/16~ \1200⇒\1250</v>
      </c>
      <c r="R140">
        <v>1800</v>
      </c>
      <c r="S140" t="str">
        <v>9/16~ 1600円→1750円</v>
      </c>
      <c r="T140">
        <v>400</v>
      </c>
      <c r="U140">
        <v>320000</v>
      </c>
      <c r="V140">
        <v>16015.999999999998</v>
      </c>
      <c r="W140" t="str">
        <v>0</v>
      </c>
      <c r="X140">
        <v>29280</v>
      </c>
      <c r="Y140">
        <v>45297</v>
      </c>
      <c r="Z140" t="str">
        <v>残り期限90日!</v>
      </c>
      <c r="AA140" t="str">
        <v>技術・人文知識・国際業務</v>
      </c>
      <c r="AB140" t="str">
        <v>709-2133</v>
      </c>
      <c r="AC140" t="str">
        <v>岡山県岡山市北区御津金川373番地1</v>
      </c>
      <c r="AD140" t="str">
        <v>ﾆｭｰｴﾙﾃﾞｨﾑ小西A101</v>
      </c>
      <c r="AE140">
        <v>44212</v>
      </c>
      <c r="AF140">
        <v>44221</v>
      </c>
      <c r="AG140">
        <v>0</v>
      </c>
      <c r="AH140">
        <v>0</v>
      </c>
      <c r="AI140">
        <v>44287</v>
      </c>
      <c r="AJ140" t="str">
        <v>グェン　トゥアン　アン</v>
      </c>
      <c r="AK140" t="str">
        <v>ゆうちょ銀行</v>
      </c>
      <c r="AL140">
        <v>548</v>
      </c>
      <c r="AM140" t="str">
        <v>五四八</v>
      </c>
      <c r="AN140" t="str">
        <v>15490　32649271</v>
      </c>
      <c r="AO140" t="str">
        <v>OK</v>
      </c>
      <c r="AP140">
        <v>0</v>
      </c>
    </row>
    <row r="141" spans="1:42">
      <c r="A141" t="str">
        <f>H141&amp;COUNTIF($H$2:H141,H141)</f>
        <v>一次旋係3</v>
      </c>
      <c r="B141" t="str">
        <f>F141&amp;COUNTIF($F$2:F141,F141)</f>
        <v>高雄工業 岡山2</v>
      </c>
      <c r="C141" t="str">
        <v>在職中</v>
      </c>
      <c r="D141">
        <v>210118</v>
      </c>
      <c r="E141">
        <v>232003</v>
      </c>
      <c r="F141" t="str">
        <v>高雄工業 岡山</v>
      </c>
      <c r="G141" t="str">
        <v>高雄工業株式会社 岡山事業所HUB工場製作1課</v>
      </c>
      <c r="H141" t="str">
        <v>一次旋係</v>
      </c>
      <c r="I141" t="str">
        <v>ハブ加工・自動機の操作・ＮＣプログラム修正</v>
      </c>
      <c r="J141" t="str">
        <v>PHAM CONG THANH</v>
      </c>
      <c r="K141" t="str">
        <v>ファム　コン　タイン</v>
      </c>
      <c r="L141" t="str">
        <v>男</v>
      </c>
      <c r="M141" t="str">
        <v>ﾍﾞﾄﾅﾑ</v>
      </c>
      <c r="N141">
        <v>33963</v>
      </c>
      <c r="O141">
        <v>30</v>
      </c>
      <c r="P141">
        <v>1400</v>
      </c>
      <c r="Q141" t="str">
        <v>6/16~ \1200⇒\1250</v>
      </c>
      <c r="R141">
        <v>1800</v>
      </c>
      <c r="S141" t="str">
        <v>9/16~ 1600円→1750円</v>
      </c>
      <c r="T141">
        <v>400</v>
      </c>
      <c r="U141">
        <v>280000</v>
      </c>
      <c r="V141">
        <v>14014</v>
      </c>
      <c r="W141" t="str">
        <v>0</v>
      </c>
      <c r="X141">
        <v>25620</v>
      </c>
      <c r="Y141">
        <v>45303</v>
      </c>
      <c r="Z141" t="str">
        <v>残り期限90日!</v>
      </c>
      <c r="AA141" t="str">
        <v>技術・人文知識・国際業務</v>
      </c>
      <c r="AB141" t="str">
        <v>709-2133</v>
      </c>
      <c r="AC141" t="str">
        <v>岡山県岡山市北区御津金川373番地1</v>
      </c>
      <c r="AD141" t="str">
        <v>ﾆｭｰｴﾙﾃﾞｨﾑ小西A101</v>
      </c>
      <c r="AE141">
        <v>44212</v>
      </c>
      <c r="AF141">
        <v>44221</v>
      </c>
      <c r="AG141">
        <v>0</v>
      </c>
      <c r="AH141">
        <v>0</v>
      </c>
      <c r="AI141">
        <v>44287</v>
      </c>
      <c r="AJ141" t="str">
        <v>ファム　コン　タイン</v>
      </c>
      <c r="AK141" t="str">
        <v>ゆうちょ銀行</v>
      </c>
      <c r="AL141">
        <v>548</v>
      </c>
      <c r="AM141" t="str">
        <v>五四八</v>
      </c>
      <c r="AN141" t="str">
        <v>3988726</v>
      </c>
      <c r="AO141" t="str">
        <v>OK</v>
      </c>
      <c r="AP141">
        <v>0</v>
      </c>
    </row>
    <row r="142" spans="1:42">
      <c r="A142" t="str">
        <f>H142&amp;COUNTIF($H$2:H142,H142)</f>
        <v>一次旋係4</v>
      </c>
      <c r="B142" t="str">
        <f>F142&amp;COUNTIF($F$2:F142,F142)</f>
        <v>高雄工業 岡山3</v>
      </c>
      <c r="C142" t="str">
        <v>退社</v>
      </c>
      <c r="D142">
        <v>210120</v>
      </c>
      <c r="E142">
        <v>232004</v>
      </c>
      <c r="F142" t="str">
        <v>高雄工業 岡山</v>
      </c>
      <c r="G142" t="str">
        <v>高雄工業株式会社 岡山事業所HUB工場製作1課</v>
      </c>
      <c r="H142" t="str">
        <v>一次旋係</v>
      </c>
      <c r="I142" t="str">
        <v>ハブ加工・自動機の操作・ＮＣプログラム修正</v>
      </c>
      <c r="J142" t="str">
        <v>LE VAN QUAN</v>
      </c>
      <c r="K142" t="str">
        <v>レー　ヴァン　クアン</v>
      </c>
      <c r="L142" t="str">
        <v>男</v>
      </c>
      <c r="M142" t="str">
        <v>ﾍﾞﾄﾅﾑ</v>
      </c>
      <c r="N142">
        <v>34065</v>
      </c>
      <c r="O142">
        <v>30</v>
      </c>
      <c r="P142">
        <v>1410</v>
      </c>
      <c r="Q142" t="str">
        <v>6/16~ \1200⇒\1250</v>
      </c>
      <c r="R142">
        <v>1810</v>
      </c>
      <c r="S142" t="str">
        <v>9/16~ 1600円→1750円</v>
      </c>
      <c r="T142">
        <v>400</v>
      </c>
      <c r="U142">
        <v>300000</v>
      </c>
      <c r="V142">
        <v>15014.999999999998</v>
      </c>
      <c r="W142" t="str">
        <v>0</v>
      </c>
      <c r="X142">
        <v>27450</v>
      </c>
      <c r="Y142">
        <v>46062</v>
      </c>
      <c r="Z142" t="str">
        <v/>
      </c>
      <c r="AA142" t="str">
        <v>技術・人文知識・国際業務</v>
      </c>
      <c r="AB142" t="str">
        <v>709-2107</v>
      </c>
      <c r="AC142" t="str">
        <v>岡山県岡山市北区御津矢原370</v>
      </c>
      <c r="AD142" t="str">
        <v>成広ｺｰﾎﾟⅠ103</v>
      </c>
      <c r="AE142">
        <v>45012</v>
      </c>
      <c r="AF142">
        <v>44221</v>
      </c>
      <c r="AG142">
        <v>45257</v>
      </c>
      <c r="AH142">
        <v>0</v>
      </c>
      <c r="AI142">
        <v>44287</v>
      </c>
      <c r="AJ142" t="str">
        <v>レー　ヴァンクアン</v>
      </c>
      <c r="AK142" t="str">
        <v>ゆうちょ銀行</v>
      </c>
      <c r="AL142">
        <v>778</v>
      </c>
      <c r="AM142" t="str">
        <v>七七八</v>
      </c>
      <c r="AN142" t="str">
        <v>1790180</v>
      </c>
      <c r="AO142" t="str">
        <v>OK</v>
      </c>
      <c r="AP142">
        <v>0</v>
      </c>
    </row>
    <row r="143" spans="1:42">
      <c r="A143" t="str">
        <f>H143&amp;COUNTIF($H$2:H143,H143)</f>
        <v>CVJﾊﾞﾘ取りﾁｬﾝﾌｧ係1</v>
      </c>
      <c r="B143" t="str">
        <f>F143&amp;COUNTIF($F$2:F143,F143)</f>
        <v>高雄工業 岡山4</v>
      </c>
      <c r="C143" t="str">
        <v>退社</v>
      </c>
      <c r="D143">
        <v>210306</v>
      </c>
      <c r="E143">
        <v>232005</v>
      </c>
      <c r="F143" t="str">
        <v>高雄工業 岡山</v>
      </c>
      <c r="G143" t="str">
        <v>高雄工業株式会社 岡山事業所HUB工場製作1課</v>
      </c>
      <c r="H143" t="str">
        <v>CVJﾊﾞﾘ取りﾁｬﾝﾌｧ係</v>
      </c>
      <c r="I143">
        <v>0</v>
      </c>
      <c r="J143" t="str">
        <v>PHUNG VAN NAM</v>
      </c>
      <c r="K143" t="str">
        <v>フン　ヴァン　ナム</v>
      </c>
      <c r="L143" t="str">
        <v>男</v>
      </c>
      <c r="M143" t="str">
        <v>ﾍﾞﾄﾅﾑ</v>
      </c>
      <c r="N143">
        <v>33294</v>
      </c>
      <c r="O143">
        <v>32</v>
      </c>
      <c r="P143">
        <v>1400</v>
      </c>
      <c r="Q143" t="str">
        <v>6/16~ \1200⇒\1250</v>
      </c>
      <c r="R143">
        <v>1770</v>
      </c>
      <c r="S143" t="str">
        <v>9/16~ 1600円→1750円</v>
      </c>
      <c r="T143">
        <v>370</v>
      </c>
      <c r="U143">
        <v>0</v>
      </c>
      <c r="V143" t="str">
        <v/>
      </c>
      <c r="W143" t="str">
        <v>0</v>
      </c>
      <c r="X143" t="str">
        <v/>
      </c>
      <c r="Y143">
        <v>45850</v>
      </c>
      <c r="Z143" t="str">
        <v/>
      </c>
      <c r="AA143" t="str">
        <v>技術・人文知識・国際業務</v>
      </c>
      <c r="AB143" t="str">
        <v>709-2107</v>
      </c>
      <c r="AC143" t="str">
        <v>岡山県岡山市北区御津矢原311</v>
      </c>
      <c r="AD143" t="str">
        <v>中須賀ｺｰﾎﾟⅢ203</v>
      </c>
      <c r="AE143">
        <v>44260</v>
      </c>
      <c r="AF143">
        <v>44263</v>
      </c>
      <c r="AG143">
        <v>44762</v>
      </c>
      <c r="AH143">
        <v>0</v>
      </c>
      <c r="AI143">
        <v>44317</v>
      </c>
      <c r="AJ143" t="str">
        <v>フン　ヴァン　ナム</v>
      </c>
      <c r="AK143" t="str">
        <v>ゆうちょ銀行</v>
      </c>
      <c r="AL143">
        <v>408</v>
      </c>
      <c r="AM143" t="str">
        <v>四〇八</v>
      </c>
      <c r="AN143" t="str">
        <v>7629984</v>
      </c>
      <c r="AO143" t="str">
        <v>OK</v>
      </c>
      <c r="AP143">
        <v>0</v>
      </c>
    </row>
    <row r="144" spans="1:42">
      <c r="A144" t="str">
        <f>H144&amp;COUNTIF($H$2:H144,H144)</f>
        <v>一次旋係5</v>
      </c>
      <c r="B144" t="str">
        <f>F144&amp;COUNTIF($F$2:F144,F144)</f>
        <v>高雄工業 岡山5</v>
      </c>
      <c r="C144" t="str">
        <v>退社</v>
      </c>
      <c r="D144">
        <v>210308</v>
      </c>
      <c r="E144">
        <v>232006</v>
      </c>
      <c r="F144" t="str">
        <v>高雄工業 岡山</v>
      </c>
      <c r="G144" t="str">
        <v>高雄工業株式会社 岡山事業所HUB工場製作1課</v>
      </c>
      <c r="H144" t="str">
        <v>一次旋係</v>
      </c>
      <c r="I144">
        <v>0</v>
      </c>
      <c r="J144" t="str">
        <v>PHAM KHAC SON</v>
      </c>
      <c r="K144" t="str">
        <v>ファム　カック　ソン</v>
      </c>
      <c r="L144" t="str">
        <v>男</v>
      </c>
      <c r="M144" t="str">
        <v>ﾍﾞﾄﾅﾑ</v>
      </c>
      <c r="N144">
        <v>35195</v>
      </c>
      <c r="O144">
        <v>27</v>
      </c>
      <c r="P144">
        <v>1400</v>
      </c>
      <c r="Q144" t="str">
        <v>6/16~ \1200⇒\1250</v>
      </c>
      <c r="R144">
        <v>1770</v>
      </c>
      <c r="S144" t="str">
        <v>9/16~ 1600円→1750円</v>
      </c>
      <c r="T144">
        <v>370</v>
      </c>
      <c r="U144">
        <v>0</v>
      </c>
      <c r="V144" t="str">
        <v/>
      </c>
      <c r="W144" t="str">
        <v>0</v>
      </c>
      <c r="X144" t="str">
        <v/>
      </c>
      <c r="Y144">
        <v>45217</v>
      </c>
      <c r="Z144" t="str">
        <v>残り期限90日!</v>
      </c>
      <c r="AA144" t="str">
        <v>技術・人文知識・国際業務</v>
      </c>
      <c r="AB144" t="str">
        <v>709-2107</v>
      </c>
      <c r="AC144" t="str">
        <v>岡山県岡山市北区御津矢原370</v>
      </c>
      <c r="AD144" t="str">
        <v>成広ｺｰﾎﾟⅡ102</v>
      </c>
      <c r="AE144">
        <v>44409</v>
      </c>
      <c r="AF144">
        <v>44263</v>
      </c>
      <c r="AG144">
        <v>44951</v>
      </c>
      <c r="AH144">
        <v>44923</v>
      </c>
      <c r="AI144">
        <v>44317</v>
      </c>
      <c r="AJ144" t="str">
        <v>ファム　カック　ソン</v>
      </c>
      <c r="AK144" t="str">
        <v>ゆうちょ銀行</v>
      </c>
      <c r="AL144">
        <v>328</v>
      </c>
      <c r="AM144" t="str">
        <v>三二八</v>
      </c>
      <c r="AN144" t="str">
        <v>1849767</v>
      </c>
      <c r="AO144" t="str">
        <v>OK</v>
      </c>
      <c r="AP144">
        <v>0</v>
      </c>
    </row>
    <row r="145" spans="1:42">
      <c r="A145" t="str">
        <f>H145&amp;COUNTIF($H$2:H145,H145)</f>
        <v>HUB　検査課係1</v>
      </c>
      <c r="B145" t="str">
        <f>F145&amp;COUNTIF($F$2:F145,F145)</f>
        <v>高雄工業 岡山6</v>
      </c>
      <c r="C145" t="str">
        <v>在職中</v>
      </c>
      <c r="D145">
        <v>210411</v>
      </c>
      <c r="E145">
        <v>232010</v>
      </c>
      <c r="F145" t="str">
        <v>高雄工業 岡山</v>
      </c>
      <c r="G145" t="str">
        <v>高雄工業株式会社 岡山品質保証部岡山HUB品証課</v>
      </c>
      <c r="H145" t="str">
        <v>HUB　検査課係</v>
      </c>
      <c r="I145" t="str">
        <v>HUB旋削加工品の抜き取り検査</v>
      </c>
      <c r="J145" t="str">
        <v>NGUYEN THI KIM NHUNG</v>
      </c>
      <c r="K145" t="str">
        <v>グエン　ティ　キム　ニュン</v>
      </c>
      <c r="L145" t="str">
        <v>女</v>
      </c>
      <c r="M145" t="str">
        <v>ﾍﾞﾄﾅﾑ</v>
      </c>
      <c r="N145">
        <v>33193</v>
      </c>
      <c r="O145">
        <v>33</v>
      </c>
      <c r="P145">
        <v>1110</v>
      </c>
      <c r="Q145">
        <v>0</v>
      </c>
      <c r="R145">
        <v>1630</v>
      </c>
      <c r="S145" t="str">
        <v>9/16~ 1500円→1610円</v>
      </c>
      <c r="T145">
        <v>520</v>
      </c>
      <c r="U145">
        <v>98000</v>
      </c>
      <c r="V145">
        <v>4904.8999999999996</v>
      </c>
      <c r="W145" t="str">
        <v>0</v>
      </c>
      <c r="X145">
        <v>8967</v>
      </c>
      <c r="Y145">
        <v>46552</v>
      </c>
      <c r="Z145" t="str">
        <v/>
      </c>
      <c r="AA145" t="str">
        <v>家族滞在</v>
      </c>
      <c r="AB145" t="str">
        <v>709-2105</v>
      </c>
      <c r="AC145" t="str">
        <v>岡山県岡山市北区御津伊田44-2</v>
      </c>
      <c r="AD145">
        <v>0</v>
      </c>
      <c r="AE145" t="str">
        <v>個人</v>
      </c>
      <c r="AF145">
        <v>44298</v>
      </c>
      <c r="AG145">
        <v>0</v>
      </c>
      <c r="AH145">
        <v>0</v>
      </c>
      <c r="AI145">
        <v>44348</v>
      </c>
      <c r="AJ145" t="str">
        <v>ＮＧＵＹＥＮ　ＴＨＩ　KIM　NHUNG</v>
      </c>
      <c r="AK145" t="str">
        <v>中国銀行</v>
      </c>
      <c r="AL145">
        <v>257</v>
      </c>
      <c r="AM145">
        <v>0</v>
      </c>
      <c r="AN145" t="str">
        <v>2510706</v>
      </c>
      <c r="AO145" t="str">
        <v>OK</v>
      </c>
      <c r="AP145" t="str">
        <v>産後23年5月3日~6月27日 育休：6/28～2024年5月5日</v>
      </c>
    </row>
    <row r="146" spans="1:42">
      <c r="A146" t="str">
        <f>H146&amp;COUNTIF($H$2:H146,H146)</f>
        <v>一次旋係6</v>
      </c>
      <c r="B146" t="str">
        <f>F146&amp;COUNTIF($F$2:F146,F146)</f>
        <v>高雄工業 岡山7</v>
      </c>
      <c r="C146" t="str">
        <v>退社</v>
      </c>
      <c r="D146">
        <v>210502</v>
      </c>
      <c r="E146">
        <v>232011</v>
      </c>
      <c r="F146" t="str">
        <v>高雄工業 岡山</v>
      </c>
      <c r="G146" t="str">
        <v>高雄工業株式会社 岡山品質保証部岡山HUB品証課</v>
      </c>
      <c r="H146" t="str">
        <v>一次旋係</v>
      </c>
      <c r="I146">
        <v>0</v>
      </c>
      <c r="J146" t="str">
        <v>NGUYEN NGOC UYEN</v>
      </c>
      <c r="K146" t="str">
        <v>グエン　ゴック　ウエン</v>
      </c>
      <c r="L146" t="str">
        <v>女</v>
      </c>
      <c r="M146" t="str">
        <v>ﾍﾞﾄﾅﾑ</v>
      </c>
      <c r="N146">
        <v>34304</v>
      </c>
      <c r="O146">
        <v>30</v>
      </c>
      <c r="P146">
        <v>1150</v>
      </c>
      <c r="Q146">
        <v>0</v>
      </c>
      <c r="R146">
        <v>1640</v>
      </c>
      <c r="S146" t="str">
        <v>9/16~ 1520円→1620円</v>
      </c>
      <c r="T146">
        <v>490</v>
      </c>
      <c r="U146">
        <v>0</v>
      </c>
      <c r="V146" t="str">
        <v/>
      </c>
      <c r="W146" t="str">
        <v>0</v>
      </c>
      <c r="X146" t="str">
        <v/>
      </c>
      <c r="Y146">
        <v>45710</v>
      </c>
      <c r="Z146" t="str">
        <v/>
      </c>
      <c r="AA146" t="str">
        <v>家族滞在</v>
      </c>
      <c r="AB146" t="str">
        <v>709-2107</v>
      </c>
      <c r="AC146" t="str">
        <v>岡山県岡山市北区御津矢原298-1</v>
      </c>
      <c r="AD146" t="str">
        <v>成広矢原ｺｰﾎﾟⅥ102</v>
      </c>
      <c r="AE146">
        <v>0</v>
      </c>
      <c r="AF146">
        <v>44326</v>
      </c>
      <c r="AG146">
        <v>44786</v>
      </c>
      <c r="AH146">
        <v>0</v>
      </c>
      <c r="AI146">
        <v>44378</v>
      </c>
      <c r="AJ146" t="str">
        <v>グエン　ゴック　ウエン</v>
      </c>
      <c r="AK146" t="str">
        <v>おかやま信用金庫</v>
      </c>
      <c r="AL146">
        <v>7</v>
      </c>
      <c r="AM146">
        <v>0</v>
      </c>
      <c r="AN146" t="str">
        <v>163507</v>
      </c>
      <c r="AO146" t="str">
        <v>OK</v>
      </c>
      <c r="AP146">
        <v>0</v>
      </c>
    </row>
    <row r="147" spans="1:42">
      <c r="A147" t="str">
        <f>H147&amp;COUNTIF($H$2:H147,H147)</f>
        <v>一次旋係7</v>
      </c>
      <c r="B147" t="str">
        <f>F147&amp;COUNTIF($F$2:F147,F147)</f>
        <v>高雄工業 岡山8</v>
      </c>
      <c r="C147" t="str">
        <v>在職中</v>
      </c>
      <c r="D147">
        <v>210501</v>
      </c>
      <c r="E147">
        <v>232012</v>
      </c>
      <c r="F147" t="str">
        <v>高雄工業 岡山</v>
      </c>
      <c r="G147" t="str">
        <v>高雄工業株式会社 岡山事業所HUB工場製作1課</v>
      </c>
      <c r="H147" t="str">
        <v>一次旋係</v>
      </c>
      <c r="I147" t="str">
        <v>ハブ加工・自動機の操作・ＮＣプログラム修正</v>
      </c>
      <c r="J147" t="str">
        <v>TRAN NGOC HA</v>
      </c>
      <c r="K147" t="str">
        <v>チャン　ゴック　ハ</v>
      </c>
      <c r="L147" t="str">
        <v>男</v>
      </c>
      <c r="M147" t="str">
        <v>ﾍﾞﾄﾅﾑ</v>
      </c>
      <c r="N147">
        <v>34148</v>
      </c>
      <c r="O147">
        <v>30</v>
      </c>
      <c r="P147">
        <v>1410</v>
      </c>
      <c r="Q147">
        <v>0</v>
      </c>
      <c r="R147">
        <v>1810</v>
      </c>
      <c r="S147" t="str">
        <v>9/16~ 1610円→1760円</v>
      </c>
      <c r="T147">
        <v>400</v>
      </c>
      <c r="U147">
        <v>320000</v>
      </c>
      <c r="V147">
        <v>16015.999999999998</v>
      </c>
      <c r="W147" t="str">
        <v>0</v>
      </c>
      <c r="X147">
        <v>29280</v>
      </c>
      <c r="Y147">
        <v>46276</v>
      </c>
      <c r="Z147" t="str">
        <v/>
      </c>
      <c r="AA147" t="str">
        <v>技術・人文知識・国際業務</v>
      </c>
      <c r="AB147" t="str">
        <v>709-2107</v>
      </c>
      <c r="AC147" t="str">
        <v>岡山県岡山市北区御津矢原370</v>
      </c>
      <c r="AD147" t="str">
        <v>成広ｺｰﾎﾟⅡ207</v>
      </c>
      <c r="AE147">
        <v>44318</v>
      </c>
      <c r="AF147">
        <v>44326</v>
      </c>
      <c r="AG147">
        <v>0</v>
      </c>
      <c r="AH147">
        <v>0</v>
      </c>
      <c r="AI147">
        <v>44378</v>
      </c>
      <c r="AJ147" t="str">
        <v>チャン　ゴック　ハ</v>
      </c>
      <c r="AK147" t="str">
        <v>ゆうちょ銀行</v>
      </c>
      <c r="AL147">
        <v>518</v>
      </c>
      <c r="AM147" t="str">
        <v>五一八</v>
      </c>
      <c r="AN147" t="str">
        <v>　51458841</v>
      </c>
      <c r="AO147" t="str">
        <v>OK</v>
      </c>
      <c r="AP147">
        <v>0</v>
      </c>
    </row>
    <row r="148" spans="1:42">
      <c r="A148" t="str">
        <f>H148&amp;COUNTIF($H$2:H148,H148)</f>
        <v>CVJ長軸旋盤係1</v>
      </c>
      <c r="B148" t="str">
        <f>F148&amp;COUNTIF($F$2:F148,F148)</f>
        <v>高雄工業 岡山9</v>
      </c>
      <c r="C148" t="str">
        <v>在職中</v>
      </c>
      <c r="D148">
        <v>210602</v>
      </c>
      <c r="E148">
        <v>232013</v>
      </c>
      <c r="F148" t="str">
        <v>高雄工業 岡山</v>
      </c>
      <c r="G148" t="str">
        <v>高雄工業株式会社 岡山事業所CVJ工場製作課</v>
      </c>
      <c r="H148" t="str">
        <v>CVJ長軸旋盤係</v>
      </c>
      <c r="I148" t="str">
        <v>ＣＶＪ長軸等速ジョイント旋削加工・ＮＣプログラム修正</v>
      </c>
      <c r="J148" t="str">
        <v>BUI DUC KHANG</v>
      </c>
      <c r="K148" t="str">
        <v>ブイ　ヅック　カン</v>
      </c>
      <c r="L148" t="str">
        <v>男</v>
      </c>
      <c r="M148" t="str">
        <v>ﾍﾞﾄﾅﾑ</v>
      </c>
      <c r="N148">
        <v>35031</v>
      </c>
      <c r="O148">
        <v>28</v>
      </c>
      <c r="P148">
        <v>1200</v>
      </c>
      <c r="Q148" t="str">
        <v>6/16~ \1200⇒\1250</v>
      </c>
      <c r="R148">
        <v>1790</v>
      </c>
      <c r="S148" t="str">
        <v>9/16~ 1600円→1750円</v>
      </c>
      <c r="T148">
        <v>590</v>
      </c>
      <c r="U148">
        <v>300000</v>
      </c>
      <c r="V148">
        <v>15014.999999999998</v>
      </c>
      <c r="W148" t="str">
        <v>0</v>
      </c>
      <c r="X148">
        <v>27450</v>
      </c>
      <c r="Y148">
        <v>45895</v>
      </c>
      <c r="Z148" t="str">
        <v/>
      </c>
      <c r="AA148" t="str">
        <v>技術・人文知識・国際業務</v>
      </c>
      <c r="AB148" t="str">
        <v>709-2107</v>
      </c>
      <c r="AC148" t="str">
        <v>岡山県岡山市北区御津矢原297-1</v>
      </c>
      <c r="AD148" t="str">
        <v>成広矢原ｺｰﾎﾟⅤ205</v>
      </c>
      <c r="AE148">
        <v>44864</v>
      </c>
      <c r="AF148">
        <v>44348</v>
      </c>
      <c r="AG148">
        <v>0</v>
      </c>
      <c r="AH148">
        <v>0</v>
      </c>
      <c r="AI148">
        <v>44409</v>
      </c>
      <c r="AJ148" t="str">
        <v>ブイ　ヅック　カーン</v>
      </c>
      <c r="AK148" t="str">
        <v>ゆうちょ銀行</v>
      </c>
      <c r="AL148">
        <v>438</v>
      </c>
      <c r="AM148" t="str">
        <v>四三八</v>
      </c>
      <c r="AN148" t="str">
        <v>9440153</v>
      </c>
      <c r="AO148" t="str">
        <v>OK</v>
      </c>
      <c r="AP148">
        <v>0</v>
      </c>
    </row>
    <row r="149" spans="1:42">
      <c r="A149" t="str">
        <f>H149&amp;COUNTIF($H$2:H149,H149)</f>
        <v>CVJ長軸旋盤係2</v>
      </c>
      <c r="B149" t="str">
        <f>F149&amp;COUNTIF($F$2:F149,F149)</f>
        <v>高雄工業 岡山10</v>
      </c>
      <c r="C149" t="str">
        <v>在職中</v>
      </c>
      <c r="D149">
        <v>210708</v>
      </c>
      <c r="E149">
        <v>232017</v>
      </c>
      <c r="F149" t="str">
        <v>高雄工業 岡山</v>
      </c>
      <c r="G149" t="str">
        <v>高雄工業株式会社 岡山事業所CVJ工場製作課</v>
      </c>
      <c r="H149" t="str">
        <v>CVJ長軸旋盤係</v>
      </c>
      <c r="I149" t="str">
        <v>ＣＶＪ長軸等速ジョイント旋削加工・ＮＣプログラム修正</v>
      </c>
      <c r="J149" t="str">
        <v>PHAM VAN LONG</v>
      </c>
      <c r="K149" t="str">
        <v>ファム　ヴァン　ロン</v>
      </c>
      <c r="L149" t="str">
        <v>男</v>
      </c>
      <c r="M149" t="str">
        <v>ﾍﾞﾄﾅﾑ</v>
      </c>
      <c r="N149">
        <v>33944</v>
      </c>
      <c r="O149">
        <v>31</v>
      </c>
      <c r="P149">
        <v>1400</v>
      </c>
      <c r="Q149">
        <v>0</v>
      </c>
      <c r="R149">
        <v>1790</v>
      </c>
      <c r="S149" t="str">
        <v>9/16~ 1600円→1750円</v>
      </c>
      <c r="T149">
        <v>390</v>
      </c>
      <c r="U149">
        <v>280000</v>
      </c>
      <c r="V149">
        <v>14014</v>
      </c>
      <c r="W149" t="str">
        <v>0</v>
      </c>
      <c r="X149">
        <v>25620</v>
      </c>
      <c r="Y149">
        <v>46198</v>
      </c>
      <c r="Z149" t="str">
        <v/>
      </c>
      <c r="AA149" t="str">
        <v>技術・人文知識・国際業務</v>
      </c>
      <c r="AB149" t="str">
        <v>709-2107</v>
      </c>
      <c r="AC149" t="str">
        <v>岡山県岡山市北区御津矢原312-2</v>
      </c>
      <c r="AD149" t="str">
        <v>中須賀ｺｰﾎﾟⅡ101</v>
      </c>
      <c r="AE149">
        <v>44652</v>
      </c>
      <c r="AF149">
        <v>44392</v>
      </c>
      <c r="AG149">
        <v>0</v>
      </c>
      <c r="AH149">
        <v>0</v>
      </c>
      <c r="AI149">
        <v>0</v>
      </c>
      <c r="AJ149" t="str">
        <v>ファム　ヴァン　ロン</v>
      </c>
      <c r="AK149" t="str">
        <v>ゆうちょ銀行</v>
      </c>
      <c r="AL149">
        <v>548</v>
      </c>
      <c r="AM149" t="str">
        <v>五四八</v>
      </c>
      <c r="AN149" t="str">
        <v>4071078</v>
      </c>
      <c r="AO149" t="str">
        <v>OK</v>
      </c>
      <c r="AP149">
        <v>0</v>
      </c>
    </row>
    <row r="150" spans="1:42">
      <c r="A150" t="str">
        <f>H150&amp;COUNTIF($H$2:H150,H150)</f>
        <v>一次旋係8</v>
      </c>
      <c r="B150" t="str">
        <f>F150&amp;COUNTIF($F$2:F150,F150)</f>
        <v>高雄工業 岡山11</v>
      </c>
      <c r="C150" t="str">
        <v>在職中</v>
      </c>
      <c r="D150">
        <v>210706</v>
      </c>
      <c r="E150">
        <v>232018</v>
      </c>
      <c r="F150" t="str">
        <v>高雄工業 岡山</v>
      </c>
      <c r="G150" t="str">
        <v>高雄工業株式会社 岡山事業所HUB工場製作1課</v>
      </c>
      <c r="H150" t="str">
        <v>一次旋係</v>
      </c>
      <c r="I150" t="str">
        <v>ハブ加工・自動機の操作・ＮＣプログラム修正</v>
      </c>
      <c r="J150" t="str">
        <v>NGUYEN VAN QUAN</v>
      </c>
      <c r="K150" t="str">
        <v>グエン　バン　クアン</v>
      </c>
      <c r="L150" t="str">
        <v>男</v>
      </c>
      <c r="M150" t="str">
        <v>ﾍﾞﾄﾅﾑ</v>
      </c>
      <c r="N150">
        <v>33966</v>
      </c>
      <c r="O150">
        <v>30</v>
      </c>
      <c r="P150">
        <v>1410</v>
      </c>
      <c r="Q150">
        <v>0</v>
      </c>
      <c r="R150">
        <v>1810</v>
      </c>
      <c r="S150" t="str">
        <v>9/16~ 1600円→1750円</v>
      </c>
      <c r="T150">
        <v>400</v>
      </c>
      <c r="U150">
        <v>220000</v>
      </c>
      <c r="V150">
        <v>11011</v>
      </c>
      <c r="W150" t="str">
        <v>0</v>
      </c>
      <c r="X150">
        <v>20130</v>
      </c>
      <c r="Y150">
        <v>46078</v>
      </c>
      <c r="Z150" t="str">
        <v/>
      </c>
      <c r="AA150" t="str">
        <v>技術・人文知識・国際業務</v>
      </c>
      <c r="AB150" t="str">
        <v>709-2107</v>
      </c>
      <c r="AC150" t="str">
        <v>岡山県岡山市北区御津矢原297-1</v>
      </c>
      <c r="AD150" t="str">
        <v>成広矢原ｺｰﾎﾟⅤ201</v>
      </c>
      <c r="AE150">
        <v>44743</v>
      </c>
      <c r="AF150">
        <v>44385</v>
      </c>
      <c r="AG150">
        <v>0</v>
      </c>
      <c r="AH150">
        <v>0</v>
      </c>
      <c r="AI150">
        <v>0</v>
      </c>
      <c r="AJ150" t="str">
        <v>グエン　バン　クアン</v>
      </c>
      <c r="AK150" t="str">
        <v>ゆうちょ銀行</v>
      </c>
      <c r="AL150">
        <v>518</v>
      </c>
      <c r="AM150" t="str">
        <v>五一八</v>
      </c>
      <c r="AN150" t="str">
        <v>5976314</v>
      </c>
      <c r="AO150" t="str">
        <v>OK</v>
      </c>
      <c r="AP150">
        <v>0</v>
      </c>
    </row>
    <row r="151" spans="1:42">
      <c r="A151" t="str">
        <f>H151&amp;COUNTIF($H$2:H151,H151)</f>
        <v>HUB　検査課係2</v>
      </c>
      <c r="B151" t="str">
        <f>F151&amp;COUNTIF($F$2:F151,F151)</f>
        <v>高雄工業 岡山12</v>
      </c>
      <c r="C151" t="str">
        <v>在職中</v>
      </c>
      <c r="D151">
        <v>210816</v>
      </c>
      <c r="E151">
        <v>232019</v>
      </c>
      <c r="F151" t="str">
        <v>高雄工業 岡山</v>
      </c>
      <c r="G151" t="str">
        <v>高雄工業株式会社 岡山品質保証部岡山HUB品証課</v>
      </c>
      <c r="H151" t="str">
        <v>HUB　検査課係</v>
      </c>
      <c r="I151" t="str">
        <v>HUB旋削加工品の抜き取り検査</v>
      </c>
      <c r="J151" t="str">
        <v>BUI THI YEN</v>
      </c>
      <c r="K151" t="str">
        <v>ブイ　ティ　イエン</v>
      </c>
      <c r="L151" t="str">
        <v>女</v>
      </c>
      <c r="M151" t="str">
        <v>ﾍﾞﾄﾅﾑ</v>
      </c>
      <c r="N151">
        <v>35010</v>
      </c>
      <c r="O151">
        <v>28</v>
      </c>
      <c r="P151">
        <v>1160</v>
      </c>
      <c r="Q151">
        <v>0</v>
      </c>
      <c r="R151">
        <v>1660</v>
      </c>
      <c r="S151" t="str">
        <v>9/16~ 1510円→1610円</v>
      </c>
      <c r="T151">
        <v>500</v>
      </c>
      <c r="U151">
        <v>118000</v>
      </c>
      <c r="V151">
        <v>5905.9</v>
      </c>
      <c r="W151" t="str">
        <v>0</v>
      </c>
      <c r="X151">
        <v>10797</v>
      </c>
      <c r="Y151">
        <v>46205</v>
      </c>
      <c r="Z151" t="str">
        <v/>
      </c>
      <c r="AA151" t="str">
        <v>家族滞在</v>
      </c>
      <c r="AB151" t="str">
        <v>709-2107</v>
      </c>
      <c r="AC151" t="str">
        <v>岡山県岡山市北区御津矢原312-2</v>
      </c>
      <c r="AD151" t="str">
        <v>中須賀ｺｰﾎﾟⅡ101</v>
      </c>
      <c r="AE151" t="str">
        <v>個人</v>
      </c>
      <c r="AF151">
        <v>44431</v>
      </c>
      <c r="AG151">
        <v>0</v>
      </c>
      <c r="AH151">
        <v>0</v>
      </c>
      <c r="AI151">
        <v>0</v>
      </c>
      <c r="AJ151" t="str">
        <v>BUI　THI　YEN</v>
      </c>
      <c r="AK151" t="str">
        <v>伊予銀行</v>
      </c>
      <c r="AL151">
        <v>138</v>
      </c>
      <c r="AM151" t="str">
        <v>久米</v>
      </c>
      <c r="AN151" t="str">
        <v>1579257</v>
      </c>
      <c r="AO151" t="str">
        <v>OK</v>
      </c>
      <c r="AP151">
        <v>0</v>
      </c>
    </row>
    <row r="152" spans="1:42">
      <c r="A152" t="str">
        <f>H152&amp;COUNTIF($H$2:H152,H152)</f>
        <v>一次旋係9</v>
      </c>
      <c r="B152" t="str">
        <f>F152&amp;COUNTIF($F$2:F152,F152)</f>
        <v>高雄工業 岡山13</v>
      </c>
      <c r="C152" t="str">
        <v>在職中</v>
      </c>
      <c r="D152">
        <v>211003</v>
      </c>
      <c r="E152">
        <v>232020</v>
      </c>
      <c r="F152" t="str">
        <v>高雄工業 岡山</v>
      </c>
      <c r="G152" t="str">
        <v>高雄工業株式会社 岡山事業所HUB工場製作1課</v>
      </c>
      <c r="H152" t="str">
        <v>一次旋係</v>
      </c>
      <c r="I152" t="str">
        <v>ハブ加工・自動機の操作・ＮＣプログラム修正</v>
      </c>
      <c r="J152" t="str">
        <v>小野　忠昭</v>
      </c>
      <c r="K152" t="str">
        <v>オノ　タダアキ</v>
      </c>
      <c r="L152" t="str">
        <v>男</v>
      </c>
      <c r="M152" t="str">
        <v>日本</v>
      </c>
      <c r="N152">
        <v>24511</v>
      </c>
      <c r="O152">
        <v>56</v>
      </c>
      <c r="P152">
        <v>1290</v>
      </c>
      <c r="Q152">
        <v>0</v>
      </c>
      <c r="R152">
        <v>1800</v>
      </c>
      <c r="S152">
        <v>0</v>
      </c>
      <c r="T152">
        <v>510</v>
      </c>
      <c r="U152">
        <v>300000</v>
      </c>
      <c r="V152">
        <v>15014.999999999998</v>
      </c>
      <c r="W152">
        <v>2730</v>
      </c>
      <c r="X152">
        <v>27450</v>
      </c>
      <c r="Y152">
        <v>0</v>
      </c>
      <c r="Z152" t="str">
        <v/>
      </c>
      <c r="AA152">
        <v>0</v>
      </c>
      <c r="AB152" t="str">
        <v>709-0827</v>
      </c>
      <c r="AC152" t="str">
        <v>岡山県赤磐市山陽4-2-30</v>
      </c>
      <c r="AD152">
        <v>0</v>
      </c>
      <c r="AE152" t="str">
        <v>個人</v>
      </c>
      <c r="AF152">
        <v>44470</v>
      </c>
      <c r="AG152">
        <v>0</v>
      </c>
      <c r="AH152">
        <v>0</v>
      </c>
      <c r="AI152">
        <v>44531</v>
      </c>
      <c r="AJ152" t="str">
        <v>オノ　タダアキ</v>
      </c>
      <c r="AK152" t="str">
        <v>中国銀行</v>
      </c>
      <c r="AL152">
        <v>146</v>
      </c>
      <c r="AM152" t="str">
        <v>福浜支店</v>
      </c>
      <c r="AN152" t="str">
        <v>1456197</v>
      </c>
      <c r="AO152" t="str">
        <v>OK</v>
      </c>
      <c r="AP152">
        <v>0</v>
      </c>
    </row>
    <row r="153" spans="1:42">
      <c r="A153" t="str">
        <f>H153&amp;COUNTIF($H$2:H153,H153)</f>
        <v>一次旋係10</v>
      </c>
      <c r="B153" t="str">
        <f>F153&amp;COUNTIF($F$2:F153,F153)</f>
        <v>高雄工業 岡山14</v>
      </c>
      <c r="C153" t="str">
        <v>退社</v>
      </c>
      <c r="D153">
        <v>211001</v>
      </c>
      <c r="E153">
        <v>232021</v>
      </c>
      <c r="F153" t="str">
        <v>高雄工業 岡山</v>
      </c>
      <c r="G153" t="str">
        <v>高雄工業株式会社 岡山事業所HUB工場製作1課</v>
      </c>
      <c r="H153" t="str">
        <v>一次旋係</v>
      </c>
      <c r="I153">
        <v>0</v>
      </c>
      <c r="J153" t="str">
        <v>神田　恭宏</v>
      </c>
      <c r="K153" t="str">
        <v>カンダ　ヤスヒロ</v>
      </c>
      <c r="L153" t="str">
        <v>男</v>
      </c>
      <c r="M153" t="str">
        <v>日本</v>
      </c>
      <c r="N153">
        <v>25188</v>
      </c>
      <c r="O153">
        <v>54</v>
      </c>
      <c r="P153">
        <v>1350</v>
      </c>
      <c r="Q153">
        <v>0</v>
      </c>
      <c r="R153">
        <v>1770</v>
      </c>
      <c r="S153">
        <v>0</v>
      </c>
      <c r="T153">
        <v>420</v>
      </c>
      <c r="U153">
        <v>0</v>
      </c>
      <c r="V153" t="str">
        <v/>
      </c>
      <c r="W153" t="str">
        <v/>
      </c>
      <c r="X153" t="str">
        <v/>
      </c>
      <c r="Y153">
        <v>0</v>
      </c>
      <c r="Z153" t="str">
        <v/>
      </c>
      <c r="AA153">
        <v>0</v>
      </c>
      <c r="AB153" t="str">
        <v>700-0945</v>
      </c>
      <c r="AC153" t="str">
        <v>岡山県岡山市南区新保683-12</v>
      </c>
      <c r="AD153">
        <v>0</v>
      </c>
      <c r="AE153" t="str">
        <v>個人</v>
      </c>
      <c r="AF153">
        <v>44470</v>
      </c>
      <c r="AG153">
        <v>44834</v>
      </c>
      <c r="AH153">
        <v>0</v>
      </c>
      <c r="AI153">
        <v>44531</v>
      </c>
      <c r="AJ153" t="str">
        <v>カンダ　ヤスヒロ</v>
      </c>
      <c r="AK153" t="str">
        <v>中国銀行</v>
      </c>
      <c r="AL153">
        <v>251</v>
      </c>
      <c r="AM153" t="str">
        <v>津山</v>
      </c>
      <c r="AN153" t="str">
        <v>1681735</v>
      </c>
      <c r="AO153" t="str">
        <v>OK</v>
      </c>
      <c r="AP153">
        <v>0</v>
      </c>
    </row>
    <row r="154" spans="1:42">
      <c r="A154" t="str">
        <f>H154&amp;COUNTIF($H$2:H154,H154)</f>
        <v>CVJ研磨係1</v>
      </c>
      <c r="B154" t="str">
        <f>F154&amp;COUNTIF($F$2:F154,F154)</f>
        <v>高雄工業 岡山15</v>
      </c>
      <c r="C154" t="str">
        <v>在職中</v>
      </c>
      <c r="D154">
        <v>211006</v>
      </c>
      <c r="E154">
        <v>232022</v>
      </c>
      <c r="F154" t="str">
        <v>高雄工業 岡山</v>
      </c>
      <c r="G154" t="str">
        <v>高雄工業株式会社 岡山事業所CVJ工場製作課</v>
      </c>
      <c r="H154" t="str">
        <v>CVJ研磨係</v>
      </c>
      <c r="I154" t="str">
        <v>ＣＶＪ研磨等速ジョイント旋削加工</v>
      </c>
      <c r="J154" t="str">
        <v>島田　富佐男</v>
      </c>
      <c r="K154" t="str">
        <v>シマダ　フサオ</v>
      </c>
      <c r="L154" t="str">
        <v>男</v>
      </c>
      <c r="M154" t="str">
        <v>日本</v>
      </c>
      <c r="N154">
        <v>22913</v>
      </c>
      <c r="O154">
        <v>61</v>
      </c>
      <c r="P154">
        <v>1350</v>
      </c>
      <c r="Q154">
        <v>0</v>
      </c>
      <c r="R154">
        <v>1870</v>
      </c>
      <c r="S154">
        <v>0</v>
      </c>
      <c r="T154">
        <v>520</v>
      </c>
      <c r="U154">
        <v>300000</v>
      </c>
      <c r="V154">
        <v>15014.999999999998</v>
      </c>
      <c r="W154">
        <v>2730</v>
      </c>
      <c r="X154">
        <v>27450</v>
      </c>
      <c r="Y154">
        <v>0</v>
      </c>
      <c r="Z154" t="str">
        <v/>
      </c>
      <c r="AA154">
        <v>0</v>
      </c>
      <c r="AB154" t="str">
        <v>704-8173</v>
      </c>
      <c r="AC154" t="str">
        <v>岡山県岡山市東区可知2丁目6-2-202</v>
      </c>
      <c r="AD154">
        <v>0</v>
      </c>
      <c r="AE154" t="str">
        <v>個人</v>
      </c>
      <c r="AF154">
        <v>44470</v>
      </c>
      <c r="AG154">
        <v>0</v>
      </c>
      <c r="AH154">
        <v>0</v>
      </c>
      <c r="AI154">
        <v>44531</v>
      </c>
      <c r="AJ154" t="str">
        <v>シマダ　フサオ</v>
      </c>
      <c r="AK154" t="str">
        <v>おかやま信用金庫</v>
      </c>
      <c r="AL154">
        <v>19</v>
      </c>
      <c r="AM154" t="str">
        <v>松新町</v>
      </c>
      <c r="AN154" t="str">
        <v>363025</v>
      </c>
      <c r="AO154" t="str">
        <v>OK</v>
      </c>
      <c r="AP154">
        <v>0</v>
      </c>
    </row>
    <row r="155" spans="1:42">
      <c r="A155" t="str">
        <f>H155&amp;COUNTIF($H$2:H155,H155)</f>
        <v>CVJﾊﾞﾘ取りﾁｬﾝﾌｧ係2</v>
      </c>
      <c r="B155" t="str">
        <f>F155&amp;COUNTIF($F$2:F155,F155)</f>
        <v>高雄工業 岡山16</v>
      </c>
      <c r="C155" t="str">
        <v>退社</v>
      </c>
      <c r="D155">
        <v>211005</v>
      </c>
      <c r="E155">
        <v>232023</v>
      </c>
      <c r="F155" t="str">
        <v>高雄工業 岡山</v>
      </c>
      <c r="G155" t="str">
        <v>高雄工業株式会社 岡山事業所CVJ工場製作課</v>
      </c>
      <c r="H155" t="str">
        <v>CVJﾊﾞﾘ取りﾁｬﾝﾌｧ係</v>
      </c>
      <c r="I155" t="str">
        <v>CVJバリ取りチャンファ等速ジョイント旋削加工</v>
      </c>
      <c r="J155" t="str">
        <v>TAN ALEXANDER IGANO</v>
      </c>
      <c r="K155" t="str">
        <v>タン　アレックサンダー　イガノ</v>
      </c>
      <c r="L155" t="str">
        <v>男</v>
      </c>
      <c r="M155" t="str">
        <v>ﾌｨﾘﾋﾟﾝ</v>
      </c>
      <c r="N155">
        <v>25246</v>
      </c>
      <c r="O155">
        <v>54</v>
      </c>
      <c r="P155">
        <v>1250</v>
      </c>
      <c r="Q155">
        <v>0</v>
      </c>
      <c r="R155">
        <v>1800</v>
      </c>
      <c r="S155">
        <v>0</v>
      </c>
      <c r="T155">
        <v>550</v>
      </c>
      <c r="U155">
        <v>240000</v>
      </c>
      <c r="V155">
        <v>12012</v>
      </c>
      <c r="W155">
        <v>2183.9999999999982</v>
      </c>
      <c r="X155">
        <v>21960</v>
      </c>
      <c r="Y155">
        <v>46190</v>
      </c>
      <c r="Z155" t="str">
        <v/>
      </c>
      <c r="AA155" t="str">
        <v>永住者</v>
      </c>
      <c r="AB155" t="str">
        <v>702-8058</v>
      </c>
      <c r="AC155" t="str">
        <v>岡山県岡山市南区並木町2-8-17</v>
      </c>
      <c r="AD155">
        <v>0</v>
      </c>
      <c r="AE155" t="str">
        <v>個人</v>
      </c>
      <c r="AF155">
        <v>44470</v>
      </c>
      <c r="AG155">
        <v>45167</v>
      </c>
      <c r="AH155">
        <v>0</v>
      </c>
      <c r="AI155">
        <v>44531</v>
      </c>
      <c r="AJ155" t="str">
        <v>TAN　ALEXANDER　IGANO</v>
      </c>
      <c r="AK155" t="str">
        <v>中国銀行</v>
      </c>
      <c r="AL155">
        <v>117</v>
      </c>
      <c r="AM155" t="str">
        <v>岡南</v>
      </c>
      <c r="AN155" t="str">
        <v>確認</v>
      </c>
      <c r="AO155" t="str">
        <v>OK</v>
      </c>
      <c r="AP155">
        <v>0</v>
      </c>
    </row>
    <row r="156" spans="1:42">
      <c r="A156" t="str">
        <f>H156&amp;COUNTIF($H$2:H156,H156)</f>
        <v>CVJ切欠きｺｯﾀ係1</v>
      </c>
      <c r="B156" t="str">
        <f>F156&amp;COUNTIF($F$2:F156,F156)</f>
        <v>高雄工業 岡山17</v>
      </c>
      <c r="C156" t="str">
        <v>在職中</v>
      </c>
      <c r="D156">
        <v>211002</v>
      </c>
      <c r="E156">
        <v>232024</v>
      </c>
      <c r="F156" t="str">
        <v>高雄工業 岡山</v>
      </c>
      <c r="G156" t="str">
        <v>高雄工業株式会社 岡山事業所CVJ工場製作課</v>
      </c>
      <c r="H156" t="str">
        <v>CVJ切欠きｺｯﾀ係</v>
      </c>
      <c r="I156" t="str">
        <v>ＣＶＪ切欠きコッタ等速ジョイント旋削加工</v>
      </c>
      <c r="J156" t="str">
        <v>中村　勝次</v>
      </c>
      <c r="K156" t="str">
        <v>ナカムラ　カツジ</v>
      </c>
      <c r="L156" t="str">
        <v>男</v>
      </c>
      <c r="M156" t="str">
        <v>日本</v>
      </c>
      <c r="N156">
        <v>23064</v>
      </c>
      <c r="O156">
        <v>60</v>
      </c>
      <c r="P156">
        <v>1250</v>
      </c>
      <c r="Q156">
        <v>0</v>
      </c>
      <c r="R156">
        <v>1790</v>
      </c>
      <c r="S156">
        <v>0</v>
      </c>
      <c r="T156">
        <v>540</v>
      </c>
      <c r="U156">
        <v>220000</v>
      </c>
      <c r="V156">
        <v>11011</v>
      </c>
      <c r="W156">
        <v>2001.9999999999984</v>
      </c>
      <c r="X156">
        <v>20130</v>
      </c>
      <c r="Y156">
        <v>0</v>
      </c>
      <c r="Z156" t="str">
        <v/>
      </c>
      <c r="AA156">
        <v>0</v>
      </c>
      <c r="AB156" t="str">
        <v>709-2107</v>
      </c>
      <c r="AC156" t="str">
        <v>岡山県岡山市北区御津矢原294-1</v>
      </c>
      <c r="AD156" t="str">
        <v>成広矢原ｺｰﾎﾟⅢ203</v>
      </c>
      <c r="AE156">
        <v>44409</v>
      </c>
      <c r="AF156">
        <v>44470</v>
      </c>
      <c r="AG156">
        <v>0</v>
      </c>
      <c r="AH156">
        <v>0</v>
      </c>
      <c r="AI156">
        <v>44531</v>
      </c>
      <c r="AJ156" t="str">
        <v>ナカムラ　カツジ</v>
      </c>
      <c r="AK156" t="str">
        <v>中国銀行</v>
      </c>
      <c r="AL156">
        <v>252</v>
      </c>
      <c r="AM156" t="str">
        <v>津山東</v>
      </c>
      <c r="AN156" t="str">
        <v>1122221</v>
      </c>
      <c r="AO156" t="str">
        <v>OK</v>
      </c>
      <c r="AP156">
        <v>0</v>
      </c>
    </row>
    <row r="157" spans="1:42">
      <c r="A157" t="str">
        <f>H157&amp;COUNTIF($H$2:H157,H157)</f>
        <v>CVJ清掃1</v>
      </c>
      <c r="B157" t="str">
        <f>F157&amp;COUNTIF($F$2:F157,F157)</f>
        <v>高雄工業 岡山18</v>
      </c>
      <c r="C157" t="str">
        <v>在職中</v>
      </c>
      <c r="D157">
        <v>211004</v>
      </c>
      <c r="E157">
        <v>232025</v>
      </c>
      <c r="F157" t="str">
        <v>高雄工業 岡山</v>
      </c>
      <c r="G157" t="str">
        <v>高雄工業株式会社 岡山事業所CVJ工場製作課</v>
      </c>
      <c r="H157" t="str">
        <v>CVJ清掃</v>
      </c>
      <c r="I157" t="str">
        <v>自動機の旋削機械及び周辺機器等の清掃メンテナンス</v>
      </c>
      <c r="J157" t="str">
        <v>弓削　幸将</v>
      </c>
      <c r="K157" t="str">
        <v>ユゲ　ユキマサ</v>
      </c>
      <c r="L157" t="str">
        <v>男</v>
      </c>
      <c r="M157" t="str">
        <v>日本</v>
      </c>
      <c r="N157">
        <v>31792</v>
      </c>
      <c r="O157">
        <v>36</v>
      </c>
      <c r="P157">
        <v>1150</v>
      </c>
      <c r="Q157">
        <v>0</v>
      </c>
      <c r="R157">
        <v>1790</v>
      </c>
      <c r="S157">
        <v>0</v>
      </c>
      <c r="T157">
        <v>640</v>
      </c>
      <c r="U157">
        <v>190000</v>
      </c>
      <c r="V157">
        <v>9509.5</v>
      </c>
      <c r="W157" t="str">
        <v>0</v>
      </c>
      <c r="X157">
        <v>17385</v>
      </c>
      <c r="Y157">
        <v>0</v>
      </c>
      <c r="Z157" t="str">
        <v/>
      </c>
      <c r="AA157">
        <v>0</v>
      </c>
      <c r="AB157" t="str">
        <v>709-0712</v>
      </c>
      <c r="AC157" t="str">
        <v>岡山県赤磐市吉原593-1</v>
      </c>
      <c r="AD157">
        <v>0</v>
      </c>
      <c r="AE157" t="str">
        <v>個人</v>
      </c>
      <c r="AF157">
        <v>44470</v>
      </c>
      <c r="AG157">
        <v>0</v>
      </c>
      <c r="AH157">
        <v>0</v>
      </c>
      <c r="AI157">
        <v>44531</v>
      </c>
      <c r="AJ157" t="str">
        <v>ユゲ　ユキマサ</v>
      </c>
      <c r="AK157" t="str">
        <v>中国銀行</v>
      </c>
      <c r="AL157">
        <v>106</v>
      </c>
      <c r="AM157" t="str">
        <v>東岡山</v>
      </c>
      <c r="AN157" t="str">
        <v>1546714</v>
      </c>
      <c r="AO157" t="str">
        <v>OK</v>
      </c>
      <c r="AP157">
        <v>0</v>
      </c>
    </row>
    <row r="158" spans="1:42">
      <c r="A158" t="str">
        <f>H158&amp;COUNTIF($H$2:H158,H158)</f>
        <v>CVJﾊﾞﾘ取りﾁｬﾝﾌｧ係3</v>
      </c>
      <c r="B158" t="str">
        <f>F158&amp;COUNTIF($F$2:F158,F158)</f>
        <v>高雄工業 岡山19</v>
      </c>
      <c r="C158" t="str">
        <v>退社</v>
      </c>
      <c r="D158">
        <v>211007</v>
      </c>
      <c r="E158">
        <v>232026</v>
      </c>
      <c r="F158" t="str">
        <v>高雄工業 岡山</v>
      </c>
      <c r="G158" t="str">
        <v>高雄工業株式会社 岡山事業所CVJ工場製作課</v>
      </c>
      <c r="H158" t="str">
        <v>CVJﾊﾞﾘ取りﾁｬﾝﾌｧ係</v>
      </c>
      <c r="I158" t="str">
        <v>CVJバリ取りチャンファ等速ジョイント旋削加工</v>
      </c>
      <c r="J158" t="str">
        <v>藤宇　葉子</v>
      </c>
      <c r="K158" t="str">
        <v>フジウ　ヨウコ</v>
      </c>
      <c r="L158" t="str">
        <v>女</v>
      </c>
      <c r="M158" t="str">
        <v>日本</v>
      </c>
      <c r="N158">
        <v>25068</v>
      </c>
      <c r="O158">
        <v>55</v>
      </c>
      <c r="P158">
        <v>1250</v>
      </c>
      <c r="Q158">
        <v>0</v>
      </c>
      <c r="R158">
        <v>1790</v>
      </c>
      <c r="S158">
        <v>0</v>
      </c>
      <c r="T158">
        <v>540</v>
      </c>
      <c r="U158">
        <v>280000</v>
      </c>
      <c r="V158">
        <v>14014</v>
      </c>
      <c r="W158">
        <v>2548</v>
      </c>
      <c r="X158">
        <v>25620</v>
      </c>
      <c r="Y158">
        <v>0</v>
      </c>
      <c r="Z158" t="str">
        <v/>
      </c>
      <c r="AA158">
        <v>0</v>
      </c>
      <c r="AB158" t="str">
        <v>709-2107</v>
      </c>
      <c r="AC158" t="str">
        <v>岡山県岡山市北区御津矢原339-2</v>
      </c>
      <c r="AD158" t="str">
        <v>ｸﾞﾗﾝﾃﾞｰｻﾞⅡ101</v>
      </c>
      <c r="AE158" t="str">
        <v>個人</v>
      </c>
      <c r="AF158">
        <v>44470</v>
      </c>
      <c r="AG158">
        <v>45229</v>
      </c>
      <c r="AH158">
        <v>0</v>
      </c>
      <c r="AI158">
        <v>44531</v>
      </c>
      <c r="AJ158" t="str">
        <v>フジウ　ヨウコ</v>
      </c>
      <c r="AK158" t="str">
        <v>岡山市農業協同組合</v>
      </c>
      <c r="AL158">
        <v>0</v>
      </c>
      <c r="AM158" t="str">
        <v>御津</v>
      </c>
      <c r="AN158" t="str">
        <v>31045</v>
      </c>
      <c r="AO158" t="str">
        <v>OK</v>
      </c>
      <c r="AP158">
        <v>0</v>
      </c>
    </row>
    <row r="159" spans="1:42">
      <c r="A159" t="str">
        <f>H159&amp;COUNTIF($H$2:H159,H159)</f>
        <v>一次旋係11</v>
      </c>
      <c r="B159" t="str">
        <f>F159&amp;COUNTIF($F$2:F159,F159)</f>
        <v>高雄工業 岡山20</v>
      </c>
      <c r="C159" t="str">
        <v>退社</v>
      </c>
      <c r="D159">
        <v>211104</v>
      </c>
      <c r="E159">
        <v>232029</v>
      </c>
      <c r="F159" t="str">
        <v>高雄工業 岡山</v>
      </c>
      <c r="G159" t="str">
        <v>高雄工業株式会社 岡山事業所HUB工場製作1課</v>
      </c>
      <c r="H159" t="str">
        <v>一次旋係</v>
      </c>
      <c r="I159">
        <v>0</v>
      </c>
      <c r="J159" t="str">
        <v>DUONG MINH NGHIA</v>
      </c>
      <c r="K159" t="str">
        <v>ズオン　ミン　ギャー</v>
      </c>
      <c r="L159" t="str">
        <v>男</v>
      </c>
      <c r="M159" t="str">
        <v>ﾍﾞﾄﾅﾑ</v>
      </c>
      <c r="N159">
        <v>33254</v>
      </c>
      <c r="O159">
        <v>32</v>
      </c>
      <c r="P159">
        <v>1400</v>
      </c>
      <c r="Q159">
        <v>0</v>
      </c>
      <c r="R159">
        <v>1770</v>
      </c>
      <c r="S159" t="str">
        <v>9/16~ 1600円→1750円</v>
      </c>
      <c r="T159">
        <v>370</v>
      </c>
      <c r="U159">
        <v>0</v>
      </c>
      <c r="V159" t="str">
        <v/>
      </c>
      <c r="W159" t="str">
        <v>0</v>
      </c>
      <c r="X159" t="str">
        <v/>
      </c>
      <c r="Y159">
        <v>45211</v>
      </c>
      <c r="Z159" t="str">
        <v>残り期限90日!</v>
      </c>
      <c r="AA159" t="str">
        <v>技術・人文知識・国際業務</v>
      </c>
      <c r="AB159" t="str">
        <v>709-2107</v>
      </c>
      <c r="AC159" t="str">
        <v>岡山県岡山市北区美津下田77番地3</v>
      </c>
      <c r="AD159" t="str">
        <v>ﾋﾞﾚｯｼﾞﾊｳｽ宇甘川1-402</v>
      </c>
      <c r="AE159" t="str">
        <v>個人</v>
      </c>
      <c r="AF159">
        <v>44501</v>
      </c>
      <c r="AG159">
        <v>44894</v>
      </c>
      <c r="AH159">
        <v>0</v>
      </c>
      <c r="AI159">
        <v>22.01</v>
      </c>
      <c r="AJ159" t="str">
        <v>DUONG　MINH　NGHIA</v>
      </c>
      <c r="AK159" t="str">
        <v>三井住友銀行</v>
      </c>
      <c r="AL159">
        <v>651</v>
      </c>
      <c r="AM159" t="str">
        <v>岡山</v>
      </c>
      <c r="AN159" t="str">
        <v>7374943</v>
      </c>
      <c r="AO159" t="str">
        <v>OK</v>
      </c>
      <c r="AP159" t="str">
        <v>2021/11/1~請負から高雄　岡山派遣へ転籍</v>
      </c>
    </row>
    <row r="160" spans="1:42">
      <c r="A160" t="str">
        <f>H160&amp;COUNTIF($H$2:H160,H160)</f>
        <v>CVJ長軸旋盤係3</v>
      </c>
      <c r="B160" t="str">
        <f>F160&amp;COUNTIF($F$2:F160,F160)</f>
        <v>高雄工業 岡山21</v>
      </c>
      <c r="C160" t="str">
        <v>在職中</v>
      </c>
      <c r="D160">
        <v>211116</v>
      </c>
      <c r="E160">
        <v>232030</v>
      </c>
      <c r="F160" t="str">
        <v>高雄工業 岡山</v>
      </c>
      <c r="G160" t="str">
        <v>高雄工業株式会社 岡山事業所CVJ工場製作課</v>
      </c>
      <c r="H160" t="str">
        <v>CVJ長軸旋盤係</v>
      </c>
      <c r="I160" t="str">
        <v>ＣＶＪ長軸等速ジョイント旋削加工・ＮＣプログラム修正</v>
      </c>
      <c r="J160" t="str">
        <v>NGUYEN DINH THU</v>
      </c>
      <c r="K160" t="str">
        <v>グエン　ディン　トゥ</v>
      </c>
      <c r="L160" t="str">
        <v>男</v>
      </c>
      <c r="M160" t="str">
        <v>ﾍﾞﾄﾅﾑ</v>
      </c>
      <c r="N160">
        <v>32957</v>
      </c>
      <c r="O160">
        <v>33</v>
      </c>
      <c r="P160">
        <v>1400</v>
      </c>
      <c r="Q160">
        <v>0</v>
      </c>
      <c r="R160">
        <v>1760</v>
      </c>
      <c r="S160">
        <v>0</v>
      </c>
      <c r="T160">
        <v>360</v>
      </c>
      <c r="U160">
        <v>260000</v>
      </c>
      <c r="V160">
        <v>13013</v>
      </c>
      <c r="W160" t="str">
        <v>0</v>
      </c>
      <c r="X160">
        <v>23790</v>
      </c>
      <c r="Y160">
        <v>45237</v>
      </c>
      <c r="Z160" t="str">
        <v>残り期限90日!</v>
      </c>
      <c r="AA160" t="str">
        <v>技術・人文知識・国際業務</v>
      </c>
      <c r="AB160" t="str">
        <v>709-2107</v>
      </c>
      <c r="AC160" t="str">
        <v>岡山県岡山市北区御津矢原298-1</v>
      </c>
      <c r="AD160" t="str">
        <v>成広矢原ｺｰﾎﾟⅥ101</v>
      </c>
      <c r="AE160">
        <v>44409</v>
      </c>
      <c r="AF160">
        <v>44409</v>
      </c>
      <c r="AG160">
        <v>0</v>
      </c>
      <c r="AH160">
        <v>0</v>
      </c>
      <c r="AI160">
        <v>22.01</v>
      </c>
      <c r="AJ160" t="str">
        <v>ゲェン　ディン　トゥ</v>
      </c>
      <c r="AK160" t="str">
        <v>ゆうちょ銀行</v>
      </c>
      <c r="AL160">
        <v>18</v>
      </c>
      <c r="AM160" t="str">
        <v>〇一八</v>
      </c>
      <c r="AN160" t="str">
        <v>9776997</v>
      </c>
      <c r="AO160" t="str">
        <v>OK</v>
      </c>
      <c r="AP160" t="str">
        <v>2021/8/1～2021/10/31　高雄工業請負　2021/11/1～高雄工業岡山派遣へ転籍</v>
      </c>
    </row>
    <row r="161" spans="1:42">
      <c r="A161" t="str">
        <f>H161&amp;COUNTIF($H$2:H161,H161)</f>
        <v>CVJ長軸旋盤係4</v>
      </c>
      <c r="B161" t="str">
        <f>F161&amp;COUNTIF($F$2:F161,F161)</f>
        <v>高雄工業 岡山22</v>
      </c>
      <c r="C161" t="str">
        <v>在職中</v>
      </c>
      <c r="D161">
        <v>211114</v>
      </c>
      <c r="E161">
        <v>232031</v>
      </c>
      <c r="F161" t="str">
        <v>高雄工業 岡山</v>
      </c>
      <c r="G161" t="str">
        <v>高雄工業株式会社 岡山事業所CVJ工場製作課</v>
      </c>
      <c r="H161" t="str">
        <v>CVJ長軸旋盤係</v>
      </c>
      <c r="I161" t="str">
        <v>ＣＶＪ長軸等速ジョイント旋削加工・ＮＣプログラム修正</v>
      </c>
      <c r="J161" t="str">
        <v>NGUYEN VAN HAO</v>
      </c>
      <c r="K161" t="str">
        <v>グエン　バン　ハオ</v>
      </c>
      <c r="L161" t="str">
        <v>男</v>
      </c>
      <c r="M161" t="str">
        <v>ﾍﾞﾄﾅﾑ</v>
      </c>
      <c r="N161">
        <v>31100</v>
      </c>
      <c r="O161">
        <v>38</v>
      </c>
      <c r="P161">
        <v>1400</v>
      </c>
      <c r="Q161">
        <v>0</v>
      </c>
      <c r="R161">
        <v>1760</v>
      </c>
      <c r="S161">
        <v>0</v>
      </c>
      <c r="T161">
        <v>360</v>
      </c>
      <c r="U161">
        <v>280000</v>
      </c>
      <c r="V161">
        <v>14014</v>
      </c>
      <c r="W161" t="str">
        <v>0</v>
      </c>
      <c r="X161">
        <v>25620</v>
      </c>
      <c r="Y161">
        <v>45351</v>
      </c>
      <c r="Z161" t="str">
        <v>残り期限90日!</v>
      </c>
      <c r="AA161" t="str">
        <v>技術・人文知識・国際業務</v>
      </c>
      <c r="AB161" t="str">
        <v>709-2107</v>
      </c>
      <c r="AC161" t="str">
        <v>岡山県岡山市北区御津矢原370</v>
      </c>
      <c r="AD161" t="str">
        <v>成広ｺｰﾎﾟⅠ205</v>
      </c>
      <c r="AE161">
        <v>44519</v>
      </c>
      <c r="AF161">
        <v>44524</v>
      </c>
      <c r="AG161">
        <v>0</v>
      </c>
      <c r="AH161">
        <v>0</v>
      </c>
      <c r="AI161">
        <v>22.02</v>
      </c>
      <c r="AJ161" t="str">
        <v>グェン　ヴァン　ハオ</v>
      </c>
      <c r="AK161" t="str">
        <v>ゆうちょ銀行</v>
      </c>
      <c r="AL161">
        <v>228</v>
      </c>
      <c r="AM161" t="str">
        <v>二二八</v>
      </c>
      <c r="AN161" t="str">
        <v>3067935</v>
      </c>
      <c r="AO161" t="str">
        <v>OK</v>
      </c>
      <c r="AP161">
        <v>0</v>
      </c>
    </row>
    <row r="162" spans="1:42">
      <c r="A162" t="str">
        <f>H162&amp;COUNTIF($H$2:H162,H162)</f>
        <v>一次旋係12</v>
      </c>
      <c r="B162" t="str">
        <f>F162&amp;COUNTIF($F$2:F162,F162)</f>
        <v>高雄工業 岡山23</v>
      </c>
      <c r="C162" t="str">
        <v>在職中</v>
      </c>
      <c r="D162">
        <v>211203</v>
      </c>
      <c r="E162">
        <v>232033</v>
      </c>
      <c r="F162" t="str">
        <v>高雄工業 岡山</v>
      </c>
      <c r="G162" t="str">
        <v>高雄工業株式会社 岡山事業所HUB工場製作1課</v>
      </c>
      <c r="H162" t="str">
        <v>一次旋係</v>
      </c>
      <c r="I162" t="str">
        <v>ハブ加工・自動機の操作・ＮＣプログラム修正</v>
      </c>
      <c r="J162" t="str">
        <v>NGUYEN QUOC KHANH</v>
      </c>
      <c r="K162" t="str">
        <v>グエン　クオック　カイン</v>
      </c>
      <c r="L162" t="str">
        <v>男</v>
      </c>
      <c r="M162" t="str">
        <v>ﾍﾞﾄﾅﾑ</v>
      </c>
      <c r="N162">
        <v>34986</v>
      </c>
      <c r="O162">
        <v>28</v>
      </c>
      <c r="P162">
        <v>1400</v>
      </c>
      <c r="Q162">
        <v>0</v>
      </c>
      <c r="R162">
        <v>1780</v>
      </c>
      <c r="S162">
        <v>0</v>
      </c>
      <c r="T162">
        <v>380</v>
      </c>
      <c r="U162">
        <v>300000</v>
      </c>
      <c r="V162">
        <v>15014.999999999998</v>
      </c>
      <c r="W162" t="str">
        <v>0</v>
      </c>
      <c r="X162">
        <v>27450</v>
      </c>
      <c r="Y162">
        <v>45248</v>
      </c>
      <c r="Z162" t="str">
        <v>残り期限90日!</v>
      </c>
      <c r="AA162" t="str">
        <v>技術・人文知識・国際業務</v>
      </c>
      <c r="AB162" t="str">
        <v>709-2107</v>
      </c>
      <c r="AC162" t="str">
        <v>岡山県岡山市北区御津矢原298-1</v>
      </c>
      <c r="AD162" t="str">
        <v>成広矢原ｺｰﾎﾟⅥ206</v>
      </c>
      <c r="AE162">
        <v>44970</v>
      </c>
      <c r="AF162">
        <v>44532</v>
      </c>
      <c r="AG162">
        <v>0</v>
      </c>
      <c r="AH162">
        <v>0</v>
      </c>
      <c r="AI162">
        <v>22.02</v>
      </c>
      <c r="AJ162" t="str">
        <v>グエン　クォック　カイン</v>
      </c>
      <c r="AK162" t="str">
        <v>ゆうちょ銀行</v>
      </c>
      <c r="AL162">
        <v>68</v>
      </c>
      <c r="AM162" t="str">
        <v>〇六八</v>
      </c>
      <c r="AN162" t="str">
        <v>5142283</v>
      </c>
      <c r="AO162" t="str">
        <v>OK</v>
      </c>
      <c r="AP162">
        <v>0</v>
      </c>
    </row>
    <row r="163" spans="1:42">
      <c r="A163" t="str">
        <f>H163&amp;COUNTIF($H$2:H163,H163)</f>
        <v>CVJ長軸旋盤係5</v>
      </c>
      <c r="B163" t="str">
        <f>F163&amp;COUNTIF($F$2:F163,F163)</f>
        <v>高雄工業 岡山24</v>
      </c>
      <c r="C163" t="str">
        <v>在職中</v>
      </c>
      <c r="D163">
        <v>211217</v>
      </c>
      <c r="E163">
        <v>232035</v>
      </c>
      <c r="F163" t="str">
        <v>高雄工業 岡山</v>
      </c>
      <c r="G163" t="str">
        <v>高雄工業株式会社 岡山事業所CVJ工場製作課</v>
      </c>
      <c r="H163" t="str">
        <v>CVJ長軸旋盤係</v>
      </c>
      <c r="I163" t="str">
        <v>ＣＶＪ長軸等速ジョイント旋削加工・ＮＣプログラム修正</v>
      </c>
      <c r="J163" t="str">
        <v>NGUYEN PHU CUONG</v>
      </c>
      <c r="K163" t="str">
        <v>グエン　フ　クオン</v>
      </c>
      <c r="L163" t="str">
        <v>男</v>
      </c>
      <c r="M163" t="str">
        <v>ﾍﾞﾄﾅﾑ</v>
      </c>
      <c r="N163">
        <v>34750</v>
      </c>
      <c r="O163">
        <v>28</v>
      </c>
      <c r="P163">
        <v>1400</v>
      </c>
      <c r="Q163">
        <v>0</v>
      </c>
      <c r="R163">
        <v>1790</v>
      </c>
      <c r="S163">
        <v>0</v>
      </c>
      <c r="T163">
        <v>390</v>
      </c>
      <c r="U163">
        <v>320000</v>
      </c>
      <c r="V163">
        <v>16015.999999999998</v>
      </c>
      <c r="W163" t="str">
        <v>0</v>
      </c>
      <c r="X163">
        <v>29280</v>
      </c>
      <c r="Y163">
        <v>45626</v>
      </c>
      <c r="Z163" t="str">
        <v/>
      </c>
      <c r="AA163" t="str">
        <v>技術・人文知識・国際業務</v>
      </c>
      <c r="AB163" t="str">
        <v>709-2134</v>
      </c>
      <c r="AC163" t="str">
        <v>岡山県岡山市北区美津下田77－3</v>
      </c>
      <c r="AD163" t="str">
        <v>ﾋﾞﾚｯｼﾞﾊｳｽ宇甘川1－402号</v>
      </c>
      <c r="AE163" t="str">
        <v>個人</v>
      </c>
      <c r="AF163">
        <v>44557</v>
      </c>
      <c r="AG163">
        <v>45310</v>
      </c>
      <c r="AH163">
        <v>0</v>
      </c>
      <c r="AI163">
        <v>22.03</v>
      </c>
      <c r="AJ163" t="str">
        <v>グエン　フー　クオン</v>
      </c>
      <c r="AK163" t="str">
        <v>ゆうちょ銀行</v>
      </c>
      <c r="AL163">
        <v>728</v>
      </c>
      <c r="AM163" t="str">
        <v>七二八</v>
      </c>
      <c r="AN163" t="str">
        <v>2680591</v>
      </c>
      <c r="AO163" t="str">
        <v>OK</v>
      </c>
      <c r="AP163">
        <v>0</v>
      </c>
    </row>
    <row r="164" spans="1:42">
      <c r="A164" t="str">
        <f>H164&amp;COUNTIF($H$2:H164,H164)</f>
        <v>CVJ長軸旋盤係6</v>
      </c>
      <c r="B164" t="str">
        <f>F164&amp;COUNTIF($F$2:F164,F164)</f>
        <v>高雄工業 岡山25</v>
      </c>
      <c r="C164" t="str">
        <v>在職中</v>
      </c>
      <c r="D164">
        <v>220104</v>
      </c>
      <c r="E164">
        <v>232037</v>
      </c>
      <c r="F164" t="str">
        <v>高雄工業 岡山</v>
      </c>
      <c r="G164" t="str">
        <v>高雄工業株式会社 岡山事業所CVJ工場製作課</v>
      </c>
      <c r="H164" t="str">
        <v>CVJ長軸旋盤係</v>
      </c>
      <c r="I164" t="str">
        <v>ＣＶＪ長軸等速ジョイント旋削加工・ＮＣプログラム修正</v>
      </c>
      <c r="J164" t="str">
        <v>NGUYEN VAN CUONG</v>
      </c>
      <c r="K164" t="str">
        <v>グエン　ヴァン　クオン</v>
      </c>
      <c r="L164" t="str">
        <v>男</v>
      </c>
      <c r="M164" t="str">
        <v>ﾍﾞﾄﾅﾑ</v>
      </c>
      <c r="N164">
        <v>34597</v>
      </c>
      <c r="O164">
        <v>29</v>
      </c>
      <c r="P164">
        <v>1400</v>
      </c>
      <c r="Q164">
        <v>0</v>
      </c>
      <c r="R164">
        <v>1790</v>
      </c>
      <c r="S164">
        <v>0</v>
      </c>
      <c r="T164">
        <v>390</v>
      </c>
      <c r="U164">
        <v>240000</v>
      </c>
      <c r="V164">
        <v>12012</v>
      </c>
      <c r="W164" t="str">
        <v>0</v>
      </c>
      <c r="X164">
        <v>21960</v>
      </c>
      <c r="Y164">
        <v>45543</v>
      </c>
      <c r="Z164" t="str">
        <v/>
      </c>
      <c r="AA164" t="str">
        <v>技術・人文知識・国際業務</v>
      </c>
      <c r="AB164" t="str">
        <v>709-2107</v>
      </c>
      <c r="AC164" t="str">
        <v>岡山県岡山市北区御津矢原307</v>
      </c>
      <c r="AD164" t="str">
        <v>成広矢原ｺｰﾎﾟⅠ205</v>
      </c>
      <c r="AE164">
        <v>44558</v>
      </c>
      <c r="AF164">
        <v>44567</v>
      </c>
      <c r="AG164">
        <v>0</v>
      </c>
      <c r="AH164">
        <v>0</v>
      </c>
      <c r="AI164">
        <v>22.03</v>
      </c>
      <c r="AJ164" t="str">
        <v>グエン　ヴァン　クオン</v>
      </c>
      <c r="AK164" t="str">
        <v>ゆうちょ銀行</v>
      </c>
      <c r="AL164">
        <v>408</v>
      </c>
      <c r="AM164" t="str">
        <v>四〇八</v>
      </c>
      <c r="AN164" t="str">
        <v>4521384</v>
      </c>
      <c r="AO164" t="str">
        <v>OK</v>
      </c>
      <c r="AP164">
        <v>0</v>
      </c>
    </row>
    <row r="165" spans="1:42">
      <c r="A165" t="str">
        <f>H165&amp;COUNTIF($H$2:H165,H165)</f>
        <v>CVJ長軸旋盤係7</v>
      </c>
      <c r="B165" t="str">
        <f>F165&amp;COUNTIF($F$2:F165,F165)</f>
        <v>高雄工業 岡山26</v>
      </c>
      <c r="C165" t="str">
        <v>退社</v>
      </c>
      <c r="D165">
        <v>220112</v>
      </c>
      <c r="E165">
        <v>232038</v>
      </c>
      <c r="F165" t="str">
        <v>高雄工業 岡山</v>
      </c>
      <c r="G165" t="str">
        <v>高雄工業株式会社 岡山事業所CVJ工場製作課</v>
      </c>
      <c r="H165" t="str">
        <v>CVJ長軸旋盤係</v>
      </c>
      <c r="I165">
        <v>0</v>
      </c>
      <c r="J165" t="str">
        <v>NGUYEN ANH HOANG</v>
      </c>
      <c r="K165" t="str">
        <v>グエン　アン　ホアン</v>
      </c>
      <c r="L165" t="str">
        <v>男</v>
      </c>
      <c r="M165" t="str">
        <v>ﾍﾞﾄﾅﾑ</v>
      </c>
      <c r="N165">
        <v>33912</v>
      </c>
      <c r="O165">
        <v>31</v>
      </c>
      <c r="P165">
        <v>1400</v>
      </c>
      <c r="Q165">
        <v>0</v>
      </c>
      <c r="R165">
        <v>1770</v>
      </c>
      <c r="S165">
        <v>0</v>
      </c>
      <c r="T165">
        <v>370</v>
      </c>
      <c r="U165">
        <v>280000</v>
      </c>
      <c r="V165">
        <v>14014</v>
      </c>
      <c r="W165" t="str">
        <v>0</v>
      </c>
      <c r="X165">
        <v>25620</v>
      </c>
      <c r="Y165">
        <v>45258</v>
      </c>
      <c r="Z165" t="str">
        <v>残り期限90日!</v>
      </c>
      <c r="AA165" t="str">
        <v>技術・人文知識・国際業務</v>
      </c>
      <c r="AB165" t="str">
        <v>709-2107</v>
      </c>
      <c r="AC165" t="str">
        <v>岡山県岡山市北区御津矢原307</v>
      </c>
      <c r="AD165" t="str">
        <v>成広矢原ｺｰﾎﾟⅠ205</v>
      </c>
      <c r="AE165">
        <v>44568</v>
      </c>
      <c r="AF165">
        <v>44573</v>
      </c>
      <c r="AG165">
        <v>44943</v>
      </c>
      <c r="AH165">
        <v>44936</v>
      </c>
      <c r="AI165">
        <v>22.03</v>
      </c>
      <c r="AJ165" t="str">
        <v>グェン　アン　ホアン</v>
      </c>
      <c r="AK165" t="str">
        <v>ゆうちょ銀行</v>
      </c>
      <c r="AL165">
        <v>518</v>
      </c>
      <c r="AM165" t="str">
        <v>五一八</v>
      </c>
      <c r="AN165" t="str">
        <v>6223763</v>
      </c>
      <c r="AO165" t="str">
        <v>OK</v>
      </c>
      <c r="AP165">
        <v>0</v>
      </c>
    </row>
    <row r="166" spans="1:42">
      <c r="A166" t="str">
        <f>H166&amp;COUNTIF($H$2:H166,H166)</f>
        <v>一次旋係13</v>
      </c>
      <c r="B166" t="str">
        <f>F166&amp;COUNTIF($F$2:F166,F166)</f>
        <v>高雄工業 岡山27</v>
      </c>
      <c r="C166" t="str">
        <v>退社</v>
      </c>
      <c r="D166">
        <v>220111</v>
      </c>
      <c r="E166">
        <v>232039</v>
      </c>
      <c r="F166" t="str">
        <v>高雄工業 岡山</v>
      </c>
      <c r="G166" t="str">
        <v>高雄工業株式会社 岡山事業所HUB工場製作1課</v>
      </c>
      <c r="H166" t="str">
        <v>一次旋係</v>
      </c>
      <c r="I166" t="str">
        <v>ハブ加工・自動機の操作・ＮＣプログラム修正</v>
      </c>
      <c r="J166" t="str">
        <v>SURYA INDRA WARDANA</v>
      </c>
      <c r="K166" t="str">
        <v>スリャ　インドラ　ワルダナ</v>
      </c>
      <c r="L166" t="str">
        <v>男</v>
      </c>
      <c r="M166" t="str">
        <v>ｲﾝﾄﾞﾈｼｱ</v>
      </c>
      <c r="N166">
        <v>34466</v>
      </c>
      <c r="O166">
        <v>29</v>
      </c>
      <c r="P166">
        <v>1400</v>
      </c>
      <c r="Q166">
        <v>0</v>
      </c>
      <c r="R166">
        <v>1790</v>
      </c>
      <c r="S166">
        <v>0</v>
      </c>
      <c r="T166">
        <v>390</v>
      </c>
      <c r="U166">
        <v>300000</v>
      </c>
      <c r="V166">
        <v>15014.999999999998</v>
      </c>
      <c r="W166" t="str">
        <v>0</v>
      </c>
      <c r="X166">
        <v>27450</v>
      </c>
      <c r="Y166">
        <v>46078</v>
      </c>
      <c r="Z166" t="str">
        <v/>
      </c>
      <c r="AA166" t="str">
        <v>技術・人文知識・国際業務</v>
      </c>
      <c r="AB166" t="str">
        <v>709-2107</v>
      </c>
      <c r="AC166" t="str">
        <v>岡山県岡山市北区御津矢原307</v>
      </c>
      <c r="AD166" t="str">
        <v>成広矢原ｺｰﾎﾟⅠ103</v>
      </c>
      <c r="AE166">
        <v>44958</v>
      </c>
      <c r="AF166">
        <v>44573</v>
      </c>
      <c r="AG166">
        <v>45044</v>
      </c>
      <c r="AH166">
        <v>0</v>
      </c>
      <c r="AI166">
        <v>22.03</v>
      </c>
      <c r="AJ166" t="str">
        <v>スリヤ　インドラ　ワルダナ</v>
      </c>
      <c r="AK166" t="str">
        <v>ゆうちょ銀行</v>
      </c>
      <c r="AL166">
        <v>248</v>
      </c>
      <c r="AM166" t="str">
        <v>二四八</v>
      </c>
      <c r="AN166" t="str">
        <v>3489808</v>
      </c>
      <c r="AO166" t="str">
        <v>OK</v>
      </c>
      <c r="AP166">
        <v>0</v>
      </c>
    </row>
    <row r="167" spans="1:42">
      <c r="A167" t="str">
        <f>H167&amp;COUNTIF($H$2:H167,H167)</f>
        <v>一次旋係14</v>
      </c>
      <c r="B167" t="str">
        <f>F167&amp;COUNTIF($F$2:F167,F167)</f>
        <v>高雄工業 岡山28</v>
      </c>
      <c r="C167" t="str">
        <v>在職中</v>
      </c>
      <c r="D167">
        <v>220203</v>
      </c>
      <c r="E167">
        <v>232042</v>
      </c>
      <c r="F167" t="str">
        <v>高雄工業 岡山</v>
      </c>
      <c r="G167" t="str">
        <v>高雄工業株式会社 岡山事業所HUB工場製作1課</v>
      </c>
      <c r="H167" t="str">
        <v>一次旋係</v>
      </c>
      <c r="I167" t="str">
        <v>ハブ加工・自動機の操作・ＮＣプログラム修正</v>
      </c>
      <c r="J167" t="str">
        <v>FARID RIZAL</v>
      </c>
      <c r="K167" t="str">
        <v>ファリド　リザル</v>
      </c>
      <c r="L167" t="str">
        <v>男</v>
      </c>
      <c r="M167" t="str">
        <v>ｲﾝﾄﾞﾈｼｱ</v>
      </c>
      <c r="N167">
        <v>33535</v>
      </c>
      <c r="O167">
        <v>32</v>
      </c>
      <c r="P167">
        <v>1400</v>
      </c>
      <c r="Q167">
        <v>0</v>
      </c>
      <c r="R167">
        <v>1800</v>
      </c>
      <c r="S167">
        <v>0</v>
      </c>
      <c r="T167">
        <v>400</v>
      </c>
      <c r="U167">
        <v>280000</v>
      </c>
      <c r="V167">
        <v>14014</v>
      </c>
      <c r="W167" t="str">
        <v>0</v>
      </c>
      <c r="X167">
        <v>25620</v>
      </c>
      <c r="Y167">
        <v>46117</v>
      </c>
      <c r="Z167" t="str">
        <v/>
      </c>
      <c r="AA167" t="str">
        <v>技術・人文知識・国際業務</v>
      </c>
      <c r="AB167" t="str">
        <v>709-2134</v>
      </c>
      <c r="AC167" t="str">
        <v>岡山県岡山市北区御津下田77</v>
      </c>
      <c r="AD167" t="str">
        <v>ﾋﾞﾚｯｼﾞﾊｳｽ2号棟304</v>
      </c>
      <c r="AE167" t="str">
        <v>個人</v>
      </c>
      <c r="AF167">
        <v>44594</v>
      </c>
      <c r="AG167">
        <v>0</v>
      </c>
      <c r="AH167">
        <v>0</v>
      </c>
      <c r="AI167">
        <v>22.02</v>
      </c>
      <c r="AJ167" t="str">
        <v>グエン　ヴアン　クオン</v>
      </c>
      <c r="AK167" t="str">
        <v>三菱ＵＦＪ銀行</v>
      </c>
      <c r="AL167">
        <v>180</v>
      </c>
      <c r="AM167" t="str">
        <v>日暮里</v>
      </c>
      <c r="AN167" t="str">
        <v>687937</v>
      </c>
      <c r="AO167" t="str">
        <v>OK</v>
      </c>
      <c r="AP167">
        <v>0</v>
      </c>
    </row>
    <row r="168" spans="1:42">
      <c r="A168" t="str">
        <f>H168&amp;COUNTIF($H$2:H168,H168)</f>
        <v>038</v>
      </c>
      <c r="B168" t="str">
        <f>F168&amp;COUNTIF($F$2:F168,F168)</f>
        <v>高雄工業 岡山29</v>
      </c>
      <c r="C168" t="str">
        <v>退社</v>
      </c>
      <c r="D168">
        <v>220202</v>
      </c>
      <c r="E168">
        <v>232043</v>
      </c>
      <c r="F168" t="str">
        <v>高雄工業 岡山</v>
      </c>
      <c r="G168" t="str">
        <v>007210 高雄工業株式会社 岡山事業所CVJ工場製作課</v>
      </c>
      <c r="H168">
        <v>0</v>
      </c>
      <c r="I168">
        <v>0</v>
      </c>
      <c r="J168" t="str">
        <v>DAO XUAN TRINH</v>
      </c>
      <c r="K168" t="str">
        <v>ダオ　スアン　チン</v>
      </c>
      <c r="L168" t="str">
        <v>男</v>
      </c>
      <c r="M168" t="str">
        <v>ﾍﾞﾄﾅﾑ</v>
      </c>
      <c r="N168">
        <v>34386</v>
      </c>
      <c r="O168">
        <v>29</v>
      </c>
      <c r="P168">
        <v>1350</v>
      </c>
      <c r="Q168">
        <v>0</v>
      </c>
      <c r="R168">
        <v>1760</v>
      </c>
      <c r="S168">
        <v>0</v>
      </c>
      <c r="T168">
        <v>410</v>
      </c>
      <c r="U168">
        <v>0</v>
      </c>
      <c r="V168" t="str">
        <v/>
      </c>
      <c r="W168" t="str">
        <v>0</v>
      </c>
      <c r="X168" t="str">
        <v/>
      </c>
      <c r="Y168">
        <v>44938</v>
      </c>
      <c r="Z168" t="str">
        <v>残り期限90日!</v>
      </c>
      <c r="AA168" t="str">
        <v>技術・人文知識・国際業務</v>
      </c>
      <c r="AB168" t="str">
        <v>709-2107</v>
      </c>
      <c r="AC168" t="str">
        <v>岡山県岡山市北区御津矢原311</v>
      </c>
      <c r="AD168" t="str">
        <v>新矢原1F</v>
      </c>
      <c r="AE168">
        <v>44589</v>
      </c>
      <c r="AF168">
        <v>44594</v>
      </c>
      <c r="AG168">
        <v>44719</v>
      </c>
      <c r="AH168">
        <v>0</v>
      </c>
      <c r="AI168" t="str">
        <v>なし</v>
      </c>
      <c r="AJ168" t="str">
        <v>グエン　ヴアン　クオン</v>
      </c>
      <c r="AK168" t="str">
        <v>三菱ＵＦＪ銀行</v>
      </c>
      <c r="AL168">
        <v>180</v>
      </c>
      <c r="AM168" t="str">
        <v>日暮里</v>
      </c>
      <c r="AN168" t="str">
        <v>687937</v>
      </c>
      <c r="AO168" t="str">
        <v>OK</v>
      </c>
      <c r="AP168">
        <v>0</v>
      </c>
    </row>
    <row r="169" spans="1:42">
      <c r="A169" t="str">
        <f>H169&amp;COUNTIF($H$2:H169,H169)</f>
        <v>CVJ長軸旋盤係8</v>
      </c>
      <c r="B169" t="str">
        <f>F169&amp;COUNTIF($F$2:F169,F169)</f>
        <v>高雄工業 岡山30</v>
      </c>
      <c r="C169" t="str">
        <v>退社</v>
      </c>
      <c r="D169">
        <v>220201</v>
      </c>
      <c r="E169">
        <v>232044</v>
      </c>
      <c r="F169" t="str">
        <v>高雄工業 岡山</v>
      </c>
      <c r="G169" t="str">
        <v>高雄工業株式会社 岡山事業所CVJ工場製作課</v>
      </c>
      <c r="H169" t="str">
        <v>CVJ長軸旋盤係</v>
      </c>
      <c r="I169">
        <v>0</v>
      </c>
      <c r="J169" t="str">
        <v>NGUYEN DUC DUY</v>
      </c>
      <c r="K169" t="str">
        <v>グエン　ドック　ユイ</v>
      </c>
      <c r="L169" t="str">
        <v>男</v>
      </c>
      <c r="M169" t="str">
        <v>ﾍﾞﾄﾅﾑ</v>
      </c>
      <c r="N169">
        <v>31904</v>
      </c>
      <c r="O169">
        <v>36</v>
      </c>
      <c r="P169">
        <v>1400</v>
      </c>
      <c r="Q169">
        <v>0</v>
      </c>
      <c r="R169">
        <v>1760</v>
      </c>
      <c r="S169">
        <v>0</v>
      </c>
      <c r="T169">
        <v>360</v>
      </c>
      <c r="U169">
        <v>0</v>
      </c>
      <c r="V169" t="str">
        <v/>
      </c>
      <c r="W169" t="str">
        <v>0</v>
      </c>
      <c r="X169" t="str">
        <v/>
      </c>
      <c r="Y169">
        <v>45595</v>
      </c>
      <c r="Z169" t="str">
        <v/>
      </c>
      <c r="AA169" t="str">
        <v>技術・人文知識・国際業務</v>
      </c>
      <c r="AB169" t="str">
        <v>709-2107</v>
      </c>
      <c r="AC169" t="str">
        <v>岡山県岡山市北区御津矢原307-1</v>
      </c>
      <c r="AD169" t="str">
        <v>成広矢原ｺｰﾎﾟⅡ102</v>
      </c>
      <c r="AE169">
        <v>44588</v>
      </c>
      <c r="AF169">
        <v>44594</v>
      </c>
      <c r="AG169">
        <v>44933</v>
      </c>
      <c r="AH169">
        <v>0</v>
      </c>
      <c r="AI169">
        <v>22.04</v>
      </c>
      <c r="AJ169" t="str">
        <v>ヴー　ドウツク　タツク</v>
      </c>
      <c r="AK169" t="str">
        <v>三井住友銀行</v>
      </c>
      <c r="AL169">
        <v>779</v>
      </c>
      <c r="AM169" t="str">
        <v>上野</v>
      </c>
      <c r="AN169" t="str">
        <v>8431916</v>
      </c>
      <c r="AO169" t="str">
        <v>OK</v>
      </c>
      <c r="AP169">
        <v>0</v>
      </c>
    </row>
    <row r="170" spans="1:42">
      <c r="A170" t="str">
        <f>H170&amp;COUNTIF($H$2:H170,H170)</f>
        <v>一次旋係15</v>
      </c>
      <c r="B170" t="str">
        <f>F170&amp;COUNTIF($F$2:F170,F170)</f>
        <v>高雄工業 岡山31</v>
      </c>
      <c r="C170" t="str">
        <v>在職中</v>
      </c>
      <c r="D170">
        <v>220206</v>
      </c>
      <c r="E170">
        <v>232045</v>
      </c>
      <c r="F170" t="str">
        <v>高雄工業 岡山</v>
      </c>
      <c r="G170" t="str">
        <v>高雄工業株式会社 岡山事業所HUB工場製作2課</v>
      </c>
      <c r="H170" t="str">
        <v>一次旋係</v>
      </c>
      <c r="I170" t="str">
        <v>ハブ加工・自動機の操作・ＮＣプログラム修正</v>
      </c>
      <c r="J170" t="str">
        <v>DANG DUY VINH</v>
      </c>
      <c r="K170" t="str">
        <v>ダン　ズイ　ビン</v>
      </c>
      <c r="L170" t="str">
        <v>男</v>
      </c>
      <c r="M170" t="str">
        <v>ﾍﾞﾄﾅﾑ</v>
      </c>
      <c r="N170">
        <v>33746</v>
      </c>
      <c r="O170">
        <v>31</v>
      </c>
      <c r="P170">
        <v>1400</v>
      </c>
      <c r="Q170">
        <v>0</v>
      </c>
      <c r="R170">
        <v>1770</v>
      </c>
      <c r="S170">
        <v>0</v>
      </c>
      <c r="T170">
        <v>370</v>
      </c>
      <c r="U170">
        <v>340000</v>
      </c>
      <c r="V170">
        <v>17017</v>
      </c>
      <c r="W170" t="str">
        <v>0</v>
      </c>
      <c r="X170">
        <v>31110</v>
      </c>
      <c r="Y170">
        <v>45505</v>
      </c>
      <c r="Z170" t="str">
        <v/>
      </c>
      <c r="AA170" t="str">
        <v>技術・人文知識・国際業務</v>
      </c>
      <c r="AB170" t="str">
        <v>709-2107</v>
      </c>
      <c r="AC170" t="str">
        <v>岡山県岡山市北区御津矢原312番地１</v>
      </c>
      <c r="AD170" t="str">
        <v>中須賀ｺｰﾎﾟⅡ202</v>
      </c>
      <c r="AE170">
        <v>44594</v>
      </c>
      <c r="AF170">
        <v>44599</v>
      </c>
      <c r="AG170">
        <v>0</v>
      </c>
      <c r="AH170">
        <v>0</v>
      </c>
      <c r="AI170">
        <v>22.04</v>
      </c>
      <c r="AJ170" t="str">
        <v>ヴー　ドウツク　タツク</v>
      </c>
      <c r="AK170" t="str">
        <v>三井住友銀行</v>
      </c>
      <c r="AL170">
        <v>779</v>
      </c>
      <c r="AM170" t="str">
        <v>上野</v>
      </c>
      <c r="AN170" t="str">
        <v>8431916</v>
      </c>
      <c r="AO170" t="str">
        <v>OK</v>
      </c>
      <c r="AP170">
        <v>0</v>
      </c>
    </row>
    <row r="171" spans="1:42">
      <c r="A171" t="str">
        <f>H171&amp;COUNTIF($H$2:H171,H171)</f>
        <v>一次旋係16</v>
      </c>
      <c r="B171" t="str">
        <f>F171&amp;COUNTIF($F$2:F171,F171)</f>
        <v>高雄工業 岡山32</v>
      </c>
      <c r="C171" t="str">
        <v>在職中</v>
      </c>
      <c r="D171">
        <v>220221</v>
      </c>
      <c r="E171">
        <v>232046</v>
      </c>
      <c r="F171" t="str">
        <v>高雄工業 岡山</v>
      </c>
      <c r="G171" t="str">
        <v>高雄工業株式会社 岡山事業所HUB工場製作2課</v>
      </c>
      <c r="H171" t="str">
        <v>一次旋係</v>
      </c>
      <c r="I171" t="str">
        <v>ハブ加工・自動機の操作・ＮＣプログラム修正</v>
      </c>
      <c r="J171" t="str">
        <v>HUYNH DUC MINH</v>
      </c>
      <c r="K171" t="str">
        <v>フィン　ドック　ミン</v>
      </c>
      <c r="L171" t="str">
        <v>男</v>
      </c>
      <c r="M171" t="str">
        <v>ﾍﾞﾄﾅﾑ</v>
      </c>
      <c r="N171">
        <v>35046</v>
      </c>
      <c r="O171">
        <v>27</v>
      </c>
      <c r="P171">
        <v>1410</v>
      </c>
      <c r="Q171">
        <v>0</v>
      </c>
      <c r="R171">
        <v>1790</v>
      </c>
      <c r="S171">
        <v>0</v>
      </c>
      <c r="T171">
        <v>380</v>
      </c>
      <c r="U171">
        <v>340000</v>
      </c>
      <c r="V171">
        <v>17017</v>
      </c>
      <c r="W171" t="str">
        <v>0</v>
      </c>
      <c r="X171">
        <v>31110</v>
      </c>
      <c r="Y171">
        <v>46152</v>
      </c>
      <c r="Z171" t="str">
        <v/>
      </c>
      <c r="AA171" t="str">
        <v>技術・人文知識・国際業務</v>
      </c>
      <c r="AB171" t="str">
        <v>709-2107</v>
      </c>
      <c r="AC171" t="str">
        <v>岡山県岡山市北区御津矢原311番地</v>
      </c>
      <c r="AD171" t="str">
        <v>中須賀ｺｰﾎﾟⅢ208</v>
      </c>
      <c r="AE171">
        <v>44613</v>
      </c>
      <c r="AF171">
        <v>44620</v>
      </c>
      <c r="AG171">
        <v>0</v>
      </c>
      <c r="AH171">
        <v>0</v>
      </c>
      <c r="AI171">
        <v>22.05</v>
      </c>
      <c r="AJ171" t="str">
        <v>フィン　ドック　ミン</v>
      </c>
      <c r="AK171" t="str">
        <v>ゆうちょ銀行</v>
      </c>
      <c r="AL171">
        <v>638</v>
      </c>
      <c r="AM171" t="str">
        <v>六三八</v>
      </c>
      <c r="AN171" t="str">
        <v>2034795</v>
      </c>
      <c r="AO171" t="str">
        <v>OK</v>
      </c>
      <c r="AP171">
        <v>0</v>
      </c>
    </row>
    <row r="172" spans="1:42">
      <c r="A172" t="str">
        <f>H172&amp;COUNTIF($H$2:H172,H172)</f>
        <v>一次旋係17</v>
      </c>
      <c r="B172" t="str">
        <f>F172&amp;COUNTIF($F$2:F172,F172)</f>
        <v>高雄工業 岡山33</v>
      </c>
      <c r="C172" t="str">
        <v>在職中</v>
      </c>
      <c r="D172">
        <v>231201</v>
      </c>
      <c r="E172">
        <v>232046</v>
      </c>
      <c r="F172" t="str">
        <v>高雄工業 岡山</v>
      </c>
      <c r="G172" t="str">
        <v>高雄工業株式会社 岡山事業所HUB工場製作2課</v>
      </c>
      <c r="H172" t="str">
        <v>一次旋係</v>
      </c>
      <c r="I172" t="str">
        <v>ハブ加工・自動機の操作・ＮＣプログラム修正</v>
      </c>
      <c r="J172" t="str">
        <v>HUYNH TRUONG HUONG</v>
      </c>
      <c r="K172" t="str">
        <v>フィン　チュオン　フオン</v>
      </c>
      <c r="L172" t="str">
        <v>女</v>
      </c>
      <c r="M172" t="str">
        <v>ﾍﾞﾄﾅﾑ</v>
      </c>
      <c r="N172">
        <v>34068</v>
      </c>
      <c r="O172">
        <v>30</v>
      </c>
      <c r="P172">
        <v>1110</v>
      </c>
      <c r="Q172">
        <v>0</v>
      </c>
      <c r="R172">
        <v>1610</v>
      </c>
      <c r="S172">
        <v>0</v>
      </c>
      <c r="T172">
        <v>500</v>
      </c>
      <c r="U172">
        <v>0</v>
      </c>
      <c r="V172">
        <v>0</v>
      </c>
      <c r="W172" t="str">
        <v>0</v>
      </c>
      <c r="X172">
        <v>0</v>
      </c>
      <c r="Y172">
        <v>45670</v>
      </c>
      <c r="Z172" t="str">
        <v/>
      </c>
      <c r="AA172" t="str">
        <v>家族滞在</v>
      </c>
      <c r="AB172">
        <v>0</v>
      </c>
      <c r="AC172">
        <v>0</v>
      </c>
      <c r="AD172">
        <v>0</v>
      </c>
      <c r="AE172">
        <v>0</v>
      </c>
      <c r="AF172">
        <v>45261</v>
      </c>
      <c r="AG172">
        <v>0</v>
      </c>
      <c r="AH172">
        <v>0</v>
      </c>
      <c r="AI172">
        <v>0</v>
      </c>
      <c r="AJ172">
        <v>0</v>
      </c>
      <c r="AK172">
        <v>0</v>
      </c>
      <c r="AL172">
        <v>0</v>
      </c>
      <c r="AM172">
        <v>0</v>
      </c>
      <c r="AN172">
        <v>0</v>
      </c>
      <c r="AO172">
        <v>0</v>
      </c>
      <c r="AP172">
        <v>0</v>
      </c>
    </row>
    <row r="173" spans="1:42">
      <c r="A173" t="str">
        <f>H173&amp;COUNTIF($H$2:H173,H173)</f>
        <v>一次旋係18</v>
      </c>
      <c r="B173" t="str">
        <f>F173&amp;COUNTIF($F$2:F173,F173)</f>
        <v>高雄工業 岡山34</v>
      </c>
      <c r="C173" t="str">
        <v>在職中</v>
      </c>
      <c r="D173">
        <v>220317</v>
      </c>
      <c r="E173">
        <v>232050</v>
      </c>
      <c r="F173" t="str">
        <v>高雄工業 岡山</v>
      </c>
      <c r="G173" t="str">
        <v>高雄工業株式会社 岡山事業所HUB工場製作1課</v>
      </c>
      <c r="H173" t="str">
        <v>一次旋係</v>
      </c>
      <c r="I173" t="str">
        <v>ハブ加工・自動機の操作・ＮＣプログラム修正</v>
      </c>
      <c r="J173" t="str">
        <v>NGUYEN DINH THANH</v>
      </c>
      <c r="K173" t="str">
        <v>グエン　ディン　タン</v>
      </c>
      <c r="L173" t="str">
        <v>男</v>
      </c>
      <c r="M173" t="str">
        <v>ﾍﾞﾄﾅﾑ</v>
      </c>
      <c r="N173">
        <v>34464</v>
      </c>
      <c r="O173">
        <v>29</v>
      </c>
      <c r="P173">
        <v>1400</v>
      </c>
      <c r="Q173">
        <v>0</v>
      </c>
      <c r="R173">
        <v>1780</v>
      </c>
      <c r="S173">
        <v>0</v>
      </c>
      <c r="T173">
        <v>380</v>
      </c>
      <c r="U173">
        <v>340000</v>
      </c>
      <c r="V173">
        <v>17017</v>
      </c>
      <c r="W173" t="str">
        <v>0</v>
      </c>
      <c r="X173">
        <v>31110</v>
      </c>
      <c r="Y173">
        <v>45351</v>
      </c>
      <c r="Z173" t="str">
        <v>残り期限90日!</v>
      </c>
      <c r="AA173" t="str">
        <v>技術・人文知識・国際業務</v>
      </c>
      <c r="AB173" t="str">
        <v>709-2107</v>
      </c>
      <c r="AC173" t="str">
        <v>岡山県岡山市北区御津矢原370</v>
      </c>
      <c r="AD173" t="str">
        <v>成広ｺｰﾎﾟⅠ103</v>
      </c>
      <c r="AE173">
        <v>0</v>
      </c>
      <c r="AF173">
        <v>44637</v>
      </c>
      <c r="AG173">
        <v>0</v>
      </c>
      <c r="AH173">
        <v>0</v>
      </c>
      <c r="AI173">
        <v>22.06</v>
      </c>
      <c r="AJ173" t="str">
        <v>グエン　ディン　タン</v>
      </c>
      <c r="AK173" t="str">
        <v>ゆうちょ銀行</v>
      </c>
      <c r="AL173">
        <v>518</v>
      </c>
      <c r="AM173" t="str">
        <v>五一八</v>
      </c>
      <c r="AN173" t="str">
        <v>5776683</v>
      </c>
      <c r="AO173" t="str">
        <v>OK</v>
      </c>
      <c r="AP173">
        <v>0</v>
      </c>
    </row>
    <row r="174" spans="1:42">
      <c r="A174" t="str">
        <f>H174&amp;COUNTIF($H$2:H174,H174)</f>
        <v>一次旋係19</v>
      </c>
      <c r="B174" t="str">
        <f>F174&amp;COUNTIF($F$2:F174,F174)</f>
        <v>高雄工業 岡山35</v>
      </c>
      <c r="C174" t="str">
        <v>退社</v>
      </c>
      <c r="D174">
        <v>220318</v>
      </c>
      <c r="E174">
        <v>232051</v>
      </c>
      <c r="F174" t="str">
        <v>高雄工業 岡山</v>
      </c>
      <c r="G174" t="str">
        <v>高雄工業株式会社 岡山事業所HUB工場製作1課</v>
      </c>
      <c r="H174" t="str">
        <v>一次旋係</v>
      </c>
      <c r="I174">
        <v>0</v>
      </c>
      <c r="J174" t="str">
        <v>PHAN TAT HOAN</v>
      </c>
      <c r="K174" t="str">
        <v>ファン　タット　ホアン</v>
      </c>
      <c r="L174" t="str">
        <v>男</v>
      </c>
      <c r="M174" t="str">
        <v>ﾍﾞﾄﾅﾑ</v>
      </c>
      <c r="N174">
        <v>34977</v>
      </c>
      <c r="O174">
        <v>28</v>
      </c>
      <c r="P174">
        <v>1400</v>
      </c>
      <c r="Q174">
        <v>0</v>
      </c>
      <c r="R174">
        <v>1750</v>
      </c>
      <c r="S174">
        <v>0</v>
      </c>
      <c r="T174">
        <v>350</v>
      </c>
      <c r="U174">
        <v>180000</v>
      </c>
      <c r="V174">
        <v>9009</v>
      </c>
      <c r="W174" t="str">
        <v>0</v>
      </c>
      <c r="X174">
        <v>16470</v>
      </c>
      <c r="Y174">
        <v>45351</v>
      </c>
      <c r="Z174" t="str">
        <v>残り期限90日!</v>
      </c>
      <c r="AA174" t="str">
        <v>技術・人文知識・国際業務</v>
      </c>
      <c r="AB174" t="str">
        <v>709-2107</v>
      </c>
      <c r="AC174" t="str">
        <v>岡山県岡山市北区御津矢原370</v>
      </c>
      <c r="AD174" t="str">
        <v>成広ｺｰﾎﾟⅠ103</v>
      </c>
      <c r="AE174">
        <v>0</v>
      </c>
      <c r="AF174">
        <v>44637</v>
      </c>
      <c r="AG174">
        <v>44999</v>
      </c>
      <c r="AH174">
        <v>0</v>
      </c>
      <c r="AI174">
        <v>22.06</v>
      </c>
      <c r="AJ174" t="str">
        <v>ファン　タット　ホアン</v>
      </c>
      <c r="AK174" t="str">
        <v>ゆうちょ銀行</v>
      </c>
      <c r="AL174">
        <v>518</v>
      </c>
      <c r="AM174" t="str">
        <v>五一八</v>
      </c>
      <c r="AN174" t="str">
        <v>6015871</v>
      </c>
      <c r="AO174" t="str">
        <v>OK</v>
      </c>
      <c r="AP174">
        <v>0</v>
      </c>
    </row>
    <row r="175" spans="1:42">
      <c r="A175" t="str">
        <f>H175&amp;COUNTIF($H$2:H175,H175)</f>
        <v>一次旋係20</v>
      </c>
      <c r="B175" t="str">
        <f>F175&amp;COUNTIF($F$2:F175,F175)</f>
        <v>高雄工業 岡山36</v>
      </c>
      <c r="C175" t="str">
        <v>在職中</v>
      </c>
      <c r="D175">
        <v>220325</v>
      </c>
      <c r="E175">
        <v>232052</v>
      </c>
      <c r="F175" t="str">
        <v>高雄工業 岡山</v>
      </c>
      <c r="G175" t="str">
        <v>高雄工業株式会社 岡山事業所HUB工場製作1課</v>
      </c>
      <c r="H175" t="str">
        <v>一次旋係</v>
      </c>
      <c r="I175" t="str">
        <v>ハブ加工・自動機の操作・ＮＣプログラム修正</v>
      </c>
      <c r="J175" t="str">
        <v>LE THANH LUAN</v>
      </c>
      <c r="K175" t="str">
        <v>レ　タイン　ルアン</v>
      </c>
      <c r="L175" t="str">
        <v>男</v>
      </c>
      <c r="M175" t="str">
        <v>ﾍﾞﾄﾅﾑ</v>
      </c>
      <c r="N175">
        <v>32632</v>
      </c>
      <c r="O175">
        <v>34</v>
      </c>
      <c r="P175">
        <v>1400</v>
      </c>
      <c r="Q175">
        <v>0</v>
      </c>
      <c r="R175">
        <v>1780</v>
      </c>
      <c r="S175">
        <v>0</v>
      </c>
      <c r="T175">
        <v>380</v>
      </c>
      <c r="U175">
        <v>300000</v>
      </c>
      <c r="V175">
        <v>15014.999999999998</v>
      </c>
      <c r="W175" t="str">
        <v>0</v>
      </c>
      <c r="X175">
        <v>27450</v>
      </c>
      <c r="Y175">
        <v>45369</v>
      </c>
      <c r="Z175" t="str">
        <v/>
      </c>
      <c r="AA175" t="str">
        <v>技術・人文知識・国際業務</v>
      </c>
      <c r="AB175" t="str">
        <v>709-2134</v>
      </c>
      <c r="AC175" t="str">
        <v>岡山県岡山市北区御津下田77番地3</v>
      </c>
      <c r="AD175" t="str">
        <v>ﾋﾞﾚｯｼﾞﾊｳｽ1-307</v>
      </c>
      <c r="AE175">
        <v>0</v>
      </c>
      <c r="AF175">
        <v>44649</v>
      </c>
      <c r="AG175">
        <v>0</v>
      </c>
      <c r="AH175">
        <v>0</v>
      </c>
      <c r="AI175" t="str">
        <v>22.04.01</v>
      </c>
      <c r="AJ175" t="str">
        <v>レ　タイン　ルアン</v>
      </c>
      <c r="AK175" t="str">
        <v>ゆうちょ銀行</v>
      </c>
      <c r="AL175">
        <v>238</v>
      </c>
      <c r="AM175" t="str">
        <v>二三八</v>
      </c>
      <c r="AN175" t="str">
        <v>5916674</v>
      </c>
      <c r="AO175" t="str">
        <v>3/28再連絡</v>
      </c>
      <c r="AP175">
        <v>0</v>
      </c>
    </row>
    <row r="176" spans="1:42">
      <c r="A176" t="str">
        <f>H176&amp;COUNTIF($H$2:H176,H176)</f>
        <v>一次旋係21</v>
      </c>
      <c r="B176" t="str">
        <f>F176&amp;COUNTIF($F$2:F176,F176)</f>
        <v>高雄工業 岡山37</v>
      </c>
      <c r="C176" t="str">
        <v>退社</v>
      </c>
      <c r="D176">
        <v>220327</v>
      </c>
      <c r="E176">
        <v>232053</v>
      </c>
      <c r="F176" t="str">
        <v>高雄工業 岡山</v>
      </c>
      <c r="G176" t="str">
        <v>高雄工業株式会社 岡山事業所HUB工場製作1課</v>
      </c>
      <c r="H176" t="str">
        <v>一次旋係</v>
      </c>
      <c r="I176">
        <v>0</v>
      </c>
      <c r="J176" t="str">
        <v>LE MINH QUANG</v>
      </c>
      <c r="K176" t="str">
        <v>レー　ミン　クアン</v>
      </c>
      <c r="L176" t="str">
        <v>男</v>
      </c>
      <c r="M176" t="str">
        <v>ﾍﾞﾄﾅﾑ</v>
      </c>
      <c r="N176">
        <v>34277</v>
      </c>
      <c r="O176">
        <v>30</v>
      </c>
      <c r="P176">
        <v>1350</v>
      </c>
      <c r="Q176">
        <v>0</v>
      </c>
      <c r="R176">
        <v>1750</v>
      </c>
      <c r="S176">
        <v>0</v>
      </c>
      <c r="T176">
        <v>400</v>
      </c>
      <c r="U176">
        <v>0</v>
      </c>
      <c r="V176" t="str">
        <v/>
      </c>
      <c r="W176" t="str">
        <v>0</v>
      </c>
      <c r="X176" t="str">
        <v/>
      </c>
      <c r="Y176">
        <v>44940</v>
      </c>
      <c r="Z176" t="str">
        <v>残り期限90日!</v>
      </c>
      <c r="AA176" t="str">
        <v>技術・人文知識・国際業務</v>
      </c>
      <c r="AB176" t="str">
        <v>709-2107</v>
      </c>
      <c r="AC176" t="str">
        <v>岡山県岡山市北区御津矢原297-1</v>
      </c>
      <c r="AD176" t="str">
        <v>成広矢原ｺｰﾎﾟⅤ205</v>
      </c>
      <c r="AE176">
        <v>44647</v>
      </c>
      <c r="AF176">
        <v>44651</v>
      </c>
      <c r="AG176">
        <v>44831</v>
      </c>
      <c r="AH176">
        <v>44849</v>
      </c>
      <c r="AI176" t="str">
        <v>22.06.01</v>
      </c>
      <c r="AJ176">
        <v>0</v>
      </c>
      <c r="AK176">
        <v>0</v>
      </c>
      <c r="AL176">
        <v>0</v>
      </c>
      <c r="AM176">
        <v>0</v>
      </c>
      <c r="AN176">
        <v>0</v>
      </c>
      <c r="AO176" t="str">
        <v>2022/04/20</v>
      </c>
      <c r="AP176">
        <v>0</v>
      </c>
    </row>
    <row r="177" spans="1:42">
      <c r="A177" t="str">
        <f>H177&amp;COUNTIF($H$2:H177,H177)</f>
        <v>業務係CVJ1</v>
      </c>
      <c r="B177" t="str">
        <f>F177&amp;COUNTIF($F$2:F177,F177)</f>
        <v>高雄工業 岡山38</v>
      </c>
      <c r="C177" t="str">
        <v>退社</v>
      </c>
      <c r="D177">
        <v>220401</v>
      </c>
      <c r="E177">
        <v>232054</v>
      </c>
      <c r="F177" t="str">
        <v>高雄工業 岡山</v>
      </c>
      <c r="G177" t="str">
        <v>高雄工業株式会社 岡山事業所業務</v>
      </c>
      <c r="H177" t="str">
        <v>業務係CVJ</v>
      </c>
      <c r="I177">
        <v>0</v>
      </c>
      <c r="J177" t="str">
        <v>NGUYEN THI MAI PHUONG</v>
      </c>
      <c r="K177" t="str">
        <v>グエン　ティ　マイ　フォン</v>
      </c>
      <c r="L177" t="str">
        <v>女</v>
      </c>
      <c r="M177" t="str">
        <v>ﾍﾞﾄﾅﾑ</v>
      </c>
      <c r="N177">
        <v>35437</v>
      </c>
      <c r="O177">
        <v>26</v>
      </c>
      <c r="P177">
        <v>1250</v>
      </c>
      <c r="Q177">
        <v>0</v>
      </c>
      <c r="R177">
        <v>1660</v>
      </c>
      <c r="S177">
        <v>0</v>
      </c>
      <c r="T177">
        <v>410</v>
      </c>
      <c r="U177">
        <v>180000</v>
      </c>
      <c r="V177">
        <v>9009</v>
      </c>
      <c r="W177" t="str">
        <v>0</v>
      </c>
      <c r="X177">
        <v>16470</v>
      </c>
      <c r="Y177">
        <v>45098</v>
      </c>
      <c r="Z177" t="str">
        <v>残り期限90日!</v>
      </c>
      <c r="AA177" t="str">
        <v>技術・人文知識・国際業務</v>
      </c>
      <c r="AB177" t="str">
        <v>709-2107</v>
      </c>
      <c r="AC177" t="str">
        <v>岡山県岡山市北区御津金川373番地1</v>
      </c>
      <c r="AD177" t="str">
        <v>ﾆｭｰｴﾙﾃﾞｨﾑ小西A202</v>
      </c>
      <c r="AE177">
        <v>44963</v>
      </c>
      <c r="AF177">
        <v>44655</v>
      </c>
      <c r="AG177">
        <v>45040</v>
      </c>
      <c r="AH177">
        <v>0</v>
      </c>
      <c r="AI177" t="str">
        <v>22.06.01</v>
      </c>
      <c r="AJ177" t="str">
        <v>グエン　ティ　マイ　フオン</v>
      </c>
      <c r="AK177" t="str">
        <v>ゆうちょ銀行</v>
      </c>
      <c r="AL177">
        <v>548</v>
      </c>
      <c r="AM177" t="str">
        <v>五四八</v>
      </c>
      <c r="AN177" t="str">
        <v>3941042</v>
      </c>
      <c r="AO177" t="str">
        <v>2022/04/20</v>
      </c>
      <c r="AP177">
        <v>0</v>
      </c>
    </row>
    <row r="178" spans="1:42">
      <c r="A178" t="str">
        <f>H178&amp;COUNTIF($H$2:H178,H178)</f>
        <v>一次旋係22</v>
      </c>
      <c r="B178" t="str">
        <f>F178&amp;COUNTIF($F$2:F178,F178)</f>
        <v>高雄工業 岡山39</v>
      </c>
      <c r="C178" t="str">
        <v>在職中</v>
      </c>
      <c r="D178">
        <v>220406</v>
      </c>
      <c r="E178">
        <v>232055</v>
      </c>
      <c r="F178" t="str">
        <v>高雄工業 岡山</v>
      </c>
      <c r="G178" t="str">
        <v>高雄工業株式会社 岡山事業所HUB工場製作1課</v>
      </c>
      <c r="H178" t="str">
        <v>一次旋係</v>
      </c>
      <c r="I178" t="str">
        <v>ハブ加工・自動機の操作・ＮＣプログラム修正</v>
      </c>
      <c r="J178" t="str">
        <v>IPAL FEBRI NARTA</v>
      </c>
      <c r="K178" t="str">
        <v>イパール　フェブリ　ナルタ</v>
      </c>
      <c r="L178" t="str">
        <v>男</v>
      </c>
      <c r="M178" t="str">
        <v>ｲﾝﾄﾞﾈｼｱ</v>
      </c>
      <c r="N178">
        <v>32908</v>
      </c>
      <c r="O178">
        <v>33</v>
      </c>
      <c r="P178">
        <v>1400</v>
      </c>
      <c r="Q178">
        <v>0</v>
      </c>
      <c r="R178">
        <v>1770</v>
      </c>
      <c r="S178">
        <v>0</v>
      </c>
      <c r="T178">
        <v>370</v>
      </c>
      <c r="U178">
        <v>300000</v>
      </c>
      <c r="V178">
        <v>15014.999999999998</v>
      </c>
      <c r="W178" t="str">
        <v>0</v>
      </c>
      <c r="X178">
        <v>27450</v>
      </c>
      <c r="Y178">
        <v>46017</v>
      </c>
      <c r="Z178" t="str">
        <v/>
      </c>
      <c r="AA178" t="str">
        <v>技術・人文知識・国際業務</v>
      </c>
      <c r="AB178" t="str">
        <v>709-2107</v>
      </c>
      <c r="AC178" t="str">
        <v>岡山県岡山市北区御津矢原297-1</v>
      </c>
      <c r="AD178" t="str">
        <v>成広矢原ｺｰﾎﾟⅤ202</v>
      </c>
      <c r="AE178">
        <v>44656</v>
      </c>
      <c r="AF178">
        <v>44659</v>
      </c>
      <c r="AG178">
        <v>0</v>
      </c>
      <c r="AH178">
        <v>0</v>
      </c>
      <c r="AI178" t="str">
        <v>22.06.01</v>
      </c>
      <c r="AJ178" t="str">
        <v>イパール　フェブリ　ナルタ</v>
      </c>
      <c r="AK178" t="str">
        <v>ゆうちょ銀行</v>
      </c>
      <c r="AL178">
        <v>228</v>
      </c>
      <c r="AM178" t="str">
        <v>二二八</v>
      </c>
      <c r="AN178" t="str">
        <v>3561192</v>
      </c>
      <c r="AO178" t="str">
        <v>2022/04/28</v>
      </c>
      <c r="AP178">
        <v>0</v>
      </c>
    </row>
    <row r="179" spans="1:42">
      <c r="A179" t="str">
        <f>H179&amp;COUNTIF($H$2:H179,H179)</f>
        <v>一次旋係23</v>
      </c>
      <c r="B179" t="str">
        <f>F179&amp;COUNTIF($F$2:F179,F179)</f>
        <v>高雄工業 岡山40</v>
      </c>
      <c r="C179" t="str">
        <v>在職中</v>
      </c>
      <c r="D179">
        <v>220502</v>
      </c>
      <c r="E179">
        <v>232057</v>
      </c>
      <c r="F179" t="str">
        <v>高雄工業 岡山</v>
      </c>
      <c r="G179" t="str">
        <v>高雄工業株式会社 岡山事業所HUB工場製作1課</v>
      </c>
      <c r="H179" t="str">
        <v>一次旋係</v>
      </c>
      <c r="I179" t="str">
        <v>ハブ加工・自動機の操作・ＮＣプログラム修正</v>
      </c>
      <c r="J179" t="str">
        <v>THACH VAN DAI</v>
      </c>
      <c r="K179" t="str">
        <v>タック　ヴァン　ダイ</v>
      </c>
      <c r="L179" t="str">
        <v>男</v>
      </c>
      <c r="M179" t="str">
        <v>ﾍﾞﾄﾅﾑ</v>
      </c>
      <c r="N179">
        <v>34432</v>
      </c>
      <c r="O179">
        <v>29</v>
      </c>
      <c r="P179">
        <v>1400</v>
      </c>
      <c r="Q179">
        <v>0</v>
      </c>
      <c r="R179">
        <v>1760</v>
      </c>
      <c r="S179">
        <v>0</v>
      </c>
      <c r="T179">
        <v>360</v>
      </c>
      <c r="U179">
        <v>300000</v>
      </c>
      <c r="V179">
        <v>15014.999999999998</v>
      </c>
      <c r="W179" t="str">
        <v>0</v>
      </c>
      <c r="X179">
        <v>27450</v>
      </c>
      <c r="Y179">
        <v>45340</v>
      </c>
      <c r="Z179" t="str">
        <v>残り期限90日!</v>
      </c>
      <c r="AA179" t="str">
        <v>技術・人文知識・国際業務</v>
      </c>
      <c r="AB179" t="str">
        <v>709-2107</v>
      </c>
      <c r="AC179" t="str">
        <v>岡山県岡山市北区御津矢原311</v>
      </c>
      <c r="AD179" t="str">
        <v>中須賀ｺｰﾎﾟⅢ206</v>
      </c>
      <c r="AE179">
        <v>44687</v>
      </c>
      <c r="AF179">
        <v>44690</v>
      </c>
      <c r="AG179">
        <v>0</v>
      </c>
      <c r="AH179">
        <v>0</v>
      </c>
      <c r="AI179" t="str">
        <v>22.07.01</v>
      </c>
      <c r="AJ179" t="str">
        <v>タック　ヴァン　ダイ</v>
      </c>
      <c r="AK179" t="str">
        <v>ゆうちょ銀行</v>
      </c>
      <c r="AL179">
        <v>448</v>
      </c>
      <c r="AM179" t="str">
        <v>四四八</v>
      </c>
      <c r="AN179" t="str">
        <v>5097300</v>
      </c>
      <c r="AO179" t="str">
        <v>5/17原</v>
      </c>
      <c r="AP179">
        <v>0</v>
      </c>
    </row>
    <row r="180" spans="1:42">
      <c r="A180" t="str">
        <f>H180&amp;COUNTIF($H$2:H180,H180)</f>
        <v>一次旋係24</v>
      </c>
      <c r="B180" t="str">
        <f>F180&amp;COUNTIF($F$2:F180,F180)</f>
        <v>高雄工業 岡山41</v>
      </c>
      <c r="C180" t="str">
        <v>退社</v>
      </c>
      <c r="D180">
        <v>220514</v>
      </c>
      <c r="E180">
        <v>232058</v>
      </c>
      <c r="F180" t="str">
        <v>高雄工業 岡山</v>
      </c>
      <c r="G180" t="str">
        <v>高雄工業株式会社 岡山事業所HUB工場製作1課</v>
      </c>
      <c r="H180" t="str">
        <v>一次旋係</v>
      </c>
      <c r="I180">
        <v>0</v>
      </c>
      <c r="J180" t="str">
        <v>DINH VAN HAI</v>
      </c>
      <c r="K180" t="str">
        <v>ディン　ヴァン　ハイ</v>
      </c>
      <c r="L180" t="str">
        <v>男</v>
      </c>
      <c r="M180" t="str">
        <v>ﾍﾞﾄﾅﾑ</v>
      </c>
      <c r="N180">
        <v>35113</v>
      </c>
      <c r="O180">
        <v>27</v>
      </c>
      <c r="P180">
        <v>1220</v>
      </c>
      <c r="Q180">
        <v>0</v>
      </c>
      <c r="R180">
        <v>1650</v>
      </c>
      <c r="S180">
        <v>0</v>
      </c>
      <c r="T180">
        <v>430</v>
      </c>
      <c r="U180">
        <v>180000</v>
      </c>
      <c r="V180">
        <v>9009</v>
      </c>
      <c r="W180" t="str">
        <v>0</v>
      </c>
      <c r="X180">
        <v>16470</v>
      </c>
      <c r="Y180">
        <v>45042</v>
      </c>
      <c r="Z180" t="str">
        <v>残り期限90日!</v>
      </c>
      <c r="AA180" t="str">
        <v>技術・人文知識・国際業務</v>
      </c>
      <c r="AB180" t="str">
        <v>709-2132</v>
      </c>
      <c r="AC180" t="str">
        <v>岡山県岡山市北区御津草生2169番地2</v>
      </c>
      <c r="AD180" t="str">
        <v>草生一軒家</v>
      </c>
      <c r="AE180">
        <v>44690</v>
      </c>
      <c r="AF180">
        <v>44693</v>
      </c>
      <c r="AG180">
        <v>44985</v>
      </c>
      <c r="AH180">
        <v>0</v>
      </c>
      <c r="AI180" t="str">
        <v>22.07.01</v>
      </c>
      <c r="AJ180" t="str">
        <v>ディン　ヴァン　ハイ</v>
      </c>
      <c r="AK180" t="str">
        <v>ゆうちょ銀行</v>
      </c>
      <c r="AL180">
        <v>548</v>
      </c>
      <c r="AM180" t="str">
        <v>五四八</v>
      </c>
      <c r="AN180" t="str">
        <v>4087822</v>
      </c>
      <c r="AO180" t="str">
        <v>5/19林</v>
      </c>
      <c r="AP180">
        <v>0</v>
      </c>
    </row>
    <row r="181" spans="1:42">
      <c r="A181" t="str">
        <f>H181&amp;COUNTIF($H$2:H181,H181)</f>
        <v>一次旋係25</v>
      </c>
      <c r="B181" t="str">
        <f>F181&amp;COUNTIF($F$2:F181,F181)</f>
        <v>高雄工業 岡山42</v>
      </c>
      <c r="C181" t="str">
        <v>在職中</v>
      </c>
      <c r="D181">
        <v>220513</v>
      </c>
      <c r="E181">
        <v>232059</v>
      </c>
      <c r="F181" t="str">
        <v>高雄工業 岡山</v>
      </c>
      <c r="G181" t="str">
        <v>高雄工業株式会社 岡山事業所HUB工場製作1課</v>
      </c>
      <c r="H181" t="str">
        <v>一次旋係</v>
      </c>
      <c r="I181" t="str">
        <v>ハブ加工・自動機の操作・ＮＣプログラム修正</v>
      </c>
      <c r="J181" t="str">
        <v>PHAN VAN THIEN</v>
      </c>
      <c r="K181" t="str">
        <v>ファン　ヴァン　ティエン</v>
      </c>
      <c r="L181" t="str">
        <v>男</v>
      </c>
      <c r="M181" t="str">
        <v>ﾍﾞﾄﾅﾑ</v>
      </c>
      <c r="N181">
        <v>35602</v>
      </c>
      <c r="O181">
        <v>26</v>
      </c>
      <c r="P181">
        <v>1300</v>
      </c>
      <c r="Q181">
        <v>0</v>
      </c>
      <c r="R181">
        <v>1660</v>
      </c>
      <c r="S181">
        <v>0</v>
      </c>
      <c r="T181">
        <v>360</v>
      </c>
      <c r="U181">
        <v>280000</v>
      </c>
      <c r="V181">
        <v>14014</v>
      </c>
      <c r="W181" t="str">
        <v>0</v>
      </c>
      <c r="X181">
        <v>25620</v>
      </c>
      <c r="Y181">
        <v>45408</v>
      </c>
      <c r="Z181" t="str">
        <v/>
      </c>
      <c r="AA181" t="str">
        <v>技術・人文知識・国際業務</v>
      </c>
      <c r="AB181" t="str">
        <v>709-2132</v>
      </c>
      <c r="AC181" t="str">
        <v>岡山県岡山市北区御津草生2169番地2</v>
      </c>
      <c r="AD181" t="str">
        <v>草生一軒家</v>
      </c>
      <c r="AE181">
        <v>44690</v>
      </c>
      <c r="AF181">
        <v>44693</v>
      </c>
      <c r="AG181">
        <v>0</v>
      </c>
      <c r="AH181">
        <v>0</v>
      </c>
      <c r="AI181" t="str">
        <v>22.07.01</v>
      </c>
      <c r="AJ181" t="str">
        <v>ファン　ヴァン　ティエン</v>
      </c>
      <c r="AK181" t="str">
        <v>ゆうちょ銀行</v>
      </c>
      <c r="AL181">
        <v>548</v>
      </c>
      <c r="AM181" t="str">
        <v>五四八</v>
      </c>
      <c r="AN181" t="str">
        <v>3883442</v>
      </c>
      <c r="AO181" t="str">
        <v>5/19林</v>
      </c>
      <c r="AP181">
        <v>0</v>
      </c>
    </row>
    <row r="182" spans="1:42">
      <c r="A182" t="str">
        <f>H182&amp;COUNTIF($H$2:H182,H182)</f>
        <v>一次旋係26</v>
      </c>
      <c r="B182" t="str">
        <f>F182&amp;COUNTIF($F$2:F182,F182)</f>
        <v>高雄工業 岡山43</v>
      </c>
      <c r="C182" t="str">
        <v>退社</v>
      </c>
      <c r="D182">
        <v>220512</v>
      </c>
      <c r="E182">
        <v>232060</v>
      </c>
      <c r="F182" t="str">
        <v>高雄工業 岡山</v>
      </c>
      <c r="G182" t="str">
        <v>高雄工業株式会社 岡山事業所HUB工場製作1課</v>
      </c>
      <c r="H182" t="str">
        <v>一次旋係</v>
      </c>
      <c r="I182" t="str">
        <v>ハブ加工・自動機の操作・ＮＣプログラム修正</v>
      </c>
      <c r="J182" t="str">
        <v>NGUYEN HOANG TIEN</v>
      </c>
      <c r="K182" t="str">
        <v>グエン　ホアン　ティエン</v>
      </c>
      <c r="L182" t="str">
        <v>男</v>
      </c>
      <c r="M182" t="str">
        <v>ﾍﾞﾄﾅﾑ</v>
      </c>
      <c r="N182">
        <v>35685</v>
      </c>
      <c r="O182">
        <v>26</v>
      </c>
      <c r="P182">
        <v>1300</v>
      </c>
      <c r="Q182">
        <v>0</v>
      </c>
      <c r="R182">
        <v>1670</v>
      </c>
      <c r="S182">
        <v>0</v>
      </c>
      <c r="T182">
        <v>370</v>
      </c>
      <c r="U182">
        <v>180000</v>
      </c>
      <c r="V182">
        <v>9009</v>
      </c>
      <c r="W182" t="str">
        <v>0</v>
      </c>
      <c r="X182">
        <v>16470</v>
      </c>
      <c r="Y182">
        <v>45408</v>
      </c>
      <c r="Z182" t="str">
        <v/>
      </c>
      <c r="AA182" t="str">
        <v>技術・人文知識・国際業務</v>
      </c>
      <c r="AB182" t="str">
        <v>709-2132</v>
      </c>
      <c r="AC182" t="str">
        <v>岡山県岡山市北区御津草生2169番地2</v>
      </c>
      <c r="AD182" t="str">
        <v>草生一軒家</v>
      </c>
      <c r="AE182">
        <v>44690</v>
      </c>
      <c r="AF182">
        <v>44693</v>
      </c>
      <c r="AG182">
        <v>45168</v>
      </c>
      <c r="AH182">
        <v>0</v>
      </c>
      <c r="AI182" t="str">
        <v>22.07.01</v>
      </c>
      <c r="AJ182" t="str">
        <v>グエン　ホアン　ティエン</v>
      </c>
      <c r="AK182" t="str">
        <v>ゆうちょ銀行</v>
      </c>
      <c r="AL182">
        <v>548</v>
      </c>
      <c r="AM182" t="str">
        <v>五四八</v>
      </c>
      <c r="AN182" t="str">
        <v>4087823</v>
      </c>
      <c r="AO182" t="str">
        <v>5/19林</v>
      </c>
      <c r="AP182">
        <v>0</v>
      </c>
    </row>
    <row r="183" spans="1:42">
      <c r="A183" t="str">
        <f>H183&amp;COUNTIF($H$2:H183,H183)</f>
        <v>一次旋係27</v>
      </c>
      <c r="B183" t="str">
        <f>F183&amp;COUNTIF($F$2:F183,F183)</f>
        <v>高雄工業 岡山44</v>
      </c>
      <c r="C183" t="str">
        <v>在職中</v>
      </c>
      <c r="D183">
        <v>220605</v>
      </c>
      <c r="E183">
        <v>232061</v>
      </c>
      <c r="F183" t="str">
        <v>高雄工業 岡山</v>
      </c>
      <c r="G183" t="str">
        <v>高雄工業株式会社 岡山事業所HUB工場製作1課</v>
      </c>
      <c r="H183" t="str">
        <v>一次旋係</v>
      </c>
      <c r="I183" t="str">
        <v>ハブ加工・自動機の操作・ＮＣプログラム修正</v>
      </c>
      <c r="J183" t="str">
        <v>FERRYANTO PASCA MARIS UPPUN</v>
      </c>
      <c r="K183" t="str">
        <v>フェリヤント　パスチャ　マリス　ウップン</v>
      </c>
      <c r="L183" t="str">
        <v>男</v>
      </c>
      <c r="M183" t="str">
        <v>ｲﾝﾄﾞﾈｼｱ</v>
      </c>
      <c r="N183">
        <v>35115</v>
      </c>
      <c r="O183">
        <v>27</v>
      </c>
      <c r="P183">
        <v>1400</v>
      </c>
      <c r="Q183">
        <v>0</v>
      </c>
      <c r="R183">
        <v>1770</v>
      </c>
      <c r="S183">
        <v>0</v>
      </c>
      <c r="T183">
        <v>370</v>
      </c>
      <c r="U183">
        <v>320000</v>
      </c>
      <c r="V183">
        <v>16015.999999999998</v>
      </c>
      <c r="W183" t="str">
        <v>0</v>
      </c>
      <c r="X183">
        <v>29280</v>
      </c>
      <c r="Y183">
        <v>46115</v>
      </c>
      <c r="Z183" t="str">
        <v/>
      </c>
      <c r="AA183" t="str">
        <v>技術・人文知識・国際業務</v>
      </c>
      <c r="AB183" t="str">
        <v>709-2107</v>
      </c>
      <c r="AC183" t="str">
        <v>岡山県岡山市北区御津矢原299-2</v>
      </c>
      <c r="AD183" t="str">
        <v>成広矢原ｺｰﾎﾟ7 106</v>
      </c>
      <c r="AE183">
        <v>44717</v>
      </c>
      <c r="AF183">
        <v>44718</v>
      </c>
      <c r="AG183">
        <v>0</v>
      </c>
      <c r="AH183">
        <v>0</v>
      </c>
      <c r="AI183">
        <v>0</v>
      </c>
      <c r="AJ183" t="str">
        <v>フェリヤント　パスチャマリス　ウップン</v>
      </c>
      <c r="AK183" t="str">
        <v>ゆうちょ銀行</v>
      </c>
      <c r="AL183">
        <v>728</v>
      </c>
      <c r="AM183" t="str">
        <v>七二八</v>
      </c>
      <c r="AN183" t="str">
        <v>2685541</v>
      </c>
      <c r="AO183" t="str">
        <v>7/6原</v>
      </c>
      <c r="AP183" t="str">
        <v>請負より異動</v>
      </c>
    </row>
    <row r="184" spans="1:42">
      <c r="A184" t="str">
        <f>H184&amp;COUNTIF($H$2:H184,H184)</f>
        <v>一次旋係28</v>
      </c>
      <c r="B184" t="str">
        <f>F184&amp;COUNTIF($F$2:F184,F184)</f>
        <v>高雄工業 岡山45</v>
      </c>
      <c r="C184" t="str">
        <v>在職中</v>
      </c>
      <c r="D184">
        <v>220607</v>
      </c>
      <c r="E184">
        <v>232062</v>
      </c>
      <c r="F184" t="str">
        <v>高雄工業 岡山</v>
      </c>
      <c r="G184" t="str">
        <v>高雄工業株式会社 岡山事業所HUB工場製作1課</v>
      </c>
      <c r="H184" t="str">
        <v>一次旋係</v>
      </c>
      <c r="I184" t="str">
        <v>ハブ加工・自動機の操作・ＮＣプログラム修正</v>
      </c>
      <c r="J184" t="str">
        <v>NAUFAL ANDZAR ASH-SHIDDIQ</v>
      </c>
      <c r="K184" t="str">
        <v>ナウファル　アンザル　アス　シッディク</v>
      </c>
      <c r="L184" t="str">
        <v>男</v>
      </c>
      <c r="M184" t="str">
        <v>ｲﾝﾄﾞﾈｼｱ</v>
      </c>
      <c r="N184">
        <v>34784</v>
      </c>
      <c r="O184">
        <v>28</v>
      </c>
      <c r="P184">
        <v>1400</v>
      </c>
      <c r="Q184">
        <v>0</v>
      </c>
      <c r="R184">
        <v>1770</v>
      </c>
      <c r="S184">
        <v>0</v>
      </c>
      <c r="T184">
        <v>370</v>
      </c>
      <c r="U184">
        <v>320000</v>
      </c>
      <c r="V184">
        <v>16015.999999999998</v>
      </c>
      <c r="W184" t="str">
        <v>0</v>
      </c>
      <c r="X184">
        <v>29280</v>
      </c>
      <c r="Y184">
        <v>46112</v>
      </c>
      <c r="Z184" t="str">
        <v/>
      </c>
      <c r="AA184" t="str">
        <v>技術・人文知識・国際業務</v>
      </c>
      <c r="AB184" t="str">
        <v>709-2107</v>
      </c>
      <c r="AC184" t="str">
        <v>岡山県岡山市北区御津矢原299-2</v>
      </c>
      <c r="AD184" t="str">
        <v>成広矢原ｺｰﾎﾟⅦ206</v>
      </c>
      <c r="AE184">
        <v>44737</v>
      </c>
      <c r="AF184">
        <v>44718</v>
      </c>
      <c r="AG184">
        <v>0</v>
      </c>
      <c r="AH184">
        <v>0</v>
      </c>
      <c r="AI184">
        <v>0</v>
      </c>
      <c r="AJ184" t="str">
        <v>ナウファル　アンザル　アス　シッディク</v>
      </c>
      <c r="AK184" t="str">
        <v>ゆうちょ銀行</v>
      </c>
      <c r="AL184">
        <v>558</v>
      </c>
      <c r="AM184" t="str">
        <v>五五八</v>
      </c>
      <c r="AN184" t="str">
        <v>3183551</v>
      </c>
      <c r="AO184" t="str">
        <v>7/6原</v>
      </c>
      <c r="AP184" t="str">
        <v>請負より異動</v>
      </c>
    </row>
    <row r="185" spans="1:42">
      <c r="A185" t="str">
        <f>H185&amp;COUNTIF($H$2:H185,H185)</f>
        <v>一次旋係29</v>
      </c>
      <c r="B185" t="str">
        <f>F185&amp;COUNTIF($F$2:F185,F185)</f>
        <v>高雄工業 岡山46</v>
      </c>
      <c r="C185" t="str">
        <v>在職中</v>
      </c>
      <c r="D185">
        <v>220606</v>
      </c>
      <c r="E185">
        <v>232063</v>
      </c>
      <c r="F185" t="str">
        <v>高雄工業 岡山</v>
      </c>
      <c r="G185" t="str">
        <v>高雄工業株式会社 岡山事業所HUB工場製作1課</v>
      </c>
      <c r="H185" t="str">
        <v>一次旋係</v>
      </c>
      <c r="I185" t="str">
        <v>ハブ加工・自動機の操作・ＮＣプログラム修正</v>
      </c>
      <c r="J185" t="str">
        <v>WIDIARTO IFTIAR</v>
      </c>
      <c r="K185" t="str">
        <v>ウィディアルト　イフティアル</v>
      </c>
      <c r="L185" t="str">
        <v>男</v>
      </c>
      <c r="M185" t="str">
        <v>ｲﾝﾄﾞﾈｼｱ</v>
      </c>
      <c r="N185">
        <v>32955</v>
      </c>
      <c r="O185">
        <v>33</v>
      </c>
      <c r="P185">
        <v>1400</v>
      </c>
      <c r="Q185">
        <v>0</v>
      </c>
      <c r="R185">
        <v>1770</v>
      </c>
      <c r="S185">
        <v>0</v>
      </c>
      <c r="T185">
        <v>370</v>
      </c>
      <c r="U185">
        <v>320000</v>
      </c>
      <c r="V185">
        <v>16015.999999999998</v>
      </c>
      <c r="W185" t="str">
        <v>0</v>
      </c>
      <c r="X185">
        <v>29280</v>
      </c>
      <c r="Y185">
        <v>46112</v>
      </c>
      <c r="Z185" t="str">
        <v/>
      </c>
      <c r="AA185" t="str">
        <v>技術・人文知識・国際業務</v>
      </c>
      <c r="AB185" t="str">
        <v>709-2107</v>
      </c>
      <c r="AC185" t="str">
        <v>岡山県岡山市北区御津矢原370</v>
      </c>
      <c r="AD185" t="str">
        <v>成広ｺｰﾎﾟⅠ202</v>
      </c>
      <c r="AE185">
        <v>44583</v>
      </c>
      <c r="AF185">
        <v>44718</v>
      </c>
      <c r="AG185">
        <v>0</v>
      </c>
      <c r="AH185">
        <v>0</v>
      </c>
      <c r="AI185">
        <v>0</v>
      </c>
      <c r="AJ185" t="str">
        <v>ウィディアルト　イフティアル</v>
      </c>
      <c r="AK185" t="str">
        <v>ゆうちょ銀行</v>
      </c>
      <c r="AL185">
        <v>408</v>
      </c>
      <c r="AM185" t="str">
        <v>四〇八</v>
      </c>
      <c r="AN185" t="str">
        <v>3267821</v>
      </c>
      <c r="AO185" t="str">
        <v>7/6原</v>
      </c>
      <c r="AP185" t="str">
        <v>請負より異動</v>
      </c>
    </row>
    <row r="186" spans="1:42">
      <c r="A186" t="str">
        <f>H186&amp;COUNTIF($H$2:H186,H186)</f>
        <v>一次旋係30</v>
      </c>
      <c r="B186" t="str">
        <f>F186&amp;COUNTIF($F$2:F186,F186)</f>
        <v>高雄工業 岡山47</v>
      </c>
      <c r="C186" t="str">
        <v>在職中</v>
      </c>
      <c r="D186">
        <v>220710</v>
      </c>
      <c r="E186">
        <v>232064</v>
      </c>
      <c r="F186" t="str">
        <v>高雄工業 岡山</v>
      </c>
      <c r="G186" t="str">
        <v>高雄工業株式会社 岡山事業所HUB工場製作1課</v>
      </c>
      <c r="H186" t="str">
        <v>一次旋係</v>
      </c>
      <c r="I186" t="str">
        <v>ハブ加工・自動機の操作・ＮＣプログラム修正</v>
      </c>
      <c r="J186" t="str">
        <v>YASSER RIDHA MUSLIM</v>
      </c>
      <c r="K186" t="str">
        <v>ヤッセル　リダ　ムスリム</v>
      </c>
      <c r="L186" t="str">
        <v>男</v>
      </c>
      <c r="M186" t="str">
        <v>ｲﾝﾄﾞﾈｼｱ</v>
      </c>
      <c r="N186">
        <v>34769</v>
      </c>
      <c r="O186">
        <v>28</v>
      </c>
      <c r="P186">
        <v>1400</v>
      </c>
      <c r="Q186">
        <v>0</v>
      </c>
      <c r="R186">
        <v>1770</v>
      </c>
      <c r="S186">
        <v>0</v>
      </c>
      <c r="T186">
        <v>370</v>
      </c>
      <c r="U186">
        <v>300000</v>
      </c>
      <c r="V186">
        <v>15014.999999999998</v>
      </c>
      <c r="W186" t="str">
        <v>0</v>
      </c>
      <c r="X186">
        <v>27450</v>
      </c>
      <c r="Y186">
        <v>45278</v>
      </c>
      <c r="Z186" t="str">
        <v>残り期限90日!</v>
      </c>
      <c r="AA186" t="str">
        <v>技術・人文知識・国際業務</v>
      </c>
      <c r="AB186" t="str">
        <v>709-2107</v>
      </c>
      <c r="AC186" t="str">
        <v>岡山県岡山市北区御津矢原312-2</v>
      </c>
      <c r="AD186" t="str">
        <v>中須賀ｺｰﾎﾟⅡ102</v>
      </c>
      <c r="AE186">
        <v>45024</v>
      </c>
      <c r="AF186">
        <v>44762</v>
      </c>
      <c r="AG186">
        <v>0</v>
      </c>
      <c r="AH186">
        <v>0</v>
      </c>
      <c r="AI186" t="str">
        <v>22.09.01</v>
      </c>
      <c r="AJ186" t="str">
        <v>ヤッセル　リダ　ムスリム</v>
      </c>
      <c r="AK186" t="str">
        <v>ゆうちょ銀行</v>
      </c>
      <c r="AL186">
        <v>728</v>
      </c>
      <c r="AM186" t="str">
        <v>七二八</v>
      </c>
      <c r="AN186" t="str">
        <v>2569194</v>
      </c>
      <c r="AO186" t="str">
        <v>8/3林</v>
      </c>
      <c r="AP186" t="str">
        <v>7/11請負入社。7/20～派遣異動</v>
      </c>
    </row>
    <row r="187" spans="1:42">
      <c r="A187" t="str">
        <f>H187&amp;COUNTIF($H$2:H187,H187)</f>
        <v>一次旋係31</v>
      </c>
      <c r="B187" t="str">
        <f>F187&amp;COUNTIF($F$2:F187,F187)</f>
        <v>高雄工業 岡山48</v>
      </c>
      <c r="C187" t="str">
        <v>在職中</v>
      </c>
      <c r="D187">
        <v>220708</v>
      </c>
      <c r="E187">
        <v>232065</v>
      </c>
      <c r="F187" t="str">
        <v>高雄工業 岡山</v>
      </c>
      <c r="G187" t="str">
        <v>高雄工業株式会社 岡山事業所HUB工場製作1課</v>
      </c>
      <c r="H187" t="str">
        <v>一次旋係</v>
      </c>
      <c r="I187" t="str">
        <v>ハブ加工・自動機の操作・ＮＣプログラム修正</v>
      </c>
      <c r="J187" t="str">
        <v>EKO SUHARYADI</v>
      </c>
      <c r="K187" t="str">
        <v>エコ　スハリアディ</v>
      </c>
      <c r="L187" t="str">
        <v>男</v>
      </c>
      <c r="M187" t="str">
        <v>ｲﾝﾄﾞﾈｼｱ</v>
      </c>
      <c r="N187">
        <v>34409</v>
      </c>
      <c r="O187">
        <v>29</v>
      </c>
      <c r="P187">
        <v>1400</v>
      </c>
      <c r="Q187">
        <v>0</v>
      </c>
      <c r="R187">
        <v>1770</v>
      </c>
      <c r="S187">
        <v>0</v>
      </c>
      <c r="T187">
        <v>370</v>
      </c>
      <c r="U187">
        <v>300000</v>
      </c>
      <c r="V187">
        <v>15014.999999999998</v>
      </c>
      <c r="W187" t="str">
        <v>0</v>
      </c>
      <c r="X187">
        <v>27450</v>
      </c>
      <c r="Y187">
        <v>45278</v>
      </c>
      <c r="Z187" t="str">
        <v>残り期限90日!</v>
      </c>
      <c r="AA187" t="str">
        <v>技術・人文知識・国際業務</v>
      </c>
      <c r="AB187" t="str">
        <v>709-2107</v>
      </c>
      <c r="AC187" t="str">
        <v>岡山県岡山市北区御津矢原294-1</v>
      </c>
      <c r="AD187" t="str">
        <v>成広矢原ｺｰﾎﾟⅢ208号</v>
      </c>
      <c r="AE187">
        <v>44849</v>
      </c>
      <c r="AF187">
        <v>44762</v>
      </c>
      <c r="AG187">
        <v>0</v>
      </c>
      <c r="AH187">
        <v>0</v>
      </c>
      <c r="AI187" t="str">
        <v>22.09.01</v>
      </c>
      <c r="AJ187" t="str">
        <v>エコ　スハリアディ</v>
      </c>
      <c r="AK187" t="str">
        <v>ゆうちょ銀行</v>
      </c>
      <c r="AL187">
        <v>728</v>
      </c>
      <c r="AM187" t="str">
        <v>七二八</v>
      </c>
      <c r="AN187" t="str">
        <v>2487379</v>
      </c>
      <c r="AO187" t="str">
        <v>8/11林</v>
      </c>
      <c r="AP187" t="str">
        <v>7/11請負入社。7/20～派遣異動</v>
      </c>
    </row>
    <row r="188" spans="1:42">
      <c r="A188" t="str">
        <f>H188&amp;COUNTIF($H$2:H188,H188)</f>
        <v>一次旋係32</v>
      </c>
      <c r="B188" t="str">
        <f>F188&amp;COUNTIF($F$2:F188,F188)</f>
        <v>高雄工業 岡山49</v>
      </c>
      <c r="C188" t="str">
        <v>在職中</v>
      </c>
      <c r="D188">
        <v>220711</v>
      </c>
      <c r="E188">
        <v>232066</v>
      </c>
      <c r="F188" t="str">
        <v>高雄工業 岡山</v>
      </c>
      <c r="G188" t="str">
        <v>高雄工業株式会社 岡山事業所HUB工場製作1課</v>
      </c>
      <c r="H188" t="str">
        <v>一次旋係</v>
      </c>
      <c r="I188" t="str">
        <v>ハブ加工・自動機の操作・ＮＣプログラム修正</v>
      </c>
      <c r="J188" t="str">
        <v>SUALDIN</v>
      </c>
      <c r="K188" t="str">
        <v>スアルディン</v>
      </c>
      <c r="L188" t="str">
        <v>男</v>
      </c>
      <c r="M188" t="str">
        <v>ｲﾝﾄﾞﾈｼｱ</v>
      </c>
      <c r="N188">
        <v>34900</v>
      </c>
      <c r="O188">
        <v>28</v>
      </c>
      <c r="P188">
        <v>1400</v>
      </c>
      <c r="Q188">
        <v>0</v>
      </c>
      <c r="R188">
        <v>1770</v>
      </c>
      <c r="S188">
        <v>0</v>
      </c>
      <c r="T188">
        <v>370</v>
      </c>
      <c r="U188">
        <v>300000</v>
      </c>
      <c r="V188">
        <v>15014.999999999998</v>
      </c>
      <c r="W188" t="str">
        <v>0</v>
      </c>
      <c r="X188">
        <v>27450</v>
      </c>
      <c r="Y188">
        <v>45278</v>
      </c>
      <c r="Z188" t="str">
        <v>残り期限90日!</v>
      </c>
      <c r="AA188" t="str">
        <v>技術・人文知識・国際業務</v>
      </c>
      <c r="AB188" t="str">
        <v>709-2107</v>
      </c>
      <c r="AC188" t="str">
        <v>岡山県岡山市北区御津矢原312-2</v>
      </c>
      <c r="AD188" t="str">
        <v>中須賀ｺｰﾎﾟⅡ201</v>
      </c>
      <c r="AE188">
        <v>45087</v>
      </c>
      <c r="AF188">
        <v>44762</v>
      </c>
      <c r="AG188">
        <v>0</v>
      </c>
      <c r="AH188">
        <v>0</v>
      </c>
      <c r="AI188" t="str">
        <v>22.09.01</v>
      </c>
      <c r="AJ188" t="str">
        <v>スアルディン</v>
      </c>
      <c r="AK188" t="str">
        <v>ゆうちょ銀行</v>
      </c>
      <c r="AL188">
        <v>728</v>
      </c>
      <c r="AM188" t="str">
        <v>七二八</v>
      </c>
      <c r="AN188" t="str">
        <v>2679660</v>
      </c>
      <c r="AO188" t="str">
        <v>8/11林</v>
      </c>
      <c r="AP188" t="str">
        <v>7/11請負入社。7/20～派遣異動</v>
      </c>
    </row>
    <row r="189" spans="1:42">
      <c r="A189" t="str">
        <f>H189&amp;COUNTIF($H$2:H189,H189)</f>
        <v>一次旋係33</v>
      </c>
      <c r="B189" t="str">
        <f>F189&amp;COUNTIF($F$2:F189,F189)</f>
        <v>高雄工業 岡山50</v>
      </c>
      <c r="C189" t="str">
        <v>在職中</v>
      </c>
      <c r="D189">
        <v>220709</v>
      </c>
      <c r="E189">
        <v>232067</v>
      </c>
      <c r="F189" t="str">
        <v>高雄工業 岡山</v>
      </c>
      <c r="G189" t="str">
        <v>高雄工業株式会社 岡山事業所HUB工場製作1課</v>
      </c>
      <c r="H189" t="str">
        <v>一次旋係</v>
      </c>
      <c r="I189" t="str">
        <v>ハブ加工・自動機の操作・ＮＣプログラム修正</v>
      </c>
      <c r="J189" t="str">
        <v>ILHAM</v>
      </c>
      <c r="K189" t="str">
        <v>イルハム</v>
      </c>
      <c r="L189" t="str">
        <v>男</v>
      </c>
      <c r="M189" t="str">
        <v>ｲﾝﾄﾞﾈｼｱ</v>
      </c>
      <c r="N189">
        <v>35149</v>
      </c>
      <c r="O189">
        <v>27</v>
      </c>
      <c r="P189">
        <v>1400</v>
      </c>
      <c r="Q189">
        <v>0</v>
      </c>
      <c r="R189">
        <v>1770</v>
      </c>
      <c r="S189">
        <v>0</v>
      </c>
      <c r="T189">
        <v>370</v>
      </c>
      <c r="U189">
        <v>320000</v>
      </c>
      <c r="V189">
        <v>16015.999999999998</v>
      </c>
      <c r="W189" t="str">
        <v>0</v>
      </c>
      <c r="X189">
        <v>29280</v>
      </c>
      <c r="Y189">
        <v>45278</v>
      </c>
      <c r="Z189" t="str">
        <v>残り期限90日!</v>
      </c>
      <c r="AA189" t="str">
        <v>技術・人文知識・国際業務</v>
      </c>
      <c r="AB189" t="str">
        <v>709-2107</v>
      </c>
      <c r="AC189" t="str">
        <v>岡山県岡山市北区御津矢原299-2</v>
      </c>
      <c r="AD189" t="str">
        <v>成広矢原ｺｰﾎﾟⅦ205号</v>
      </c>
      <c r="AE189">
        <v>44849</v>
      </c>
      <c r="AF189">
        <v>44762</v>
      </c>
      <c r="AG189">
        <v>0</v>
      </c>
      <c r="AH189">
        <v>0</v>
      </c>
      <c r="AI189" t="str">
        <v>22.09.01</v>
      </c>
      <c r="AJ189" t="str">
        <v>イルハム</v>
      </c>
      <c r="AK189" t="str">
        <v>ゆうちょ銀行</v>
      </c>
      <c r="AL189">
        <v>728</v>
      </c>
      <c r="AM189" t="str">
        <v>七二八</v>
      </c>
      <c r="AN189" t="str">
        <v>2569190</v>
      </c>
      <c r="AO189" t="str">
        <v>8/11林</v>
      </c>
      <c r="AP189" t="str">
        <v>7/11請負入社。7/20～派遣異動</v>
      </c>
    </row>
    <row r="190" spans="1:42">
      <c r="A190" t="str">
        <f>H190&amp;COUNTIF($H$2:H190,H190)</f>
        <v>CVJ短軸旋盤係1</v>
      </c>
      <c r="B190" t="str">
        <f>F190&amp;COUNTIF($F$2:F190,F190)</f>
        <v>高雄工業 岡山51</v>
      </c>
      <c r="C190" t="str">
        <v>在職中</v>
      </c>
      <c r="D190">
        <v>220712</v>
      </c>
      <c r="E190">
        <v>232068</v>
      </c>
      <c r="F190" t="str">
        <v>高雄工業 岡山</v>
      </c>
      <c r="G190" t="str">
        <v>高雄工業株式会社 岡山事業所CVJ工場製作課</v>
      </c>
      <c r="H190" t="str">
        <v>CVJ短軸旋盤係</v>
      </c>
      <c r="I190" t="str">
        <v>ＣＶＪ短軸等速ジョイント旋削加工・ＮＣプログラム修正</v>
      </c>
      <c r="J190" t="str">
        <v>LA LANI</v>
      </c>
      <c r="K190" t="str">
        <v>ラ　ラニ</v>
      </c>
      <c r="L190" t="str">
        <v>男</v>
      </c>
      <c r="M190" t="str">
        <v>ｲﾝﾄﾞﾈｼｱ</v>
      </c>
      <c r="N190">
        <v>33796</v>
      </c>
      <c r="O190">
        <v>31</v>
      </c>
      <c r="P190">
        <v>1400</v>
      </c>
      <c r="Q190">
        <v>0</v>
      </c>
      <c r="R190">
        <v>1780</v>
      </c>
      <c r="S190">
        <v>0</v>
      </c>
      <c r="T190">
        <v>380</v>
      </c>
      <c r="U190">
        <v>260000</v>
      </c>
      <c r="V190">
        <v>13013</v>
      </c>
      <c r="W190" t="str">
        <v>0</v>
      </c>
      <c r="X190">
        <v>23790</v>
      </c>
      <c r="Y190">
        <v>46217</v>
      </c>
      <c r="Z190" t="str">
        <v/>
      </c>
      <c r="AA190" t="str">
        <v>技術・人文知識・国際業務</v>
      </c>
      <c r="AB190" t="str">
        <v>709-2107</v>
      </c>
      <c r="AC190" t="str">
        <v>岡山県岡山市北区御津矢原299-2</v>
      </c>
      <c r="AD190" t="str">
        <v>成広矢原ｺｰﾎﾟⅦ205号</v>
      </c>
      <c r="AE190">
        <v>44750</v>
      </c>
      <c r="AF190">
        <v>44762</v>
      </c>
      <c r="AG190">
        <v>0</v>
      </c>
      <c r="AH190">
        <v>0</v>
      </c>
      <c r="AI190" t="str">
        <v>22.09.01</v>
      </c>
      <c r="AJ190" t="str">
        <v>ラ　ラニ</v>
      </c>
      <c r="AK190" t="str">
        <v>ゆうちょ銀行</v>
      </c>
      <c r="AL190">
        <v>558</v>
      </c>
      <c r="AM190" t="str">
        <v>五五八</v>
      </c>
      <c r="AN190" t="str">
        <v>3184011</v>
      </c>
      <c r="AO190" t="str">
        <v>8/22林</v>
      </c>
      <c r="AP190">
        <v>0</v>
      </c>
    </row>
    <row r="191" spans="1:42">
      <c r="A191" t="str">
        <f>H191&amp;COUNTIF($H$2:H191,H191)</f>
        <v>CVJ短軸旋盤係2</v>
      </c>
      <c r="B191" t="str">
        <f>F191&amp;COUNTIF($F$2:F191,F191)</f>
        <v>高雄工業 岡山52</v>
      </c>
      <c r="C191" t="str">
        <v>退社</v>
      </c>
      <c r="D191">
        <v>220713</v>
      </c>
      <c r="E191">
        <v>232069</v>
      </c>
      <c r="F191" t="str">
        <v>高雄工業 岡山</v>
      </c>
      <c r="G191" t="str">
        <v>高雄工業株式会社 岡山事業所CVJ工場製作課</v>
      </c>
      <c r="H191" t="str">
        <v>CVJ短軸旋盤係</v>
      </c>
      <c r="I191" t="str">
        <v>ＣＶＪ短軸等速ジョイント旋削加工・ＮＣプログラム修正</v>
      </c>
      <c r="J191" t="str">
        <v>ABDUL ANSAR</v>
      </c>
      <c r="K191" t="str">
        <v>アブドゥル　アンザル</v>
      </c>
      <c r="L191" t="str">
        <v>男</v>
      </c>
      <c r="M191" t="str">
        <v>ｲﾝﾄﾞﾈｼｱ</v>
      </c>
      <c r="N191">
        <v>35012</v>
      </c>
      <c r="O191">
        <v>28</v>
      </c>
      <c r="P191">
        <v>1400</v>
      </c>
      <c r="Q191">
        <v>0</v>
      </c>
      <c r="R191">
        <v>1770</v>
      </c>
      <c r="S191">
        <v>0</v>
      </c>
      <c r="T191">
        <v>370</v>
      </c>
      <c r="U191">
        <v>180000</v>
      </c>
      <c r="V191">
        <v>9009</v>
      </c>
      <c r="W191" t="str">
        <v>0</v>
      </c>
      <c r="X191">
        <v>16470</v>
      </c>
      <c r="Y191">
        <v>46217</v>
      </c>
      <c r="Z191" t="str">
        <v/>
      </c>
      <c r="AA191" t="str">
        <v>技術・人文知識・国際業務</v>
      </c>
      <c r="AB191" t="str">
        <v>709-2107</v>
      </c>
      <c r="AC191" t="str">
        <v>岡山県岡山市北区御津矢原298-1</v>
      </c>
      <c r="AD191" t="str">
        <v>成広矢原ｺｰﾎﾟⅥ106</v>
      </c>
      <c r="AE191">
        <v>45080</v>
      </c>
      <c r="AF191">
        <v>44762</v>
      </c>
      <c r="AG191">
        <v>45184</v>
      </c>
      <c r="AH191">
        <v>0</v>
      </c>
      <c r="AI191" t="str">
        <v>22.09.01</v>
      </c>
      <c r="AJ191" t="str">
        <v>アブデュル　アンサル</v>
      </c>
      <c r="AK191" t="str">
        <v>ゆうちょ銀行</v>
      </c>
      <c r="AL191">
        <v>558</v>
      </c>
      <c r="AM191" t="str">
        <v>五五八</v>
      </c>
      <c r="AN191" t="str">
        <v>2622411</v>
      </c>
      <c r="AO191" t="str">
        <v>8/22林</v>
      </c>
      <c r="AP191">
        <v>0</v>
      </c>
    </row>
    <row r="192" spans="1:42">
      <c r="A192" t="str">
        <f>H192&amp;COUNTIF($H$2:H192,H192)</f>
        <v>CVJ短軸旋盤係3</v>
      </c>
      <c r="B192" t="str">
        <f>F192&amp;COUNTIF($F$2:F192,F192)</f>
        <v>高雄工業 岡山53</v>
      </c>
      <c r="C192" t="str">
        <v>在職中</v>
      </c>
      <c r="D192">
        <v>220714</v>
      </c>
      <c r="E192">
        <v>232070</v>
      </c>
      <c r="F192" t="str">
        <v>高雄工業 岡山</v>
      </c>
      <c r="G192" t="str">
        <v>高雄工業株式会社 岡山事業所CVJ工場製作課</v>
      </c>
      <c r="H192" t="str">
        <v>CVJ短軸旋盤係</v>
      </c>
      <c r="I192" t="str">
        <v>ＣＶＪ短軸等速ジョイント旋削加工・ＮＣプログラム修正</v>
      </c>
      <c r="J192" t="str">
        <v>MOCHAMAD NIZAR AWALUDIN</v>
      </c>
      <c r="K192" t="str">
        <v>モチャマド　ニザル　アワルディン</v>
      </c>
      <c r="L192" t="str">
        <v>男</v>
      </c>
      <c r="M192" t="str">
        <v>ｲﾝﾄﾞﾈｼｱ</v>
      </c>
      <c r="N192">
        <v>34412</v>
      </c>
      <c r="O192">
        <v>29</v>
      </c>
      <c r="P192">
        <v>1400</v>
      </c>
      <c r="Q192">
        <v>0</v>
      </c>
      <c r="R192">
        <v>1770</v>
      </c>
      <c r="S192">
        <v>0</v>
      </c>
      <c r="T192">
        <v>370</v>
      </c>
      <c r="U192">
        <v>320000</v>
      </c>
      <c r="V192">
        <v>16015.999999999998</v>
      </c>
      <c r="W192" t="str">
        <v>0</v>
      </c>
      <c r="X192">
        <v>29280</v>
      </c>
      <c r="Y192">
        <v>46217</v>
      </c>
      <c r="Z192" t="str">
        <v/>
      </c>
      <c r="AA192" t="str">
        <v>技術・人文知識・国際業務</v>
      </c>
      <c r="AB192" t="str">
        <v>709-2107</v>
      </c>
      <c r="AC192" t="str">
        <v>岡山県岡山市北区御津矢原298-1</v>
      </c>
      <c r="AD192" t="str">
        <v>成広矢原ｺｰﾎⅥ103</v>
      </c>
      <c r="AE192">
        <v>44750</v>
      </c>
      <c r="AF192">
        <v>44762</v>
      </c>
      <c r="AG192">
        <v>0</v>
      </c>
      <c r="AH192">
        <v>0</v>
      </c>
      <c r="AI192" t="str">
        <v>22.09.01</v>
      </c>
      <c r="AJ192" t="str">
        <v>モハマド　ニザル　アワルディン</v>
      </c>
      <c r="AK192" t="str">
        <v>ゆうちょ銀行</v>
      </c>
      <c r="AL192">
        <v>558</v>
      </c>
      <c r="AM192" t="str">
        <v>五五八</v>
      </c>
      <c r="AN192" t="str">
        <v>3183988</v>
      </c>
      <c r="AO192" t="str">
        <v>8/22林</v>
      </c>
      <c r="AP192">
        <v>0</v>
      </c>
    </row>
    <row r="193" spans="1:42">
      <c r="A193" t="str">
        <f>H193&amp;COUNTIF($H$2:H193,H193)</f>
        <v>CVJ短軸旋盤係4</v>
      </c>
      <c r="B193" t="str">
        <f>F193&amp;COUNTIF($F$2:F193,F193)</f>
        <v>高雄工業 岡山54</v>
      </c>
      <c r="C193" t="str">
        <v>在職中</v>
      </c>
      <c r="D193">
        <v>220715</v>
      </c>
      <c r="E193">
        <v>232071</v>
      </c>
      <c r="F193" t="str">
        <v>高雄工業 岡山</v>
      </c>
      <c r="G193" t="str">
        <v>高雄工業株式会社 岡山事業所CVJ工場製作課</v>
      </c>
      <c r="H193" t="str">
        <v>CVJ短軸旋盤係</v>
      </c>
      <c r="I193" t="str">
        <v>ＣＶＪ短軸等速ジョイント旋削加工・ＮＣプログラム修正</v>
      </c>
      <c r="J193" t="str">
        <v>MUHAMMAD SHAHAR MUSHFI</v>
      </c>
      <c r="K193" t="str">
        <v>ムハンマド　シャハル　ムシュフィ</v>
      </c>
      <c r="L193" t="str">
        <v>男</v>
      </c>
      <c r="M193" t="str">
        <v>ｲﾝﾄﾞﾈｼｱ</v>
      </c>
      <c r="N193">
        <v>34951</v>
      </c>
      <c r="O193">
        <v>28</v>
      </c>
      <c r="P193">
        <v>1400</v>
      </c>
      <c r="Q193">
        <v>0</v>
      </c>
      <c r="R193">
        <v>1780</v>
      </c>
      <c r="S193">
        <v>0</v>
      </c>
      <c r="T193">
        <v>380</v>
      </c>
      <c r="U193">
        <v>300000</v>
      </c>
      <c r="V193">
        <v>15014.999999999998</v>
      </c>
      <c r="W193" t="str">
        <v>0</v>
      </c>
      <c r="X193">
        <v>27450</v>
      </c>
      <c r="Y193">
        <v>46112</v>
      </c>
      <c r="Z193" t="str">
        <v/>
      </c>
      <c r="AA193" t="str">
        <v>技術・人文知識・国際業務</v>
      </c>
      <c r="AB193" t="str">
        <v>709-2107</v>
      </c>
      <c r="AC193" t="str">
        <v>岡山県岡山市北区御津矢原311</v>
      </c>
      <c r="AD193" t="str">
        <v>中須賀ｺｰﾎﾟⅢ203</v>
      </c>
      <c r="AE193">
        <v>44760</v>
      </c>
      <c r="AF193">
        <v>44762</v>
      </c>
      <c r="AG193">
        <v>0</v>
      </c>
      <c r="AH193">
        <v>0</v>
      </c>
      <c r="AI193" t="str">
        <v>22.09.01</v>
      </c>
      <c r="AJ193" t="str">
        <v>ムハンマド　シャハル　ムシュフィ</v>
      </c>
      <c r="AK193" t="str">
        <v>ゆうちょ銀行</v>
      </c>
      <c r="AL193">
        <v>208</v>
      </c>
      <c r="AM193" t="str">
        <v>二〇八</v>
      </c>
      <c r="AN193" t="str">
        <v>2420277</v>
      </c>
      <c r="AO193" t="str">
        <v>8/1林</v>
      </c>
      <c r="AP193" t="str">
        <v>請負より異動</v>
      </c>
    </row>
    <row r="194" spans="1:42">
      <c r="A194" t="str">
        <f>H194&amp;COUNTIF($H$2:H194,H194)</f>
        <v>CVJ短軸旋盤係5</v>
      </c>
      <c r="B194" t="str">
        <f>F194&amp;COUNTIF($F$2:F194,F194)</f>
        <v>高雄工業 岡山55</v>
      </c>
      <c r="C194" t="str">
        <v>在職中</v>
      </c>
      <c r="D194">
        <v>220716</v>
      </c>
      <c r="E194">
        <v>232072</v>
      </c>
      <c r="F194" t="str">
        <v>高雄工業 岡山</v>
      </c>
      <c r="G194" t="str">
        <v>高雄工業株式会社 岡山事業所CVJ工場製作課</v>
      </c>
      <c r="H194" t="str">
        <v>CVJ短軸旋盤係</v>
      </c>
      <c r="I194" t="str">
        <v>ＣＶＪ短軸等速ジョイント旋削加工・ＮＣプログラム修正</v>
      </c>
      <c r="J194" t="str">
        <v>NGUYEN THANH BINH</v>
      </c>
      <c r="K194" t="str">
        <v>グエン　タン　ビン</v>
      </c>
      <c r="L194" t="str">
        <v>男</v>
      </c>
      <c r="M194" t="str">
        <v>ﾍﾞﾄﾅﾑ</v>
      </c>
      <c r="N194">
        <v>34495</v>
      </c>
      <c r="O194">
        <v>29</v>
      </c>
      <c r="P194">
        <v>1430</v>
      </c>
      <c r="Q194">
        <v>0</v>
      </c>
      <c r="R194">
        <v>1790</v>
      </c>
      <c r="S194">
        <v>0</v>
      </c>
      <c r="T194">
        <v>360</v>
      </c>
      <c r="U194">
        <v>300000</v>
      </c>
      <c r="V194">
        <v>15014.999999999998</v>
      </c>
      <c r="W194" t="str">
        <v>0</v>
      </c>
      <c r="X194">
        <v>27450</v>
      </c>
      <c r="Y194">
        <v>46118</v>
      </c>
      <c r="Z194" t="str">
        <v/>
      </c>
      <c r="AA194" t="str">
        <v>技術・人文知識・国際業務</v>
      </c>
      <c r="AB194" t="str">
        <v>709-2107</v>
      </c>
      <c r="AC194" t="str">
        <v>岡山県岡山市北区御津矢原311番地</v>
      </c>
      <c r="AD194" t="str">
        <v>新矢原1F</v>
      </c>
      <c r="AE194">
        <v>44620</v>
      </c>
      <c r="AF194">
        <v>44767</v>
      </c>
      <c r="AG194">
        <v>0</v>
      </c>
      <c r="AH194">
        <v>0</v>
      </c>
      <c r="AI194" t="str">
        <v>22.08.01</v>
      </c>
      <c r="AJ194" t="str">
        <v>グエン　タン　ビン</v>
      </c>
      <c r="AK194" t="str">
        <v>ゆうちょ銀行</v>
      </c>
      <c r="AL194">
        <v>718</v>
      </c>
      <c r="AM194" t="str">
        <v>七一八</v>
      </c>
      <c r="AN194" t="str">
        <v>3724995</v>
      </c>
      <c r="AO194" t="str">
        <v>8/1林</v>
      </c>
      <c r="AP194" t="str">
        <v>請負より異動</v>
      </c>
    </row>
    <row r="195" spans="1:42">
      <c r="A195" t="str">
        <f>H195&amp;COUNTIF($H$2:H195,H195)</f>
        <v>CVJ研磨係2</v>
      </c>
      <c r="B195" t="str">
        <f>F195&amp;COUNTIF($F$2:F195,F195)</f>
        <v>高雄工業 岡山56</v>
      </c>
      <c r="C195" t="str">
        <v>退社</v>
      </c>
      <c r="D195">
        <v>220717</v>
      </c>
      <c r="E195">
        <v>232073</v>
      </c>
      <c r="F195" t="str">
        <v>高雄工業 岡山</v>
      </c>
      <c r="G195" t="str">
        <v>高雄工業株式会社 岡山事業所CVJ工場製作課</v>
      </c>
      <c r="H195" t="str">
        <v>CVJ研磨係</v>
      </c>
      <c r="I195" t="str">
        <v>ＣＶＪ研磨等速ジョイント旋削加工・ＮＣプログラム修正</v>
      </c>
      <c r="J195" t="str">
        <v>DANG CONG CHIEN</v>
      </c>
      <c r="K195" t="str">
        <v>ダン　コン　チエン</v>
      </c>
      <c r="L195" t="str">
        <v>男</v>
      </c>
      <c r="M195" t="str">
        <v>ﾍﾞﾄﾅﾑ</v>
      </c>
      <c r="N195">
        <v>33364</v>
      </c>
      <c r="O195">
        <v>32</v>
      </c>
      <c r="P195">
        <v>1250</v>
      </c>
      <c r="Q195">
        <v>0</v>
      </c>
      <c r="R195">
        <v>1670</v>
      </c>
      <c r="S195">
        <v>0</v>
      </c>
      <c r="T195">
        <v>420</v>
      </c>
      <c r="U195">
        <v>180000</v>
      </c>
      <c r="V195">
        <v>9009</v>
      </c>
      <c r="W195" t="str">
        <v>0</v>
      </c>
      <c r="X195">
        <v>16470</v>
      </c>
      <c r="Y195">
        <v>45456</v>
      </c>
      <c r="Z195" t="str">
        <v/>
      </c>
      <c r="AA195" t="str">
        <v>技術・人文知識・国際業務</v>
      </c>
      <c r="AB195" t="str">
        <v>709-2107</v>
      </c>
      <c r="AC195" t="str">
        <v>岡山県岡山市北区御津矢原307-1</v>
      </c>
      <c r="AD195" t="str">
        <v>成広矢原ｺｰﾎﾟⅡ102</v>
      </c>
      <c r="AE195">
        <v>44774</v>
      </c>
      <c r="AF195">
        <v>44727</v>
      </c>
      <c r="AG195">
        <v>45180</v>
      </c>
      <c r="AH195">
        <v>0</v>
      </c>
      <c r="AI195" t="str">
        <v>22.08.01</v>
      </c>
      <c r="AJ195" t="str">
        <v>ダン　コン　チェン</v>
      </c>
      <c r="AK195" t="str">
        <v>ゆうちょ銀行</v>
      </c>
      <c r="AL195">
        <v>548</v>
      </c>
      <c r="AM195" t="str">
        <v>五四八</v>
      </c>
      <c r="AN195" t="str">
        <v>38840801</v>
      </c>
      <c r="AO195" t="str">
        <v>8/1林</v>
      </c>
      <c r="AP195" t="str">
        <v>請負より異動</v>
      </c>
    </row>
    <row r="196" spans="1:42">
      <c r="A196" t="str">
        <f>H196&amp;COUNTIF($H$2:H196,H196)</f>
        <v>CVJ短軸旋盤係6</v>
      </c>
      <c r="B196" t="str">
        <f>F196&amp;COUNTIF($F$2:F196,F196)</f>
        <v>高雄工業 岡山57</v>
      </c>
      <c r="C196" t="str">
        <v>在職中</v>
      </c>
      <c r="D196">
        <v>220812</v>
      </c>
      <c r="E196">
        <v>232074</v>
      </c>
      <c r="F196" t="str">
        <v>高雄工業 岡山</v>
      </c>
      <c r="G196" t="str">
        <v>高雄工業株式会社 岡山事業所CVJ工場製作課</v>
      </c>
      <c r="H196" t="str">
        <v>CVJ短軸旋盤係</v>
      </c>
      <c r="I196" t="str">
        <v>ＣＶＪ短軸等速ジョイント旋削加工・ＮＣプログラム修正</v>
      </c>
      <c r="J196" t="str">
        <v>NGUYEN DINH DUC</v>
      </c>
      <c r="K196" t="str">
        <v>グエン　ディン　ドゥック</v>
      </c>
      <c r="L196" t="str">
        <v>男</v>
      </c>
      <c r="M196" t="str">
        <v>ﾍﾞﾄﾅﾑ</v>
      </c>
      <c r="N196">
        <v>35659</v>
      </c>
      <c r="O196">
        <v>26</v>
      </c>
      <c r="P196">
        <v>1300</v>
      </c>
      <c r="Q196">
        <v>0</v>
      </c>
      <c r="R196">
        <v>1650</v>
      </c>
      <c r="S196">
        <v>0</v>
      </c>
      <c r="T196">
        <v>350</v>
      </c>
      <c r="U196">
        <v>280000</v>
      </c>
      <c r="V196">
        <v>14014</v>
      </c>
      <c r="W196" t="str">
        <v>0</v>
      </c>
      <c r="X196">
        <v>25620</v>
      </c>
      <c r="Y196">
        <v>46230</v>
      </c>
      <c r="Z196" t="str">
        <v/>
      </c>
      <c r="AA196" t="str">
        <v>技術・人文知識・国際業務</v>
      </c>
      <c r="AB196" t="str">
        <v>709-2107</v>
      </c>
      <c r="AC196" t="str">
        <v>岡山県岡山市北区御津矢原297-1</v>
      </c>
      <c r="AD196" t="str">
        <v>成広矢原ｺｰﾎﾟⅤ102</v>
      </c>
      <c r="AE196">
        <v>44770</v>
      </c>
      <c r="AF196">
        <v>44776</v>
      </c>
      <c r="AG196">
        <v>0</v>
      </c>
      <c r="AH196">
        <v>0</v>
      </c>
      <c r="AI196" t="str">
        <v>22.10.01</v>
      </c>
      <c r="AJ196" t="str">
        <v>グェン　ディン　ドゥック</v>
      </c>
      <c r="AK196" t="str">
        <v>ゆうちょ銀行</v>
      </c>
      <c r="AL196">
        <v>548</v>
      </c>
      <c r="AM196" t="str">
        <v>五四八</v>
      </c>
      <c r="AN196" t="str">
        <v>37477771</v>
      </c>
      <c r="AO196" t="str">
        <v>8/31林</v>
      </c>
      <c r="AP196">
        <v>0</v>
      </c>
    </row>
    <row r="197" spans="1:42">
      <c r="A197" t="str">
        <f>H197&amp;COUNTIF($H$2:H197,H197)</f>
        <v>CVJ短軸旋盤係7</v>
      </c>
      <c r="B197" t="str">
        <f>F197&amp;COUNTIF($F$2:F197,F197)</f>
        <v>高雄工業 岡山58</v>
      </c>
      <c r="C197" t="str">
        <v>在職中</v>
      </c>
      <c r="D197">
        <v>220813</v>
      </c>
      <c r="E197">
        <v>232075</v>
      </c>
      <c r="F197" t="str">
        <v>高雄工業 岡山</v>
      </c>
      <c r="G197" t="str">
        <v>高雄工業株式会社 岡山事業所CVJ工場製作課</v>
      </c>
      <c r="H197" t="str">
        <v>CVJ短軸旋盤係</v>
      </c>
      <c r="I197" t="str">
        <v>ＣＶＪ短軸等速ジョイント旋削加工・ＮＣプログラム修正</v>
      </c>
      <c r="J197" t="str">
        <v>DO DOAN HIEU</v>
      </c>
      <c r="K197" t="str">
        <v>ドー　ドアン　ヒエウ</v>
      </c>
      <c r="L197" t="str">
        <v>男</v>
      </c>
      <c r="M197" t="str">
        <v>ﾍﾞﾄﾅﾑ</v>
      </c>
      <c r="N197">
        <v>35528</v>
      </c>
      <c r="O197">
        <v>26</v>
      </c>
      <c r="P197">
        <v>1250</v>
      </c>
      <c r="Q197">
        <v>0</v>
      </c>
      <c r="R197">
        <v>1680</v>
      </c>
      <c r="S197">
        <v>0</v>
      </c>
      <c r="T197">
        <v>430</v>
      </c>
      <c r="U197">
        <v>240000</v>
      </c>
      <c r="V197">
        <v>12012</v>
      </c>
      <c r="W197" t="str">
        <v>0</v>
      </c>
      <c r="X197">
        <v>21960</v>
      </c>
      <c r="Y197">
        <v>46230</v>
      </c>
      <c r="Z197" t="str">
        <v/>
      </c>
      <c r="AA197" t="str">
        <v>技術・人文知識・国際業務</v>
      </c>
      <c r="AB197" t="str">
        <v>709-2107</v>
      </c>
      <c r="AC197" t="str">
        <v>岡山県岡山市北区御津矢原297-1</v>
      </c>
      <c r="AD197" t="str">
        <v>成広矢原ｺｰﾎﾟⅤ102</v>
      </c>
      <c r="AE197">
        <v>44770</v>
      </c>
      <c r="AF197">
        <v>44776</v>
      </c>
      <c r="AG197">
        <v>0</v>
      </c>
      <c r="AH197">
        <v>0</v>
      </c>
      <c r="AI197" t="str">
        <v>22.10.01</v>
      </c>
      <c r="AJ197" t="str">
        <v>ドー　ドアン　ヒエウ</v>
      </c>
      <c r="AK197" t="str">
        <v>ゆうちょ銀行</v>
      </c>
      <c r="AL197">
        <v>548</v>
      </c>
      <c r="AM197" t="str">
        <v>五四八</v>
      </c>
      <c r="AN197" t="str">
        <v>37477761</v>
      </c>
      <c r="AO197" t="str">
        <v>8/31林</v>
      </c>
      <c r="AP197">
        <v>0</v>
      </c>
    </row>
    <row r="198" spans="1:42">
      <c r="A198" t="str">
        <f>H198&amp;COUNTIF($H$2:H198,H198)</f>
        <v>一次旋係34</v>
      </c>
      <c r="B198" t="str">
        <f>F198&amp;COUNTIF($F$2:F198,F198)</f>
        <v>高雄工業 岡山59</v>
      </c>
      <c r="C198" t="str">
        <v>在職中</v>
      </c>
      <c r="D198">
        <v>220806</v>
      </c>
      <c r="E198">
        <v>232076</v>
      </c>
      <c r="F198" t="str">
        <v>高雄工業 岡山</v>
      </c>
      <c r="G198" t="str">
        <v>高雄工業株式会社 岡山事業所HUB工場製作1課</v>
      </c>
      <c r="H198" t="str">
        <v>一次旋係</v>
      </c>
      <c r="I198" t="str">
        <v>ハブ加工・自動機の操作・ＮＣプログラム修正</v>
      </c>
      <c r="J198" t="str">
        <v>NGUYEN THE DANG</v>
      </c>
      <c r="K198" t="str">
        <v>グエン　テー　ダン</v>
      </c>
      <c r="L198" t="str">
        <v>男</v>
      </c>
      <c r="M198" t="str">
        <v>ﾍﾞﾄﾅﾑ</v>
      </c>
      <c r="N198">
        <v>31723</v>
      </c>
      <c r="O198">
        <v>37</v>
      </c>
      <c r="P198">
        <v>1400</v>
      </c>
      <c r="Q198" t="str">
        <v>2022/8/25　請負から派遣に切替　請負で1年以上経験有る為、1400円ｽﾀｰﾄ</v>
      </c>
      <c r="R198">
        <v>1770</v>
      </c>
      <c r="S198">
        <v>0</v>
      </c>
      <c r="T198">
        <v>370</v>
      </c>
      <c r="U198">
        <v>320000</v>
      </c>
      <c r="V198">
        <v>16015.999999999998</v>
      </c>
      <c r="W198" t="str">
        <v>0</v>
      </c>
      <c r="X198">
        <v>29280</v>
      </c>
      <c r="Y198">
        <v>46291</v>
      </c>
      <c r="Z198" t="str">
        <v/>
      </c>
      <c r="AA198" t="str">
        <v>技術・人文知識・国際業務</v>
      </c>
      <c r="AB198" t="str">
        <v>709-2107</v>
      </c>
      <c r="AC198" t="str">
        <v>岡山県岡山市北区御津矢原370</v>
      </c>
      <c r="AD198" t="str">
        <v>成広ｺｰﾎﾟⅠ105号室</v>
      </c>
      <c r="AE198">
        <v>44409</v>
      </c>
      <c r="AF198">
        <v>44798</v>
      </c>
      <c r="AG198">
        <v>0</v>
      </c>
      <c r="AH198">
        <v>0</v>
      </c>
      <c r="AI198" t="str">
        <v>21.08.01</v>
      </c>
      <c r="AJ198" t="str">
        <v>グエン　テー　ダン</v>
      </c>
      <c r="AK198" t="str">
        <v>ゆうちょ銀行</v>
      </c>
      <c r="AL198">
        <v>438</v>
      </c>
      <c r="AM198" t="str">
        <v>四三八</v>
      </c>
      <c r="AN198" t="str">
        <v>8148447</v>
      </c>
      <c r="AO198" t="str">
        <v>8/23原</v>
      </c>
      <c r="AP198" t="str">
        <v>請負より異動</v>
      </c>
    </row>
    <row r="199" spans="1:42">
      <c r="A199" t="str">
        <f>H199&amp;COUNTIF($H$2:H199,H199)</f>
        <v>一次旋係35</v>
      </c>
      <c r="B199" t="str">
        <f>F199&amp;COUNTIF($F$2:F199,F199)</f>
        <v>高雄工業 岡山60</v>
      </c>
      <c r="C199" t="str">
        <v>在職中</v>
      </c>
      <c r="D199">
        <v>220807</v>
      </c>
      <c r="E199">
        <v>232077</v>
      </c>
      <c r="F199" t="str">
        <v>高雄工業 岡山</v>
      </c>
      <c r="G199" t="str">
        <v>高雄工業株式会社 岡山事業所HUB工場製作1課</v>
      </c>
      <c r="H199" t="str">
        <v>一次旋係</v>
      </c>
      <c r="I199" t="str">
        <v>ハブ加工・自動機の操作・ＮＣプログラム修正</v>
      </c>
      <c r="J199" t="str">
        <v>PHAM DINH SANG</v>
      </c>
      <c r="K199" t="str">
        <v>ファム　ディン　サン</v>
      </c>
      <c r="L199" t="str">
        <v>男</v>
      </c>
      <c r="M199" t="str">
        <v>ﾍﾞﾄﾅﾑ</v>
      </c>
      <c r="N199">
        <v>33771</v>
      </c>
      <c r="O199">
        <v>31</v>
      </c>
      <c r="P199">
        <v>1410</v>
      </c>
      <c r="Q199" t="str">
        <v>2022/8/25　請負から派遣に切替　請負で1年以上経験有る為、1400円ｽﾀｰﾄ　10/16～N3合格により10円アップ</v>
      </c>
      <c r="R199">
        <v>1780</v>
      </c>
      <c r="S199">
        <v>0</v>
      </c>
      <c r="T199">
        <v>370</v>
      </c>
      <c r="U199">
        <v>320000</v>
      </c>
      <c r="V199">
        <v>16015.999999999998</v>
      </c>
      <c r="W199" t="str">
        <v>0</v>
      </c>
      <c r="X199">
        <v>29280</v>
      </c>
      <c r="Y199">
        <v>45007</v>
      </c>
      <c r="Z199">
        <v>0</v>
      </c>
      <c r="AA199" t="str">
        <v>技術・人文知識・国際業務</v>
      </c>
      <c r="AB199" t="str">
        <v>709-2107</v>
      </c>
      <c r="AC199" t="str">
        <v>岡山県岡山市北区御津矢原312-1</v>
      </c>
      <c r="AD199" t="str">
        <v>中須賀ｺｰﾎﾟⅠ102</v>
      </c>
      <c r="AE199">
        <v>44541</v>
      </c>
      <c r="AF199">
        <v>44798</v>
      </c>
      <c r="AG199">
        <v>0</v>
      </c>
      <c r="AH199">
        <v>0</v>
      </c>
      <c r="AI199" t="str">
        <v>21.09.01</v>
      </c>
      <c r="AJ199" t="str">
        <v>ファム　ディン　サン</v>
      </c>
      <c r="AK199" t="str">
        <v>ゆうちょ銀行</v>
      </c>
      <c r="AL199">
        <v>248</v>
      </c>
      <c r="AM199" t="str">
        <v>二四八</v>
      </c>
      <c r="AN199" t="str">
        <v>3570030</v>
      </c>
      <c r="AO199" t="str">
        <v>8/23原</v>
      </c>
      <c r="AP199" t="str">
        <v>請負より異動</v>
      </c>
    </row>
    <row r="200" spans="1:42">
      <c r="A200" t="str">
        <f>H200&amp;COUNTIF($H$2:H200,H200)</f>
        <v>CVJ転造係1</v>
      </c>
      <c r="B200" t="str">
        <f>F200&amp;COUNTIF($F$2:F200,F200)</f>
        <v>高雄工業 岡山61</v>
      </c>
      <c r="C200" t="str">
        <v>在職中</v>
      </c>
      <c r="D200">
        <v>220904</v>
      </c>
      <c r="E200">
        <v>232078</v>
      </c>
      <c r="F200" t="str">
        <v>高雄工業 岡山</v>
      </c>
      <c r="G200" t="str">
        <v>高雄工業株式会社 岡山事業所CVJ工場製作課</v>
      </c>
      <c r="H200" t="str">
        <v>CVJ転造係</v>
      </c>
      <c r="I200" t="str">
        <v>ＣＶＪ短軸等速ジョイント旋削加工・ＮＣプログラム修正</v>
      </c>
      <c r="J200" t="str">
        <v>NGUYEN VAN HUNG</v>
      </c>
      <c r="K200" t="str">
        <v>グエン　ヴァン　フン</v>
      </c>
      <c r="L200" t="str">
        <v>男</v>
      </c>
      <c r="M200" t="str">
        <v>ﾍﾞﾄﾅﾑ</v>
      </c>
      <c r="N200">
        <v>36251</v>
      </c>
      <c r="O200">
        <v>24</v>
      </c>
      <c r="P200">
        <v>1300</v>
      </c>
      <c r="Q200">
        <v>0</v>
      </c>
      <c r="R200">
        <v>1670</v>
      </c>
      <c r="S200">
        <v>0</v>
      </c>
      <c r="T200">
        <v>370</v>
      </c>
      <c r="U200">
        <v>260000</v>
      </c>
      <c r="V200">
        <v>13013</v>
      </c>
      <c r="W200" t="str">
        <v>0</v>
      </c>
      <c r="X200">
        <v>23790</v>
      </c>
      <c r="Y200">
        <v>46278</v>
      </c>
      <c r="Z200" t="str">
        <v/>
      </c>
      <c r="AA200" t="str">
        <v>技術・人文知識・国際業務</v>
      </c>
      <c r="AB200" t="str">
        <v>709-2107</v>
      </c>
      <c r="AC200" t="str">
        <v>岡山県岡山市北区御津矢原298-1</v>
      </c>
      <c r="AD200" t="str">
        <v>成広矢原ｺｰﾎⅥ102</v>
      </c>
      <c r="AE200">
        <v>44805</v>
      </c>
      <c r="AF200">
        <v>44812</v>
      </c>
      <c r="AG200">
        <v>0</v>
      </c>
      <c r="AH200">
        <v>0</v>
      </c>
      <c r="AI200" t="str">
        <v>22.10.01</v>
      </c>
      <c r="AJ200" t="str">
        <v>グエン　ヴァン　フン</v>
      </c>
      <c r="AK200" t="str">
        <v>ゆうちょ銀行</v>
      </c>
      <c r="AL200">
        <v>548</v>
      </c>
      <c r="AM200" t="str">
        <v>五四八</v>
      </c>
      <c r="AN200" t="str">
        <v>3998098</v>
      </c>
      <c r="AO200" t="str">
        <v>9/15林</v>
      </c>
      <c r="AP200">
        <v>0</v>
      </c>
    </row>
    <row r="201" spans="1:42">
      <c r="A201" t="str">
        <f>H201&amp;COUNTIF($H$2:H201,H201)</f>
        <v>CVJ転造係2</v>
      </c>
      <c r="B201" t="str">
        <f>F201&amp;COUNTIF($F$2:F201,F201)</f>
        <v>高雄工業 岡山62</v>
      </c>
      <c r="C201" t="str">
        <v>在職中</v>
      </c>
      <c r="D201">
        <v>220905</v>
      </c>
      <c r="E201">
        <v>232079</v>
      </c>
      <c r="F201" t="str">
        <v>高雄工業 岡山</v>
      </c>
      <c r="G201" t="str">
        <v>高雄工業株式会社 岡山事業所CVJ工場製作課</v>
      </c>
      <c r="H201" t="str">
        <v>CVJ転造係</v>
      </c>
      <c r="I201" t="str">
        <v>ＣＶＪ短軸等速ジョイント旋削加工・ＮＣプログラム修正</v>
      </c>
      <c r="J201" t="str">
        <v>MAI QUANG HAU</v>
      </c>
      <c r="K201" t="str">
        <v>マイ　クアン　ハウ</v>
      </c>
      <c r="L201" t="str">
        <v>男</v>
      </c>
      <c r="M201" t="str">
        <v>ﾍﾞﾄﾅﾑ</v>
      </c>
      <c r="N201">
        <v>36426</v>
      </c>
      <c r="O201">
        <v>24</v>
      </c>
      <c r="P201">
        <v>1300</v>
      </c>
      <c r="Q201">
        <v>0</v>
      </c>
      <c r="R201">
        <v>1660</v>
      </c>
      <c r="S201">
        <v>0</v>
      </c>
      <c r="T201">
        <v>360</v>
      </c>
      <c r="U201">
        <v>240000</v>
      </c>
      <c r="V201">
        <v>12012</v>
      </c>
      <c r="W201" t="str">
        <v>0</v>
      </c>
      <c r="X201">
        <v>21960</v>
      </c>
      <c r="Y201">
        <v>46278</v>
      </c>
      <c r="Z201" t="str">
        <v/>
      </c>
      <c r="AA201" t="str">
        <v>技術・人文知識・国際業務</v>
      </c>
      <c r="AB201" t="str">
        <v>709-2107</v>
      </c>
      <c r="AC201" t="str">
        <v>岡山県岡山市北区御津矢原294-1</v>
      </c>
      <c r="AD201" t="str">
        <v>成広矢原ｺｰﾎⅢ103</v>
      </c>
      <c r="AE201">
        <v>44864</v>
      </c>
      <c r="AF201">
        <v>44812</v>
      </c>
      <c r="AG201">
        <v>0</v>
      </c>
      <c r="AH201">
        <v>0</v>
      </c>
      <c r="AI201" t="str">
        <v>22.10.01</v>
      </c>
      <c r="AJ201" t="str">
        <v>マイ　クアン　ハウ</v>
      </c>
      <c r="AK201" t="str">
        <v>ゆうちょ銀行</v>
      </c>
      <c r="AL201">
        <v>548</v>
      </c>
      <c r="AM201" t="str">
        <v>五四八</v>
      </c>
      <c r="AN201" t="str">
        <v>3885516</v>
      </c>
      <c r="AO201" t="str">
        <v>9/15林</v>
      </c>
      <c r="AP201">
        <v>0</v>
      </c>
    </row>
    <row r="202" spans="1:42">
      <c r="A202" t="str">
        <f>H202&amp;COUNTIF($H$2:H202,H202)</f>
        <v>一次旋係36</v>
      </c>
      <c r="B202" t="str">
        <f>F202&amp;COUNTIF($F$2:F202,F202)</f>
        <v>高雄工業 岡山63</v>
      </c>
      <c r="C202" t="str">
        <v>退社</v>
      </c>
      <c r="D202">
        <v>220906</v>
      </c>
      <c r="E202">
        <v>232080</v>
      </c>
      <c r="F202" t="str">
        <v>高雄工業 岡山</v>
      </c>
      <c r="G202" t="str">
        <v>高雄工業株式会社 岡山事業所HUB工場製作1課</v>
      </c>
      <c r="H202" t="str">
        <v>一次旋係</v>
      </c>
      <c r="I202" t="str">
        <v>ハブ加工・自動機の操作・ＮＣプログラム修正</v>
      </c>
      <c r="J202" t="str">
        <v>NGUYEN XUAN PHUC</v>
      </c>
      <c r="K202" t="str">
        <v>グエン　スアン　フック</v>
      </c>
      <c r="L202" t="str">
        <v>男</v>
      </c>
      <c r="M202" t="str">
        <v>ﾍﾞﾄﾅﾑ</v>
      </c>
      <c r="N202">
        <v>35399</v>
      </c>
      <c r="O202">
        <v>27</v>
      </c>
      <c r="P202">
        <v>1400</v>
      </c>
      <c r="Q202" t="str">
        <v>2022/9/8　請負から派遣に切替　請負で1年以上経験有る為、1400円ｽﾀｰﾄ</v>
      </c>
      <c r="R202">
        <v>1760</v>
      </c>
      <c r="S202">
        <v>0</v>
      </c>
      <c r="T202">
        <v>360</v>
      </c>
      <c r="U202">
        <v>300000</v>
      </c>
      <c r="V202">
        <v>15014.999999999998</v>
      </c>
      <c r="W202" t="str">
        <v>0</v>
      </c>
      <c r="X202">
        <v>27450</v>
      </c>
      <c r="Y202">
        <v>46242</v>
      </c>
      <c r="Z202" t="str">
        <v/>
      </c>
      <c r="AA202" t="str">
        <v>技術・人文知識・国際業務</v>
      </c>
      <c r="AB202" t="str">
        <v>709-2107</v>
      </c>
      <c r="AC202" t="str">
        <v>岡山県岡山市北区御津矢原370</v>
      </c>
      <c r="AD202" t="str">
        <v>成広ｺｰﾎﾟⅠ105号室</v>
      </c>
      <c r="AE202">
        <v>44409</v>
      </c>
      <c r="AF202">
        <v>44812</v>
      </c>
      <c r="AG202">
        <v>45232</v>
      </c>
      <c r="AH202">
        <v>0</v>
      </c>
      <c r="AI202">
        <v>0</v>
      </c>
      <c r="AJ202" t="str">
        <v>グエン　スアン　フック</v>
      </c>
      <c r="AK202" t="str">
        <v>ゆうちょ銀行</v>
      </c>
      <c r="AL202">
        <v>468</v>
      </c>
      <c r="AM202" t="str">
        <v>四六八</v>
      </c>
      <c r="AN202" t="str">
        <v>2331707</v>
      </c>
      <c r="AO202" t="str">
        <v>9/15林</v>
      </c>
      <c r="AP202" t="str">
        <v>請負より異動</v>
      </c>
    </row>
    <row r="203" spans="1:42">
      <c r="A203" t="str">
        <f>H203&amp;COUNTIF($H$2:H203,H203)</f>
        <v>一次旋係37</v>
      </c>
      <c r="B203" t="str">
        <f>F203&amp;COUNTIF($F$2:F203,F203)</f>
        <v>高雄工業 岡山64</v>
      </c>
      <c r="C203" t="str">
        <v>在職中</v>
      </c>
      <c r="D203">
        <v>220920</v>
      </c>
      <c r="E203">
        <v>232081</v>
      </c>
      <c r="F203" t="str">
        <v>高雄工業 岡山</v>
      </c>
      <c r="G203" t="str">
        <v>高雄工業株式会社 岡山事業所HUB工場製作1課</v>
      </c>
      <c r="H203" t="str">
        <v>一次旋係</v>
      </c>
      <c r="I203" t="str">
        <v>ハブ加工・自動機の操作・ＮＣプログラム修正</v>
      </c>
      <c r="J203" t="str">
        <v>PHAN MINH THANH</v>
      </c>
      <c r="K203" t="str">
        <v>ファン　ミン　タイン</v>
      </c>
      <c r="L203" t="str">
        <v>男</v>
      </c>
      <c r="M203" t="str">
        <v>ﾍﾞﾄﾅﾑ</v>
      </c>
      <c r="N203">
        <v>36859</v>
      </c>
      <c r="O203">
        <v>23</v>
      </c>
      <c r="P203">
        <v>1250</v>
      </c>
      <c r="Q203">
        <v>0</v>
      </c>
      <c r="R203">
        <v>1660</v>
      </c>
      <c r="S203">
        <v>0</v>
      </c>
      <c r="T203">
        <v>410</v>
      </c>
      <c r="U203">
        <v>280000</v>
      </c>
      <c r="V203">
        <v>14014</v>
      </c>
      <c r="W203" t="str">
        <v>0</v>
      </c>
      <c r="X203">
        <v>25620</v>
      </c>
      <c r="Y203">
        <v>46281</v>
      </c>
      <c r="Z203" t="str">
        <v/>
      </c>
      <c r="AA203" t="str">
        <v>技術・人文知識・国際業務</v>
      </c>
      <c r="AB203" t="str">
        <v>709-2132</v>
      </c>
      <c r="AC203" t="str">
        <v>岡山県岡山市北区御津草生2169番地2</v>
      </c>
      <c r="AD203" t="str">
        <v>草生一軒家</v>
      </c>
      <c r="AE203">
        <v>44820</v>
      </c>
      <c r="AF203">
        <v>44827</v>
      </c>
      <c r="AG203">
        <v>45275</v>
      </c>
      <c r="AH203">
        <v>0</v>
      </c>
      <c r="AI203" t="str">
        <v>22.10.01</v>
      </c>
      <c r="AJ203" t="str">
        <v>ファン　ミン　タイン</v>
      </c>
      <c r="AK203" t="str">
        <v>ゆうちょ銀行</v>
      </c>
      <c r="AL203">
        <v>548</v>
      </c>
      <c r="AM203" t="str">
        <v>五四八</v>
      </c>
      <c r="AN203" t="str">
        <v>3885819</v>
      </c>
      <c r="AO203" t="str">
        <v>9/22林</v>
      </c>
      <c r="AP203">
        <v>0</v>
      </c>
    </row>
    <row r="204" spans="1:42">
      <c r="A204" t="str">
        <f>H204&amp;COUNTIF($H$2:H204,H204)</f>
        <v>一次旋係38</v>
      </c>
      <c r="B204" t="str">
        <f>F204&amp;COUNTIF($F$2:F204,F204)</f>
        <v>高雄工業 岡山65</v>
      </c>
      <c r="C204" t="str">
        <v>在職中</v>
      </c>
      <c r="D204">
        <v>220918</v>
      </c>
      <c r="E204">
        <v>232082</v>
      </c>
      <c r="F204" t="str">
        <v>高雄工業 岡山</v>
      </c>
      <c r="G204" t="str">
        <v>高雄工業株式会社 岡山事業所HUB工場製作1課</v>
      </c>
      <c r="H204" t="str">
        <v>一次旋係</v>
      </c>
      <c r="I204" t="str">
        <v>ハブ加工・自動機の操作・ＮＣプログラム修正</v>
      </c>
      <c r="J204" t="str">
        <v>LE HOANG QUOC</v>
      </c>
      <c r="K204" t="str">
        <v>レー　ホアン　クオック</v>
      </c>
      <c r="L204" t="str">
        <v>男</v>
      </c>
      <c r="M204" t="str">
        <v>ﾍﾞﾄﾅﾑ</v>
      </c>
      <c r="N204">
        <v>36871</v>
      </c>
      <c r="O204">
        <v>23</v>
      </c>
      <c r="P204">
        <v>1250</v>
      </c>
      <c r="Q204">
        <v>0</v>
      </c>
      <c r="R204">
        <v>1660</v>
      </c>
      <c r="S204">
        <v>0</v>
      </c>
      <c r="T204">
        <v>410</v>
      </c>
      <c r="U204">
        <v>280000</v>
      </c>
      <c r="V204">
        <v>14014</v>
      </c>
      <c r="W204" t="str">
        <v>0</v>
      </c>
      <c r="X204">
        <v>25620</v>
      </c>
      <c r="Y204">
        <v>46281</v>
      </c>
      <c r="Z204" t="str">
        <v/>
      </c>
      <c r="AA204" t="str">
        <v>技術・人文知識・国際業務</v>
      </c>
      <c r="AB204" t="str">
        <v>709-2132</v>
      </c>
      <c r="AC204" t="str">
        <v>岡山県岡山市北区御津矢原294－1</v>
      </c>
      <c r="AD204" t="str">
        <v>成広矢原ｺｰﾎﾟⅢ107号</v>
      </c>
      <c r="AE204">
        <v>44849</v>
      </c>
      <c r="AF204">
        <v>44827</v>
      </c>
      <c r="AG204">
        <v>0</v>
      </c>
      <c r="AH204">
        <v>0</v>
      </c>
      <c r="AI204" t="str">
        <v>22.10.01</v>
      </c>
      <c r="AJ204" t="str">
        <v>レー　ホアン　クオック</v>
      </c>
      <c r="AK204" t="str">
        <v>ゆうちょ銀行</v>
      </c>
      <c r="AL204">
        <v>548</v>
      </c>
      <c r="AM204" t="str">
        <v>五四八</v>
      </c>
      <c r="AN204" t="str">
        <v>4090201</v>
      </c>
      <c r="AO204" t="str">
        <v>9/22林</v>
      </c>
      <c r="AP204">
        <v>0</v>
      </c>
    </row>
    <row r="205" spans="1:42">
      <c r="A205" t="str">
        <f>H205&amp;COUNTIF($H$2:H205,H205)</f>
        <v>一次旋係39</v>
      </c>
      <c r="B205" t="str">
        <f>F205&amp;COUNTIF($F$2:F205,F205)</f>
        <v>高雄工業 岡山66</v>
      </c>
      <c r="C205" t="str">
        <v>在職中</v>
      </c>
      <c r="D205">
        <v>220919</v>
      </c>
      <c r="E205">
        <v>232083</v>
      </c>
      <c r="F205" t="str">
        <v>高雄工業 岡山</v>
      </c>
      <c r="G205" t="str">
        <v>高雄工業株式会社 岡山事業所HUB工場製作1課</v>
      </c>
      <c r="H205" t="str">
        <v>一次旋係</v>
      </c>
      <c r="I205" t="str">
        <v>ハブ加工・自動機の操作・ＮＣプログラム修正</v>
      </c>
      <c r="J205" t="str">
        <v>LE HOANG HUY</v>
      </c>
      <c r="K205" t="str">
        <v>レー　ホアン　フイ</v>
      </c>
      <c r="L205" t="str">
        <v>男</v>
      </c>
      <c r="M205" t="str">
        <v>ﾍﾞﾄﾅﾑ</v>
      </c>
      <c r="N205">
        <v>36871</v>
      </c>
      <c r="O205">
        <v>23</v>
      </c>
      <c r="P205">
        <v>1250</v>
      </c>
      <c r="Q205">
        <v>0</v>
      </c>
      <c r="R205">
        <v>1660</v>
      </c>
      <c r="S205">
        <v>0</v>
      </c>
      <c r="T205">
        <v>410</v>
      </c>
      <c r="U205">
        <v>280000</v>
      </c>
      <c r="V205">
        <v>14014</v>
      </c>
      <c r="W205" t="str">
        <v>0</v>
      </c>
      <c r="X205">
        <v>25620</v>
      </c>
      <c r="Y205">
        <v>46281</v>
      </c>
      <c r="Z205" t="str">
        <v/>
      </c>
      <c r="AA205" t="str">
        <v>技術・人文知識・国際業務</v>
      </c>
      <c r="AB205" t="str">
        <v>709-2132</v>
      </c>
      <c r="AC205" t="str">
        <v>岡山県岡山市北区御津矢原294－1</v>
      </c>
      <c r="AD205" t="str">
        <v>成広矢原ｺｰﾎﾟⅢ107号</v>
      </c>
      <c r="AE205">
        <v>44849</v>
      </c>
      <c r="AF205">
        <v>44827</v>
      </c>
      <c r="AG205">
        <v>0</v>
      </c>
      <c r="AH205">
        <v>0</v>
      </c>
      <c r="AI205" t="str">
        <v>22.10.01</v>
      </c>
      <c r="AJ205" t="str">
        <v>レー　ホアン　フイ</v>
      </c>
      <c r="AK205" t="str">
        <v>ゆうちょ銀行</v>
      </c>
      <c r="AL205">
        <v>548</v>
      </c>
      <c r="AM205" t="str">
        <v>五四八</v>
      </c>
      <c r="AN205" t="str">
        <v>3274291</v>
      </c>
      <c r="AO205" t="str">
        <v>9/22林</v>
      </c>
      <c r="AP205">
        <v>0</v>
      </c>
    </row>
    <row r="206" spans="1:42">
      <c r="A206" t="str">
        <f>H206&amp;COUNTIF($H$2:H206,H206)</f>
        <v>一次旋係40</v>
      </c>
      <c r="B206" t="str">
        <f>F206&amp;COUNTIF($F$2:F206,F206)</f>
        <v>高雄工業 岡山67</v>
      </c>
      <c r="C206" t="str">
        <v>在職中</v>
      </c>
      <c r="D206">
        <v>221108</v>
      </c>
      <c r="E206">
        <v>232085</v>
      </c>
      <c r="F206" t="str">
        <v>高雄工業 岡山</v>
      </c>
      <c r="G206" t="str">
        <v>高雄工業株式会社 岡山事業所HUB工場製作1課</v>
      </c>
      <c r="H206" t="str">
        <v>一次旋係</v>
      </c>
      <c r="I206" t="str">
        <v>ハブ加工・自動機の操作・ＮＣプログラム修正</v>
      </c>
      <c r="J206" t="str">
        <v>VO DUC SON</v>
      </c>
      <c r="K206" t="str">
        <v>ヴォ　ドゥック　ソン</v>
      </c>
      <c r="L206" t="str">
        <v>男</v>
      </c>
      <c r="M206" t="str">
        <v>ﾍﾞﾄﾅﾑ</v>
      </c>
      <c r="N206">
        <v>35831</v>
      </c>
      <c r="O206">
        <v>25</v>
      </c>
      <c r="P206">
        <v>1250</v>
      </c>
      <c r="Q206">
        <v>0</v>
      </c>
      <c r="R206">
        <v>1660</v>
      </c>
      <c r="S206">
        <v>0</v>
      </c>
      <c r="T206">
        <v>410</v>
      </c>
      <c r="U206">
        <v>300000</v>
      </c>
      <c r="V206">
        <v>15014.999999999998</v>
      </c>
      <c r="W206" t="str">
        <v>0</v>
      </c>
      <c r="X206">
        <v>27450</v>
      </c>
      <c r="Y206">
        <v>46340</v>
      </c>
      <c r="Z206" t="str">
        <v/>
      </c>
      <c r="AA206" t="str">
        <v>技術・人文知識・国際業務</v>
      </c>
      <c r="AB206" t="str">
        <v>709-2107</v>
      </c>
      <c r="AC206" t="str">
        <v>岡山県岡山市北区御津矢原294-1</v>
      </c>
      <c r="AD206" t="str">
        <v>成広矢原ｺｰﾎⅢ103</v>
      </c>
      <c r="AE206">
        <v>44891</v>
      </c>
      <c r="AF206">
        <v>44886</v>
      </c>
      <c r="AG206">
        <v>0</v>
      </c>
      <c r="AH206">
        <v>0</v>
      </c>
      <c r="AI206" t="str">
        <v>22.12.1</v>
      </c>
      <c r="AJ206">
        <v>0</v>
      </c>
      <c r="AK206">
        <v>0</v>
      </c>
      <c r="AL206">
        <v>0</v>
      </c>
      <c r="AM206">
        <v>0</v>
      </c>
      <c r="AN206">
        <v>0</v>
      </c>
      <c r="AO206" t="str">
        <v>11/21林</v>
      </c>
      <c r="AP206">
        <v>0</v>
      </c>
    </row>
    <row r="207" spans="1:42">
      <c r="A207" t="str">
        <f>H207&amp;COUNTIF($H$2:H207,H207)</f>
        <v>CVJ短軸旋盤係8</v>
      </c>
      <c r="B207" t="str">
        <f>F207&amp;COUNTIF($F$2:F207,F207)</f>
        <v>高雄工業 岡山68</v>
      </c>
      <c r="C207" t="str">
        <v>在職中</v>
      </c>
      <c r="D207">
        <v>230108</v>
      </c>
      <c r="E207">
        <v>232086</v>
      </c>
      <c r="F207" t="str">
        <v>高雄工業 岡山</v>
      </c>
      <c r="G207" t="str">
        <v>高雄工業株式会社 岡山事業所CVJ工場製作課</v>
      </c>
      <c r="H207" t="str">
        <v>CVJ短軸旋盤係</v>
      </c>
      <c r="I207" t="str">
        <v>ＣＶＪ短軸等速ジョイント旋削加工・ＮＣプログラム修正</v>
      </c>
      <c r="J207" t="str">
        <v>VU HOANG AN</v>
      </c>
      <c r="K207" t="str">
        <v>ヴー　ホアン　アン</v>
      </c>
      <c r="L207" t="str">
        <v>男</v>
      </c>
      <c r="M207" t="str">
        <v>ﾍﾞﾄﾅﾑ</v>
      </c>
      <c r="N207">
        <v>36949</v>
      </c>
      <c r="O207">
        <v>22</v>
      </c>
      <c r="P207">
        <v>1250</v>
      </c>
      <c r="Q207">
        <v>0</v>
      </c>
      <c r="R207">
        <v>1650</v>
      </c>
      <c r="S207">
        <v>0</v>
      </c>
      <c r="T207">
        <v>400</v>
      </c>
      <c r="U207">
        <v>220000</v>
      </c>
      <c r="V207">
        <v>11011</v>
      </c>
      <c r="W207" t="str">
        <v>0</v>
      </c>
      <c r="X207">
        <v>20130</v>
      </c>
      <c r="Y207">
        <v>45304</v>
      </c>
      <c r="Z207" t="str">
        <v>残り期限90日!</v>
      </c>
      <c r="AA207" t="str">
        <v>技術・人文知識・国際業務</v>
      </c>
      <c r="AB207" t="str">
        <v>709-2107</v>
      </c>
      <c r="AC207" t="str">
        <v>岡山県岡山市北区御津矢原307</v>
      </c>
      <c r="AD207" t="str">
        <v>成広矢原ｺｰﾎﾟⅠ205号</v>
      </c>
      <c r="AE207">
        <v>44939</v>
      </c>
      <c r="AF207">
        <v>44945</v>
      </c>
      <c r="AG207">
        <v>0</v>
      </c>
      <c r="AH207">
        <v>0</v>
      </c>
      <c r="AI207" t="str">
        <v>23.2.1</v>
      </c>
      <c r="AJ207">
        <v>0</v>
      </c>
      <c r="AK207">
        <v>0</v>
      </c>
      <c r="AL207">
        <v>0</v>
      </c>
      <c r="AM207">
        <v>0</v>
      </c>
      <c r="AN207">
        <v>0</v>
      </c>
      <c r="AO207" t="str">
        <v>1/25林</v>
      </c>
      <c r="AP207">
        <v>0</v>
      </c>
    </row>
    <row r="208" spans="1:42">
      <c r="A208" t="str">
        <f>H208&amp;COUNTIF($H$2:H208,H208)</f>
        <v>CVJ短軸旋盤係9</v>
      </c>
      <c r="B208" t="str">
        <f>F208&amp;COUNTIF($F$2:F208,F208)</f>
        <v>高雄工業 岡山69</v>
      </c>
      <c r="C208" t="str">
        <v>在職中</v>
      </c>
      <c r="D208">
        <v>230107</v>
      </c>
      <c r="E208">
        <v>232087</v>
      </c>
      <c r="F208" t="str">
        <v>高雄工業 岡山</v>
      </c>
      <c r="G208" t="str">
        <v>高雄工業株式会社 岡山事業所CVJ工場製作課</v>
      </c>
      <c r="H208" t="str">
        <v>CVJ短軸旋盤係</v>
      </c>
      <c r="I208" t="str">
        <v>ＣＶＪ短軸等速ジョイント旋削加工・ＮＣプログラム修正</v>
      </c>
      <c r="J208" t="str">
        <v>NGUYEN HOANG ANH</v>
      </c>
      <c r="K208" t="str">
        <v>グエン　ホアン　アイン</v>
      </c>
      <c r="L208" t="str">
        <v>男</v>
      </c>
      <c r="M208" t="str">
        <v>ﾍﾞﾄﾅﾑ</v>
      </c>
      <c r="N208">
        <v>36846</v>
      </c>
      <c r="O208">
        <v>23</v>
      </c>
      <c r="P208">
        <v>1250</v>
      </c>
      <c r="Q208">
        <v>0</v>
      </c>
      <c r="R208">
        <v>1650</v>
      </c>
      <c r="S208">
        <v>0</v>
      </c>
      <c r="T208">
        <v>400</v>
      </c>
      <c r="U208">
        <v>220000</v>
      </c>
      <c r="V208">
        <v>11011</v>
      </c>
      <c r="W208" t="str">
        <v>0</v>
      </c>
      <c r="X208">
        <v>20130</v>
      </c>
      <c r="Y208">
        <v>45304</v>
      </c>
      <c r="Z208" t="str">
        <v>残り期限90日!</v>
      </c>
      <c r="AA208" t="str">
        <v>技術・人文知識・国際業務</v>
      </c>
      <c r="AB208" t="str">
        <v>709-2107</v>
      </c>
      <c r="AC208" t="str">
        <v>岡山県岡山市北区御津矢原370-1</v>
      </c>
      <c r="AD208" t="str">
        <v>成広矢原ｺｰﾎﾟⅡ102</v>
      </c>
      <c r="AE208">
        <v>44939</v>
      </c>
      <c r="AF208">
        <v>44945</v>
      </c>
      <c r="AG208">
        <v>0</v>
      </c>
      <c r="AH208">
        <v>0</v>
      </c>
      <c r="AI208" t="str">
        <v>23.2.1</v>
      </c>
      <c r="AJ208">
        <v>0</v>
      </c>
      <c r="AK208">
        <v>0</v>
      </c>
      <c r="AL208">
        <v>0</v>
      </c>
      <c r="AM208">
        <v>0</v>
      </c>
      <c r="AN208">
        <v>0</v>
      </c>
      <c r="AO208" t="str">
        <v>1/25林</v>
      </c>
      <c r="AP208">
        <v>0</v>
      </c>
    </row>
    <row r="209" spans="1:42">
      <c r="A209" t="str">
        <f>H209&amp;COUNTIF($H$2:H209,H209)</f>
        <v>HUB　検査課係（保留中）1</v>
      </c>
      <c r="B209" t="str">
        <f>F209&amp;COUNTIF($F$2:F209,F209)</f>
        <v>高雄工業 岡山70</v>
      </c>
      <c r="C209" t="str">
        <v>退社</v>
      </c>
      <c r="D209">
        <v>230201</v>
      </c>
      <c r="E209">
        <v>232088</v>
      </c>
      <c r="F209" t="str">
        <v>高雄工業 岡山</v>
      </c>
      <c r="G209" t="str">
        <v>高雄工業株式会社 岡山品質保証部岡山HUB品証課</v>
      </c>
      <c r="H209" t="str">
        <v>HUB　検査課係（保留中）</v>
      </c>
      <c r="I209" t="str">
        <v>HUB旋削加工品の抜き取り検査</v>
      </c>
      <c r="J209" t="str">
        <v>CHU THANH AN</v>
      </c>
      <c r="K209" t="str">
        <v>チュー　タイン　アン</v>
      </c>
      <c r="L209" t="str">
        <v>女</v>
      </c>
      <c r="M209" t="str">
        <v>ﾍﾞﾄﾅﾑ</v>
      </c>
      <c r="N209">
        <v>36357</v>
      </c>
      <c r="O209">
        <v>24</v>
      </c>
      <c r="P209">
        <v>1300</v>
      </c>
      <c r="Q209">
        <v>0</v>
      </c>
      <c r="R209">
        <v>1660</v>
      </c>
      <c r="S209">
        <v>0</v>
      </c>
      <c r="T209">
        <v>360</v>
      </c>
      <c r="U209">
        <v>180000</v>
      </c>
      <c r="V209">
        <v>9009</v>
      </c>
      <c r="W209" t="str">
        <v>0</v>
      </c>
      <c r="X209">
        <v>16470</v>
      </c>
      <c r="Y209">
        <v>45382</v>
      </c>
      <c r="Z209" t="str">
        <v/>
      </c>
      <c r="AA209" t="str">
        <v>技術・人文知識・国際業務</v>
      </c>
      <c r="AB209" t="str">
        <v>709-2017</v>
      </c>
      <c r="AC209" t="str">
        <v>岡山県岡山市北区御津矢原370</v>
      </c>
      <c r="AD209" t="str">
        <v>成広ｺｰﾎﾟⅡ207</v>
      </c>
      <c r="AE209">
        <v>45087</v>
      </c>
      <c r="AF209">
        <v>44959</v>
      </c>
      <c r="AG209">
        <v>45135</v>
      </c>
      <c r="AH209">
        <v>0</v>
      </c>
      <c r="AI209" t="str">
        <v>23.2.2</v>
      </c>
      <c r="AJ209">
        <v>0</v>
      </c>
      <c r="AK209">
        <v>0</v>
      </c>
      <c r="AL209">
        <v>0</v>
      </c>
      <c r="AM209">
        <v>0</v>
      </c>
      <c r="AN209">
        <v>0</v>
      </c>
      <c r="AO209" t="str">
        <v>2/16林</v>
      </c>
      <c r="AP209">
        <v>0</v>
      </c>
    </row>
    <row r="210" spans="1:42">
      <c r="A210" t="str">
        <f>H210&amp;COUNTIF($H$2:H210,H210)</f>
        <v>一次旋係41</v>
      </c>
      <c r="B210" t="str">
        <f>F210&amp;COUNTIF($F$2:F210,F210)</f>
        <v>高雄工業 岡山71</v>
      </c>
      <c r="C210" t="str">
        <v>在職中</v>
      </c>
      <c r="D210">
        <v>230214</v>
      </c>
      <c r="E210">
        <v>232089</v>
      </c>
      <c r="F210" t="str">
        <v>高雄工業 岡山</v>
      </c>
      <c r="G210" t="str">
        <v>高雄工業株式会社 岡山事業所HUB工場製作2課</v>
      </c>
      <c r="H210" t="str">
        <v>一次旋係</v>
      </c>
      <c r="I210" t="str">
        <v>ハブ加工・自動機の操作・ＮＣプログラム修正</v>
      </c>
      <c r="J210" t="str">
        <v>VU DINH QUANG</v>
      </c>
      <c r="K210" t="str">
        <v>ヴー　ディン　クアン</v>
      </c>
      <c r="L210" t="str">
        <v>男</v>
      </c>
      <c r="M210" t="str">
        <v>ﾍﾞﾄﾅﾑ</v>
      </c>
      <c r="N210">
        <v>36846</v>
      </c>
      <c r="O210">
        <v>23</v>
      </c>
      <c r="P210">
        <v>1250</v>
      </c>
      <c r="Q210">
        <v>0</v>
      </c>
      <c r="R210">
        <v>1660</v>
      </c>
      <c r="S210">
        <v>0</v>
      </c>
      <c r="T210">
        <v>410</v>
      </c>
      <c r="U210">
        <v>300000</v>
      </c>
      <c r="V210">
        <v>15014.999999999998</v>
      </c>
      <c r="W210" t="str">
        <v>0</v>
      </c>
      <c r="X210">
        <v>27450</v>
      </c>
      <c r="Y210">
        <v>45337</v>
      </c>
      <c r="Z210" t="str">
        <v>残り期限90日!</v>
      </c>
      <c r="AA210" t="str">
        <v>技術・人文知識・国際業務</v>
      </c>
      <c r="AB210" t="str">
        <v>709-2017</v>
      </c>
      <c r="AC210" t="str">
        <v>岡山県岡山市北区御津矢原297-1</v>
      </c>
      <c r="AD210" t="str">
        <v>成広矢原ｺｰﾎﾟⅤ103</v>
      </c>
      <c r="AE210">
        <v>44972</v>
      </c>
      <c r="AF210">
        <v>44979</v>
      </c>
      <c r="AG210">
        <v>0</v>
      </c>
      <c r="AH210">
        <v>0</v>
      </c>
      <c r="AI210" t="str">
        <v>23.3.1</v>
      </c>
      <c r="AJ210">
        <v>0</v>
      </c>
      <c r="AK210">
        <v>0</v>
      </c>
      <c r="AL210">
        <v>0</v>
      </c>
      <c r="AM210">
        <v>0</v>
      </c>
      <c r="AN210">
        <v>0</v>
      </c>
      <c r="AO210" t="str">
        <v>3/16林</v>
      </c>
      <c r="AP210">
        <v>0</v>
      </c>
    </row>
    <row r="211" spans="1:42">
      <c r="A211" t="str">
        <f>H211&amp;COUNTIF($H$2:H211,H211)</f>
        <v>一次旋係42</v>
      </c>
      <c r="B211" t="str">
        <f>F211&amp;COUNTIF($F$2:F211,F211)</f>
        <v>高雄工業 岡山72</v>
      </c>
      <c r="C211" t="str">
        <v>在職中</v>
      </c>
      <c r="D211">
        <v>230216</v>
      </c>
      <c r="E211">
        <v>232090</v>
      </c>
      <c r="F211" t="str">
        <v>高雄工業 岡山</v>
      </c>
      <c r="G211" t="str">
        <v>高雄工業株式会社 岡山事業所HUB工場製作1課</v>
      </c>
      <c r="H211" t="str">
        <v>一次旋係</v>
      </c>
      <c r="I211" t="str">
        <v>ハブ加工・自動機の操作・ＮＣプログラム修正</v>
      </c>
      <c r="J211" t="str">
        <v>NGUYEN XUAN CUONG</v>
      </c>
      <c r="K211" t="str">
        <v>グエン　スアン　クオン</v>
      </c>
      <c r="L211" t="str">
        <v>男</v>
      </c>
      <c r="M211" t="str">
        <v>ﾍﾞﾄﾅﾑ</v>
      </c>
      <c r="N211">
        <v>36543</v>
      </c>
      <c r="O211">
        <v>23</v>
      </c>
      <c r="P211">
        <v>1250</v>
      </c>
      <c r="Q211">
        <v>0</v>
      </c>
      <c r="R211">
        <v>1660</v>
      </c>
      <c r="S211">
        <v>0</v>
      </c>
      <c r="T211">
        <v>410</v>
      </c>
      <c r="U211">
        <v>260000</v>
      </c>
      <c r="V211">
        <v>13013</v>
      </c>
      <c r="W211" t="str">
        <v>0</v>
      </c>
      <c r="X211">
        <v>23790</v>
      </c>
      <c r="Y211">
        <v>45337</v>
      </c>
      <c r="Z211" t="str">
        <v>残り期限90日!</v>
      </c>
      <c r="AA211" t="str">
        <v>技術・人文知識・国際業務</v>
      </c>
      <c r="AB211" t="str">
        <v>709-2017</v>
      </c>
      <c r="AC211" t="str">
        <v>岡山県岡山市北区御津矢原294-1</v>
      </c>
      <c r="AD211" t="str">
        <v>成広矢原ｺｰﾎﾟⅢ105</v>
      </c>
      <c r="AE211">
        <v>44972</v>
      </c>
      <c r="AF211">
        <v>44979</v>
      </c>
      <c r="AG211">
        <v>0</v>
      </c>
      <c r="AH211">
        <v>0</v>
      </c>
      <c r="AI211" t="str">
        <v>23.3.1</v>
      </c>
      <c r="AJ211">
        <v>0</v>
      </c>
      <c r="AK211">
        <v>0</v>
      </c>
      <c r="AL211">
        <v>0</v>
      </c>
      <c r="AM211">
        <v>0</v>
      </c>
      <c r="AN211">
        <v>0</v>
      </c>
      <c r="AO211" t="str">
        <v>3/16林</v>
      </c>
      <c r="AP211">
        <v>0</v>
      </c>
    </row>
    <row r="212" spans="1:42">
      <c r="A212" t="str">
        <f>H212&amp;COUNTIF($H$2:H212,H212)</f>
        <v>一次旋係43</v>
      </c>
      <c r="B212" t="str">
        <f>F212&amp;COUNTIF($F$2:F212,F212)</f>
        <v>高雄工業 岡山73</v>
      </c>
      <c r="C212" t="str">
        <v>在職中</v>
      </c>
      <c r="D212">
        <v>230213</v>
      </c>
      <c r="E212">
        <v>232091</v>
      </c>
      <c r="F212" t="str">
        <v>高雄工業 岡山</v>
      </c>
      <c r="G212" t="str">
        <v>高雄工業株式会社 岡山事業所HUB工場製作1課</v>
      </c>
      <c r="H212" t="str">
        <v>一次旋係</v>
      </c>
      <c r="I212" t="str">
        <v>ハブ加工・自動機の操作・ＮＣプログラム修正</v>
      </c>
      <c r="J212" t="str">
        <v>NGUYEN DINH QUYEN</v>
      </c>
      <c r="K212" t="str">
        <v>グエン　ディン　クエン</v>
      </c>
      <c r="L212" t="str">
        <v>男</v>
      </c>
      <c r="M212" t="str">
        <v>ﾍﾞﾄﾅﾑ</v>
      </c>
      <c r="N212">
        <v>36137</v>
      </c>
      <c r="O212">
        <v>25</v>
      </c>
      <c r="P212">
        <v>1250</v>
      </c>
      <c r="Q212">
        <v>0</v>
      </c>
      <c r="R212">
        <v>1660</v>
      </c>
      <c r="S212">
        <v>0</v>
      </c>
      <c r="T212">
        <v>410</v>
      </c>
      <c r="U212">
        <v>240000</v>
      </c>
      <c r="V212">
        <v>12012</v>
      </c>
      <c r="W212" t="str">
        <v>0</v>
      </c>
      <c r="X212">
        <v>21960</v>
      </c>
      <c r="Y212">
        <v>45337</v>
      </c>
      <c r="Z212" t="str">
        <v>残り期限90日!</v>
      </c>
      <c r="AA212" t="str">
        <v>技術・人文知識・国際業務</v>
      </c>
      <c r="AB212" t="str">
        <v>709-2132</v>
      </c>
      <c r="AC212" t="str">
        <v>岡山県岡山市北区御津草生2169番地2</v>
      </c>
      <c r="AD212" t="str">
        <v>草生一軒家</v>
      </c>
      <c r="AE212">
        <v>44972</v>
      </c>
      <c r="AF212">
        <v>44979</v>
      </c>
      <c r="AG212">
        <v>0</v>
      </c>
      <c r="AH212">
        <v>0</v>
      </c>
      <c r="AI212" t="str">
        <v>23.3.1</v>
      </c>
      <c r="AJ212">
        <v>0</v>
      </c>
      <c r="AK212">
        <v>0</v>
      </c>
      <c r="AL212">
        <v>0</v>
      </c>
      <c r="AM212">
        <v>0</v>
      </c>
      <c r="AN212">
        <v>0</v>
      </c>
      <c r="AO212" t="str">
        <v>3/16林</v>
      </c>
      <c r="AP212">
        <v>0</v>
      </c>
    </row>
    <row r="213" spans="1:42">
      <c r="A213" t="str">
        <f>H213&amp;COUNTIF($H$2:H213,H213)</f>
        <v>一次旋係44</v>
      </c>
      <c r="B213" t="str">
        <f>F213&amp;COUNTIF($F$2:F213,F213)</f>
        <v>高雄工業 岡山74</v>
      </c>
      <c r="C213" t="str">
        <v>在職中</v>
      </c>
      <c r="D213">
        <v>230215</v>
      </c>
      <c r="E213">
        <v>232092</v>
      </c>
      <c r="F213" t="str">
        <v>高雄工業 岡山</v>
      </c>
      <c r="G213" t="str">
        <v>高雄工業株式会社 岡山事業所HUB工場製作2課</v>
      </c>
      <c r="H213" t="str">
        <v>一次旋係</v>
      </c>
      <c r="I213" t="str">
        <v>ハブ加工・自動機の操作・ＮＣプログラム修正</v>
      </c>
      <c r="J213" t="str">
        <v>BUI THE DU</v>
      </c>
      <c r="K213" t="str">
        <v>ブイ　テー　ズ</v>
      </c>
      <c r="L213" t="str">
        <v>男</v>
      </c>
      <c r="M213" t="str">
        <v>ﾍﾞﾄﾅﾑ</v>
      </c>
      <c r="N213">
        <v>35718</v>
      </c>
      <c r="O213">
        <v>26</v>
      </c>
      <c r="P213">
        <v>1250</v>
      </c>
      <c r="Q213">
        <v>0</v>
      </c>
      <c r="R213">
        <v>1660</v>
      </c>
      <c r="S213">
        <v>0</v>
      </c>
      <c r="T213">
        <v>410</v>
      </c>
      <c r="U213">
        <v>260000</v>
      </c>
      <c r="V213">
        <v>13013</v>
      </c>
      <c r="W213" t="str">
        <v>0</v>
      </c>
      <c r="X213">
        <v>23790</v>
      </c>
      <c r="Y213">
        <v>45337</v>
      </c>
      <c r="Z213" t="str">
        <v>残り期限90日!</v>
      </c>
      <c r="AA213" t="str">
        <v>技術・人文知識・国際業務</v>
      </c>
      <c r="AB213" t="str">
        <v>709-2017</v>
      </c>
      <c r="AC213" t="str">
        <v>岡山県岡山市北区御津矢原294-1</v>
      </c>
      <c r="AD213" t="str">
        <v>成広矢原ｺｰﾎﾟⅢ105</v>
      </c>
      <c r="AE213">
        <v>44972</v>
      </c>
      <c r="AF213">
        <v>44979</v>
      </c>
      <c r="AG213">
        <v>0</v>
      </c>
      <c r="AH213">
        <v>0</v>
      </c>
      <c r="AI213" t="str">
        <v>23.3.1</v>
      </c>
      <c r="AJ213">
        <v>0</v>
      </c>
      <c r="AK213">
        <v>0</v>
      </c>
      <c r="AL213">
        <v>0</v>
      </c>
      <c r="AM213">
        <v>0</v>
      </c>
      <c r="AN213">
        <v>0</v>
      </c>
      <c r="AO213" t="str">
        <v>3/16林</v>
      </c>
      <c r="AP213">
        <v>0</v>
      </c>
    </row>
    <row r="214" spans="1:42">
      <c r="A214" t="str">
        <f>H214&amp;COUNTIF($H$2:H214,H214)</f>
        <v>一次旋係45</v>
      </c>
      <c r="B214" t="str">
        <f>F214&amp;COUNTIF($F$2:F214,F214)</f>
        <v>高雄工業 岡山75</v>
      </c>
      <c r="C214" t="str">
        <v>在職中</v>
      </c>
      <c r="D214">
        <v>230212</v>
      </c>
      <c r="E214">
        <v>232093</v>
      </c>
      <c r="F214" t="str">
        <v>高雄工業 岡山</v>
      </c>
      <c r="G214" t="str">
        <v>高雄工業株式会社 岡山事業所HUB工場製作1課</v>
      </c>
      <c r="H214" t="str">
        <v>一次旋係</v>
      </c>
      <c r="I214" t="str">
        <v>ハブ加工・自動機の操作・ＮＣプログラム修正</v>
      </c>
      <c r="J214" t="str">
        <v>LUU VAN TUNG</v>
      </c>
      <c r="K214" t="str">
        <v>リュ　ヴァン　トゥン</v>
      </c>
      <c r="L214" t="str">
        <v>男</v>
      </c>
      <c r="M214" t="str">
        <v>ﾍﾞﾄﾅﾑ</v>
      </c>
      <c r="N214">
        <v>36892</v>
      </c>
      <c r="O214">
        <v>22</v>
      </c>
      <c r="P214">
        <v>1260</v>
      </c>
      <c r="Q214">
        <v>0</v>
      </c>
      <c r="R214">
        <v>1670</v>
      </c>
      <c r="S214">
        <v>0</v>
      </c>
      <c r="T214">
        <v>410</v>
      </c>
      <c r="U214">
        <v>260000</v>
      </c>
      <c r="V214">
        <v>13013</v>
      </c>
      <c r="W214" t="str">
        <v>0</v>
      </c>
      <c r="X214">
        <v>23790</v>
      </c>
      <c r="Y214">
        <v>45337</v>
      </c>
      <c r="Z214" t="str">
        <v>残り期限90日!</v>
      </c>
      <c r="AA214" t="str">
        <v>技術・人文知識・国際業務</v>
      </c>
      <c r="AB214" t="str">
        <v>709-2017</v>
      </c>
      <c r="AC214" t="str">
        <v>岡山県岡山市北区御津矢原297-1</v>
      </c>
      <c r="AD214" t="str">
        <v>成広矢原ｺｰﾎﾟⅤ103</v>
      </c>
      <c r="AE214">
        <v>44972</v>
      </c>
      <c r="AF214">
        <v>44979</v>
      </c>
      <c r="AG214">
        <v>0</v>
      </c>
      <c r="AH214">
        <v>0</v>
      </c>
      <c r="AI214" t="str">
        <v>23.3.1</v>
      </c>
      <c r="AJ214">
        <v>0</v>
      </c>
      <c r="AK214">
        <v>0</v>
      </c>
      <c r="AL214">
        <v>0</v>
      </c>
      <c r="AM214">
        <v>0</v>
      </c>
      <c r="AN214">
        <v>0</v>
      </c>
      <c r="AO214" t="str">
        <v>3/16林</v>
      </c>
      <c r="AP214">
        <v>0</v>
      </c>
    </row>
    <row r="215" spans="1:42">
      <c r="A215" t="str">
        <f>H215&amp;COUNTIF($H$2:H215,H215)</f>
        <v>一次旋係46</v>
      </c>
      <c r="B215" t="str">
        <f>F215&amp;COUNTIF($F$2:F215,F215)</f>
        <v>高雄工業 岡山76</v>
      </c>
      <c r="C215" t="str">
        <v>在職中</v>
      </c>
      <c r="D215">
        <v>230306</v>
      </c>
      <c r="E215">
        <v>232094</v>
      </c>
      <c r="F215" t="str">
        <v>高雄工業 岡山</v>
      </c>
      <c r="G215" t="str">
        <v>高雄工業株式会社 岡山事業所HUB工場製作1課</v>
      </c>
      <c r="H215" t="str">
        <v>一次旋係</v>
      </c>
      <c r="I215" t="str">
        <v>ハブ加工・自動機の操作・ＮＣプログラム修正</v>
      </c>
      <c r="J215" t="str">
        <v>VU HONG KHANH</v>
      </c>
      <c r="K215" t="str">
        <v>ヴー　ホン　カイン</v>
      </c>
      <c r="L215" t="str">
        <v>男</v>
      </c>
      <c r="M215" t="str">
        <v>ﾍﾞﾄﾅﾑ</v>
      </c>
      <c r="N215">
        <v>35709</v>
      </c>
      <c r="O215">
        <v>26</v>
      </c>
      <c r="P215">
        <v>1250</v>
      </c>
      <c r="Q215">
        <v>0</v>
      </c>
      <c r="R215">
        <v>1660</v>
      </c>
      <c r="S215">
        <v>0</v>
      </c>
      <c r="T215">
        <v>410</v>
      </c>
      <c r="U215">
        <v>240000</v>
      </c>
      <c r="V215">
        <v>12012</v>
      </c>
      <c r="W215" t="str">
        <v>0</v>
      </c>
      <c r="X215">
        <v>21960</v>
      </c>
      <c r="Y215">
        <v>45344</v>
      </c>
      <c r="Z215" t="str">
        <v>残り期限90日!</v>
      </c>
      <c r="AA215" t="str">
        <v>技術・人文知識・国際業務</v>
      </c>
      <c r="AB215" t="str">
        <v>709-2017</v>
      </c>
      <c r="AC215" t="str">
        <v>岡山県岡山市北区御津矢原370</v>
      </c>
      <c r="AD215" t="str">
        <v>成広ｺｰﾎﾟⅡ101</v>
      </c>
      <c r="AE215">
        <v>44979</v>
      </c>
      <c r="AF215">
        <v>44986</v>
      </c>
      <c r="AG215">
        <v>0</v>
      </c>
      <c r="AH215">
        <v>0</v>
      </c>
      <c r="AI215" t="str">
        <v>23.4.1</v>
      </c>
      <c r="AJ215">
        <v>0</v>
      </c>
      <c r="AK215">
        <v>0</v>
      </c>
      <c r="AL215">
        <v>0</v>
      </c>
      <c r="AM215">
        <v>0</v>
      </c>
      <c r="AN215">
        <v>0</v>
      </c>
      <c r="AO215" t="str">
        <v>3/16林</v>
      </c>
      <c r="AP215">
        <v>0</v>
      </c>
    </row>
    <row r="216" spans="1:42">
      <c r="A216" t="str">
        <f>H216&amp;COUNTIF($H$2:H216,H216)</f>
        <v>一次旋係47</v>
      </c>
      <c r="B216" t="str">
        <f>F216&amp;COUNTIF($F$2:F216,F216)</f>
        <v>高雄工業 岡山77</v>
      </c>
      <c r="C216" t="str">
        <v>在職中</v>
      </c>
      <c r="D216">
        <v>230307</v>
      </c>
      <c r="E216">
        <v>232095</v>
      </c>
      <c r="F216" t="str">
        <v>高雄工業 岡山</v>
      </c>
      <c r="G216" t="str">
        <v>高雄工業株式会社 岡山事業所HUB工場製作2課</v>
      </c>
      <c r="H216" t="str">
        <v>一次旋係</v>
      </c>
      <c r="I216" t="str">
        <v>ハブ加工・自動機の操作・ＮＣプログラム修正</v>
      </c>
      <c r="J216" t="str">
        <v>NGUYEN VAN TAI</v>
      </c>
      <c r="K216" t="str">
        <v>グエン　ヴァン　タイ</v>
      </c>
      <c r="L216" t="str">
        <v>男</v>
      </c>
      <c r="M216" t="str">
        <v>ﾍﾞﾄﾅﾑ</v>
      </c>
      <c r="N216">
        <v>36865</v>
      </c>
      <c r="O216">
        <v>23</v>
      </c>
      <c r="P216">
        <v>1250</v>
      </c>
      <c r="Q216">
        <v>0</v>
      </c>
      <c r="R216">
        <v>1660</v>
      </c>
      <c r="S216">
        <v>0</v>
      </c>
      <c r="T216">
        <v>410</v>
      </c>
      <c r="U216">
        <v>240000</v>
      </c>
      <c r="V216">
        <v>12012</v>
      </c>
      <c r="W216" t="str">
        <v>0</v>
      </c>
      <c r="X216">
        <v>21960</v>
      </c>
      <c r="Y216">
        <v>45344</v>
      </c>
      <c r="Z216" t="str">
        <v>残り期限90日!</v>
      </c>
      <c r="AA216" t="str">
        <v>技術・人文知識・国際業務</v>
      </c>
      <c r="AB216" t="str">
        <v>709-2017</v>
      </c>
      <c r="AC216" t="str">
        <v>岡山県岡山市北区御津矢原370</v>
      </c>
      <c r="AD216" t="str">
        <v>成広ｺｰﾎﾟⅡ203</v>
      </c>
      <c r="AE216">
        <v>45087</v>
      </c>
      <c r="AF216">
        <v>44986</v>
      </c>
      <c r="AG216">
        <v>0</v>
      </c>
      <c r="AH216">
        <v>0</v>
      </c>
      <c r="AI216" t="str">
        <v>23.4.1</v>
      </c>
      <c r="AJ216">
        <v>0</v>
      </c>
      <c r="AK216">
        <v>0</v>
      </c>
      <c r="AL216">
        <v>0</v>
      </c>
      <c r="AM216">
        <v>0</v>
      </c>
      <c r="AN216">
        <v>0</v>
      </c>
      <c r="AO216" t="str">
        <v>3/16林</v>
      </c>
      <c r="AP216">
        <v>0</v>
      </c>
    </row>
    <row r="217" spans="1:42">
      <c r="A217" t="str">
        <f>H217&amp;COUNTIF($H$2:H217,H217)</f>
        <v>CVJ転造係3</v>
      </c>
      <c r="B217" t="str">
        <f>F217&amp;COUNTIF($F$2:F217,F217)</f>
        <v>高雄工業 岡山78</v>
      </c>
      <c r="C217" t="str">
        <v>在職中</v>
      </c>
      <c r="D217">
        <v>230304</v>
      </c>
      <c r="E217">
        <v>232096</v>
      </c>
      <c r="F217" t="str">
        <v>高雄工業 岡山</v>
      </c>
      <c r="G217" t="str">
        <v>高雄工業株式会社 岡山事業所CVJ工場製作課</v>
      </c>
      <c r="H217" t="str">
        <v>CVJ転造係</v>
      </c>
      <c r="I217" t="str">
        <v>ＣＶＪ短軸等速ジョイント旋削加工・ＮＣプログラム修正</v>
      </c>
      <c r="J217" t="str">
        <v>NGUYEN NGOC SON</v>
      </c>
      <c r="K217" t="str">
        <v>グエン　ゴック　ソン</v>
      </c>
      <c r="L217" t="str">
        <v>男</v>
      </c>
      <c r="M217" t="str">
        <v>ﾍﾞﾄﾅﾑ</v>
      </c>
      <c r="N217">
        <v>36153</v>
      </c>
      <c r="O217">
        <v>24</v>
      </c>
      <c r="P217">
        <v>1250</v>
      </c>
      <c r="Q217">
        <v>0</v>
      </c>
      <c r="R217">
        <v>1670</v>
      </c>
      <c r="S217">
        <v>0</v>
      </c>
      <c r="T217">
        <v>420</v>
      </c>
      <c r="U217">
        <v>200000</v>
      </c>
      <c r="V217">
        <v>10010</v>
      </c>
      <c r="W217" t="str">
        <v>0</v>
      </c>
      <c r="X217">
        <v>18300</v>
      </c>
      <c r="Y217">
        <v>45344</v>
      </c>
      <c r="Z217" t="str">
        <v>残り期限90日!</v>
      </c>
      <c r="AA217" t="str">
        <v>技術・人文知識・国際業務</v>
      </c>
      <c r="AB217" t="str">
        <v>709-2017</v>
      </c>
      <c r="AC217" t="str">
        <v>岡山県岡山市北区御津矢原370</v>
      </c>
      <c r="AD217" t="str">
        <v>成広ｺｰﾎﾟⅡ101</v>
      </c>
      <c r="AE217">
        <v>44979</v>
      </c>
      <c r="AF217">
        <v>44986</v>
      </c>
      <c r="AG217">
        <v>0</v>
      </c>
      <c r="AH217">
        <v>0</v>
      </c>
      <c r="AI217" t="str">
        <v>23.4.1</v>
      </c>
      <c r="AJ217">
        <v>0</v>
      </c>
      <c r="AK217">
        <v>0</v>
      </c>
      <c r="AL217">
        <v>0</v>
      </c>
      <c r="AM217">
        <v>0</v>
      </c>
      <c r="AN217">
        <v>0</v>
      </c>
      <c r="AO217" t="str">
        <v>3/16林</v>
      </c>
      <c r="AP217">
        <v>0</v>
      </c>
    </row>
    <row r="218" spans="1:42">
      <c r="A218" t="str">
        <f>H218&amp;COUNTIF($H$2:H218,H218)</f>
        <v>一次旋係48</v>
      </c>
      <c r="B218" t="str">
        <f>F218&amp;COUNTIF($F$2:F218,F218)</f>
        <v>高雄工業 岡山79</v>
      </c>
      <c r="C218" t="str">
        <v>在職中</v>
      </c>
      <c r="D218">
        <v>230305</v>
      </c>
      <c r="E218">
        <v>232097</v>
      </c>
      <c r="F218" t="str">
        <v>高雄工業 岡山</v>
      </c>
      <c r="G218" t="str">
        <v>高雄工業株式会社 岡山事業所HUB工場製作1課</v>
      </c>
      <c r="H218" t="str">
        <v>一次旋係</v>
      </c>
      <c r="I218" t="str">
        <v>ハブ加工・自動機の操作・ＮＣプログラム修正</v>
      </c>
      <c r="J218" t="str">
        <v>DANG MINH QUANG</v>
      </c>
      <c r="K218" t="str">
        <v>ダン　ミイン　クアン</v>
      </c>
      <c r="L218" t="str">
        <v>男</v>
      </c>
      <c r="M218" t="str">
        <v>ﾍﾞﾄﾅﾑ</v>
      </c>
      <c r="N218">
        <v>35908</v>
      </c>
      <c r="O218">
        <v>25</v>
      </c>
      <c r="P218">
        <v>1250</v>
      </c>
      <c r="Q218">
        <v>0</v>
      </c>
      <c r="R218">
        <v>1660</v>
      </c>
      <c r="S218">
        <v>0</v>
      </c>
      <c r="T218">
        <v>410</v>
      </c>
      <c r="U218">
        <v>240000</v>
      </c>
      <c r="V218">
        <v>12012</v>
      </c>
      <c r="W218" t="str">
        <v>0</v>
      </c>
      <c r="X218">
        <v>21960</v>
      </c>
      <c r="Y218">
        <v>45344</v>
      </c>
      <c r="Z218" t="str">
        <v>残り期限90日!</v>
      </c>
      <c r="AA218" t="str">
        <v>技術・人文知識・国際業務</v>
      </c>
      <c r="AB218" t="str">
        <v>709-2133</v>
      </c>
      <c r="AC218" t="str">
        <v>岡山県北区御津金川929-2</v>
      </c>
      <c r="AD218" t="str">
        <v>個人</v>
      </c>
      <c r="AE218">
        <v>45108</v>
      </c>
      <c r="AF218">
        <v>44986</v>
      </c>
      <c r="AG218">
        <v>0</v>
      </c>
      <c r="AH218">
        <v>0</v>
      </c>
      <c r="AI218" t="str">
        <v>23.4.1</v>
      </c>
      <c r="AJ218">
        <v>0</v>
      </c>
      <c r="AK218">
        <v>0</v>
      </c>
      <c r="AL218">
        <v>0</v>
      </c>
      <c r="AM218">
        <v>0</v>
      </c>
      <c r="AN218">
        <v>0</v>
      </c>
      <c r="AO218" t="str">
        <v>3/16林</v>
      </c>
      <c r="AP218">
        <v>0</v>
      </c>
    </row>
    <row r="219" spans="1:42">
      <c r="A219" t="str">
        <f>H219&amp;COUNTIF($H$2:H219,H219)</f>
        <v>一次旋係49</v>
      </c>
      <c r="B219" t="str">
        <f>F219&amp;COUNTIF($F$2:F219,F219)</f>
        <v>高雄工業 岡山80</v>
      </c>
      <c r="C219" t="str">
        <v>在職中</v>
      </c>
      <c r="D219">
        <v>230303</v>
      </c>
      <c r="E219">
        <v>232098</v>
      </c>
      <c r="F219" t="str">
        <v>高雄工業 岡山</v>
      </c>
      <c r="G219" t="str">
        <v>高雄工業株式会社 岡山事業所HUB工場製作1課</v>
      </c>
      <c r="H219" t="str">
        <v>一次旋係</v>
      </c>
      <c r="I219" t="str">
        <v>ハブ加工・自動機の操作・ＮＣプログラム修正</v>
      </c>
      <c r="J219" t="str">
        <v>BUI HUU KHOA</v>
      </c>
      <c r="K219" t="str">
        <v>ブイ　フウ　コア</v>
      </c>
      <c r="L219" t="str">
        <v>男</v>
      </c>
      <c r="M219" t="str">
        <v>ﾍﾞﾄﾅﾑ</v>
      </c>
      <c r="N219">
        <v>35340</v>
      </c>
      <c r="O219">
        <v>27</v>
      </c>
      <c r="P219">
        <v>1250</v>
      </c>
      <c r="Q219">
        <v>0</v>
      </c>
      <c r="R219">
        <v>1660</v>
      </c>
      <c r="S219">
        <v>0</v>
      </c>
      <c r="T219">
        <v>410</v>
      </c>
      <c r="U219">
        <v>240000</v>
      </c>
      <c r="V219">
        <v>12012</v>
      </c>
      <c r="W219" t="str">
        <v>0</v>
      </c>
      <c r="X219">
        <v>21960</v>
      </c>
      <c r="Y219">
        <v>45344</v>
      </c>
      <c r="Z219" t="str">
        <v>残り期限90日!</v>
      </c>
      <c r="AA219" t="str">
        <v>技術・人文知識・国際業務</v>
      </c>
      <c r="AB219" t="str">
        <v>709-2133</v>
      </c>
      <c r="AC219" t="str">
        <v>岡山県北区御津金川929-2</v>
      </c>
      <c r="AD219" t="str">
        <v>個人</v>
      </c>
      <c r="AE219">
        <v>45108</v>
      </c>
      <c r="AF219">
        <v>44986</v>
      </c>
      <c r="AG219">
        <v>0</v>
      </c>
      <c r="AH219">
        <v>0</v>
      </c>
      <c r="AI219" t="str">
        <v>23.4.1</v>
      </c>
      <c r="AJ219">
        <v>0</v>
      </c>
      <c r="AK219">
        <v>0</v>
      </c>
      <c r="AL219">
        <v>0</v>
      </c>
      <c r="AM219">
        <v>0</v>
      </c>
      <c r="AN219">
        <v>0</v>
      </c>
      <c r="AO219" t="str">
        <v>3/16林</v>
      </c>
      <c r="AP219">
        <v>0</v>
      </c>
    </row>
    <row r="220" spans="1:42">
      <c r="A220" t="str">
        <f>H220&amp;COUNTIF($H$2:H220,H220)</f>
        <v>一次旋係50</v>
      </c>
      <c r="B220" t="str">
        <f>F220&amp;COUNTIF($F$2:F220,F220)</f>
        <v>高雄工業 岡山81</v>
      </c>
      <c r="C220" t="str">
        <v>在職中</v>
      </c>
      <c r="D220">
        <v>230322</v>
      </c>
      <c r="E220">
        <v>232099</v>
      </c>
      <c r="F220" t="str">
        <v>高雄工業 岡山</v>
      </c>
      <c r="G220" t="str">
        <v>高雄工業株式会社 岡山事業所HUB工場製作2課</v>
      </c>
      <c r="H220" t="str">
        <v>一次旋係</v>
      </c>
      <c r="I220" t="str">
        <v>ハブ加工・自動機の操作・ＮＣプログラム修正</v>
      </c>
      <c r="J220" t="str">
        <v>VO THANH PHONG</v>
      </c>
      <c r="K220" t="str">
        <v>ヴォー　タイン　フォン</v>
      </c>
      <c r="L220" t="str">
        <v>男</v>
      </c>
      <c r="M220" t="str">
        <v>ﾍﾞﾄﾅﾑ</v>
      </c>
      <c r="N220">
        <v>36793</v>
      </c>
      <c r="O220">
        <v>23</v>
      </c>
      <c r="P220">
        <v>1200</v>
      </c>
      <c r="Q220">
        <v>0</v>
      </c>
      <c r="R220">
        <v>1660</v>
      </c>
      <c r="S220">
        <v>0</v>
      </c>
      <c r="T220">
        <v>460</v>
      </c>
      <c r="U220">
        <v>220000</v>
      </c>
      <c r="V220">
        <v>11011</v>
      </c>
      <c r="W220" t="str">
        <v>0</v>
      </c>
      <c r="X220">
        <v>20130</v>
      </c>
      <c r="Y220">
        <v>45373</v>
      </c>
      <c r="Z220" t="str">
        <v/>
      </c>
      <c r="AA220" t="str">
        <v>技術・人文知識・国際業務</v>
      </c>
      <c r="AB220" t="str">
        <v>709-2107</v>
      </c>
      <c r="AC220" t="str">
        <v>岡山県岡山市北区御津矢原370</v>
      </c>
      <c r="AD220" t="str">
        <v>成広ｺｰﾎﾟⅡ102</v>
      </c>
      <c r="AE220">
        <v>45009</v>
      </c>
      <c r="AF220">
        <v>45013</v>
      </c>
      <c r="AG220">
        <v>0</v>
      </c>
      <c r="AH220">
        <v>0</v>
      </c>
      <c r="AI220" t="str">
        <v>23.4.1</v>
      </c>
      <c r="AJ220">
        <v>0</v>
      </c>
      <c r="AK220">
        <v>0</v>
      </c>
      <c r="AL220">
        <v>0</v>
      </c>
      <c r="AM220">
        <v>0</v>
      </c>
      <c r="AN220">
        <v>0</v>
      </c>
      <c r="AO220" t="str">
        <v>4/12林</v>
      </c>
      <c r="AP220">
        <v>0</v>
      </c>
    </row>
    <row r="221" spans="1:42">
      <c r="A221" t="str">
        <f>H221&amp;COUNTIF($H$2:H221,H221)</f>
        <v>一次旋係51</v>
      </c>
      <c r="B221" t="str">
        <f>F221&amp;COUNTIF($F$2:F221,F221)</f>
        <v>高雄工業 岡山82</v>
      </c>
      <c r="C221" t="str">
        <v>在職中</v>
      </c>
      <c r="D221">
        <v>230325</v>
      </c>
      <c r="E221">
        <v>232100</v>
      </c>
      <c r="F221" t="str">
        <v>高雄工業 岡山</v>
      </c>
      <c r="G221" t="str">
        <v>高雄工業株式会社 岡山事業所HUB工場製作2課</v>
      </c>
      <c r="H221" t="str">
        <v>一次旋係</v>
      </c>
      <c r="I221" t="str">
        <v>ハブ加工・自動機の操作・ＮＣプログラム修正</v>
      </c>
      <c r="J221" t="str">
        <v>NGUYEN NGOC QUANG</v>
      </c>
      <c r="K221" t="str">
        <v>グエン　ゴック　クアン</v>
      </c>
      <c r="L221" t="str">
        <v>男</v>
      </c>
      <c r="M221" t="str">
        <v>ﾍﾞﾄﾅﾑ</v>
      </c>
      <c r="N221">
        <v>36800</v>
      </c>
      <c r="O221">
        <v>23</v>
      </c>
      <c r="P221">
        <v>1200</v>
      </c>
      <c r="Q221">
        <v>0</v>
      </c>
      <c r="R221">
        <v>1660</v>
      </c>
      <c r="S221">
        <v>0</v>
      </c>
      <c r="T221">
        <v>460</v>
      </c>
      <c r="U221">
        <v>220000</v>
      </c>
      <c r="V221">
        <v>11011</v>
      </c>
      <c r="W221" t="str">
        <v>0</v>
      </c>
      <c r="X221">
        <v>20130</v>
      </c>
      <c r="Y221">
        <v>45373</v>
      </c>
      <c r="Z221" t="str">
        <v/>
      </c>
      <c r="AA221" t="str">
        <v>技術・人文知識・国際業務</v>
      </c>
      <c r="AB221" t="str">
        <v>709-2107</v>
      </c>
      <c r="AC221" t="str">
        <v>岡山県岡山市北区御津矢原288-1</v>
      </c>
      <c r="AD221" t="str">
        <v>ｸﾞﾗﾝﾃｰｻﾞ208</v>
      </c>
      <c r="AE221">
        <v>45009</v>
      </c>
      <c r="AF221">
        <v>45013</v>
      </c>
      <c r="AG221">
        <v>0</v>
      </c>
      <c r="AH221">
        <v>0</v>
      </c>
      <c r="AI221" t="str">
        <v>23.4.1</v>
      </c>
      <c r="AJ221">
        <v>0</v>
      </c>
      <c r="AK221">
        <v>0</v>
      </c>
      <c r="AL221">
        <v>0</v>
      </c>
      <c r="AM221">
        <v>0</v>
      </c>
      <c r="AN221">
        <v>0</v>
      </c>
      <c r="AO221" t="str">
        <v>4/12林</v>
      </c>
      <c r="AP221">
        <v>0</v>
      </c>
    </row>
    <row r="222" spans="1:42">
      <c r="A222" t="str">
        <f>H222&amp;COUNTIF($H$2:H222,H222)</f>
        <v>一次旋係52</v>
      </c>
      <c r="B222" t="str">
        <f>F222&amp;COUNTIF($F$2:F222,F222)</f>
        <v>高雄工業 岡山83</v>
      </c>
      <c r="C222" t="str">
        <v>退社</v>
      </c>
      <c r="D222">
        <v>230324</v>
      </c>
      <c r="E222">
        <v>232101</v>
      </c>
      <c r="F222" t="str">
        <v>高雄工業 岡山</v>
      </c>
      <c r="G222" t="str">
        <v>高雄工業株式会社 岡山事業所HUB工場製作1課</v>
      </c>
      <c r="H222" t="str">
        <v>一次旋係</v>
      </c>
      <c r="I222" t="str">
        <v>ハブ加工・自動機の操作・ＮＣプログラム修正</v>
      </c>
      <c r="J222" t="str">
        <v>NGUYEN NGOC PHONG</v>
      </c>
      <c r="K222" t="str">
        <v>グエン　ゴック　フォン</v>
      </c>
      <c r="L222" t="str">
        <v>男</v>
      </c>
      <c r="M222" t="str">
        <v>ﾍﾞﾄﾅﾑ</v>
      </c>
      <c r="N222">
        <v>36221</v>
      </c>
      <c r="O222">
        <v>24</v>
      </c>
      <c r="P222">
        <v>1200</v>
      </c>
      <c r="Q222">
        <v>0</v>
      </c>
      <c r="R222">
        <v>1660</v>
      </c>
      <c r="S222">
        <v>0</v>
      </c>
      <c r="T222">
        <v>460</v>
      </c>
      <c r="U222">
        <v>180000</v>
      </c>
      <c r="V222">
        <v>9009</v>
      </c>
      <c r="W222" t="str">
        <v>0</v>
      </c>
      <c r="X222">
        <v>16470</v>
      </c>
      <c r="Y222">
        <v>45373</v>
      </c>
      <c r="Z222" t="str">
        <v/>
      </c>
      <c r="AA222" t="str">
        <v>技術・人文知識・国際業務</v>
      </c>
      <c r="AB222" t="str">
        <v>709-2107</v>
      </c>
      <c r="AC222" t="str">
        <v>岡山県岡山市北区御津矢原288-1</v>
      </c>
      <c r="AD222" t="str">
        <v>ｸﾞﾗﾝﾃｰｻﾞ109</v>
      </c>
      <c r="AE222">
        <v>45009</v>
      </c>
      <c r="AF222">
        <v>45013</v>
      </c>
      <c r="AG222">
        <v>45173</v>
      </c>
      <c r="AH222">
        <v>0</v>
      </c>
      <c r="AI222" t="str">
        <v>23.4.1</v>
      </c>
      <c r="AJ222">
        <v>0</v>
      </c>
      <c r="AK222">
        <v>0</v>
      </c>
      <c r="AL222">
        <v>0</v>
      </c>
      <c r="AM222">
        <v>0</v>
      </c>
      <c r="AN222">
        <v>0</v>
      </c>
      <c r="AO222" t="str">
        <v>4/12林</v>
      </c>
      <c r="AP222">
        <v>0</v>
      </c>
    </row>
    <row r="223" spans="1:42">
      <c r="A223" t="str">
        <f>H223&amp;COUNTIF($H$2:H223,H223)</f>
        <v>一次旋係53</v>
      </c>
      <c r="B223" t="str">
        <f>F223&amp;COUNTIF($F$2:F223,F223)</f>
        <v>高雄工業 岡山84</v>
      </c>
      <c r="C223" t="str">
        <v>在職中</v>
      </c>
      <c r="D223">
        <v>230609</v>
      </c>
      <c r="E223">
        <v>232101</v>
      </c>
      <c r="F223" t="str">
        <v>高雄工業 岡山</v>
      </c>
      <c r="G223" t="str">
        <v>高雄工業株式会社 岡山事業所HUB工場製作2課</v>
      </c>
      <c r="H223" t="str">
        <v>一次旋係</v>
      </c>
      <c r="I223" t="str">
        <v>ハブ加工・自動機の操作・ＮＣプログラム修正</v>
      </c>
      <c r="J223" t="str">
        <v>NGUYEN QUOC HUNG</v>
      </c>
      <c r="K223" t="str">
        <v>グエン　コック　フン</v>
      </c>
      <c r="L223" t="str">
        <v>男</v>
      </c>
      <c r="M223" t="str">
        <v>ﾍﾞﾄﾅﾑ</v>
      </c>
      <c r="N223">
        <v>33830</v>
      </c>
      <c r="O223">
        <v>31</v>
      </c>
      <c r="P223">
        <v>1200</v>
      </c>
      <c r="Q223">
        <v>0</v>
      </c>
      <c r="R223">
        <v>1650</v>
      </c>
      <c r="S223">
        <v>0</v>
      </c>
      <c r="T223">
        <v>450</v>
      </c>
      <c r="U223">
        <v>190000</v>
      </c>
      <c r="V223">
        <v>9509.5</v>
      </c>
      <c r="W223" t="str">
        <v>0</v>
      </c>
      <c r="X223">
        <v>17385</v>
      </c>
      <c r="Y223">
        <v>45455</v>
      </c>
      <c r="Z223" t="str">
        <v/>
      </c>
      <c r="AA223" t="str">
        <v>技術・人文知識・国際業務</v>
      </c>
      <c r="AB223" t="str">
        <v>709-2133</v>
      </c>
      <c r="AC223" t="str">
        <v>岡山県岡山市北区御津金川373番地1</v>
      </c>
      <c r="AD223" t="str">
        <v>ﾆｭｰｴﾙﾃﾞｨﾑ小西A202</v>
      </c>
      <c r="AE223">
        <v>45089</v>
      </c>
      <c r="AF223">
        <v>45093</v>
      </c>
      <c r="AG223">
        <v>0</v>
      </c>
      <c r="AH223">
        <v>0</v>
      </c>
      <c r="AI223" t="str">
        <v>23.6.16</v>
      </c>
      <c r="AJ223">
        <v>0</v>
      </c>
      <c r="AK223">
        <v>0</v>
      </c>
      <c r="AL223">
        <v>0</v>
      </c>
      <c r="AM223">
        <v>0</v>
      </c>
      <c r="AN223">
        <v>0</v>
      </c>
      <c r="AO223" t="str">
        <v>7/3林</v>
      </c>
      <c r="AP223">
        <v>0</v>
      </c>
    </row>
    <row r="224" spans="1:42">
      <c r="A224" t="str">
        <f>H224&amp;COUNTIF($H$2:H224,H224)</f>
        <v>一次旋係54</v>
      </c>
      <c r="B224" t="str">
        <f>F224&amp;COUNTIF($F$2:F224,F224)</f>
        <v>高雄工業 岡山85</v>
      </c>
      <c r="C224" t="str">
        <v>在職中</v>
      </c>
      <c r="D224">
        <v>230320</v>
      </c>
      <c r="E224">
        <v>232102</v>
      </c>
      <c r="F224" t="str">
        <v>高雄工業 岡山</v>
      </c>
      <c r="G224" t="str">
        <v>高雄工業株式会社 岡山事業所HUB工場製作1課</v>
      </c>
      <c r="H224" t="str">
        <v>一次旋係</v>
      </c>
      <c r="I224" t="str">
        <v>ハブ加工・自動機の操作・ＮＣプログラム修正</v>
      </c>
      <c r="J224" t="str">
        <v>TA NGUYEN DUC</v>
      </c>
      <c r="K224" t="str">
        <v>ター　グエン　ドゥック</v>
      </c>
      <c r="L224" t="str">
        <v>男</v>
      </c>
      <c r="M224" t="str">
        <v>ﾍﾞﾄﾅﾑ</v>
      </c>
      <c r="N224">
        <v>35746</v>
      </c>
      <c r="O224">
        <v>26</v>
      </c>
      <c r="P224">
        <v>1200</v>
      </c>
      <c r="Q224">
        <v>0</v>
      </c>
      <c r="R224">
        <v>1660</v>
      </c>
      <c r="S224">
        <v>0</v>
      </c>
      <c r="T224">
        <v>460</v>
      </c>
      <c r="U224">
        <v>180000</v>
      </c>
      <c r="V224">
        <v>9009</v>
      </c>
      <c r="W224" t="str">
        <v>0</v>
      </c>
      <c r="X224">
        <v>16470</v>
      </c>
      <c r="Y224">
        <v>45373</v>
      </c>
      <c r="Z224" t="str">
        <v/>
      </c>
      <c r="AA224" t="str">
        <v>技術・人文知識・国際業務</v>
      </c>
      <c r="AB224" t="str">
        <v>709-2107</v>
      </c>
      <c r="AC224" t="str">
        <v>岡山県岡山市北区御津矢原288-1</v>
      </c>
      <c r="AD224" t="str">
        <v>ｸﾞﾗﾝﾃｰｻﾞ208</v>
      </c>
      <c r="AE224">
        <v>45009</v>
      </c>
      <c r="AF224">
        <v>45013</v>
      </c>
      <c r="AG224">
        <v>0</v>
      </c>
      <c r="AH224">
        <v>0</v>
      </c>
      <c r="AI224" t="str">
        <v>23.4.1</v>
      </c>
      <c r="AJ224">
        <v>0</v>
      </c>
      <c r="AK224">
        <v>0</v>
      </c>
      <c r="AL224">
        <v>0</v>
      </c>
      <c r="AM224">
        <v>0</v>
      </c>
      <c r="AN224">
        <v>0</v>
      </c>
      <c r="AO224" t="str">
        <v>4/12林</v>
      </c>
      <c r="AP224">
        <v>0</v>
      </c>
    </row>
    <row r="225" spans="1:42">
      <c r="A225" t="str">
        <f>H225&amp;COUNTIF($H$2:H225,H225)</f>
        <v>一次旋係55</v>
      </c>
      <c r="B225" t="str">
        <f>F225&amp;COUNTIF($F$2:F225,F225)</f>
        <v>高雄工業 岡山86</v>
      </c>
      <c r="C225" t="str">
        <v>在職中</v>
      </c>
      <c r="D225">
        <v>230321</v>
      </c>
      <c r="E225">
        <v>232103</v>
      </c>
      <c r="F225" t="str">
        <v>高雄工業 岡山</v>
      </c>
      <c r="G225" t="str">
        <v>高雄工業株式会社 岡山事業所HUB工場製作2課</v>
      </c>
      <c r="H225" t="str">
        <v>一次旋係</v>
      </c>
      <c r="I225" t="str">
        <v>ハブ加工・自動機の操作・ＮＣプログラム修正</v>
      </c>
      <c r="J225" t="str">
        <v>TRAN THANH HUNG</v>
      </c>
      <c r="K225" t="str">
        <v>チャン　タイン　フン</v>
      </c>
      <c r="L225" t="str">
        <v>男</v>
      </c>
      <c r="M225" t="str">
        <v>ﾍﾞﾄﾅﾑ</v>
      </c>
      <c r="N225">
        <v>35956</v>
      </c>
      <c r="O225">
        <v>25</v>
      </c>
      <c r="P225">
        <v>1200</v>
      </c>
      <c r="Q225">
        <v>0</v>
      </c>
      <c r="R225">
        <v>1660</v>
      </c>
      <c r="S225">
        <v>0</v>
      </c>
      <c r="T225">
        <v>460</v>
      </c>
      <c r="U225">
        <v>180000</v>
      </c>
      <c r="V225">
        <v>9009</v>
      </c>
      <c r="W225" t="str">
        <v>0</v>
      </c>
      <c r="X225">
        <v>16470</v>
      </c>
      <c r="Y225">
        <v>45373</v>
      </c>
      <c r="Z225" t="str">
        <v/>
      </c>
      <c r="AA225" t="str">
        <v>技術・人文知識・国際業務</v>
      </c>
      <c r="AB225" t="str">
        <v>709-2107</v>
      </c>
      <c r="AC225" t="str">
        <v>岡山県岡山市北区御津矢原370</v>
      </c>
      <c r="AD225" t="str">
        <v>成広ｺｰﾎﾟⅡ102</v>
      </c>
      <c r="AE225">
        <v>45009</v>
      </c>
      <c r="AF225">
        <v>45013</v>
      </c>
      <c r="AG225">
        <v>0</v>
      </c>
      <c r="AH225">
        <v>0</v>
      </c>
      <c r="AI225" t="str">
        <v>23.4.1</v>
      </c>
      <c r="AJ225">
        <v>0</v>
      </c>
      <c r="AK225">
        <v>0</v>
      </c>
      <c r="AL225">
        <v>0</v>
      </c>
      <c r="AM225">
        <v>0</v>
      </c>
      <c r="AN225">
        <v>0</v>
      </c>
      <c r="AO225" t="str">
        <v>4/12林</v>
      </c>
      <c r="AP225">
        <v>0</v>
      </c>
    </row>
    <row r="226" spans="1:42">
      <c r="A226" t="str">
        <f>H226&amp;COUNTIF($H$2:H226,H226)</f>
        <v>一次旋係56</v>
      </c>
      <c r="B226" t="str">
        <f>F226&amp;COUNTIF($F$2:F226,F226)</f>
        <v>高雄工業 岡山87</v>
      </c>
      <c r="C226" t="str">
        <v>在職中</v>
      </c>
      <c r="D226">
        <v>230323</v>
      </c>
      <c r="E226">
        <v>232104</v>
      </c>
      <c r="F226" t="str">
        <v>高雄工業 岡山</v>
      </c>
      <c r="G226" t="str">
        <v>高雄工業株式会社 岡山事業所HUB工場製作2課</v>
      </c>
      <c r="H226" t="str">
        <v>一次旋係</v>
      </c>
      <c r="I226" t="str">
        <v>ハブ加工・自動機の操作・ＮＣプログラム修正</v>
      </c>
      <c r="J226" t="str">
        <v>LE MINH HIEU</v>
      </c>
      <c r="K226" t="str">
        <v>レー　ミン　ヒエウ</v>
      </c>
      <c r="L226" t="str">
        <v>男</v>
      </c>
      <c r="M226" t="str">
        <v>ﾍﾞﾄﾅﾑ</v>
      </c>
      <c r="N226">
        <v>35548</v>
      </c>
      <c r="O226">
        <v>26</v>
      </c>
      <c r="P226">
        <v>1200</v>
      </c>
      <c r="Q226">
        <v>0</v>
      </c>
      <c r="R226">
        <v>1660</v>
      </c>
      <c r="S226">
        <v>0</v>
      </c>
      <c r="T226">
        <v>460</v>
      </c>
      <c r="U226">
        <v>180000</v>
      </c>
      <c r="V226">
        <v>9009</v>
      </c>
      <c r="W226" t="str">
        <v>0</v>
      </c>
      <c r="X226">
        <v>16470</v>
      </c>
      <c r="Y226">
        <v>45373</v>
      </c>
      <c r="Z226" t="str">
        <v/>
      </c>
      <c r="AA226" t="str">
        <v>技術・人文知識・国際業務</v>
      </c>
      <c r="AB226" t="str">
        <v>709-2107</v>
      </c>
      <c r="AC226" t="str">
        <v>岡山県岡山市北区御津矢原288-1</v>
      </c>
      <c r="AD226" t="str">
        <v>ｸﾞﾗﾝﾃｰｻﾞ109</v>
      </c>
      <c r="AE226">
        <v>45009</v>
      </c>
      <c r="AF226">
        <v>45013</v>
      </c>
      <c r="AG226">
        <v>0</v>
      </c>
      <c r="AH226">
        <v>0</v>
      </c>
      <c r="AI226" t="str">
        <v>23.4.1</v>
      </c>
      <c r="AJ226">
        <v>0</v>
      </c>
      <c r="AK226">
        <v>0</v>
      </c>
      <c r="AL226">
        <v>0</v>
      </c>
      <c r="AM226">
        <v>0</v>
      </c>
      <c r="AN226">
        <v>0</v>
      </c>
      <c r="AO226" t="str">
        <v>4/12林</v>
      </c>
      <c r="AP226">
        <v>0</v>
      </c>
    </row>
    <row r="227" spans="1:42">
      <c r="A227" t="str">
        <f>H227&amp;COUNTIF($H$2:H227,H227)</f>
        <v>一次旋係57</v>
      </c>
      <c r="B227" t="str">
        <f>F227&amp;COUNTIF($F$2:F227,F227)</f>
        <v>高雄工業 岡山88</v>
      </c>
      <c r="C227" t="str">
        <v>在職中</v>
      </c>
      <c r="D227">
        <v>230506</v>
      </c>
      <c r="E227">
        <v>232105</v>
      </c>
      <c r="F227" t="str">
        <v>高雄工業 岡山</v>
      </c>
      <c r="G227" t="str">
        <v>高雄工業株式会社 岡山事業所HUB工場製作2課</v>
      </c>
      <c r="H227" t="str">
        <v>一次旋係</v>
      </c>
      <c r="I227" t="str">
        <v>ハブ加工・自動機の操作・ＮＣプログラム修正</v>
      </c>
      <c r="J227" t="str">
        <v>PHUNG QUANG DUONG</v>
      </c>
      <c r="K227" t="str">
        <v>フン　クアン　ズオン</v>
      </c>
      <c r="L227" t="str">
        <v>男</v>
      </c>
      <c r="M227" t="str">
        <v>ﾍﾞﾄﾅﾑ</v>
      </c>
      <c r="N227">
        <v>37030</v>
      </c>
      <c r="O227">
        <v>22</v>
      </c>
      <c r="P227">
        <v>1200</v>
      </c>
      <c r="Q227">
        <v>0</v>
      </c>
      <c r="R227">
        <v>1650</v>
      </c>
      <c r="S227">
        <v>0</v>
      </c>
      <c r="T227">
        <v>450</v>
      </c>
      <c r="U227">
        <v>180000</v>
      </c>
      <c r="V227">
        <v>9009</v>
      </c>
      <c r="W227" t="str">
        <v>0</v>
      </c>
      <c r="X227">
        <v>16470</v>
      </c>
      <c r="Y227">
        <v>45422</v>
      </c>
      <c r="Z227" t="str">
        <v/>
      </c>
      <c r="AA227" t="str">
        <v>技術・人文知識・国際業務</v>
      </c>
      <c r="AB227" t="str">
        <v>709-2132</v>
      </c>
      <c r="AC227" t="str">
        <v>岡山県岡山市北区御津草生2169番地2</v>
      </c>
      <c r="AD227" t="str">
        <v>草生一軒家</v>
      </c>
      <c r="AE227">
        <v>45056</v>
      </c>
      <c r="AF227">
        <v>45061</v>
      </c>
      <c r="AG227">
        <v>0</v>
      </c>
      <c r="AH227">
        <v>0</v>
      </c>
      <c r="AI227" t="str">
        <v>23.6.1</v>
      </c>
      <c r="AJ227">
        <v>0</v>
      </c>
      <c r="AK227">
        <v>0</v>
      </c>
      <c r="AL227">
        <v>0</v>
      </c>
      <c r="AM227">
        <v>0</v>
      </c>
      <c r="AN227">
        <v>0</v>
      </c>
      <c r="AO227" t="str">
        <v>5/17林</v>
      </c>
      <c r="AP227">
        <v>0</v>
      </c>
    </row>
    <row r="228" spans="1:42">
      <c r="A228" t="str">
        <f>H228&amp;COUNTIF($H$2:H228,H228)</f>
        <v>一次旋係58</v>
      </c>
      <c r="B228" t="str">
        <f>F228&amp;COUNTIF($F$2:F228,F228)</f>
        <v>高雄工業 岡山89</v>
      </c>
      <c r="C228" t="str">
        <v>在職中</v>
      </c>
      <c r="D228">
        <v>230610</v>
      </c>
      <c r="E228">
        <v>232106</v>
      </c>
      <c r="F228" t="str">
        <v>高雄工業 岡山</v>
      </c>
      <c r="G228" t="str">
        <v>高雄工業株式会社 岡山事業所HUB工場製作2課</v>
      </c>
      <c r="H228" t="str">
        <v>一次旋係</v>
      </c>
      <c r="I228" t="str">
        <v>ハブ加工・自動機の操作・ＮＣプログラム修正</v>
      </c>
      <c r="J228" t="str">
        <v>NGUYEN QUOC THAI</v>
      </c>
      <c r="K228" t="str">
        <v>グエン　コック　タイ</v>
      </c>
      <c r="L228" t="str">
        <v>男</v>
      </c>
      <c r="M228" t="str">
        <v>ﾍﾞﾄﾅﾑ</v>
      </c>
      <c r="N228">
        <v>37030</v>
      </c>
      <c r="O228">
        <v>22</v>
      </c>
      <c r="P228">
        <v>1200</v>
      </c>
      <c r="Q228">
        <v>0</v>
      </c>
      <c r="R228">
        <v>1650</v>
      </c>
      <c r="S228">
        <v>0</v>
      </c>
      <c r="T228">
        <v>450</v>
      </c>
      <c r="U228">
        <v>190000</v>
      </c>
      <c r="V228">
        <v>9509.5</v>
      </c>
      <c r="W228" t="str">
        <v>0</v>
      </c>
      <c r="X228">
        <v>17385</v>
      </c>
      <c r="Y228">
        <v>45455</v>
      </c>
      <c r="Z228" t="str">
        <v/>
      </c>
      <c r="AA228" t="str">
        <v>技術・人文知識・国際業務</v>
      </c>
      <c r="AB228" t="str">
        <v>709-2107</v>
      </c>
      <c r="AC228" t="str">
        <v>岡山県岡山市北区御津矢原312番地１</v>
      </c>
      <c r="AD228" t="str">
        <v>中須賀ｺｰﾎﾟⅡ202</v>
      </c>
      <c r="AE228">
        <v>45089</v>
      </c>
      <c r="AF228">
        <v>45093</v>
      </c>
      <c r="AG228">
        <v>0</v>
      </c>
      <c r="AH228">
        <v>0</v>
      </c>
      <c r="AI228" t="str">
        <v>23.6.16</v>
      </c>
      <c r="AJ228">
        <v>0</v>
      </c>
      <c r="AK228">
        <v>0</v>
      </c>
      <c r="AL228">
        <v>0</v>
      </c>
      <c r="AM228">
        <v>0</v>
      </c>
      <c r="AN228">
        <v>0</v>
      </c>
      <c r="AO228" t="str">
        <v>7/3林</v>
      </c>
      <c r="AP228">
        <v>0</v>
      </c>
    </row>
    <row r="229" spans="1:42">
      <c r="A229" t="str">
        <f>H229&amp;COUNTIF($H$2:H229,H229)</f>
        <v>一次旋係59</v>
      </c>
      <c r="B229" t="str">
        <f>F229&amp;COUNTIF($F$2:F229,F229)</f>
        <v>高雄工業 岡山90</v>
      </c>
      <c r="C229" t="str">
        <v>在職中</v>
      </c>
      <c r="D229">
        <v>230608</v>
      </c>
      <c r="E229">
        <v>232108</v>
      </c>
      <c r="F229" t="str">
        <v>高雄工業 岡山</v>
      </c>
      <c r="G229" t="str">
        <v>高雄工業株式会社 岡山事業所HUB工場製作2課</v>
      </c>
      <c r="H229" t="str">
        <v>一次旋係</v>
      </c>
      <c r="I229" t="str">
        <v>ハブ加工・自動機の操作・ＮＣプログラム修正</v>
      </c>
      <c r="J229" t="str">
        <v>NGUYEN GIA THO</v>
      </c>
      <c r="K229" t="str">
        <v>グエン　ジャ　トー</v>
      </c>
      <c r="L229" t="str">
        <v>男</v>
      </c>
      <c r="M229" t="str">
        <v>ﾍﾞﾄﾅﾑ</v>
      </c>
      <c r="N229">
        <v>36244</v>
      </c>
      <c r="O229">
        <v>24</v>
      </c>
      <c r="P229">
        <v>1200</v>
      </c>
      <c r="Q229">
        <v>0</v>
      </c>
      <c r="R229">
        <v>1650</v>
      </c>
      <c r="S229">
        <v>0</v>
      </c>
      <c r="T229">
        <v>450</v>
      </c>
      <c r="U229">
        <v>190000</v>
      </c>
      <c r="V229">
        <v>9509.5</v>
      </c>
      <c r="W229" t="str">
        <v>0</v>
      </c>
      <c r="X229">
        <v>17385</v>
      </c>
      <c r="Y229">
        <v>45455</v>
      </c>
      <c r="Z229" t="str">
        <v/>
      </c>
      <c r="AA229" t="str">
        <v>技術・人文知識・国際業務</v>
      </c>
      <c r="AB229" t="str">
        <v>709-2107</v>
      </c>
      <c r="AC229" t="str">
        <v>岡山県岡山市北区御津矢原307番地</v>
      </c>
      <c r="AD229" t="str">
        <v>成広矢原ｺｰﾎﾟⅠ103</v>
      </c>
      <c r="AE229">
        <v>45089</v>
      </c>
      <c r="AF229">
        <v>45093</v>
      </c>
      <c r="AG229">
        <v>0</v>
      </c>
      <c r="AH229">
        <v>0</v>
      </c>
      <c r="AI229" t="str">
        <v>23.6.16</v>
      </c>
      <c r="AJ229">
        <v>0</v>
      </c>
      <c r="AK229">
        <v>0</v>
      </c>
      <c r="AL229">
        <v>0</v>
      </c>
      <c r="AM229">
        <v>0</v>
      </c>
      <c r="AN229">
        <v>0</v>
      </c>
      <c r="AO229" t="str">
        <v>7/3林</v>
      </c>
      <c r="AP229">
        <v>0</v>
      </c>
    </row>
    <row r="230" spans="1:42">
      <c r="A230" t="str">
        <f>H230&amp;COUNTIF($H$2:H230,H230)</f>
        <v>一次旋係60</v>
      </c>
      <c r="B230" t="str">
        <f>F230&amp;COUNTIF($F$2:F230,F230)</f>
        <v>高雄工業 岡山91</v>
      </c>
      <c r="C230" t="str">
        <v>在職中</v>
      </c>
      <c r="D230">
        <v>230611</v>
      </c>
      <c r="E230">
        <v>232109</v>
      </c>
      <c r="F230" t="str">
        <v>高雄工業 岡山</v>
      </c>
      <c r="G230" t="str">
        <v>高雄工業株式会社 岡山事業所HUB工場製作2課</v>
      </c>
      <c r="H230" t="str">
        <v>一次旋係</v>
      </c>
      <c r="I230" t="str">
        <v>ハブ加工・自動機の操作・ＮＣプログラム修正</v>
      </c>
      <c r="J230" t="str">
        <v>NGUYEN DINH THANH</v>
      </c>
      <c r="K230" t="str">
        <v>グエン　ディン　タイン</v>
      </c>
      <c r="L230" t="str">
        <v>男</v>
      </c>
      <c r="M230" t="str">
        <v>ﾍﾞﾄﾅﾑ</v>
      </c>
      <c r="N230">
        <v>36586</v>
      </c>
      <c r="O230">
        <v>23</v>
      </c>
      <c r="P230">
        <v>1200</v>
      </c>
      <c r="Q230">
        <v>0</v>
      </c>
      <c r="R230">
        <v>1650</v>
      </c>
      <c r="S230">
        <v>0</v>
      </c>
      <c r="T230">
        <v>450</v>
      </c>
      <c r="U230">
        <v>190000</v>
      </c>
      <c r="V230">
        <v>9509.5</v>
      </c>
      <c r="W230" t="str">
        <v>0</v>
      </c>
      <c r="X230">
        <v>17385</v>
      </c>
      <c r="Y230">
        <v>45455</v>
      </c>
      <c r="Z230" t="str">
        <v/>
      </c>
      <c r="AA230" t="str">
        <v>技術・人文知識・国際業務</v>
      </c>
      <c r="AB230" t="str">
        <v>709-2107</v>
      </c>
      <c r="AC230" t="str">
        <v>岡山県岡山市北区御津矢原307番地</v>
      </c>
      <c r="AD230" t="str">
        <v>成広矢原ｺｰﾎﾟⅠ203</v>
      </c>
      <c r="AE230">
        <v>45089</v>
      </c>
      <c r="AF230">
        <v>45093</v>
      </c>
      <c r="AG230">
        <v>0</v>
      </c>
      <c r="AH230">
        <v>0</v>
      </c>
      <c r="AI230" t="str">
        <v>23.6.16</v>
      </c>
      <c r="AJ230">
        <v>0</v>
      </c>
      <c r="AK230">
        <v>0</v>
      </c>
      <c r="AL230">
        <v>0</v>
      </c>
      <c r="AM230">
        <v>0</v>
      </c>
      <c r="AN230">
        <v>0</v>
      </c>
      <c r="AO230" t="str">
        <v>7/3林</v>
      </c>
      <c r="AP230">
        <v>0</v>
      </c>
    </row>
    <row r="231" spans="1:42">
      <c r="A231" t="str">
        <f>H231&amp;COUNTIF($H$2:H231,H231)</f>
        <v>一次旋係61</v>
      </c>
      <c r="B231" t="str">
        <f>F231&amp;COUNTIF($F$2:F231,F231)</f>
        <v>高雄工業 岡山92</v>
      </c>
      <c r="C231" t="str">
        <v>在職中</v>
      </c>
      <c r="D231">
        <v>230604</v>
      </c>
      <c r="E231">
        <v>232110</v>
      </c>
      <c r="F231" t="str">
        <v>高雄工業 岡山</v>
      </c>
      <c r="G231" t="str">
        <v>高雄工業株式会社 岡山事業所HUB工場製作1課</v>
      </c>
      <c r="H231" t="str">
        <v>一次旋係</v>
      </c>
      <c r="I231" t="str">
        <v>ハブ加工・自動機の操作・ＮＣプログラム修正</v>
      </c>
      <c r="J231" t="str">
        <v>DAO VAN LONG</v>
      </c>
      <c r="K231" t="str">
        <v>ダオ　ヴァン　ロン</v>
      </c>
      <c r="L231" t="str">
        <v>男</v>
      </c>
      <c r="M231" t="str">
        <v>ﾍﾞﾄﾅﾑ</v>
      </c>
      <c r="N231">
        <v>33756</v>
      </c>
      <c r="O231">
        <v>31</v>
      </c>
      <c r="P231">
        <v>1200</v>
      </c>
      <c r="Q231">
        <v>0</v>
      </c>
      <c r="R231">
        <v>1650</v>
      </c>
      <c r="S231">
        <v>0</v>
      </c>
      <c r="T231">
        <v>450</v>
      </c>
      <c r="U231">
        <v>190000</v>
      </c>
      <c r="V231">
        <v>9509.5</v>
      </c>
      <c r="W231" t="str">
        <v>0</v>
      </c>
      <c r="X231">
        <v>17385</v>
      </c>
      <c r="Y231">
        <v>45455</v>
      </c>
      <c r="Z231" t="str">
        <v/>
      </c>
      <c r="AA231" t="str">
        <v>技術・人文知識・国際業務</v>
      </c>
      <c r="AB231" t="str">
        <v>709-2107</v>
      </c>
      <c r="AC231" t="str">
        <v>岡山県岡山市北区御津矢原307番地</v>
      </c>
      <c r="AD231" t="str">
        <v>成広矢原ｺｰﾎﾟⅠ103</v>
      </c>
      <c r="AE231">
        <v>45089</v>
      </c>
      <c r="AF231">
        <v>45093</v>
      </c>
      <c r="AG231">
        <v>0</v>
      </c>
      <c r="AH231">
        <v>0</v>
      </c>
      <c r="AI231" t="str">
        <v>23.6.16</v>
      </c>
      <c r="AJ231">
        <v>0</v>
      </c>
      <c r="AK231">
        <v>0</v>
      </c>
      <c r="AL231">
        <v>0</v>
      </c>
      <c r="AM231">
        <v>0</v>
      </c>
      <c r="AN231">
        <v>0</v>
      </c>
      <c r="AO231" t="str">
        <v>7/3林</v>
      </c>
      <c r="AP231">
        <v>0</v>
      </c>
    </row>
    <row r="232" spans="1:42">
      <c r="A232" t="str">
        <f>H232&amp;COUNTIF($H$2:H232,H232)</f>
        <v>一次旋係62</v>
      </c>
      <c r="B232" t="str">
        <f>F232&amp;COUNTIF($F$2:F232,F232)</f>
        <v>高雄工業 岡山93</v>
      </c>
      <c r="C232" t="str">
        <v>在職中</v>
      </c>
      <c r="D232">
        <v>230607</v>
      </c>
      <c r="E232">
        <v>232111</v>
      </c>
      <c r="F232" t="str">
        <v>高雄工業 岡山</v>
      </c>
      <c r="G232" t="str">
        <v>高雄工業株式会社 岡山事業所HUB工場製作2課</v>
      </c>
      <c r="H232" t="str">
        <v>一次旋係</v>
      </c>
      <c r="I232" t="str">
        <v>ハブ加工・自動機の操作・ＮＣプログラム修正</v>
      </c>
      <c r="J232" t="str">
        <v>HOANG TRUNG DUC</v>
      </c>
      <c r="K232" t="str">
        <v>ホアン　チュン　ドゥック</v>
      </c>
      <c r="L232" t="str">
        <v>男</v>
      </c>
      <c r="M232" t="str">
        <v>ﾍﾞﾄﾅﾑ</v>
      </c>
      <c r="N232">
        <v>34445</v>
      </c>
      <c r="O232">
        <v>29</v>
      </c>
      <c r="P232">
        <v>1200</v>
      </c>
      <c r="Q232">
        <v>0</v>
      </c>
      <c r="R232">
        <v>1650</v>
      </c>
      <c r="S232">
        <v>0</v>
      </c>
      <c r="T232">
        <v>450</v>
      </c>
      <c r="U232">
        <v>190000</v>
      </c>
      <c r="V232">
        <v>9509.5</v>
      </c>
      <c r="W232" t="str">
        <v>0</v>
      </c>
      <c r="X232">
        <v>17385</v>
      </c>
      <c r="Y232">
        <v>45455</v>
      </c>
      <c r="Z232" t="str">
        <v/>
      </c>
      <c r="AA232" t="str">
        <v>技術・人文知識・国際業務</v>
      </c>
      <c r="AB232" t="str">
        <v>709-2107</v>
      </c>
      <c r="AC232" t="str">
        <v>岡山県岡山市北区御津矢原307番地</v>
      </c>
      <c r="AD232" t="str">
        <v>成広矢原ｺｰﾎﾟⅠ203</v>
      </c>
      <c r="AE232">
        <v>45089</v>
      </c>
      <c r="AF232">
        <v>45093</v>
      </c>
      <c r="AG232">
        <v>0</v>
      </c>
      <c r="AH232">
        <v>0</v>
      </c>
      <c r="AI232" t="str">
        <v>23.6.16</v>
      </c>
      <c r="AJ232">
        <v>0</v>
      </c>
      <c r="AK232">
        <v>0</v>
      </c>
      <c r="AL232">
        <v>0</v>
      </c>
      <c r="AM232">
        <v>0</v>
      </c>
      <c r="AN232">
        <v>0</v>
      </c>
      <c r="AO232" t="str">
        <v>7/3林</v>
      </c>
      <c r="AP232">
        <v>0</v>
      </c>
    </row>
    <row r="233" spans="1:42">
      <c r="A233" t="str">
        <f>H233&amp;COUNTIF($H$2:H233,H233)</f>
        <v>一次旋係63</v>
      </c>
      <c r="B233" t="str">
        <f>F233&amp;COUNTIF($F$2:F233,F233)</f>
        <v>高雄工業 岡山94</v>
      </c>
      <c r="C233" t="str">
        <v>在職中</v>
      </c>
      <c r="D233">
        <v>230606</v>
      </c>
      <c r="E233">
        <v>232112</v>
      </c>
      <c r="F233" t="str">
        <v>高雄工業 岡山</v>
      </c>
      <c r="G233" t="str">
        <v>高雄工業株式会社 岡山事業所HUB工場製作2課</v>
      </c>
      <c r="H233" t="str">
        <v>一次旋係</v>
      </c>
      <c r="I233" t="str">
        <v>ハブ加工・自動機の操作・ＮＣプログラム修正</v>
      </c>
      <c r="J233" t="str">
        <v>LE DUY KHAI</v>
      </c>
      <c r="K233" t="str">
        <v>レー　ズイ　カイ</v>
      </c>
      <c r="L233" t="str">
        <v>男</v>
      </c>
      <c r="M233" t="str">
        <v>ﾍﾞﾄﾅﾑ</v>
      </c>
      <c r="N233">
        <v>36426</v>
      </c>
      <c r="O233">
        <v>24</v>
      </c>
      <c r="P233">
        <v>1200</v>
      </c>
      <c r="Q233">
        <v>0</v>
      </c>
      <c r="R233">
        <v>1650</v>
      </c>
      <c r="S233">
        <v>0</v>
      </c>
      <c r="T233">
        <v>450</v>
      </c>
      <c r="U233">
        <v>190000</v>
      </c>
      <c r="V233">
        <v>9509.5</v>
      </c>
      <c r="W233" t="str">
        <v>0</v>
      </c>
      <c r="X233">
        <v>17385</v>
      </c>
      <c r="Y233">
        <v>45455</v>
      </c>
      <c r="Z233" t="str">
        <v/>
      </c>
      <c r="AA233" t="str">
        <v>技術・人文知識・国際業務</v>
      </c>
      <c r="AB233" t="str">
        <v>709-2133</v>
      </c>
      <c r="AC233" t="str">
        <v>岡山県岡山市北区御津金川373番地1</v>
      </c>
      <c r="AD233" t="str">
        <v>ﾆｭｰｴﾙﾃﾞｨﾑ小西A202</v>
      </c>
      <c r="AE233">
        <v>45089</v>
      </c>
      <c r="AF233">
        <v>45093</v>
      </c>
      <c r="AG233">
        <v>0</v>
      </c>
      <c r="AH233">
        <v>0</v>
      </c>
      <c r="AI233" t="str">
        <v>23.6.16</v>
      </c>
      <c r="AJ233">
        <v>0</v>
      </c>
      <c r="AK233">
        <v>0</v>
      </c>
      <c r="AL233">
        <v>0</v>
      </c>
      <c r="AM233">
        <v>0</v>
      </c>
      <c r="AN233">
        <v>0</v>
      </c>
      <c r="AO233" t="str">
        <v>7/3林</v>
      </c>
      <c r="AP233">
        <v>0</v>
      </c>
    </row>
    <row r="234" spans="1:42">
      <c r="A234" t="str">
        <f>H234&amp;COUNTIF($H$2:H234,H234)</f>
        <v>一次旋係64</v>
      </c>
      <c r="B234" t="str">
        <f>F234&amp;COUNTIF($F$2:F234,F234)</f>
        <v>高雄工業 岡山95</v>
      </c>
      <c r="C234" t="str">
        <v>在職中</v>
      </c>
      <c r="D234">
        <v>230605</v>
      </c>
      <c r="E234">
        <v>232113</v>
      </c>
      <c r="F234" t="str">
        <v>高雄工業 岡山</v>
      </c>
      <c r="G234" t="str">
        <v>高雄工業株式会社 岡山事業所HUB工場製作2課</v>
      </c>
      <c r="H234" t="str">
        <v>一次旋係</v>
      </c>
      <c r="I234" t="str">
        <v>ハブ加工・自動機の操作・ＮＣプログラム修正</v>
      </c>
      <c r="J234" t="str">
        <v>LE CHI VI</v>
      </c>
      <c r="K234" t="str">
        <v>レー　チー　ヴィ</v>
      </c>
      <c r="L234" t="str">
        <v>男</v>
      </c>
      <c r="M234" t="str">
        <v>ﾍﾞﾄﾅﾑ</v>
      </c>
      <c r="N234">
        <v>36477</v>
      </c>
      <c r="O234">
        <v>24</v>
      </c>
      <c r="P234">
        <v>1200</v>
      </c>
      <c r="Q234">
        <v>0</v>
      </c>
      <c r="R234">
        <v>1650</v>
      </c>
      <c r="S234">
        <v>0</v>
      </c>
      <c r="T234">
        <v>450</v>
      </c>
      <c r="U234">
        <v>190000</v>
      </c>
      <c r="V234">
        <v>9509.5</v>
      </c>
      <c r="W234" t="str">
        <v>0</v>
      </c>
      <c r="X234">
        <v>17385</v>
      </c>
      <c r="Y234">
        <v>45455</v>
      </c>
      <c r="Z234" t="str">
        <v/>
      </c>
      <c r="AA234" t="str">
        <v>技術・人文知識・国際業務</v>
      </c>
      <c r="AB234" t="str">
        <v>709-2107</v>
      </c>
      <c r="AC234" t="str">
        <v>岡山県岡山市北区御津矢原298-1</v>
      </c>
      <c r="AD234" t="str">
        <v>成広矢原ｺｰﾎⅥ102</v>
      </c>
      <c r="AE234">
        <v>45089</v>
      </c>
      <c r="AF234">
        <v>45093</v>
      </c>
      <c r="AG234">
        <v>0</v>
      </c>
      <c r="AH234">
        <v>0</v>
      </c>
      <c r="AI234" t="str">
        <v>23.6.16</v>
      </c>
      <c r="AJ234">
        <v>0</v>
      </c>
      <c r="AK234">
        <v>0</v>
      </c>
      <c r="AL234">
        <v>0</v>
      </c>
      <c r="AM234">
        <v>0</v>
      </c>
      <c r="AN234">
        <v>0</v>
      </c>
      <c r="AO234" t="str">
        <v>7/3林</v>
      </c>
      <c r="AP234">
        <v>0</v>
      </c>
    </row>
    <row r="235" spans="1:42">
      <c r="A235" t="str">
        <f>H235&amp;COUNTIF($H$2:H235,H235)</f>
        <v>039</v>
      </c>
      <c r="B235" t="str">
        <f>F235&amp;COUNTIF($F$2:F235,F235)</f>
        <v>高雄工業 岡山96</v>
      </c>
      <c r="C235" t="str">
        <v>在職中</v>
      </c>
      <c r="D235">
        <v>230706</v>
      </c>
      <c r="E235">
        <v>232114</v>
      </c>
      <c r="F235" t="str">
        <v>高雄工業 岡山</v>
      </c>
      <c r="G235" t="str">
        <v>高雄工業株式会社第一営業部岡山営業課</v>
      </c>
      <c r="H235">
        <v>0</v>
      </c>
      <c r="I235">
        <v>0</v>
      </c>
      <c r="J235" t="str">
        <v>HO THI NHUNG</v>
      </c>
      <c r="K235" t="str">
        <v>ホー　ティ　ニュン</v>
      </c>
      <c r="L235" t="str">
        <v>女</v>
      </c>
      <c r="M235" t="str">
        <v>ﾍﾞﾄﾅﾑ</v>
      </c>
      <c r="N235">
        <v>33757</v>
      </c>
      <c r="O235">
        <v>31</v>
      </c>
      <c r="P235">
        <v>1200</v>
      </c>
      <c r="Q235">
        <v>0</v>
      </c>
      <c r="R235">
        <v>1600</v>
      </c>
      <c r="S235">
        <v>0</v>
      </c>
      <c r="T235">
        <v>400</v>
      </c>
      <c r="U235">
        <v>0</v>
      </c>
      <c r="V235">
        <v>0</v>
      </c>
      <c r="W235" t="str">
        <v>0</v>
      </c>
      <c r="X235">
        <v>0</v>
      </c>
      <c r="Y235">
        <v>46152</v>
      </c>
      <c r="Z235" t="str">
        <v/>
      </c>
      <c r="AA235" t="str">
        <v>家族滞在</v>
      </c>
      <c r="AB235" t="str">
        <v>709-2107</v>
      </c>
      <c r="AC235" t="str">
        <v>岡山県岡山市北区御津矢原294-1</v>
      </c>
      <c r="AD235" t="str">
        <v>成広矢原ｺｰﾎﾟⅢ205</v>
      </c>
      <c r="AE235" t="str">
        <v>個人</v>
      </c>
      <c r="AF235">
        <v>45117</v>
      </c>
      <c r="AG235">
        <v>0</v>
      </c>
      <c r="AH235">
        <v>0</v>
      </c>
      <c r="AI235" t="str">
        <v>社保なし</v>
      </c>
      <c r="AJ235">
        <v>0</v>
      </c>
      <c r="AK235">
        <v>0</v>
      </c>
      <c r="AL235">
        <v>0</v>
      </c>
      <c r="AM235">
        <v>0</v>
      </c>
      <c r="AN235">
        <v>0</v>
      </c>
      <c r="AO235" t="str">
        <v>8/1原</v>
      </c>
      <c r="AP235">
        <v>0</v>
      </c>
    </row>
    <row r="236" spans="1:42">
      <c r="A236" t="str">
        <f>H236&amp;COUNTIF($H$2:H236,H236)</f>
        <v>HUB　検査課係（保留中）2</v>
      </c>
      <c r="B236" t="str">
        <f>F236&amp;COUNTIF($F$2:F236,F236)</f>
        <v>高雄工業 岡山97</v>
      </c>
      <c r="C236" t="str">
        <v>退社</v>
      </c>
      <c r="D236">
        <v>230707</v>
      </c>
      <c r="E236">
        <v>232115</v>
      </c>
      <c r="F236" t="str">
        <v>高雄工業 岡山</v>
      </c>
      <c r="G236" t="str">
        <v>高雄工業株式会社 岡山品質保証部岡山HUB品証課</v>
      </c>
      <c r="H236" t="str">
        <v>HUB　検査課係（保留中）</v>
      </c>
      <c r="I236" t="str">
        <v>HUB旋削加工品の抜き取り検査</v>
      </c>
      <c r="J236" t="str">
        <v>BUI THI PHUONG</v>
      </c>
      <c r="K236" t="str">
        <v>ブイ　ティ　フォン</v>
      </c>
      <c r="L236" t="str">
        <v>女</v>
      </c>
      <c r="M236" t="str">
        <v>ﾍﾞﾄﾅﾑ</v>
      </c>
      <c r="N236">
        <v>34232</v>
      </c>
      <c r="O236">
        <v>30</v>
      </c>
      <c r="P236">
        <v>1100</v>
      </c>
      <c r="Q236">
        <v>0</v>
      </c>
      <c r="R236">
        <v>1600</v>
      </c>
      <c r="S236">
        <v>0</v>
      </c>
      <c r="T236">
        <v>500</v>
      </c>
      <c r="U236">
        <v>126000</v>
      </c>
      <c r="V236">
        <v>6306.2999999999993</v>
      </c>
      <c r="W236" t="str">
        <v>0</v>
      </c>
      <c r="X236">
        <v>11529</v>
      </c>
      <c r="Y236">
        <v>45630</v>
      </c>
      <c r="Z236" t="str">
        <v/>
      </c>
      <c r="AA236" t="str">
        <v>家族滞在</v>
      </c>
      <c r="AB236" t="str">
        <v>709-2017</v>
      </c>
      <c r="AC236" t="str">
        <v>岡山県岡山市北区御津矢原370</v>
      </c>
      <c r="AD236" t="str">
        <v>成広ｺｰﾎﾟⅡ206</v>
      </c>
      <c r="AE236">
        <v>45118</v>
      </c>
      <c r="AF236">
        <v>45125</v>
      </c>
      <c r="AG236">
        <v>45180</v>
      </c>
      <c r="AH236">
        <v>0</v>
      </c>
      <c r="AI236" t="str">
        <v>23.7.18</v>
      </c>
      <c r="AJ236">
        <v>0</v>
      </c>
      <c r="AK236">
        <v>0</v>
      </c>
      <c r="AL236">
        <v>0</v>
      </c>
      <c r="AM236">
        <v>0</v>
      </c>
      <c r="AN236">
        <v>0</v>
      </c>
      <c r="AO236" t="str">
        <v>7/27林</v>
      </c>
      <c r="AP236">
        <v>0</v>
      </c>
    </row>
    <row r="237" spans="1:42">
      <c r="A237" t="str">
        <f>H237&amp;COUNTIF($H$2:H237,H237)</f>
        <v>一次旋係65</v>
      </c>
      <c r="B237" t="str">
        <f>F237&amp;COUNTIF($F$2:F237,F237)</f>
        <v>高雄工業 岡山98</v>
      </c>
      <c r="C237" t="str">
        <v>在職中</v>
      </c>
      <c r="D237">
        <v>230805</v>
      </c>
      <c r="E237">
        <v>232116</v>
      </c>
      <c r="F237" t="str">
        <v>高雄工業 岡山</v>
      </c>
      <c r="G237" t="str">
        <v>高雄工業株式会社 岡山事業所HUB工場製作2課</v>
      </c>
      <c r="H237" t="str">
        <v>一次旋係</v>
      </c>
      <c r="I237" t="str">
        <v>ハブ加工・自動機の操作・ＮＣプログラム修正</v>
      </c>
      <c r="J237" t="str">
        <v>NGUYEN VAN HOI</v>
      </c>
      <c r="K237" t="str">
        <v>グエン　ヴァン　ホイ</v>
      </c>
      <c r="L237" t="str">
        <v>男</v>
      </c>
      <c r="M237" t="str">
        <v>ﾍﾞﾄﾅﾑ</v>
      </c>
      <c r="N237">
        <v>37079</v>
      </c>
      <c r="O237">
        <v>22</v>
      </c>
      <c r="P237">
        <v>1200</v>
      </c>
      <c r="Q237">
        <v>0</v>
      </c>
      <c r="R237">
        <v>1650</v>
      </c>
      <c r="S237">
        <v>0</v>
      </c>
      <c r="T237">
        <v>450</v>
      </c>
      <c r="U237">
        <v>180000</v>
      </c>
      <c r="V237">
        <v>9009</v>
      </c>
      <c r="W237" t="str">
        <v>0</v>
      </c>
      <c r="X237">
        <v>16470</v>
      </c>
      <c r="Y237">
        <v>45499</v>
      </c>
      <c r="Z237" t="str">
        <v/>
      </c>
      <c r="AA237" t="str">
        <v>技術・人文知識・国際業務</v>
      </c>
      <c r="AB237" t="str">
        <v>709-2133</v>
      </c>
      <c r="AC237" t="str">
        <v>岡山県岡山市北区御津金川640</v>
      </c>
      <c r="AD237">
        <v>0</v>
      </c>
      <c r="AE237">
        <v>45133</v>
      </c>
      <c r="AF237">
        <v>45139</v>
      </c>
      <c r="AG237">
        <v>0</v>
      </c>
      <c r="AH237">
        <v>0</v>
      </c>
      <c r="AI237" t="str">
        <v>23.8.1</v>
      </c>
      <c r="AJ237">
        <v>0</v>
      </c>
      <c r="AK237">
        <v>0</v>
      </c>
      <c r="AL237">
        <v>0</v>
      </c>
      <c r="AM237">
        <v>0</v>
      </c>
      <c r="AN237">
        <v>0</v>
      </c>
      <c r="AO237" t="str">
        <v>8/23林</v>
      </c>
      <c r="AP237">
        <v>0</v>
      </c>
    </row>
    <row r="238" spans="1:42">
      <c r="A238" t="str">
        <f>H238&amp;COUNTIF($H$2:H238,H238)</f>
        <v>一次旋係66</v>
      </c>
      <c r="B238" t="str">
        <f>F238&amp;COUNTIF($F$2:F238,F238)</f>
        <v>高雄工業 岡山99</v>
      </c>
      <c r="C238" t="str">
        <v>在職中</v>
      </c>
      <c r="D238">
        <v>230803</v>
      </c>
      <c r="E238">
        <v>232117</v>
      </c>
      <c r="F238" t="str">
        <v>高雄工業 岡山</v>
      </c>
      <c r="G238" t="str">
        <v>高雄工業株式会社 岡山事業所HUB工場製作2課</v>
      </c>
      <c r="H238" t="str">
        <v>一次旋係</v>
      </c>
      <c r="I238" t="str">
        <v>ハブ加工・自動機の操作・ＮＣプログラム修正</v>
      </c>
      <c r="J238" t="str">
        <v>NGUYEN QUOC LONG</v>
      </c>
      <c r="K238" t="str">
        <v>グエン　クォック　ロン</v>
      </c>
      <c r="L238" t="str">
        <v>男</v>
      </c>
      <c r="M238" t="str">
        <v>ﾍﾞﾄﾅﾑ</v>
      </c>
      <c r="N238">
        <v>36751</v>
      </c>
      <c r="O238">
        <v>23</v>
      </c>
      <c r="P238">
        <v>1200</v>
      </c>
      <c r="Q238">
        <v>0</v>
      </c>
      <c r="R238">
        <v>1650</v>
      </c>
      <c r="S238">
        <v>0</v>
      </c>
      <c r="T238">
        <v>450</v>
      </c>
      <c r="U238">
        <v>180000</v>
      </c>
      <c r="V238">
        <v>9009</v>
      </c>
      <c r="W238" t="str">
        <v>0</v>
      </c>
      <c r="X238">
        <v>16470</v>
      </c>
      <c r="Y238">
        <v>45499</v>
      </c>
      <c r="Z238" t="str">
        <v/>
      </c>
      <c r="AA238" t="str">
        <v>技術・人文知識・国際業務</v>
      </c>
      <c r="AB238" t="str">
        <v>709-2133</v>
      </c>
      <c r="AC238" t="str">
        <v>岡山県岡山市北区御津金川640</v>
      </c>
      <c r="AD238">
        <v>0</v>
      </c>
      <c r="AE238">
        <v>45133</v>
      </c>
      <c r="AF238">
        <v>45139</v>
      </c>
      <c r="AG238">
        <v>0</v>
      </c>
      <c r="AH238">
        <v>0</v>
      </c>
      <c r="AI238" t="str">
        <v>23.8.1</v>
      </c>
      <c r="AJ238">
        <v>0</v>
      </c>
      <c r="AK238">
        <v>0</v>
      </c>
      <c r="AL238">
        <v>0</v>
      </c>
      <c r="AM238">
        <v>0</v>
      </c>
      <c r="AN238">
        <v>0</v>
      </c>
      <c r="AO238" t="str">
        <v>8/10林</v>
      </c>
      <c r="AP238">
        <v>0</v>
      </c>
    </row>
    <row r="239" spans="1:42">
      <c r="A239" t="str">
        <f>H239&amp;COUNTIF($H$2:H239,H239)</f>
        <v>一次旋係67</v>
      </c>
      <c r="B239" t="str">
        <f>F239&amp;COUNTIF($F$2:F239,F239)</f>
        <v>高雄工業 岡山100</v>
      </c>
      <c r="C239" t="str">
        <v>在職中</v>
      </c>
      <c r="D239">
        <v>230806</v>
      </c>
      <c r="E239">
        <v>232118</v>
      </c>
      <c r="F239" t="str">
        <v>高雄工業 岡山</v>
      </c>
      <c r="G239" t="str">
        <v>高雄工業株式会社 岡山事業所HUB工場製作2課</v>
      </c>
      <c r="H239" t="str">
        <v>一次旋係</v>
      </c>
      <c r="I239" t="str">
        <v>ハブ加工・自動機の操作・ＮＣプログラム修正</v>
      </c>
      <c r="J239" t="str">
        <v>DU DUC CANH</v>
      </c>
      <c r="K239" t="str">
        <v>ズ　ドゥック　カイン</v>
      </c>
      <c r="L239" t="str">
        <v>男</v>
      </c>
      <c r="M239" t="str">
        <v>ﾍﾞﾄﾅﾑ</v>
      </c>
      <c r="N239">
        <v>36596</v>
      </c>
      <c r="O239">
        <v>23</v>
      </c>
      <c r="P239">
        <v>1200</v>
      </c>
      <c r="Q239">
        <v>0</v>
      </c>
      <c r="R239">
        <v>1650</v>
      </c>
      <c r="S239">
        <v>0</v>
      </c>
      <c r="T239">
        <v>450</v>
      </c>
      <c r="U239">
        <v>180000</v>
      </c>
      <c r="V239">
        <v>9009</v>
      </c>
      <c r="W239" t="str">
        <v>0</v>
      </c>
      <c r="X239">
        <v>16470</v>
      </c>
      <c r="Y239">
        <v>45499</v>
      </c>
      <c r="Z239" t="str">
        <v/>
      </c>
      <c r="AA239" t="str">
        <v>技術・人文知識・国際業務</v>
      </c>
      <c r="AB239" t="str">
        <v>709-2133</v>
      </c>
      <c r="AC239" t="str">
        <v>岡山県岡山市北区御津金川640</v>
      </c>
      <c r="AD239">
        <v>0</v>
      </c>
      <c r="AE239">
        <v>45133</v>
      </c>
      <c r="AF239">
        <v>45139</v>
      </c>
      <c r="AG239">
        <v>0</v>
      </c>
      <c r="AH239">
        <v>0</v>
      </c>
      <c r="AI239" t="str">
        <v>23.8.1</v>
      </c>
      <c r="AJ239">
        <v>0</v>
      </c>
      <c r="AK239">
        <v>0</v>
      </c>
      <c r="AL239">
        <v>0</v>
      </c>
      <c r="AM239">
        <v>0</v>
      </c>
      <c r="AN239">
        <v>0</v>
      </c>
      <c r="AO239" t="str">
        <v>8/23林</v>
      </c>
      <c r="AP239">
        <v>0</v>
      </c>
    </row>
    <row r="240" spans="1:42">
      <c r="A240" t="str">
        <f>H240&amp;COUNTIF($H$2:H240,H240)</f>
        <v>一次旋係68</v>
      </c>
      <c r="B240" t="str">
        <f>F240&amp;COUNTIF($F$2:F240,F240)</f>
        <v>高雄工業 岡山101</v>
      </c>
      <c r="C240" t="str">
        <v>在職中</v>
      </c>
      <c r="D240">
        <v>230804</v>
      </c>
      <c r="E240">
        <v>232119</v>
      </c>
      <c r="F240" t="str">
        <v>高雄工業 岡山</v>
      </c>
      <c r="G240" t="str">
        <v>高雄工業株式会社 岡山事業所HUB工場製作2課</v>
      </c>
      <c r="H240" t="str">
        <v>一次旋係</v>
      </c>
      <c r="I240" t="str">
        <v>ハブ加工・自動機の操作・ＮＣプログラム修正</v>
      </c>
      <c r="J240" t="str">
        <v>TRAN VAN HUAN</v>
      </c>
      <c r="K240" t="str">
        <v>チャン　ヴァン　ファン</v>
      </c>
      <c r="L240" t="str">
        <v>男</v>
      </c>
      <c r="M240" t="str">
        <v>ﾍﾞﾄﾅﾑ</v>
      </c>
      <c r="N240">
        <v>36740</v>
      </c>
      <c r="O240">
        <v>23</v>
      </c>
      <c r="P240">
        <v>1200</v>
      </c>
      <c r="Q240">
        <v>0</v>
      </c>
      <c r="R240">
        <v>1650</v>
      </c>
      <c r="S240">
        <v>0</v>
      </c>
      <c r="T240">
        <v>450</v>
      </c>
      <c r="U240">
        <v>180000</v>
      </c>
      <c r="V240">
        <v>9009</v>
      </c>
      <c r="W240" t="str">
        <v>0</v>
      </c>
      <c r="X240">
        <v>16470</v>
      </c>
      <c r="Y240">
        <v>45499</v>
      </c>
      <c r="Z240" t="str">
        <v/>
      </c>
      <c r="AA240" t="str">
        <v>技術・人文知識・国際業務</v>
      </c>
      <c r="AB240" t="str">
        <v>709-2133</v>
      </c>
      <c r="AC240" t="str">
        <v>岡山県岡山市北区御津金川640</v>
      </c>
      <c r="AD240">
        <v>0</v>
      </c>
      <c r="AE240">
        <v>45133</v>
      </c>
      <c r="AF240">
        <v>45139</v>
      </c>
      <c r="AG240">
        <v>0</v>
      </c>
      <c r="AH240">
        <v>0</v>
      </c>
      <c r="AI240" t="str">
        <v>23.8.1</v>
      </c>
      <c r="AJ240">
        <v>0</v>
      </c>
      <c r="AK240">
        <v>0</v>
      </c>
      <c r="AL240">
        <v>0</v>
      </c>
      <c r="AM240">
        <v>0</v>
      </c>
      <c r="AN240">
        <v>0</v>
      </c>
      <c r="AO240" t="str">
        <v>8/23林</v>
      </c>
      <c r="AP240">
        <v>0</v>
      </c>
    </row>
    <row r="241" spans="1:42">
      <c r="A241" t="str">
        <f>H241&amp;COUNTIF($H$2:H241,H241)</f>
        <v>HUB　検査課係3</v>
      </c>
      <c r="B241" t="str">
        <f>F241&amp;COUNTIF($F$2:F241,F241)</f>
        <v>高雄工業 岡山102</v>
      </c>
      <c r="C241" t="str">
        <v>在職中</v>
      </c>
      <c r="D241">
        <v>220702</v>
      </c>
      <c r="E241">
        <v>232120</v>
      </c>
      <c r="F241" t="str">
        <v>高雄工業 岡山</v>
      </c>
      <c r="G241" t="str">
        <v>高雄工業株式会社 岡山品質保証部岡山HUB品証課</v>
      </c>
      <c r="H241" t="str">
        <v>HUB　検査課係</v>
      </c>
      <c r="I241" t="str">
        <v>HUB旋削加工品の抜き取り検査</v>
      </c>
      <c r="J241" t="str">
        <v>BUI THI HONG LOAN</v>
      </c>
      <c r="K241" t="str">
        <v>ブイ　ティ　ホン　ロアン</v>
      </c>
      <c r="L241" t="str">
        <v>女</v>
      </c>
      <c r="M241" t="str">
        <v>ﾍﾞﾄﾅﾑ</v>
      </c>
      <c r="N241">
        <v>35338</v>
      </c>
      <c r="O241">
        <v>27</v>
      </c>
      <c r="P241">
        <v>1300</v>
      </c>
      <c r="Q241">
        <v>0</v>
      </c>
      <c r="R241">
        <v>1650</v>
      </c>
      <c r="S241">
        <v>0</v>
      </c>
      <c r="T241">
        <v>350</v>
      </c>
      <c r="U241">
        <v>240000</v>
      </c>
      <c r="V241">
        <v>12012</v>
      </c>
      <c r="W241" t="str">
        <v>0</v>
      </c>
      <c r="X241">
        <v>21960</v>
      </c>
      <c r="Y241">
        <v>46186</v>
      </c>
      <c r="Z241" t="str">
        <v/>
      </c>
      <c r="AA241" t="str">
        <v>技術・人文知識・国際業務</v>
      </c>
      <c r="AB241" t="str">
        <v>709-2107</v>
      </c>
      <c r="AC241" t="str">
        <v>岡山県岡山市北区御津矢原311</v>
      </c>
      <c r="AD241" t="str">
        <v>中須賀ｺｰﾎﾟⅢ206</v>
      </c>
      <c r="AE241">
        <v>45165</v>
      </c>
      <c r="AF241">
        <v>44743</v>
      </c>
      <c r="AG241">
        <v>0</v>
      </c>
      <c r="AH241">
        <v>0</v>
      </c>
      <c r="AI241" t="str">
        <v>22.09.01</v>
      </c>
      <c r="AJ241" t="str">
        <v>ブイ　ティ　ホン　ロアン</v>
      </c>
      <c r="AK241" t="str">
        <v>ゆうちょ銀行</v>
      </c>
      <c r="AL241">
        <v>548</v>
      </c>
      <c r="AM241" t="str">
        <v>五四八</v>
      </c>
      <c r="AN241" t="str">
        <v>4072812</v>
      </c>
      <c r="AO241" t="str">
        <v>8/1林</v>
      </c>
      <c r="AP241" t="str">
        <v>2022/7/1~2023/7/28ﾌｪﾆﾃｯｸ鹿児島　2023/8/4~高雄工業岡山へ異動</v>
      </c>
    </row>
    <row r="242" spans="1:42">
      <c r="A242" t="str">
        <f>H242&amp;COUNTIF($H$2:H242,H242)</f>
        <v>H_2次旋8</v>
      </c>
      <c r="B242" t="str">
        <f>F242&amp;COUNTIF($F$2:F242,F242)</f>
        <v>高雄工業 岡山103</v>
      </c>
      <c r="C242" t="str">
        <v>在職中</v>
      </c>
      <c r="D242">
        <v>230919</v>
      </c>
      <c r="E242">
        <v>232121</v>
      </c>
      <c r="F242" t="str">
        <v>高雄工業 岡山</v>
      </c>
      <c r="G242" t="str">
        <v>高雄工業株式会社 海南第一工場製作1課</v>
      </c>
      <c r="H242" t="str">
        <v>H_2次旋</v>
      </c>
      <c r="I242" t="str">
        <v>ハブ加工品の2次施削、手動機械オペレーターNCプログラム修正</v>
      </c>
      <c r="J242" t="str">
        <v>NGUYEN XUAN LAM</v>
      </c>
      <c r="K242" t="str">
        <v>グエン　スアン　ラム</v>
      </c>
      <c r="L242" t="str">
        <v>男</v>
      </c>
      <c r="M242" t="str">
        <v>ﾍﾞﾄﾅﾑ</v>
      </c>
      <c r="N242">
        <v>36595</v>
      </c>
      <c r="O242">
        <v>23</v>
      </c>
      <c r="P242">
        <v>1200</v>
      </c>
      <c r="Q242">
        <v>0</v>
      </c>
      <c r="R242">
        <v>1650</v>
      </c>
      <c r="S242">
        <v>0</v>
      </c>
      <c r="T242">
        <v>450</v>
      </c>
      <c r="U242">
        <v>200000</v>
      </c>
      <c r="V242">
        <v>10010</v>
      </c>
      <c r="W242" t="str">
        <v>0</v>
      </c>
      <c r="X242">
        <v>18300</v>
      </c>
      <c r="Y242">
        <v>45557</v>
      </c>
      <c r="Z242" t="str">
        <v/>
      </c>
      <c r="AA242" t="str">
        <v>技術・人文知識・国際業務</v>
      </c>
      <c r="AB242" t="str">
        <v>709-2107</v>
      </c>
      <c r="AC242" t="str">
        <v>岡山県岡山市北区御津矢原307番地</v>
      </c>
      <c r="AD242" t="str">
        <v>成広矢原ｺｰﾎﾟⅠ201</v>
      </c>
      <c r="AE242">
        <v>45191</v>
      </c>
      <c r="AF242">
        <v>45197</v>
      </c>
      <c r="AG242">
        <v>0</v>
      </c>
      <c r="AH242">
        <v>0</v>
      </c>
      <c r="AI242" t="str">
        <v>23.9.28</v>
      </c>
      <c r="AJ242">
        <v>0</v>
      </c>
      <c r="AK242">
        <v>0</v>
      </c>
      <c r="AL242">
        <v>0</v>
      </c>
      <c r="AM242">
        <v>0</v>
      </c>
      <c r="AN242">
        <v>0</v>
      </c>
      <c r="AO242" t="str">
        <v>10/13林</v>
      </c>
      <c r="AP242">
        <v>0</v>
      </c>
    </row>
    <row r="243" spans="1:42">
      <c r="A243" t="str">
        <f>H243&amp;COUNTIF($H$2:H243,H243)</f>
        <v>H_2次旋9</v>
      </c>
      <c r="B243" t="str">
        <f>F243&amp;COUNTIF($F$2:F243,F243)</f>
        <v>高雄工業 岡山104</v>
      </c>
      <c r="C243" t="str">
        <v>在職中</v>
      </c>
      <c r="D243">
        <v>230918</v>
      </c>
      <c r="E243">
        <v>232122</v>
      </c>
      <c r="F243" t="str">
        <v>高雄工業 岡山</v>
      </c>
      <c r="G243" t="str">
        <v>高雄工業株式会社 海南第一工場製作1課</v>
      </c>
      <c r="H243" t="str">
        <v>H_2次旋</v>
      </c>
      <c r="I243" t="str">
        <v>ハブ加工品の2次施削、手動機械オペレーターNCプログラム修正</v>
      </c>
      <c r="J243" t="str">
        <v>NGO MANH TUAN</v>
      </c>
      <c r="K243" t="str">
        <v>ゴー　マイン　トゥアン</v>
      </c>
      <c r="L243" t="str">
        <v>男</v>
      </c>
      <c r="M243" t="str">
        <v>ﾍﾞﾄﾅﾑ</v>
      </c>
      <c r="N243">
        <v>35911</v>
      </c>
      <c r="O243">
        <v>25</v>
      </c>
      <c r="P243">
        <v>1200</v>
      </c>
      <c r="Q243">
        <v>0</v>
      </c>
      <c r="R243">
        <v>1650</v>
      </c>
      <c r="S243">
        <v>0</v>
      </c>
      <c r="T243">
        <v>450</v>
      </c>
      <c r="U243">
        <v>200000</v>
      </c>
      <c r="V243">
        <v>10010</v>
      </c>
      <c r="W243" t="str">
        <v>0</v>
      </c>
      <c r="X243">
        <v>18300</v>
      </c>
      <c r="Y243">
        <v>45557</v>
      </c>
      <c r="Z243" t="str">
        <v/>
      </c>
      <c r="AA243" t="str">
        <v>技術・人文知識・国際業務</v>
      </c>
      <c r="AB243" t="str">
        <v>709-2107</v>
      </c>
      <c r="AC243" t="str">
        <v>岡山県岡山市北区御津矢原297－1</v>
      </c>
      <c r="AD243" t="str">
        <v>成広矢原ｺｰﾎﾟⅤ102</v>
      </c>
      <c r="AE243">
        <v>45191</v>
      </c>
      <c r="AF243">
        <v>45197</v>
      </c>
      <c r="AG243">
        <v>0</v>
      </c>
      <c r="AH243">
        <v>0</v>
      </c>
      <c r="AI243" t="str">
        <v>23.9.28</v>
      </c>
      <c r="AJ243">
        <v>0</v>
      </c>
      <c r="AK243">
        <v>0</v>
      </c>
      <c r="AL243">
        <v>0</v>
      </c>
      <c r="AM243">
        <v>0</v>
      </c>
      <c r="AN243">
        <v>0</v>
      </c>
      <c r="AO243" t="str">
        <v>10/13林</v>
      </c>
      <c r="AP243">
        <v>0</v>
      </c>
    </row>
    <row r="244" spans="1:42">
      <c r="A244" t="str">
        <f>H244&amp;COUNTIF($H$2:H244,H244)</f>
        <v>一次旋係69</v>
      </c>
      <c r="B244" t="str">
        <f>F244&amp;COUNTIF($F$2:F244,F244)</f>
        <v>高雄工業 岡山105</v>
      </c>
      <c r="C244" t="str">
        <v>在職中</v>
      </c>
      <c r="D244">
        <v>230920</v>
      </c>
      <c r="E244">
        <v>232123</v>
      </c>
      <c r="F244" t="str">
        <v>高雄工業 岡山</v>
      </c>
      <c r="G244" t="str">
        <v>高雄工業株式会社 岡山事業所HUB工場製作1課</v>
      </c>
      <c r="H244" t="str">
        <v>一次旋係</v>
      </c>
      <c r="I244" t="str">
        <v>ハブ加工・自動機の操作・ＮＣプログラム修正</v>
      </c>
      <c r="J244" t="str">
        <v>HA NGOC QUAN</v>
      </c>
      <c r="K244" t="str">
        <v>ハー　ゴック　クアン</v>
      </c>
      <c r="L244" t="str">
        <v>男</v>
      </c>
      <c r="M244" t="str">
        <v>ﾍﾞﾄﾅﾑ</v>
      </c>
      <c r="N244">
        <v>36276</v>
      </c>
      <c r="O244">
        <v>24</v>
      </c>
      <c r="P244">
        <v>1200</v>
      </c>
      <c r="Q244">
        <v>0</v>
      </c>
      <c r="R244">
        <v>1650</v>
      </c>
      <c r="S244">
        <v>0</v>
      </c>
      <c r="T244">
        <v>450</v>
      </c>
      <c r="U244">
        <v>200000</v>
      </c>
      <c r="V244">
        <v>10010</v>
      </c>
      <c r="W244" t="str">
        <v>0</v>
      </c>
      <c r="X244">
        <v>18300</v>
      </c>
      <c r="Y244">
        <v>45557</v>
      </c>
      <c r="Z244" t="str">
        <v/>
      </c>
      <c r="AA244" t="str">
        <v>技術・人文知識・国際業務</v>
      </c>
      <c r="AB244" t="str">
        <v>709-2107</v>
      </c>
      <c r="AC244" t="str">
        <v>岡山県岡山市北区御津矢原307－1</v>
      </c>
      <c r="AD244" t="str">
        <v>成広矢原ｺｰﾎﾟⅡ102</v>
      </c>
      <c r="AE244">
        <v>45191</v>
      </c>
      <c r="AF244">
        <v>45197</v>
      </c>
      <c r="AG244">
        <v>0</v>
      </c>
      <c r="AH244">
        <v>0</v>
      </c>
      <c r="AI244" t="str">
        <v>23.10.1</v>
      </c>
      <c r="AJ244">
        <v>0</v>
      </c>
      <c r="AK244">
        <v>0</v>
      </c>
      <c r="AL244">
        <v>0</v>
      </c>
      <c r="AM244">
        <v>0</v>
      </c>
      <c r="AN244">
        <v>0</v>
      </c>
      <c r="AO244" t="str">
        <v>10/13林</v>
      </c>
      <c r="AP244">
        <v>0</v>
      </c>
    </row>
    <row r="245" spans="1:42">
      <c r="A245" t="str">
        <f>H245&amp;COUNTIF($H$2:H245,H245)</f>
        <v>一次旋係70</v>
      </c>
      <c r="B245" t="str">
        <f>F245&amp;COUNTIF($F$2:F245,F245)</f>
        <v>高雄工業 岡山106</v>
      </c>
      <c r="C245" t="str">
        <v>在職中</v>
      </c>
      <c r="D245">
        <v>230917</v>
      </c>
      <c r="E245">
        <v>232124</v>
      </c>
      <c r="F245" t="str">
        <v>高雄工業 岡山</v>
      </c>
      <c r="G245" t="str">
        <v>高雄工業株式会社 岡山事業所HUB工場製作1課</v>
      </c>
      <c r="H245" t="str">
        <v>一次旋係</v>
      </c>
      <c r="I245" t="str">
        <v>ハブ加工・自動機の操作・ＮＣプログラム修正</v>
      </c>
      <c r="J245" t="str">
        <v>BUI MINH DUC</v>
      </c>
      <c r="K245" t="str">
        <v>ブイ　ミン　ドゥック</v>
      </c>
      <c r="L245" t="str">
        <v>男</v>
      </c>
      <c r="M245" t="str">
        <v>ﾍﾞﾄﾅﾑ</v>
      </c>
      <c r="N245">
        <v>32860</v>
      </c>
      <c r="O245">
        <v>33</v>
      </c>
      <c r="P245">
        <v>1200</v>
      </c>
      <c r="Q245">
        <v>0</v>
      </c>
      <c r="R245">
        <v>1650</v>
      </c>
      <c r="S245">
        <v>0</v>
      </c>
      <c r="T245">
        <v>450</v>
      </c>
      <c r="U245">
        <v>200000</v>
      </c>
      <c r="V245">
        <v>10010</v>
      </c>
      <c r="W245" t="str">
        <v>0</v>
      </c>
      <c r="X245">
        <v>18300</v>
      </c>
      <c r="Y245">
        <v>45557</v>
      </c>
      <c r="Z245" t="str">
        <v/>
      </c>
      <c r="AA245" t="str">
        <v>技術・人文知識・国際業務</v>
      </c>
      <c r="AB245" t="str">
        <v>709-2107</v>
      </c>
      <c r="AC245" t="str">
        <v>岡山県岡山市北区御津矢原307番地</v>
      </c>
      <c r="AD245" t="str">
        <v>成広矢原ｺｰﾎﾟⅠ201</v>
      </c>
      <c r="AE245">
        <v>45191</v>
      </c>
      <c r="AF245">
        <v>45197</v>
      </c>
      <c r="AG245">
        <v>0</v>
      </c>
      <c r="AH245">
        <v>0</v>
      </c>
      <c r="AI245" t="str">
        <v>23.9.28</v>
      </c>
      <c r="AJ245">
        <v>0</v>
      </c>
      <c r="AK245">
        <v>0</v>
      </c>
      <c r="AL245">
        <v>0</v>
      </c>
      <c r="AM245">
        <v>0</v>
      </c>
      <c r="AN245">
        <v>0</v>
      </c>
      <c r="AO245" t="str">
        <v>10/13林</v>
      </c>
      <c r="AP245">
        <v>0</v>
      </c>
    </row>
    <row r="246" spans="1:42">
      <c r="A246" t="str">
        <f>H246&amp;COUNTIF($H$2:H246,H246)</f>
        <v>一次旋係71</v>
      </c>
      <c r="B246" t="str">
        <f>F246&amp;COUNTIF($F$2:F246,F246)</f>
        <v>高雄工業 岡山107</v>
      </c>
      <c r="C246" t="str">
        <v>在職中</v>
      </c>
      <c r="D246">
        <v>231104</v>
      </c>
      <c r="E246">
        <v>232125</v>
      </c>
      <c r="F246" t="str">
        <v>高雄工業 岡山</v>
      </c>
      <c r="G246" t="str">
        <v>高雄工業株式会社 岡山事業所HUB工場製作1課</v>
      </c>
      <c r="H246" t="str">
        <v>一次旋係</v>
      </c>
      <c r="I246" t="str">
        <v>ハブ加工・自動機の操作・ＮＣプログラム修正</v>
      </c>
      <c r="J246" t="str">
        <v>BUI XUAN DAT</v>
      </c>
      <c r="K246" t="str">
        <v>ブイ　スアン　ダット</v>
      </c>
      <c r="L246" t="str">
        <v>男</v>
      </c>
      <c r="M246" t="str">
        <v>ﾍﾞﾄﾅﾑ</v>
      </c>
      <c r="N246">
        <v>36479</v>
      </c>
      <c r="O246">
        <v>24</v>
      </c>
      <c r="P246">
        <v>1200</v>
      </c>
      <c r="Q246">
        <v>0</v>
      </c>
      <c r="R246">
        <v>1650</v>
      </c>
      <c r="S246">
        <v>0</v>
      </c>
      <c r="T246">
        <v>450</v>
      </c>
      <c r="U246">
        <v>200000</v>
      </c>
      <c r="V246">
        <v>10010</v>
      </c>
      <c r="W246" t="str">
        <v>0</v>
      </c>
      <c r="X246">
        <v>18300</v>
      </c>
      <c r="Y246">
        <v>45592</v>
      </c>
      <c r="Z246" t="str">
        <v/>
      </c>
      <c r="AA246" t="str">
        <v>技術・人文知識・国際業務</v>
      </c>
      <c r="AB246" t="str">
        <v>709-2107</v>
      </c>
      <c r="AC246" t="str">
        <v>岡山県岡山市北区御津矢原299-2</v>
      </c>
      <c r="AD246" t="str">
        <v>成広矢原ｺｰﾎﾟⅦ102</v>
      </c>
      <c r="AE246">
        <v>45226</v>
      </c>
      <c r="AF246">
        <v>45231</v>
      </c>
      <c r="AG246">
        <v>0</v>
      </c>
      <c r="AH246">
        <v>0</v>
      </c>
      <c r="AI246" t="str">
        <v>23.11.1</v>
      </c>
      <c r="AJ246">
        <v>0</v>
      </c>
      <c r="AK246">
        <v>0</v>
      </c>
      <c r="AL246">
        <v>0</v>
      </c>
      <c r="AM246">
        <v>0</v>
      </c>
      <c r="AN246">
        <v>0</v>
      </c>
      <c r="AO246" t="str">
        <v>11/20林</v>
      </c>
      <c r="AP246">
        <v>0</v>
      </c>
    </row>
    <row r="247" spans="1:42">
      <c r="A247" t="str">
        <f>H247&amp;COUNTIF($H$2:H247,H247)</f>
        <v>一次旋係72</v>
      </c>
      <c r="B247" t="str">
        <f>F247&amp;COUNTIF($F$2:F247,F247)</f>
        <v>高雄工業 岡山108</v>
      </c>
      <c r="C247" t="str">
        <v>在職中</v>
      </c>
      <c r="D247">
        <v>231105</v>
      </c>
      <c r="E247">
        <v>232126</v>
      </c>
      <c r="F247" t="str">
        <v>高雄工業 岡山</v>
      </c>
      <c r="G247" t="str">
        <v>高雄工業株式会社 岡山事業所HUB工場製作1課</v>
      </c>
      <c r="H247" t="str">
        <v>一次旋係</v>
      </c>
      <c r="I247" t="str">
        <v>ハブ加工・自動機の操作・ＮＣプログラム修正</v>
      </c>
      <c r="J247" t="str">
        <v>LE TRAN NHAT LINH</v>
      </c>
      <c r="K247" t="str">
        <v>レ　チャン　ニャット　リン</v>
      </c>
      <c r="L247" t="str">
        <v>男</v>
      </c>
      <c r="M247" t="str">
        <v>ﾍﾞﾄﾅﾑ</v>
      </c>
      <c r="N247">
        <v>36198</v>
      </c>
      <c r="O247">
        <v>24</v>
      </c>
      <c r="P247">
        <v>1200</v>
      </c>
      <c r="Q247">
        <v>0</v>
      </c>
      <c r="R247">
        <v>1650</v>
      </c>
      <c r="S247">
        <v>0</v>
      </c>
      <c r="T247">
        <v>450</v>
      </c>
      <c r="U247">
        <v>200000</v>
      </c>
      <c r="V247">
        <v>10010</v>
      </c>
      <c r="W247" t="str">
        <v>0</v>
      </c>
      <c r="X247">
        <v>18300</v>
      </c>
      <c r="Y247">
        <v>45592</v>
      </c>
      <c r="Z247" t="str">
        <v/>
      </c>
      <c r="AA247" t="str">
        <v>技術・人文知識・国際業務</v>
      </c>
      <c r="AB247" t="str">
        <v>709-2107</v>
      </c>
      <c r="AC247" t="str">
        <v>岡山県岡山市北区御津矢原299-2</v>
      </c>
      <c r="AD247" t="str">
        <v>成広矢原ｺｰﾎﾟⅦ102</v>
      </c>
      <c r="AE247">
        <v>45226</v>
      </c>
      <c r="AF247">
        <v>45231</v>
      </c>
      <c r="AG247">
        <v>0</v>
      </c>
      <c r="AH247">
        <v>0</v>
      </c>
      <c r="AI247" t="str">
        <v>23.11.1</v>
      </c>
      <c r="AJ247">
        <v>0</v>
      </c>
      <c r="AK247">
        <v>0</v>
      </c>
      <c r="AL247">
        <v>0</v>
      </c>
      <c r="AM247">
        <v>0</v>
      </c>
      <c r="AN247">
        <v>0</v>
      </c>
      <c r="AO247" t="str">
        <v>11/20林</v>
      </c>
      <c r="AP247">
        <v>0</v>
      </c>
    </row>
    <row r="248" spans="1:42">
      <c r="A248" t="str">
        <f>H248&amp;COUNTIF($H$2:H248,H248)</f>
        <v>長軸バリ取り1</v>
      </c>
      <c r="B248" t="str">
        <f>F248&amp;COUNTIF($F$2:F248,F248)</f>
        <v>高雄工業 静岡1</v>
      </c>
      <c r="C248" t="str">
        <v>退社</v>
      </c>
      <c r="D248">
        <v>201207</v>
      </c>
      <c r="E248">
        <v>242001</v>
      </c>
      <c r="F248" t="str">
        <v>高雄工業 静岡</v>
      </c>
      <c r="G248" t="str">
        <v>高雄工業株式会社 静岡事業所第二工場製作課</v>
      </c>
      <c r="H248" t="str">
        <v>長軸バリ取り</v>
      </c>
      <c r="I248">
        <v>0</v>
      </c>
      <c r="J248" t="str">
        <v>LE XUAN HUNG</v>
      </c>
      <c r="K248" t="str">
        <v>レ　スアン　フン</v>
      </c>
      <c r="L248" t="str">
        <v>男</v>
      </c>
      <c r="M248" t="str">
        <v>ﾍﾞﾄﾅﾑ</v>
      </c>
      <c r="N248">
        <v>32467</v>
      </c>
      <c r="O248">
        <v>35</v>
      </c>
      <c r="P248">
        <v>1410</v>
      </c>
      <c r="Q248" t="str">
        <v>6/16~ \1200⇒\1250</v>
      </c>
      <c r="R248">
        <v>1780</v>
      </c>
      <c r="S248" t="str">
        <v>9/16~ 1600円→1750円</v>
      </c>
      <c r="T248">
        <v>370</v>
      </c>
      <c r="U248">
        <v>0</v>
      </c>
      <c r="V248" t="str">
        <v/>
      </c>
      <c r="W248" t="str">
        <v>0</v>
      </c>
      <c r="X248" t="str">
        <v/>
      </c>
      <c r="Y248">
        <v>45167</v>
      </c>
      <c r="Z248" t="str">
        <v>残り期限90日!</v>
      </c>
      <c r="AA248" t="str">
        <v>技術・人文知識・国際業務</v>
      </c>
      <c r="AB248" t="str">
        <v>437-0061</v>
      </c>
      <c r="AC248" t="str">
        <v>静岡県袋井市久能1289-1</v>
      </c>
      <c r="AD248" t="str">
        <v>ｱｳﾛｰﾗⅡ101号</v>
      </c>
      <c r="AE248">
        <v>44186</v>
      </c>
      <c r="AF248">
        <v>44189</v>
      </c>
      <c r="AG248">
        <v>44875</v>
      </c>
      <c r="AH248">
        <v>0</v>
      </c>
      <c r="AI248">
        <v>44228</v>
      </c>
      <c r="AJ248" t="str">
        <v>レ　スアン　フン</v>
      </c>
      <c r="AK248" t="str">
        <v>ゆうちょ銀行</v>
      </c>
      <c r="AL248">
        <v>748</v>
      </c>
      <c r="AM248" t="str">
        <v>七四八</v>
      </c>
      <c r="AN248" t="str">
        <v>9591393</v>
      </c>
      <c r="AO248" t="str">
        <v>OK</v>
      </c>
      <c r="AP248">
        <v>0</v>
      </c>
    </row>
    <row r="249" spans="1:42">
      <c r="A249" t="str">
        <f>H249&amp;COUNTIF($H$2:H249,H249)</f>
        <v>転造1</v>
      </c>
      <c r="B249" t="str">
        <f>F249&amp;COUNTIF($F$2:F249,F249)</f>
        <v>高雄工業 静岡2</v>
      </c>
      <c r="C249" t="str">
        <v>退社</v>
      </c>
      <c r="D249">
        <v>201208</v>
      </c>
      <c r="E249">
        <v>242002</v>
      </c>
      <c r="F249" t="str">
        <v>高雄工業 静岡</v>
      </c>
      <c r="G249" t="str">
        <v>高雄工業株式会社 静岡事業所第一工場製作課</v>
      </c>
      <c r="H249" t="str">
        <v>転造</v>
      </c>
      <c r="I249" t="str">
        <v>ＣＶＪ短軸等速ジョイント旋削加工・ＮＣプログラム修正</v>
      </c>
      <c r="J249" t="str">
        <v>DO VAN NGHIEP</v>
      </c>
      <c r="K249" t="str">
        <v>ドー　ヴァン　ギエップ</v>
      </c>
      <c r="L249" t="str">
        <v>男</v>
      </c>
      <c r="M249" t="str">
        <v>ﾍﾞﾄﾅﾑ</v>
      </c>
      <c r="N249">
        <v>30917</v>
      </c>
      <c r="O249">
        <v>39</v>
      </c>
      <c r="P249">
        <v>1400</v>
      </c>
      <c r="Q249" t="str">
        <v>6/16~ \1200⇒\1250</v>
      </c>
      <c r="R249">
        <v>1790</v>
      </c>
      <c r="S249" t="str">
        <v>9/16~ 1600円→1750円</v>
      </c>
      <c r="T249">
        <v>390</v>
      </c>
      <c r="U249">
        <v>320000</v>
      </c>
      <c r="V249">
        <v>16015.999999999998</v>
      </c>
      <c r="W249" t="str">
        <v>0</v>
      </c>
      <c r="X249">
        <v>29280</v>
      </c>
      <c r="Y249">
        <v>45258</v>
      </c>
      <c r="Z249" t="str">
        <v>残り期限90日!</v>
      </c>
      <c r="AA249" t="str">
        <v>技術・人文知識・国際業務</v>
      </c>
      <c r="AB249" t="str">
        <v>437-0017</v>
      </c>
      <c r="AC249" t="str">
        <v>静岡県袋井市鷲巣950-1</v>
      </c>
      <c r="AD249" t="str">
        <v>ﾚｵﾊﾟﾚｽわしず103</v>
      </c>
      <c r="AE249" t="str">
        <v>個人</v>
      </c>
      <c r="AF249">
        <v>44189</v>
      </c>
      <c r="AG249">
        <v>45114</v>
      </c>
      <c r="AH249">
        <v>0</v>
      </c>
      <c r="AI249">
        <v>44228</v>
      </c>
      <c r="AJ249" t="str">
        <v>ドー　バン　ギエツプ</v>
      </c>
      <c r="AK249" t="str">
        <v>群馬銀行</v>
      </c>
      <c r="AL249">
        <v>151</v>
      </c>
      <c r="AM249" t="str">
        <v>伊勢崎西</v>
      </c>
      <c r="AN249" t="str">
        <v>929407</v>
      </c>
      <c r="AO249" t="str">
        <v>OK</v>
      </c>
      <c r="AP249">
        <v>0</v>
      </c>
    </row>
    <row r="250" spans="1:42">
      <c r="A250" t="str">
        <f>H250&amp;COUNTIF($H$2:H250,H250)</f>
        <v>040</v>
      </c>
      <c r="B250" t="str">
        <f>F250&amp;COUNTIF($F$2:F250,F250)</f>
        <v>高雄工業 静岡3</v>
      </c>
      <c r="C250" t="str">
        <v>退社</v>
      </c>
      <c r="D250">
        <v>210114</v>
      </c>
      <c r="E250">
        <v>242003</v>
      </c>
      <c r="F250" t="str">
        <v>高雄工業 静岡</v>
      </c>
      <c r="G250" t="str">
        <v>高雄工業株式会社 静岡事業所第一工場製作課</v>
      </c>
      <c r="H250">
        <v>0</v>
      </c>
      <c r="I250">
        <v>0</v>
      </c>
      <c r="J250" t="str">
        <v>TRAN VAN TUNG</v>
      </c>
      <c r="K250" t="str">
        <v>チャン　ヴァン　トゥン</v>
      </c>
      <c r="L250" t="str">
        <v>男</v>
      </c>
      <c r="M250" t="str">
        <v>ﾍﾞﾄﾅﾑ</v>
      </c>
      <c r="N250">
        <v>35489</v>
      </c>
      <c r="O250">
        <v>26</v>
      </c>
      <c r="P250">
        <v>1400</v>
      </c>
      <c r="Q250" t="str">
        <v>6/16~ \1200⇒\1250</v>
      </c>
      <c r="R250">
        <v>1770</v>
      </c>
      <c r="S250" t="str">
        <v>9/16~ 1600円→1750円</v>
      </c>
      <c r="T250">
        <v>370</v>
      </c>
      <c r="U250">
        <v>0</v>
      </c>
      <c r="V250" t="str">
        <v/>
      </c>
      <c r="W250" t="str">
        <v>0</v>
      </c>
      <c r="X250" t="str">
        <v/>
      </c>
      <c r="Y250">
        <v>45167</v>
      </c>
      <c r="Z250" t="str">
        <v>残り期限90日!</v>
      </c>
      <c r="AA250" t="str">
        <v>技術・人文知識・国際業務</v>
      </c>
      <c r="AB250" t="str">
        <v>437-0061</v>
      </c>
      <c r="AC250" t="str">
        <v>静岡県袋井市久能1744番地1</v>
      </c>
      <c r="AD250" t="str">
        <v>ｱﾙｺ･ﾊﾞﾚｰﾉ205</v>
      </c>
      <c r="AE250">
        <v>44202</v>
      </c>
      <c r="AF250">
        <v>44207</v>
      </c>
      <c r="AG250">
        <v>44854</v>
      </c>
      <c r="AH250">
        <v>0</v>
      </c>
      <c r="AI250">
        <v>44256</v>
      </c>
      <c r="AJ250" t="str">
        <v>チャン　ヴァン　トゥン</v>
      </c>
      <c r="AK250" t="str">
        <v>ゆうちょ銀行</v>
      </c>
      <c r="AL250">
        <v>748</v>
      </c>
      <c r="AM250" t="str">
        <v>七四八</v>
      </c>
      <c r="AN250" t="str">
        <v>8979185</v>
      </c>
      <c r="AO250" t="str">
        <v>OK</v>
      </c>
      <c r="AP250">
        <v>0</v>
      </c>
    </row>
    <row r="251" spans="1:42">
      <c r="A251" t="str">
        <f>H251&amp;COUNTIF($H$2:H251,H251)</f>
        <v>041</v>
      </c>
      <c r="B251" t="str">
        <f>F251&amp;COUNTIF($F$2:F251,F251)</f>
        <v>高雄工業 静岡4</v>
      </c>
      <c r="C251" t="str">
        <v>退社</v>
      </c>
      <c r="D251">
        <v>210113</v>
      </c>
      <c r="E251">
        <v>242004</v>
      </c>
      <c r="F251" t="str">
        <v>高雄工業 静岡</v>
      </c>
      <c r="G251" t="str">
        <v>高雄工業株式会社 静岡事業所第一工場製作課</v>
      </c>
      <c r="H251">
        <v>0</v>
      </c>
      <c r="I251">
        <v>0</v>
      </c>
      <c r="J251" t="str">
        <v>PHAN MINH KHANH</v>
      </c>
      <c r="K251" t="str">
        <v>ファン　ミン　カン</v>
      </c>
      <c r="L251" t="str">
        <v>男</v>
      </c>
      <c r="M251" t="str">
        <v>ﾍﾞﾄﾅﾑ</v>
      </c>
      <c r="N251">
        <v>35776</v>
      </c>
      <c r="O251">
        <v>25</v>
      </c>
      <c r="P251">
        <v>1400</v>
      </c>
      <c r="Q251" t="str">
        <v>6/16~ \1200⇒\1250</v>
      </c>
      <c r="R251">
        <v>1770</v>
      </c>
      <c r="S251" t="str">
        <v>9/16~ 1600円→1750円</v>
      </c>
      <c r="T251">
        <v>370</v>
      </c>
      <c r="U251">
        <v>0</v>
      </c>
      <c r="V251" t="str">
        <v/>
      </c>
      <c r="W251" t="str">
        <v>0</v>
      </c>
      <c r="X251" t="str">
        <v/>
      </c>
      <c r="Y251">
        <v>45085</v>
      </c>
      <c r="Z251" t="str">
        <v>残り期限90日!</v>
      </c>
      <c r="AA251" t="str">
        <v>技術・人文知識・国際業務</v>
      </c>
      <c r="AB251" t="str">
        <v>437-0061</v>
      </c>
      <c r="AC251" t="str">
        <v>静岡県袋井市久能1744番地1</v>
      </c>
      <c r="AD251" t="str">
        <v>ｱﾙｺ･ﾊﾞﾚｰﾉ205</v>
      </c>
      <c r="AE251">
        <v>44202</v>
      </c>
      <c r="AF251">
        <v>44207</v>
      </c>
      <c r="AG251">
        <v>44783</v>
      </c>
      <c r="AH251">
        <v>0</v>
      </c>
      <c r="AI251">
        <v>44256</v>
      </c>
      <c r="AJ251" t="str">
        <v>ファン　ミン　カイン</v>
      </c>
      <c r="AK251" t="str">
        <v>ゆうちょ銀行</v>
      </c>
      <c r="AL251">
        <v>748</v>
      </c>
      <c r="AM251" t="str">
        <v>七四八</v>
      </c>
      <c r="AN251" t="str">
        <v>8343249</v>
      </c>
      <c r="AO251" t="str">
        <v>OK</v>
      </c>
      <c r="AP251">
        <v>0</v>
      </c>
    </row>
    <row r="252" spans="1:42">
      <c r="A252" t="str">
        <f>H252&amp;COUNTIF($H$2:H252,H252)</f>
        <v>ナット1</v>
      </c>
      <c r="B252" t="str">
        <f>F252&amp;COUNTIF($F$2:F252,F252)</f>
        <v>高雄工業 静岡5</v>
      </c>
      <c r="C252" t="str">
        <v>在職中</v>
      </c>
      <c r="D252">
        <v>210112</v>
      </c>
      <c r="E252">
        <v>242006</v>
      </c>
      <c r="F252" t="str">
        <v>高雄工業 静岡</v>
      </c>
      <c r="G252" t="str">
        <v>高雄工業株式会社 静岡事業所第二工場製作課</v>
      </c>
      <c r="H252" t="str">
        <v>ナット</v>
      </c>
      <c r="I252" t="str">
        <v>産業機械部品の研磨加工、NCプログラム修正</v>
      </c>
      <c r="J252" t="str">
        <v>NGUYEN QUANG QUYEN</v>
      </c>
      <c r="K252" t="str">
        <v>グエン　カン　クエン</v>
      </c>
      <c r="L252" t="str">
        <v>男</v>
      </c>
      <c r="M252" t="str">
        <v>ﾍﾞﾄﾅﾑ</v>
      </c>
      <c r="N252">
        <v>34179</v>
      </c>
      <c r="O252">
        <v>30</v>
      </c>
      <c r="P252">
        <v>1410</v>
      </c>
      <c r="Q252" t="str">
        <v>6/16~ \1200⇒\1250</v>
      </c>
      <c r="R252">
        <v>1800</v>
      </c>
      <c r="S252" t="str">
        <v>9/16~ 1610円→1760円</v>
      </c>
      <c r="T252">
        <v>390</v>
      </c>
      <c r="U252">
        <v>280000</v>
      </c>
      <c r="V252">
        <v>14014</v>
      </c>
      <c r="W252" t="str">
        <v>0</v>
      </c>
      <c r="X252">
        <v>25620</v>
      </c>
      <c r="Y252">
        <v>45761</v>
      </c>
      <c r="Z252" t="str">
        <v/>
      </c>
      <c r="AA252" t="str">
        <v>技術・人文知識・国際業務</v>
      </c>
      <c r="AB252" t="str">
        <v>437-0065</v>
      </c>
      <c r="AC252" t="str">
        <v>静岡県袋井市堀越3丁目19-2</v>
      </c>
      <c r="AD252" t="str">
        <v>ｴｸｾｰﾗ201号室</v>
      </c>
      <c r="AE252" t="str">
        <v>個人</v>
      </c>
      <c r="AF252">
        <v>44207</v>
      </c>
      <c r="AG252">
        <v>0</v>
      </c>
      <c r="AH252">
        <v>44439</v>
      </c>
      <c r="AI252">
        <v>44256</v>
      </c>
      <c r="AJ252" t="str">
        <v>グェン　カン　クェン</v>
      </c>
      <c r="AK252" t="str">
        <v>ゆうちょ銀行</v>
      </c>
      <c r="AL252">
        <v>408</v>
      </c>
      <c r="AM252" t="str">
        <v>四〇八</v>
      </c>
      <c r="AN252" t="str">
        <v>4486594</v>
      </c>
      <c r="AO252" t="str">
        <v>OK</v>
      </c>
      <c r="AP252">
        <v>0</v>
      </c>
    </row>
    <row r="253" spans="1:42">
      <c r="A253" t="str">
        <f>H253&amp;COUNTIF($H$2:H253,H253)</f>
        <v>自動旋削1</v>
      </c>
      <c r="B253" t="str">
        <f>F253&amp;COUNTIF($F$2:F253,F253)</f>
        <v>高雄工業 静岡6</v>
      </c>
      <c r="C253" t="str">
        <v>在職中</v>
      </c>
      <c r="D253">
        <v>210207</v>
      </c>
      <c r="E253">
        <v>242008</v>
      </c>
      <c r="F253" t="str">
        <v>高雄工業 静岡</v>
      </c>
      <c r="G253" t="str">
        <v>高雄工業株式会社 静岡事業所第一工場製作課</v>
      </c>
      <c r="H253" t="str">
        <v>自動旋削</v>
      </c>
      <c r="I253" t="str">
        <v>CVJ部品短軸品の施削加工、NCプログラム修正</v>
      </c>
      <c r="J253" t="str">
        <v>MA VAN THUY</v>
      </c>
      <c r="K253" t="str">
        <v>マー　ヴァン　トゥイ</v>
      </c>
      <c r="L253" t="str">
        <v>男</v>
      </c>
      <c r="M253" t="str">
        <v>ﾍﾞﾄﾅﾑ</v>
      </c>
      <c r="N253">
        <v>33849</v>
      </c>
      <c r="O253">
        <v>31</v>
      </c>
      <c r="P253">
        <v>1410</v>
      </c>
      <c r="Q253" t="str">
        <v>6/16~ \1200⇒\1250</v>
      </c>
      <c r="R253">
        <v>1800</v>
      </c>
      <c r="S253" t="str">
        <v>9/16~ 1600円→1750円</v>
      </c>
      <c r="T253">
        <v>390</v>
      </c>
      <c r="U253">
        <v>280000</v>
      </c>
      <c r="V253">
        <v>14014</v>
      </c>
      <c r="W253" t="str">
        <v>0</v>
      </c>
      <c r="X253">
        <v>25620</v>
      </c>
      <c r="Y253">
        <v>45648</v>
      </c>
      <c r="Z253" t="str">
        <v/>
      </c>
      <c r="AA253" t="str">
        <v>技術・人文知識・国際業務</v>
      </c>
      <c r="AB253" t="str">
        <v>437-0065</v>
      </c>
      <c r="AC253" t="str">
        <v>静岡県袋井市堀越3丁目19-2</v>
      </c>
      <c r="AD253" t="str">
        <v>ｴｸｾｰﾗ301号室</v>
      </c>
      <c r="AE253" t="str">
        <v>個人</v>
      </c>
      <c r="AF253">
        <v>44242</v>
      </c>
      <c r="AG253">
        <v>0</v>
      </c>
      <c r="AH253">
        <v>0</v>
      </c>
      <c r="AI253">
        <v>44287</v>
      </c>
      <c r="AJ253" t="str">
        <v>マ　ヴァン　トウイ</v>
      </c>
      <c r="AK253" t="str">
        <v>ゆうちょ銀行</v>
      </c>
      <c r="AL253">
        <v>868</v>
      </c>
      <c r="AM253" t="str">
        <v>八六八</v>
      </c>
      <c r="AN253" t="str">
        <v>2202481</v>
      </c>
      <c r="AO253" t="str">
        <v>OK</v>
      </c>
      <c r="AP253">
        <v>0</v>
      </c>
    </row>
    <row r="254" spans="1:42">
      <c r="A254" t="str">
        <f>H254&amp;COUNTIF($H$2:H254,H254)</f>
        <v>転造2</v>
      </c>
      <c r="B254" t="str">
        <f>F254&amp;COUNTIF($F$2:F254,F254)</f>
        <v>高雄工業 静岡7</v>
      </c>
      <c r="C254" t="str">
        <v>在職中</v>
      </c>
      <c r="D254">
        <v>210318</v>
      </c>
      <c r="E254">
        <v>242010</v>
      </c>
      <c r="F254" t="str">
        <v>高雄工業 静岡</v>
      </c>
      <c r="G254" t="str">
        <v>高雄工業株式会社 静岡事業所第一工場製作課</v>
      </c>
      <c r="H254" t="str">
        <v>転造</v>
      </c>
      <c r="I254" t="str">
        <v>ＣＶＪ短軸等速ジョイント旋削加工・ＮＣプログラム修正</v>
      </c>
      <c r="J254" t="str">
        <v>NGUYEN ANH TUAN</v>
      </c>
      <c r="K254" t="str">
        <v>グエン　アイン　トゥアン</v>
      </c>
      <c r="L254" t="str">
        <v>男</v>
      </c>
      <c r="M254" t="str">
        <v>ﾍﾞﾄﾅﾑ</v>
      </c>
      <c r="N254">
        <v>34467</v>
      </c>
      <c r="O254">
        <v>29</v>
      </c>
      <c r="P254">
        <v>1400</v>
      </c>
      <c r="Q254" t="str">
        <v>6/16~ \1200⇒\1250</v>
      </c>
      <c r="R254">
        <v>1790</v>
      </c>
      <c r="S254" t="str">
        <v>9/16~ 1600円→1750円</v>
      </c>
      <c r="T254">
        <v>390</v>
      </c>
      <c r="U254">
        <v>260000</v>
      </c>
      <c r="V254">
        <v>13013</v>
      </c>
      <c r="W254" t="str">
        <v>0</v>
      </c>
      <c r="X254">
        <v>23790</v>
      </c>
      <c r="Y254">
        <v>45598</v>
      </c>
      <c r="Z254" t="str">
        <v/>
      </c>
      <c r="AA254" t="str">
        <v>技術・人文知識・国際業務</v>
      </c>
      <c r="AB254" t="str">
        <v>437-0065</v>
      </c>
      <c r="AC254" t="str">
        <v>静岡県袋井市堀越1丁目15-1</v>
      </c>
      <c r="AD254" t="str">
        <v>ﾃﾞｲﾌﾞﾚｲｸ406</v>
      </c>
      <c r="AE254">
        <v>44273</v>
      </c>
      <c r="AF254">
        <v>44279</v>
      </c>
      <c r="AG254">
        <v>45275</v>
      </c>
      <c r="AH254">
        <v>0</v>
      </c>
      <c r="AI254">
        <v>44348</v>
      </c>
      <c r="AJ254" t="str">
        <v>グエン　アイン　トゥアン</v>
      </c>
      <c r="AK254" t="str">
        <v>ゆうちょ銀行</v>
      </c>
      <c r="AL254">
        <v>438</v>
      </c>
      <c r="AM254" t="str">
        <v>四三八</v>
      </c>
      <c r="AN254" t="str">
        <v>9581137</v>
      </c>
      <c r="AO254" t="str">
        <v>OK</v>
      </c>
      <c r="AP254">
        <v>0</v>
      </c>
    </row>
    <row r="255" spans="1:42">
      <c r="A255" t="str">
        <f>H255&amp;COUNTIF($H$2:H255,H255)</f>
        <v>転造3</v>
      </c>
      <c r="B255" t="str">
        <f>F255&amp;COUNTIF($F$2:F255,F255)</f>
        <v>高雄工業 静岡8</v>
      </c>
      <c r="C255" t="str">
        <v>在職中</v>
      </c>
      <c r="D255">
        <v>210406</v>
      </c>
      <c r="E255">
        <v>242011</v>
      </c>
      <c r="F255" t="str">
        <v>高雄工業 静岡</v>
      </c>
      <c r="G255" t="str">
        <v>高雄工業株式会社 静岡事業所第一工場製作課</v>
      </c>
      <c r="H255" t="str">
        <v>転造</v>
      </c>
      <c r="I255" t="str">
        <v>ＣＶＪ短軸等速ジョイント旋削加工・ＮＣプログラム修正</v>
      </c>
      <c r="J255" t="str">
        <v>MAI HUNG ANH</v>
      </c>
      <c r="K255" t="str">
        <v>マイ　フン　アイン</v>
      </c>
      <c r="L255" t="str">
        <v>男</v>
      </c>
      <c r="M255" t="str">
        <v>ﾍﾞﾄﾅﾑ</v>
      </c>
      <c r="N255">
        <v>32269</v>
      </c>
      <c r="O255">
        <v>35</v>
      </c>
      <c r="P255">
        <v>1410</v>
      </c>
      <c r="Q255" t="str">
        <v>6/16~ \1200⇒\1250</v>
      </c>
      <c r="R255">
        <v>1810</v>
      </c>
      <c r="S255" t="str">
        <v>9/16~ 1600円→1750円</v>
      </c>
      <c r="T255">
        <v>400</v>
      </c>
      <c r="U255">
        <v>280000</v>
      </c>
      <c r="V255">
        <v>14014</v>
      </c>
      <c r="W255" t="str">
        <v>0</v>
      </c>
      <c r="X255">
        <v>25620</v>
      </c>
      <c r="Y255">
        <v>45339</v>
      </c>
      <c r="Z255" t="str">
        <v>残り期限90日!</v>
      </c>
      <c r="AA255" t="str">
        <v>技術・人文知識・国際業務</v>
      </c>
      <c r="AB255" t="str">
        <v>437-0065</v>
      </c>
      <c r="AC255" t="str">
        <v>静岡県袋井市堀越1丁目15-1</v>
      </c>
      <c r="AD255" t="str">
        <v>ﾃﾞｲﾌﾞﾚｲｸ406</v>
      </c>
      <c r="AE255">
        <v>44284</v>
      </c>
      <c r="AF255">
        <v>44291</v>
      </c>
      <c r="AG255">
        <v>0</v>
      </c>
      <c r="AH255">
        <v>0</v>
      </c>
      <c r="AI255">
        <v>44348</v>
      </c>
      <c r="AJ255" t="str">
        <v>マイ　フン　アイン</v>
      </c>
      <c r="AK255" t="str">
        <v>ゆうちょ銀行</v>
      </c>
      <c r="AL255">
        <v>238</v>
      </c>
      <c r="AM255" t="str">
        <v>二三八</v>
      </c>
      <c r="AN255" t="str">
        <v>5987726</v>
      </c>
      <c r="AO255" t="str">
        <v>OK</v>
      </c>
      <c r="AP255">
        <v>0</v>
      </c>
    </row>
    <row r="256" spans="1:42">
      <c r="A256" t="str">
        <f>H256&amp;COUNTIF($H$2:H256,H256)</f>
        <v>自動旋削2</v>
      </c>
      <c r="B256" t="str">
        <f>F256&amp;COUNTIF($F$2:F256,F256)</f>
        <v>高雄工業 静岡9</v>
      </c>
      <c r="C256" t="str">
        <v>退社</v>
      </c>
      <c r="D256">
        <v>210407</v>
      </c>
      <c r="E256">
        <v>242012</v>
      </c>
      <c r="F256" t="str">
        <v>高雄工業 静岡</v>
      </c>
      <c r="G256" t="str">
        <v>高雄工業株式会社 静岡事業所第一工場製作課</v>
      </c>
      <c r="H256" t="str">
        <v>自動旋削</v>
      </c>
      <c r="I256" t="str">
        <v>CVJ部品短軸品の施削加工、NCプログラム修正</v>
      </c>
      <c r="J256" t="str">
        <v>PHAM VAN PHUOC</v>
      </c>
      <c r="K256" t="str">
        <v>ファム　ヴァン　フォック</v>
      </c>
      <c r="L256" t="str">
        <v>男</v>
      </c>
      <c r="M256" t="str">
        <v>ﾍﾞﾄﾅﾑ</v>
      </c>
      <c r="N256">
        <v>34528</v>
      </c>
      <c r="O256">
        <v>29</v>
      </c>
      <c r="P256">
        <v>1400</v>
      </c>
      <c r="Q256" t="str">
        <v>6/16~ \1200⇒\1250</v>
      </c>
      <c r="R256">
        <v>1780</v>
      </c>
      <c r="S256" t="str">
        <v>9/16~ 1600円→1750円</v>
      </c>
      <c r="T256">
        <v>380</v>
      </c>
      <c r="U256">
        <v>260000</v>
      </c>
      <c r="V256">
        <v>13013</v>
      </c>
      <c r="W256" t="str">
        <v>0</v>
      </c>
      <c r="X256">
        <v>23790</v>
      </c>
      <c r="Y256">
        <v>45620</v>
      </c>
      <c r="Z256" t="str">
        <v/>
      </c>
      <c r="AA256" t="str">
        <v>技術・人文知識・国際業務</v>
      </c>
      <c r="AB256" t="str">
        <v>437-0065</v>
      </c>
      <c r="AC256" t="str">
        <v>静岡県袋井市堀越1丁目21-9</v>
      </c>
      <c r="AD256" t="str">
        <v>ﾌﾟﾁｾｿﾞﾝ103号</v>
      </c>
      <c r="AE256">
        <v>44284</v>
      </c>
      <c r="AF256">
        <v>44291</v>
      </c>
      <c r="AG256">
        <v>45257</v>
      </c>
      <c r="AH256">
        <v>0</v>
      </c>
      <c r="AI256">
        <v>44348</v>
      </c>
      <c r="AJ256" t="str">
        <v>ファム　ヴアン　フォック</v>
      </c>
      <c r="AK256" t="str">
        <v>ゆうちょ銀行</v>
      </c>
      <c r="AL256">
        <v>238</v>
      </c>
      <c r="AM256" t="str">
        <v>二三八</v>
      </c>
      <c r="AN256" t="str">
        <v>6241108</v>
      </c>
      <c r="AO256" t="str">
        <v>OK</v>
      </c>
      <c r="AP256">
        <v>0</v>
      </c>
    </row>
    <row r="257" spans="1:42">
      <c r="A257" t="str">
        <f>H257&amp;COUNTIF($H$2:H257,H257)</f>
        <v>手動旋削1</v>
      </c>
      <c r="B257" t="str">
        <f>F257&amp;COUNTIF($F$2:F257,F257)</f>
        <v>高雄工業 静岡10</v>
      </c>
      <c r="C257" t="str">
        <v>在職中</v>
      </c>
      <c r="D257">
        <v>210416</v>
      </c>
      <c r="E257">
        <v>242016</v>
      </c>
      <c r="F257" t="str">
        <v>高雄工業 静岡</v>
      </c>
      <c r="G257" t="str">
        <v>高雄工業株式会社 静岡事業所第一工場製作課</v>
      </c>
      <c r="H257" t="str">
        <v>手動旋削</v>
      </c>
      <c r="I257" t="str">
        <v>CVJ部品短軸品の施削加工、NCプログラム修正</v>
      </c>
      <c r="J257" t="str">
        <v>NGUYEN XUAN DUY</v>
      </c>
      <c r="K257" t="str">
        <v>グエン　スアン　ズイ</v>
      </c>
      <c r="L257" t="str">
        <v>男</v>
      </c>
      <c r="M257" t="str">
        <v>ﾍﾞﾄﾅﾑ</v>
      </c>
      <c r="N257">
        <v>33527</v>
      </c>
      <c r="O257">
        <v>32</v>
      </c>
      <c r="P257">
        <v>1400</v>
      </c>
      <c r="Q257">
        <v>0</v>
      </c>
      <c r="R257">
        <v>1790</v>
      </c>
      <c r="S257" t="str">
        <v>9/16~ 1600円→1750円</v>
      </c>
      <c r="T257">
        <v>390</v>
      </c>
      <c r="U257">
        <v>260000</v>
      </c>
      <c r="V257">
        <v>13013</v>
      </c>
      <c r="W257" t="str">
        <v>0</v>
      </c>
      <c r="X257">
        <v>23790</v>
      </c>
      <c r="Y257">
        <v>45369</v>
      </c>
      <c r="Z257" t="str">
        <v/>
      </c>
      <c r="AA257" t="str">
        <v>技術・人文知識・国際業務</v>
      </c>
      <c r="AB257" t="str">
        <v>437-0065</v>
      </c>
      <c r="AC257" t="str">
        <v>静岡県袋井市久能1744番地1</v>
      </c>
      <c r="AD257" t="str">
        <v>ｱﾙｺ･ﾊﾞﾚｰﾉ205</v>
      </c>
      <c r="AE257">
        <v>44896</v>
      </c>
      <c r="AF257">
        <v>44305</v>
      </c>
      <c r="AG257">
        <v>0</v>
      </c>
      <c r="AH257">
        <v>44408</v>
      </c>
      <c r="AI257">
        <v>44378</v>
      </c>
      <c r="AJ257" t="str">
        <v>グエン　スアン　ズイ</v>
      </c>
      <c r="AK257" t="str">
        <v>ゆうちょ銀行</v>
      </c>
      <c r="AL257">
        <v>238</v>
      </c>
      <c r="AM257" t="str">
        <v>二三八</v>
      </c>
      <c r="AN257" t="str">
        <v>5919447</v>
      </c>
      <c r="AO257" t="str">
        <v>OK</v>
      </c>
      <c r="AP257">
        <v>0</v>
      </c>
    </row>
    <row r="258" spans="1:42">
      <c r="A258" t="str">
        <f>H258&amp;COUNTIF($H$2:H258,H258)</f>
        <v>自動旋削3</v>
      </c>
      <c r="B258" t="str">
        <f>F258&amp;COUNTIF($F$2:F258,F258)</f>
        <v>高雄工業 静岡11</v>
      </c>
      <c r="C258" t="str">
        <v>退社</v>
      </c>
      <c r="D258">
        <v>210605</v>
      </c>
      <c r="E258">
        <v>242017</v>
      </c>
      <c r="F258" t="str">
        <v>高雄工業 静岡</v>
      </c>
      <c r="G258" t="str">
        <v>高雄工業株式会社 静岡事業所第一工場製作課</v>
      </c>
      <c r="H258" t="str">
        <v>自動旋削</v>
      </c>
      <c r="I258">
        <v>0</v>
      </c>
      <c r="J258" t="str">
        <v>TRAN QUOC TUAN</v>
      </c>
      <c r="K258" t="str">
        <v>チャン　クオック　トゥアン</v>
      </c>
      <c r="L258" t="str">
        <v>男</v>
      </c>
      <c r="M258" t="str">
        <v>ﾍﾞﾄﾅﾑ</v>
      </c>
      <c r="N258">
        <v>34791</v>
      </c>
      <c r="O258">
        <v>28</v>
      </c>
      <c r="P258">
        <v>1400</v>
      </c>
      <c r="Q258">
        <v>1750</v>
      </c>
      <c r="R258">
        <v>1770</v>
      </c>
      <c r="S258">
        <v>0</v>
      </c>
      <c r="T258">
        <v>370</v>
      </c>
      <c r="U258">
        <v>0</v>
      </c>
      <c r="V258" t="str">
        <v/>
      </c>
      <c r="W258" t="str">
        <v>0</v>
      </c>
      <c r="X258" t="str">
        <v/>
      </c>
      <c r="Y258">
        <v>45254</v>
      </c>
      <c r="Z258" t="str">
        <v>残り期限90日!</v>
      </c>
      <c r="AA258" t="str">
        <v>技術・人文知識・国際業務</v>
      </c>
      <c r="AB258" t="str">
        <v>437-0015</v>
      </c>
      <c r="AC258" t="str">
        <v>静岡県袋井市旭町2-7-5</v>
      </c>
      <c r="AD258" t="str">
        <v>ﾌｨﾌﾃｨⅠ-101</v>
      </c>
      <c r="AE258">
        <v>44350</v>
      </c>
      <c r="AF258">
        <v>44355</v>
      </c>
      <c r="AG258">
        <v>44936</v>
      </c>
      <c r="AH258">
        <v>0</v>
      </c>
      <c r="AI258">
        <v>44409</v>
      </c>
      <c r="AJ258" t="str">
        <v>チャン　クオック　トゥアン</v>
      </c>
      <c r="AK258" t="str">
        <v>ゆうちょ銀行</v>
      </c>
      <c r="AL258">
        <v>618</v>
      </c>
      <c r="AM258" t="str">
        <v>六一八</v>
      </c>
      <c r="AN258" t="str">
        <v>2833780</v>
      </c>
      <c r="AO258" t="str">
        <v>OK</v>
      </c>
      <c r="AP258">
        <v>0</v>
      </c>
    </row>
    <row r="259" spans="1:42">
      <c r="A259" t="str">
        <f>H259&amp;COUNTIF($H$2:H259,H259)</f>
        <v>自動旋削4</v>
      </c>
      <c r="B259" t="str">
        <f>F259&amp;COUNTIF($F$2:F259,F259)</f>
        <v>高雄工業 静岡12</v>
      </c>
      <c r="C259" t="str">
        <v>退社</v>
      </c>
      <c r="D259">
        <v>210609</v>
      </c>
      <c r="E259">
        <v>242019</v>
      </c>
      <c r="F259" t="str">
        <v>高雄工業 静岡</v>
      </c>
      <c r="G259" t="str">
        <v>乙川工場製造3課6工区9班</v>
      </c>
      <c r="H259" t="str">
        <v>自動旋削</v>
      </c>
      <c r="I259">
        <v>0</v>
      </c>
      <c r="J259" t="str">
        <v>NGUYEN VAN TIEN</v>
      </c>
      <c r="K259" t="str">
        <v>グエン　ヴァン　ティエン</v>
      </c>
      <c r="L259" t="str">
        <v>男</v>
      </c>
      <c r="M259" t="str">
        <v>ﾍﾞﾄﾅﾑ</v>
      </c>
      <c r="N259">
        <v>34826</v>
      </c>
      <c r="O259">
        <v>28</v>
      </c>
      <c r="P259">
        <v>1400</v>
      </c>
      <c r="Q259" t="str">
        <v>6/16~ \1200⇒\1250</v>
      </c>
      <c r="R259">
        <v>1770</v>
      </c>
      <c r="S259" t="str">
        <v>9/16~ 1600円→1750円</v>
      </c>
      <c r="T259">
        <v>370</v>
      </c>
      <c r="U259">
        <v>0</v>
      </c>
      <c r="V259" t="str">
        <v/>
      </c>
      <c r="W259" t="str">
        <v>0</v>
      </c>
      <c r="X259" t="str">
        <v/>
      </c>
      <c r="Y259">
        <v>45052</v>
      </c>
      <c r="Z259" t="str">
        <v>残り期限90日!</v>
      </c>
      <c r="AA259" t="str">
        <v>技術・人文知識・国際業務</v>
      </c>
      <c r="AB259" t="str">
        <v>437-0065</v>
      </c>
      <c r="AC259" t="str">
        <v>静岡県袋井市久能1744番地1</v>
      </c>
      <c r="AD259" t="str">
        <v>ｱﾙｺ･ﾊﾞﾚｰﾉ205</v>
      </c>
      <c r="AE259">
        <v>44835</v>
      </c>
      <c r="AF259">
        <v>44362</v>
      </c>
      <c r="AG259">
        <v>44917</v>
      </c>
      <c r="AH259">
        <v>0</v>
      </c>
      <c r="AI259">
        <v>44409</v>
      </c>
      <c r="AJ259" t="str">
        <v>グエン　ヴァン　ティエン</v>
      </c>
      <c r="AK259" t="str">
        <v>ゆうちょ銀行</v>
      </c>
      <c r="AL259">
        <v>238</v>
      </c>
      <c r="AM259" t="str">
        <v>二三八</v>
      </c>
      <c r="AN259" t="str">
        <v>5912680</v>
      </c>
      <c r="AO259" t="str">
        <v>OK</v>
      </c>
      <c r="AP259">
        <v>0</v>
      </c>
    </row>
    <row r="260" spans="1:42">
      <c r="A260" t="str">
        <f>H260&amp;COUNTIF($H$2:H260,H260)</f>
        <v>手動旋削2</v>
      </c>
      <c r="B260" t="str">
        <f>F260&amp;COUNTIF($F$2:F260,F260)</f>
        <v>高雄工業 静岡13</v>
      </c>
      <c r="C260" t="str">
        <v>退社</v>
      </c>
      <c r="D260">
        <v>210713</v>
      </c>
      <c r="E260">
        <v>242020</v>
      </c>
      <c r="F260" t="str">
        <v>高雄工業 静岡</v>
      </c>
      <c r="G260" t="str">
        <v>高雄工業株式会社 静岡事業所第一工場製作課</v>
      </c>
      <c r="H260" t="str">
        <v>手動旋削</v>
      </c>
      <c r="I260">
        <v>0</v>
      </c>
      <c r="J260" t="str">
        <v>TRAN NHAT SON</v>
      </c>
      <c r="K260" t="str">
        <v>チャン　ニャット　ソン</v>
      </c>
      <c r="L260" t="str">
        <v>男</v>
      </c>
      <c r="M260" t="str">
        <v>ﾍﾞﾄﾅﾑ</v>
      </c>
      <c r="N260">
        <v>32756</v>
      </c>
      <c r="O260">
        <v>34</v>
      </c>
      <c r="P260">
        <v>1400</v>
      </c>
      <c r="Q260" t="str">
        <v>2022/2/15~1350 ⇒ 1400</v>
      </c>
      <c r="R260">
        <v>1770</v>
      </c>
      <c r="S260" t="str">
        <v>9/16~ 1600円→1750円</v>
      </c>
      <c r="T260">
        <v>370</v>
      </c>
      <c r="U260">
        <v>0</v>
      </c>
      <c r="V260" t="str">
        <v/>
      </c>
      <c r="W260" t="str">
        <v>0</v>
      </c>
      <c r="X260" t="str">
        <v/>
      </c>
      <c r="Y260">
        <v>45085</v>
      </c>
      <c r="Z260" t="str">
        <v>残り期限90日!</v>
      </c>
      <c r="AA260" t="str">
        <v>技術・人文知識・国際業務</v>
      </c>
      <c r="AB260" t="str">
        <v>437-0016</v>
      </c>
      <c r="AC260" t="str">
        <v>静岡県袋井市葵町2丁目5番地1</v>
      </c>
      <c r="AD260" t="str">
        <v>ｼｬﾝﾄﾞﾌﾙｰﾙ103</v>
      </c>
      <c r="AE260" t="str">
        <v>個人</v>
      </c>
      <c r="AF260">
        <v>44403</v>
      </c>
      <c r="AG260">
        <v>44890</v>
      </c>
      <c r="AH260">
        <v>0</v>
      </c>
      <c r="AI260">
        <v>44470</v>
      </c>
      <c r="AJ260" t="str">
        <v>トラン　ニャット　ソン</v>
      </c>
      <c r="AK260" t="str">
        <v>ゆうちょ銀行</v>
      </c>
      <c r="AL260">
        <v>208</v>
      </c>
      <c r="AM260" t="str">
        <v>二〇八</v>
      </c>
      <c r="AN260" t="str">
        <v>2297387</v>
      </c>
      <c r="AO260" t="str">
        <v>OK</v>
      </c>
      <c r="AP260">
        <v>0</v>
      </c>
    </row>
    <row r="261" spans="1:42">
      <c r="A261" t="str">
        <f>H261&amp;COUNTIF($H$2:H261,H261)</f>
        <v>CVJ1</v>
      </c>
      <c r="B261" t="str">
        <f>F261&amp;COUNTIF($F$2:F261,F261)</f>
        <v>瑞陵精機1</v>
      </c>
      <c r="C261" t="str">
        <v>退社</v>
      </c>
      <c r="D261">
        <v>210821</v>
      </c>
      <c r="E261">
        <v>242022</v>
      </c>
      <c r="F261" t="str">
        <v>瑞陵精機</v>
      </c>
      <c r="G261" t="str">
        <v>製造1課</v>
      </c>
      <c r="H261" t="str">
        <v>CVJ</v>
      </c>
      <c r="I261">
        <v>0</v>
      </c>
      <c r="J261" t="str">
        <v>NGO VAN DUC</v>
      </c>
      <c r="K261" t="str">
        <v>ゴー　ヴァン　ドウック</v>
      </c>
      <c r="L261" t="str">
        <v>男</v>
      </c>
      <c r="M261" t="str">
        <v>ﾍﾞﾄﾅﾑ</v>
      </c>
      <c r="N261">
        <v>34252</v>
      </c>
      <c r="O261">
        <v>30</v>
      </c>
      <c r="P261">
        <v>1300</v>
      </c>
      <c r="Q261">
        <v>0</v>
      </c>
      <c r="R261">
        <v>1700</v>
      </c>
      <c r="S261" t="str">
        <v>9/16~ 1600円→1750円</v>
      </c>
      <c r="T261">
        <v>400</v>
      </c>
      <c r="U261">
        <v>0</v>
      </c>
      <c r="V261" t="str">
        <v/>
      </c>
      <c r="W261" t="str">
        <v>0</v>
      </c>
      <c r="X261" t="str">
        <v/>
      </c>
      <c r="Y261">
        <v>45197</v>
      </c>
      <c r="Z261" t="str">
        <v>残り期限90日!</v>
      </c>
      <c r="AA261" t="str">
        <v>技術・人文知識・国際業務</v>
      </c>
      <c r="AB261" t="str">
        <v>437-0016</v>
      </c>
      <c r="AC261" t="str">
        <v>岐阜県恵那市大井町1120-303</v>
      </c>
      <c r="AD261" t="str">
        <v>各務ﾊｲﾂ4H</v>
      </c>
      <c r="AE261">
        <v>44429</v>
      </c>
      <c r="AF261">
        <v>44434</v>
      </c>
      <c r="AG261">
        <v>44889</v>
      </c>
      <c r="AH261">
        <v>0</v>
      </c>
      <c r="AI261">
        <v>44501</v>
      </c>
      <c r="AJ261" t="str">
        <v>ゴ　ヴァン　ドゥック</v>
      </c>
      <c r="AK261" t="str">
        <v>ゆうちょ銀行</v>
      </c>
      <c r="AL261">
        <v>238</v>
      </c>
      <c r="AM261" t="str">
        <v>二三八</v>
      </c>
      <c r="AN261" t="str">
        <v>5984662</v>
      </c>
      <c r="AO261" t="str">
        <v>OK</v>
      </c>
      <c r="AP261" t="str">
        <v>～6/11　静岡　6/23～　瑞陵   7/2 2D-&gt;4H</v>
      </c>
    </row>
    <row r="262" spans="1:42">
      <c r="A262" t="str">
        <f>H262&amp;COUNTIF($H$2:H262,H262)</f>
        <v>手動旋削3</v>
      </c>
      <c r="B262" t="str">
        <f>F262&amp;COUNTIF($F$2:F262,F262)</f>
        <v>高雄工業 静岡14</v>
      </c>
      <c r="C262" t="str">
        <v>在職中</v>
      </c>
      <c r="D262">
        <v>210912</v>
      </c>
      <c r="E262">
        <v>242023</v>
      </c>
      <c r="F262" t="str">
        <v>高雄工業 静岡</v>
      </c>
      <c r="G262" t="str">
        <v>高雄工業株式会社 静岡事業所第一工場製作課</v>
      </c>
      <c r="H262" t="str">
        <v>手動旋削</v>
      </c>
      <c r="I262" t="str">
        <v>CVJ部品短軸品の施削加工、NCプログラム修正</v>
      </c>
      <c r="J262" t="str">
        <v>TRUONG VAN THINH</v>
      </c>
      <c r="K262" t="str">
        <v>チュオン　ヴァン　テイン</v>
      </c>
      <c r="L262" t="str">
        <v>男</v>
      </c>
      <c r="M262" t="str">
        <v>ﾍﾞﾄﾅﾑ</v>
      </c>
      <c r="N262">
        <v>32994</v>
      </c>
      <c r="O262">
        <v>33</v>
      </c>
      <c r="P262">
        <v>1420</v>
      </c>
      <c r="Q262">
        <v>0</v>
      </c>
      <c r="R262">
        <v>1800</v>
      </c>
      <c r="S262" t="str">
        <v>9/16~ 1610円→1760円</v>
      </c>
      <c r="T262">
        <v>380</v>
      </c>
      <c r="U262">
        <v>300000</v>
      </c>
      <c r="V262">
        <v>15014.999999999998</v>
      </c>
      <c r="W262" t="str">
        <v>0</v>
      </c>
      <c r="X262">
        <v>27450</v>
      </c>
      <c r="Y262">
        <v>45477</v>
      </c>
      <c r="Z262" t="str">
        <v/>
      </c>
      <c r="AA262" t="str">
        <v>技術・人文知識・国際業務</v>
      </c>
      <c r="AB262" t="str">
        <v>437-0061</v>
      </c>
      <c r="AC262" t="str">
        <v>静岡県袋井市久能2810番地1</v>
      </c>
      <c r="AD262" t="str">
        <v>ﾌｪﾘｽA103</v>
      </c>
      <c r="AE262">
        <v>44464</v>
      </c>
      <c r="AF262">
        <v>44466</v>
      </c>
      <c r="AG262">
        <v>0</v>
      </c>
      <c r="AH262">
        <v>0</v>
      </c>
      <c r="AI262">
        <v>44531</v>
      </c>
      <c r="AJ262" t="str">
        <v>チュオン　ヴァン　ティン</v>
      </c>
      <c r="AK262" t="str">
        <v>ゆうちょ銀行</v>
      </c>
      <c r="AL262">
        <v>518</v>
      </c>
      <c r="AM262" t="str">
        <v>五一八</v>
      </c>
      <c r="AN262" t="str">
        <v>5157630</v>
      </c>
      <c r="AO262" t="str">
        <v>OK</v>
      </c>
      <c r="AP262">
        <v>0</v>
      </c>
    </row>
    <row r="263" spans="1:42">
      <c r="A263" t="str">
        <f>H263&amp;COUNTIF($H$2:H263,H263)</f>
        <v>転造4</v>
      </c>
      <c r="B263" t="str">
        <f>F263&amp;COUNTIF($F$2:F263,F263)</f>
        <v>高雄工業 静岡15</v>
      </c>
      <c r="C263" t="str">
        <v>在職中</v>
      </c>
      <c r="D263">
        <v>211105</v>
      </c>
      <c r="E263">
        <v>242025</v>
      </c>
      <c r="F263" t="str">
        <v>高雄工業 静岡</v>
      </c>
      <c r="G263" t="str">
        <v>高雄工業株式会社 静岡事業所第一工場製作課</v>
      </c>
      <c r="H263" t="str">
        <v>転造</v>
      </c>
      <c r="I263" t="str">
        <v>ＣＶＪ短軸等速ジョイント旋削加工・ＮＣプログラム修正</v>
      </c>
      <c r="J263" t="str">
        <v>NGUYEN VAN MANH</v>
      </c>
      <c r="K263" t="str">
        <v>グエン　ヴァン　マン</v>
      </c>
      <c r="L263" t="str">
        <v>男</v>
      </c>
      <c r="M263" t="str">
        <v>ﾍﾞﾄﾅﾑ</v>
      </c>
      <c r="N263">
        <v>33833</v>
      </c>
      <c r="O263">
        <v>31</v>
      </c>
      <c r="P263">
        <v>1400</v>
      </c>
      <c r="Q263">
        <v>0</v>
      </c>
      <c r="R263">
        <v>1770</v>
      </c>
      <c r="S263">
        <v>0</v>
      </c>
      <c r="T263">
        <v>370</v>
      </c>
      <c r="U263">
        <v>280000</v>
      </c>
      <c r="V263">
        <v>14014</v>
      </c>
      <c r="W263" t="str">
        <v>0</v>
      </c>
      <c r="X263">
        <v>25620</v>
      </c>
      <c r="Y263">
        <v>45598</v>
      </c>
      <c r="Z263" t="str">
        <v/>
      </c>
      <c r="AA263" t="str">
        <v>技術・人文知識・国際業務</v>
      </c>
      <c r="AB263" t="str">
        <v>437-0061</v>
      </c>
      <c r="AC263" t="str">
        <v>静岡県袋井市久能2810番地1</v>
      </c>
      <c r="AD263" t="str">
        <v>ﾌｪﾘｽA103</v>
      </c>
      <c r="AE263">
        <v>44499</v>
      </c>
      <c r="AF263">
        <v>44501</v>
      </c>
      <c r="AG263">
        <v>45268</v>
      </c>
      <c r="AH263">
        <v>0</v>
      </c>
      <c r="AI263">
        <v>22.01</v>
      </c>
      <c r="AJ263">
        <v>0</v>
      </c>
      <c r="AK263">
        <v>0</v>
      </c>
      <c r="AL263">
        <v>0</v>
      </c>
      <c r="AM263">
        <v>0</v>
      </c>
      <c r="AN263">
        <v>0</v>
      </c>
      <c r="AO263" t="str">
        <v>OK</v>
      </c>
      <c r="AP263">
        <v>0</v>
      </c>
    </row>
    <row r="264" spans="1:42">
      <c r="A264" t="str">
        <f>H264&amp;COUNTIF($H$2:H264,H264)</f>
        <v>内輪1</v>
      </c>
      <c r="B264" t="str">
        <f>F264&amp;COUNTIF($F$2:F264,F264)</f>
        <v>高雄工業 静岡16</v>
      </c>
      <c r="C264" t="str">
        <v>在職中</v>
      </c>
      <c r="D264">
        <v>211110</v>
      </c>
      <c r="E264">
        <v>242026</v>
      </c>
      <c r="F264" t="str">
        <v>高雄工業 静岡</v>
      </c>
      <c r="G264" t="str">
        <v>高雄工業株式会社 静岡事業所第二工場製作課</v>
      </c>
      <c r="H264" t="str">
        <v>内輪</v>
      </c>
      <c r="I264" t="str">
        <v>産業機械部品の施削加工、NCプログラム修正</v>
      </c>
      <c r="J264" t="str">
        <v>PHAM DUC BAO</v>
      </c>
      <c r="K264" t="str">
        <v>ファム　ドゥック　バオ</v>
      </c>
      <c r="L264" t="str">
        <v>男</v>
      </c>
      <c r="M264" t="str">
        <v>ﾍﾞﾄﾅﾑ</v>
      </c>
      <c r="N264">
        <v>35059</v>
      </c>
      <c r="O264">
        <v>27</v>
      </c>
      <c r="P264">
        <v>1400</v>
      </c>
      <c r="Q264">
        <v>0</v>
      </c>
      <c r="R264">
        <v>1780</v>
      </c>
      <c r="S264">
        <v>0</v>
      </c>
      <c r="T264">
        <v>380</v>
      </c>
      <c r="U264">
        <v>280000</v>
      </c>
      <c r="V264">
        <v>14014</v>
      </c>
      <c r="W264" t="str">
        <v>0</v>
      </c>
      <c r="X264">
        <v>25620</v>
      </c>
      <c r="Y264">
        <v>45583</v>
      </c>
      <c r="Z264" t="str">
        <v/>
      </c>
      <c r="AA264" t="str">
        <v>技術・人文知識・国際業務</v>
      </c>
      <c r="AB264" t="str">
        <v>437-0061</v>
      </c>
      <c r="AC264" t="str">
        <v>静岡県袋井市久能1289-1</v>
      </c>
      <c r="AD264" t="str">
        <v>ｱｳﾛｰﾗⅡ101号</v>
      </c>
      <c r="AE264">
        <v>44519</v>
      </c>
      <c r="AF264">
        <v>44523</v>
      </c>
      <c r="AG264">
        <v>0</v>
      </c>
      <c r="AH264">
        <v>0</v>
      </c>
      <c r="AI264">
        <v>22.02</v>
      </c>
      <c r="AJ264">
        <v>0</v>
      </c>
      <c r="AK264">
        <v>0</v>
      </c>
      <c r="AL264">
        <v>0</v>
      </c>
      <c r="AM264">
        <v>0</v>
      </c>
      <c r="AN264">
        <v>0</v>
      </c>
      <c r="AO264" t="str">
        <v>OK</v>
      </c>
      <c r="AP264">
        <v>0</v>
      </c>
    </row>
    <row r="265" spans="1:42">
      <c r="A265" t="str">
        <f>H265&amp;COUNTIF($H$2:H265,H265)</f>
        <v>手動旋削4</v>
      </c>
      <c r="B265" t="str">
        <f>F265&amp;COUNTIF($F$2:F265,F265)</f>
        <v>高雄工業 静岡17</v>
      </c>
      <c r="C265" t="str">
        <v>退社</v>
      </c>
      <c r="D265">
        <v>211111</v>
      </c>
      <c r="E265">
        <v>242027</v>
      </c>
      <c r="F265" t="str">
        <v>高雄工業 静岡</v>
      </c>
      <c r="G265" t="str">
        <v>高雄工業株式会社 静岡事業所第一工場製作課</v>
      </c>
      <c r="H265" t="str">
        <v>手動旋削</v>
      </c>
      <c r="I265">
        <v>0</v>
      </c>
      <c r="J265" t="str">
        <v>NGUYEN HUU THIEN</v>
      </c>
      <c r="K265" t="str">
        <v>グエン　フウ　ティエン</v>
      </c>
      <c r="L265" t="str">
        <v>男</v>
      </c>
      <c r="M265" t="str">
        <v>ﾍﾞﾄﾅﾑ</v>
      </c>
      <c r="N265">
        <v>35754</v>
      </c>
      <c r="O265">
        <v>26</v>
      </c>
      <c r="P265">
        <v>1410</v>
      </c>
      <c r="Q265">
        <v>0</v>
      </c>
      <c r="R265">
        <v>1770</v>
      </c>
      <c r="S265">
        <v>0</v>
      </c>
      <c r="T265">
        <v>360</v>
      </c>
      <c r="U265">
        <v>300000</v>
      </c>
      <c r="V265">
        <v>15014.999999999998</v>
      </c>
      <c r="W265" t="str">
        <v>0</v>
      </c>
      <c r="X265">
        <v>27450</v>
      </c>
      <c r="Y265">
        <v>45583</v>
      </c>
      <c r="Z265" t="str">
        <v/>
      </c>
      <c r="AA265" t="str">
        <v>技術・人文知識・国際業務</v>
      </c>
      <c r="AB265" t="str">
        <v>437-0061</v>
      </c>
      <c r="AC265" t="str">
        <v>静岡県袋井市久能1889-2</v>
      </c>
      <c r="AD265" t="str">
        <v>ﾗﾌｨｰﾈ久能402号</v>
      </c>
      <c r="AE265">
        <v>44519</v>
      </c>
      <c r="AF265">
        <v>44523</v>
      </c>
      <c r="AG265">
        <v>45041</v>
      </c>
      <c r="AH265">
        <v>0</v>
      </c>
      <c r="AI265">
        <v>22.02</v>
      </c>
      <c r="AJ265">
        <v>0</v>
      </c>
      <c r="AK265">
        <v>0</v>
      </c>
      <c r="AL265">
        <v>0</v>
      </c>
      <c r="AM265">
        <v>0</v>
      </c>
      <c r="AN265">
        <v>0</v>
      </c>
      <c r="AO265" t="str">
        <v>OK</v>
      </c>
      <c r="AP265">
        <v>0</v>
      </c>
    </row>
    <row r="266" spans="1:42">
      <c r="A266" t="str">
        <f>H266&amp;COUNTIF($H$2:H266,H266)</f>
        <v>転造5</v>
      </c>
      <c r="B266" t="str">
        <f>F266&amp;COUNTIF($F$2:F266,F266)</f>
        <v>高雄工業 静岡18</v>
      </c>
      <c r="C266" t="str">
        <v>退社</v>
      </c>
      <c r="D266">
        <v>220113</v>
      </c>
      <c r="E266">
        <v>242031</v>
      </c>
      <c r="F266" t="str">
        <v>高雄工業 静岡</v>
      </c>
      <c r="G266" t="str">
        <v>高雄工業株式会社 静岡事業所第一工場製作課</v>
      </c>
      <c r="H266" t="str">
        <v>転造</v>
      </c>
      <c r="I266">
        <v>0</v>
      </c>
      <c r="J266" t="str">
        <v>NGUYEN MINH TAN</v>
      </c>
      <c r="K266" t="str">
        <v>グエン　ミン　タン</v>
      </c>
      <c r="L266" t="str">
        <v>男</v>
      </c>
      <c r="M266" t="str">
        <v>ﾍﾞﾄﾅﾑ</v>
      </c>
      <c r="N266">
        <v>34870</v>
      </c>
      <c r="O266">
        <v>28</v>
      </c>
      <c r="P266">
        <v>1410</v>
      </c>
      <c r="Q266">
        <v>0</v>
      </c>
      <c r="R266">
        <v>1760</v>
      </c>
      <c r="S266">
        <v>0</v>
      </c>
      <c r="T266">
        <v>350</v>
      </c>
      <c r="U266">
        <v>340000</v>
      </c>
      <c r="V266">
        <v>17017</v>
      </c>
      <c r="W266" t="str">
        <v>0</v>
      </c>
      <c r="X266">
        <v>31110</v>
      </c>
      <c r="Y266">
        <v>45332</v>
      </c>
      <c r="Z266" t="str">
        <v>残り期限90日!</v>
      </c>
      <c r="AA266" t="str">
        <v>技術・人文知識・国際業務</v>
      </c>
      <c r="AB266" t="str">
        <v>437-0065</v>
      </c>
      <c r="AC266" t="str">
        <v>静岡県袋井市堀越1丁目15-1</v>
      </c>
      <c r="AD266" t="str">
        <v>ﾃﾞｲﾌﾞﾚｲｸ406</v>
      </c>
      <c r="AE266" t="str">
        <v>個人</v>
      </c>
      <c r="AF266">
        <v>44575</v>
      </c>
      <c r="AG266">
        <v>45044</v>
      </c>
      <c r="AH266">
        <v>0</v>
      </c>
      <c r="AI266">
        <v>22.03</v>
      </c>
      <c r="AJ266">
        <v>0</v>
      </c>
      <c r="AK266">
        <v>0</v>
      </c>
      <c r="AL266">
        <v>0</v>
      </c>
      <c r="AM266">
        <v>0</v>
      </c>
      <c r="AN266">
        <v>0</v>
      </c>
      <c r="AO266" t="str">
        <v>OK</v>
      </c>
      <c r="AP266">
        <v>0</v>
      </c>
    </row>
    <row r="267" spans="1:42">
      <c r="A267" t="str">
        <f>H267&amp;COUNTIF($H$2:H267,H267)</f>
        <v>自動旋削5</v>
      </c>
      <c r="B267" t="str">
        <f>F267&amp;COUNTIF($F$2:F267,F267)</f>
        <v>高雄工業 静岡19</v>
      </c>
      <c r="C267" t="str">
        <v>在職中</v>
      </c>
      <c r="D267">
        <v>220210</v>
      </c>
      <c r="E267">
        <v>242032</v>
      </c>
      <c r="F267" t="str">
        <v>高雄工業 静岡</v>
      </c>
      <c r="G267" t="str">
        <v>高雄工業株式会社 静岡事業所第一工場製作課</v>
      </c>
      <c r="H267" t="str">
        <v>自動旋削</v>
      </c>
      <c r="I267" t="str">
        <v>CVJ部品短軸品の施削加工、NCプログラム修正</v>
      </c>
      <c r="J267" t="str">
        <v>HOANG ANH TUAN</v>
      </c>
      <c r="K267" t="str">
        <v>ホアン　アイン　トゥアン</v>
      </c>
      <c r="L267" t="str">
        <v>男</v>
      </c>
      <c r="M267" t="str">
        <v>ﾍﾞﾄﾅﾑ</v>
      </c>
      <c r="N267">
        <v>34992</v>
      </c>
      <c r="O267">
        <v>28</v>
      </c>
      <c r="P267">
        <v>1400</v>
      </c>
      <c r="Q267">
        <v>0</v>
      </c>
      <c r="R267">
        <v>1770</v>
      </c>
      <c r="S267">
        <v>0</v>
      </c>
      <c r="T267">
        <v>370</v>
      </c>
      <c r="U267">
        <v>260000</v>
      </c>
      <c r="V267">
        <v>13013</v>
      </c>
      <c r="W267" t="str">
        <v>0</v>
      </c>
      <c r="X267">
        <v>23790</v>
      </c>
      <c r="Y267">
        <v>45287</v>
      </c>
      <c r="Z267" t="str">
        <v>残り期限90日!</v>
      </c>
      <c r="AA267" t="str">
        <v>技術・人文知識・国際業務</v>
      </c>
      <c r="AB267" t="str">
        <v>437-0061</v>
      </c>
      <c r="AC267" t="str">
        <v>静岡県袋井市久能1289-1</v>
      </c>
      <c r="AD267" t="str">
        <v>ｱｳﾛｰﾗⅡ101号</v>
      </c>
      <c r="AE267">
        <v>44596</v>
      </c>
      <c r="AF267">
        <v>44600</v>
      </c>
      <c r="AG267">
        <v>0</v>
      </c>
      <c r="AH267">
        <v>0</v>
      </c>
      <c r="AI267">
        <v>22.04</v>
      </c>
      <c r="AJ267" t="str">
        <v>ヴー　ドウツク　タツク</v>
      </c>
      <c r="AK267" t="str">
        <v>三井住友銀行</v>
      </c>
      <c r="AL267">
        <v>779</v>
      </c>
      <c r="AM267" t="str">
        <v>上野</v>
      </c>
      <c r="AN267" t="str">
        <v>8431916</v>
      </c>
      <c r="AO267" t="str">
        <v>OK</v>
      </c>
      <c r="AP267">
        <v>0</v>
      </c>
    </row>
    <row r="268" spans="1:42">
      <c r="A268" t="str">
        <f>H268&amp;COUNTIF($H$2:H268,H268)</f>
        <v>チャンファ1</v>
      </c>
      <c r="B268" t="str">
        <f>F268&amp;COUNTIF($F$2:F268,F268)</f>
        <v>高雄工業 静岡20</v>
      </c>
      <c r="C268" t="str">
        <v>在職中</v>
      </c>
      <c r="D268">
        <v>220301</v>
      </c>
      <c r="E268">
        <v>242033</v>
      </c>
      <c r="F268" t="str">
        <v>高雄工業 静岡</v>
      </c>
      <c r="G268" t="str">
        <v>高雄工業株式会社 静岡事業所第一工場製作課</v>
      </c>
      <c r="H268" t="str">
        <v>チャンファ</v>
      </c>
      <c r="I268" t="str">
        <v>産業機械部品の研磨加工、NCプログラム修正</v>
      </c>
      <c r="J268" t="str">
        <v>TRAN VAN HIEN</v>
      </c>
      <c r="K268" t="str">
        <v>チャン　ヴァン　ヒエン</v>
      </c>
      <c r="L268" t="str">
        <v>男</v>
      </c>
      <c r="M268" t="str">
        <v>ﾍﾞﾄﾅﾑ</v>
      </c>
      <c r="N268">
        <v>34262</v>
      </c>
      <c r="O268">
        <v>30</v>
      </c>
      <c r="P268">
        <v>1400</v>
      </c>
      <c r="Q268">
        <v>0</v>
      </c>
      <c r="R268">
        <v>1770</v>
      </c>
      <c r="S268">
        <v>0</v>
      </c>
      <c r="T268">
        <v>370</v>
      </c>
      <c r="U268">
        <v>280000</v>
      </c>
      <c r="V268">
        <v>14014</v>
      </c>
      <c r="W268" t="str">
        <v>0</v>
      </c>
      <c r="X268">
        <v>25620</v>
      </c>
      <c r="Y268">
        <v>45462</v>
      </c>
      <c r="Z268" t="str">
        <v/>
      </c>
      <c r="AA268" t="str">
        <v>技術・人文知識・国際業務</v>
      </c>
      <c r="AB268" t="str">
        <v>437-0065</v>
      </c>
      <c r="AC268" t="str">
        <v>静岡県袋井市堀越1丁目21-9</v>
      </c>
      <c r="AD268" t="str">
        <v>ﾌﾟﾁｾｿﾞﾝ203号</v>
      </c>
      <c r="AE268">
        <v>44620</v>
      </c>
      <c r="AF268">
        <v>44621</v>
      </c>
      <c r="AG268">
        <v>0</v>
      </c>
      <c r="AH268">
        <v>0</v>
      </c>
      <c r="AI268">
        <v>22.05</v>
      </c>
      <c r="AJ268">
        <v>0</v>
      </c>
      <c r="AK268">
        <v>0</v>
      </c>
      <c r="AL268">
        <v>0</v>
      </c>
      <c r="AM268">
        <v>0</v>
      </c>
      <c r="AN268">
        <v>0</v>
      </c>
      <c r="AO268" t="str">
        <v>OK</v>
      </c>
      <c r="AP268">
        <v>0</v>
      </c>
    </row>
    <row r="269" spans="1:42">
      <c r="A269" t="str">
        <f>H269&amp;COUNTIF($H$2:H269,H269)</f>
        <v>042</v>
      </c>
      <c r="B269" t="str">
        <f>F269&amp;COUNTIF($F$2:F269,F269)</f>
        <v>高雄工業 静岡21</v>
      </c>
      <c r="C269" t="str">
        <v>退社</v>
      </c>
      <c r="D269">
        <v>220312</v>
      </c>
      <c r="E269">
        <v>242034</v>
      </c>
      <c r="F269" t="str">
        <v>高雄工業 静岡</v>
      </c>
      <c r="G269" t="str">
        <v>008110 高雄工業株式会社 静岡事業所第一工場製作課</v>
      </c>
      <c r="H269">
        <v>0</v>
      </c>
      <c r="I269">
        <v>0</v>
      </c>
      <c r="J269" t="str">
        <v>TRAN HOANG DIEU</v>
      </c>
      <c r="K269" t="str">
        <v>チャン　ホアン　ジェウ</v>
      </c>
      <c r="L269" t="str">
        <v>男</v>
      </c>
      <c r="M269" t="str">
        <v>ﾍﾞﾄﾅﾑ</v>
      </c>
      <c r="N269">
        <v>35779</v>
      </c>
      <c r="O269">
        <v>25</v>
      </c>
      <c r="P269">
        <v>1350</v>
      </c>
      <c r="Q269">
        <v>0</v>
      </c>
      <c r="R269">
        <v>1750</v>
      </c>
      <c r="S269">
        <v>0</v>
      </c>
      <c r="T269">
        <v>400</v>
      </c>
      <c r="U269">
        <v>0</v>
      </c>
      <c r="V269" t="str">
        <v/>
      </c>
      <c r="W269" t="str">
        <v>0</v>
      </c>
      <c r="X269" t="str">
        <v/>
      </c>
      <c r="Y269">
        <v>44954</v>
      </c>
      <c r="Z269" t="str">
        <v>残り期限90日!</v>
      </c>
      <c r="AA269" t="str">
        <v>技術・人文知識・国際業務</v>
      </c>
      <c r="AB269" t="str">
        <v>437-0065</v>
      </c>
      <c r="AC269" t="str">
        <v>静岡県袋井市堀越1丁目21-9</v>
      </c>
      <c r="AD269" t="str">
        <v>ﾌﾟﾁｾｿﾞﾝ203号</v>
      </c>
      <c r="AE269">
        <v>0</v>
      </c>
      <c r="AF269">
        <v>44628</v>
      </c>
      <c r="AG269">
        <v>44742</v>
      </c>
      <c r="AH269">
        <v>0</v>
      </c>
      <c r="AI269">
        <v>22.05</v>
      </c>
      <c r="AJ269">
        <v>0</v>
      </c>
      <c r="AK269">
        <v>0</v>
      </c>
      <c r="AL269">
        <v>0</v>
      </c>
      <c r="AM269">
        <v>0</v>
      </c>
      <c r="AN269">
        <v>0</v>
      </c>
      <c r="AO269" t="str">
        <v>OK</v>
      </c>
      <c r="AP269">
        <v>0</v>
      </c>
    </row>
    <row r="270" spans="1:42">
      <c r="A270" t="str">
        <f>H270&amp;COUNTIF($H$2:H270,H270)</f>
        <v>内輪2</v>
      </c>
      <c r="B270" t="str">
        <f>F270&amp;COUNTIF($F$2:F270,F270)</f>
        <v>高雄工業 静岡22</v>
      </c>
      <c r="C270" t="str">
        <v>退社</v>
      </c>
      <c r="D270">
        <v>220311</v>
      </c>
      <c r="E270">
        <v>242035</v>
      </c>
      <c r="F270" t="str">
        <v>高雄工業 静岡</v>
      </c>
      <c r="G270" t="str">
        <v>高雄工業株式会社 静岡事業所第二工場製作課</v>
      </c>
      <c r="H270" t="str">
        <v>内輪</v>
      </c>
      <c r="I270" t="str">
        <v>産業機械部品の施削加工、NCプログラム修正</v>
      </c>
      <c r="J270" t="str">
        <v>LE MINH CHINH</v>
      </c>
      <c r="K270" t="str">
        <v>レ　ミン　チン</v>
      </c>
      <c r="L270" t="str">
        <v>男</v>
      </c>
      <c r="M270" t="str">
        <v>ﾍﾞﾄﾅﾑ</v>
      </c>
      <c r="N270">
        <v>30422</v>
      </c>
      <c r="O270">
        <v>40</v>
      </c>
      <c r="P270">
        <v>1400</v>
      </c>
      <c r="Q270">
        <v>0</v>
      </c>
      <c r="R270">
        <v>1760</v>
      </c>
      <c r="S270">
        <v>0</v>
      </c>
      <c r="T270">
        <v>360</v>
      </c>
      <c r="U270">
        <v>180000</v>
      </c>
      <c r="V270">
        <v>9009</v>
      </c>
      <c r="W270">
        <v>1637.9999999999982</v>
      </c>
      <c r="X270">
        <v>16470</v>
      </c>
      <c r="Y270">
        <v>45400</v>
      </c>
      <c r="Z270" t="str">
        <v/>
      </c>
      <c r="AA270" t="str">
        <v>技術・人文知識・国際業務</v>
      </c>
      <c r="AB270" t="str">
        <v>437-0066</v>
      </c>
      <c r="AC270" t="str">
        <v>静岡県袋井市山科3388-1</v>
      </c>
      <c r="AD270" t="str">
        <v>鶴松203</v>
      </c>
      <c r="AE270">
        <v>44626</v>
      </c>
      <c r="AF270">
        <v>44628</v>
      </c>
      <c r="AG270">
        <v>45169</v>
      </c>
      <c r="AH270">
        <v>45182</v>
      </c>
      <c r="AI270">
        <v>22.05</v>
      </c>
      <c r="AJ270">
        <v>0</v>
      </c>
      <c r="AK270">
        <v>0</v>
      </c>
      <c r="AL270">
        <v>0</v>
      </c>
      <c r="AM270">
        <v>0</v>
      </c>
      <c r="AN270">
        <v>0</v>
      </c>
      <c r="AO270" t="str">
        <v>OK</v>
      </c>
      <c r="AP270">
        <v>0</v>
      </c>
    </row>
    <row r="271" spans="1:42">
      <c r="A271" t="str">
        <f>H271&amp;COUNTIF($H$2:H271,H271)</f>
        <v>清掃作業1</v>
      </c>
      <c r="B271" t="str">
        <f>F271&amp;COUNTIF($F$2:F271,F271)</f>
        <v>高雄工業 静岡23</v>
      </c>
      <c r="C271" t="str">
        <v>退社</v>
      </c>
      <c r="D271">
        <v>220313</v>
      </c>
      <c r="E271">
        <v>242036</v>
      </c>
      <c r="F271" t="str">
        <v>高雄工業 静岡</v>
      </c>
      <c r="G271" t="str">
        <v>高雄工業株式会社 静岡事業所第一工場製作課</v>
      </c>
      <c r="H271" t="str">
        <v>清掃作業</v>
      </c>
      <c r="I271" t="str">
        <v>機械のクーラント液を補給する。NC施盤から排出される金属くずの回収</v>
      </c>
      <c r="J271" t="str">
        <v>栗原　ガブリエル</v>
      </c>
      <c r="K271" t="str">
        <v>クリハラ　ガブリエル</v>
      </c>
      <c r="L271" t="str">
        <v>男</v>
      </c>
      <c r="M271" t="str">
        <v>ﾌﾞﾗｼﾞﾙ</v>
      </c>
      <c r="N271">
        <v>35182</v>
      </c>
      <c r="O271">
        <v>27</v>
      </c>
      <c r="P271">
        <v>1300</v>
      </c>
      <c r="Q271">
        <v>0</v>
      </c>
      <c r="R271">
        <v>1750</v>
      </c>
      <c r="S271">
        <v>0</v>
      </c>
      <c r="T271">
        <v>450</v>
      </c>
      <c r="U271">
        <v>260000</v>
      </c>
      <c r="V271">
        <v>13013</v>
      </c>
      <c r="W271" t="str">
        <v>0</v>
      </c>
      <c r="X271">
        <v>23790</v>
      </c>
      <c r="Y271">
        <v>46321</v>
      </c>
      <c r="Z271" t="str">
        <v/>
      </c>
      <c r="AA271" t="str">
        <v>定住者</v>
      </c>
      <c r="AB271" t="str">
        <v>437-0126</v>
      </c>
      <c r="AC271" t="str">
        <v>静岡県袋井市月見町1-11</v>
      </c>
      <c r="AD271" t="str">
        <v>ﾑｰﾝｼｬﾄｰ3M4号</v>
      </c>
      <c r="AE271" t="str">
        <v>個人</v>
      </c>
      <c r="AF271">
        <v>44628</v>
      </c>
      <c r="AG271">
        <v>45251</v>
      </c>
      <c r="AH271">
        <v>0</v>
      </c>
      <c r="AI271">
        <v>22.05</v>
      </c>
      <c r="AJ271">
        <v>0</v>
      </c>
      <c r="AK271">
        <v>0</v>
      </c>
      <c r="AL271">
        <v>0</v>
      </c>
      <c r="AM271">
        <v>0</v>
      </c>
      <c r="AN271">
        <v>0</v>
      </c>
      <c r="AO271" t="str">
        <v>OK</v>
      </c>
      <c r="AP271">
        <v>0</v>
      </c>
    </row>
    <row r="272" spans="1:42">
      <c r="A272" t="str">
        <f>H272&amp;COUNTIF($H$2:H272,H272)</f>
        <v>トラニオン1</v>
      </c>
      <c r="B272" t="str">
        <f>F272&amp;COUNTIF($F$2:F272,F272)</f>
        <v>高雄工業 静岡24</v>
      </c>
      <c r="C272" t="str">
        <v>在職中</v>
      </c>
      <c r="D272">
        <v>220403</v>
      </c>
      <c r="E272">
        <v>242038</v>
      </c>
      <c r="F272" t="str">
        <v>高雄工業 静岡</v>
      </c>
      <c r="G272" t="str">
        <v>高雄工業株式会社 静岡事業所第二工場製作課</v>
      </c>
      <c r="H272" t="str">
        <v>トラニオン</v>
      </c>
      <c r="I272" t="str">
        <v>産業機械部品の研磨加工、NCプログラム修正</v>
      </c>
      <c r="J272" t="str">
        <v>TRAN NGOC SON</v>
      </c>
      <c r="K272" t="str">
        <v>チャン　ゴック　ソン</v>
      </c>
      <c r="L272" t="str">
        <v>男</v>
      </c>
      <c r="M272" t="str">
        <v>ﾍﾞﾄﾅﾑ</v>
      </c>
      <c r="N272">
        <v>34748</v>
      </c>
      <c r="O272">
        <v>28</v>
      </c>
      <c r="P272">
        <v>1410</v>
      </c>
      <c r="Q272">
        <v>0</v>
      </c>
      <c r="R272">
        <v>1780</v>
      </c>
      <c r="S272">
        <v>0</v>
      </c>
      <c r="T272">
        <v>370</v>
      </c>
      <c r="U272">
        <v>260000</v>
      </c>
      <c r="V272">
        <v>13013</v>
      </c>
      <c r="W272" t="str">
        <v>0</v>
      </c>
      <c r="X272">
        <v>23790</v>
      </c>
      <c r="Y272">
        <v>45628</v>
      </c>
      <c r="Z272" t="str">
        <v/>
      </c>
      <c r="AA272" t="str">
        <v>技術・人文知識・国際業務</v>
      </c>
      <c r="AB272" t="str">
        <v>437-0061</v>
      </c>
      <c r="AC272" t="str">
        <v>静岡県袋井市久能1889-2</v>
      </c>
      <c r="AD272" t="str">
        <v>ﾗﾌｨｰﾈ久能402号</v>
      </c>
      <c r="AE272">
        <v>44652</v>
      </c>
      <c r="AF272">
        <v>44658</v>
      </c>
      <c r="AG272">
        <v>0</v>
      </c>
      <c r="AH272">
        <v>0</v>
      </c>
      <c r="AI272" t="str">
        <v>22.04.01</v>
      </c>
      <c r="AJ272">
        <v>0</v>
      </c>
      <c r="AK272">
        <v>0</v>
      </c>
      <c r="AL272">
        <v>0</v>
      </c>
      <c r="AM272">
        <v>0</v>
      </c>
      <c r="AN272">
        <v>0</v>
      </c>
      <c r="AO272" t="str">
        <v>2022/04/20</v>
      </c>
      <c r="AP272">
        <v>0</v>
      </c>
    </row>
    <row r="273" spans="1:42">
      <c r="A273" t="str">
        <f>H273&amp;COUNTIF($H$2:H273,H273)</f>
        <v>自動旋削6</v>
      </c>
      <c r="B273" t="str">
        <f>F273&amp;COUNTIF($F$2:F273,F273)</f>
        <v>高雄工業 静岡25</v>
      </c>
      <c r="C273" t="str">
        <v>退社</v>
      </c>
      <c r="D273">
        <v>220411</v>
      </c>
      <c r="E273">
        <v>242039</v>
      </c>
      <c r="F273" t="str">
        <v>高雄工業 静岡</v>
      </c>
      <c r="G273" t="str">
        <v>高雄工業株式会社 静岡事業所第一工場製作課</v>
      </c>
      <c r="H273" t="str">
        <v>自動旋削</v>
      </c>
      <c r="I273" t="str">
        <v>CVJ部品短軸品の施削加工、NCプログラム修正</v>
      </c>
      <c r="J273" t="str">
        <v>VU VAN HUNG</v>
      </c>
      <c r="K273" t="str">
        <v>ヴー　ヴァン　フン</v>
      </c>
      <c r="L273" t="str">
        <v>男</v>
      </c>
      <c r="M273" t="str">
        <v>ﾍﾞﾄﾅﾑ</v>
      </c>
      <c r="N273">
        <v>30672</v>
      </c>
      <c r="O273">
        <v>39</v>
      </c>
      <c r="P273">
        <v>1400</v>
      </c>
      <c r="Q273">
        <v>0</v>
      </c>
      <c r="R273">
        <v>1770</v>
      </c>
      <c r="S273">
        <v>0</v>
      </c>
      <c r="T273">
        <v>370</v>
      </c>
      <c r="U273">
        <v>280000</v>
      </c>
      <c r="V273">
        <v>14014</v>
      </c>
      <c r="W273" t="str">
        <v>0</v>
      </c>
      <c r="X273">
        <v>25620</v>
      </c>
      <c r="Y273">
        <v>45272</v>
      </c>
      <c r="Z273" t="str">
        <v>残り期限90日!</v>
      </c>
      <c r="AA273" t="str">
        <v>技術・人文知識・国際業務</v>
      </c>
      <c r="AB273" t="str">
        <v>437-0062</v>
      </c>
      <c r="AC273" t="str">
        <v>静岡県袋井市泉町1丁目7-3</v>
      </c>
      <c r="AD273" t="str">
        <v>BeehiveresidenceⅦ102</v>
      </c>
      <c r="AE273">
        <v>44665</v>
      </c>
      <c r="AF273">
        <v>44669</v>
      </c>
      <c r="AG273">
        <v>45184</v>
      </c>
      <c r="AH273">
        <v>0</v>
      </c>
      <c r="AI273" t="str">
        <v>22.07.01</v>
      </c>
      <c r="AJ273">
        <v>0</v>
      </c>
      <c r="AK273">
        <v>0</v>
      </c>
      <c r="AL273">
        <v>0</v>
      </c>
      <c r="AM273">
        <v>0</v>
      </c>
      <c r="AN273">
        <v>0</v>
      </c>
      <c r="AO273" t="str">
        <v>2022/04/20</v>
      </c>
      <c r="AP273">
        <v>0</v>
      </c>
    </row>
    <row r="274" spans="1:42">
      <c r="A274" t="str">
        <f>H274&amp;COUNTIF($H$2:H274,H274)</f>
        <v>ナット2</v>
      </c>
      <c r="B274" t="str">
        <f>F274&amp;COUNTIF($F$2:F274,F274)</f>
        <v>高雄工業 静岡26</v>
      </c>
      <c r="C274" t="str">
        <v>在職中</v>
      </c>
      <c r="D274">
        <v>220412</v>
      </c>
      <c r="E274">
        <v>242040</v>
      </c>
      <c r="F274" t="str">
        <v>高雄工業 静岡</v>
      </c>
      <c r="G274" t="str">
        <v>高雄工業株式会社 静岡事業所第二工場製作課</v>
      </c>
      <c r="H274" t="str">
        <v>ナット</v>
      </c>
      <c r="I274" t="str">
        <v>産業機械部品の研磨加工、NCプログラム修正</v>
      </c>
      <c r="J274" t="str">
        <v>NGUYEN THANH PHUONG</v>
      </c>
      <c r="K274" t="str">
        <v>グエン　タン　フォン</v>
      </c>
      <c r="L274" t="str">
        <v>男</v>
      </c>
      <c r="M274" t="str">
        <v>ﾍﾞﾄﾅﾑ</v>
      </c>
      <c r="N274">
        <v>30919</v>
      </c>
      <c r="O274">
        <v>39</v>
      </c>
      <c r="P274">
        <v>1410</v>
      </c>
      <c r="Q274">
        <v>0</v>
      </c>
      <c r="R274">
        <v>1780</v>
      </c>
      <c r="S274">
        <v>0</v>
      </c>
      <c r="T274">
        <v>370</v>
      </c>
      <c r="U274">
        <v>300000</v>
      </c>
      <c r="V274">
        <v>15014.999999999998</v>
      </c>
      <c r="W274" t="str">
        <v>0</v>
      </c>
      <c r="X274">
        <v>27450</v>
      </c>
      <c r="Y274">
        <v>45541</v>
      </c>
      <c r="Z274" t="str">
        <v/>
      </c>
      <c r="AA274" t="str">
        <v>技術・人文知識・国際業務</v>
      </c>
      <c r="AB274" t="str">
        <v>437-0065</v>
      </c>
      <c r="AC274" t="str">
        <v>静岡県袋井市堀越四丁目１番地1</v>
      </c>
      <c r="AD274" t="str">
        <v>県営堀越団地1棟206号室</v>
      </c>
      <c r="AE274" t="str">
        <v>個人</v>
      </c>
      <c r="AF274">
        <v>44669</v>
      </c>
      <c r="AG274">
        <v>0</v>
      </c>
      <c r="AH274">
        <v>0</v>
      </c>
      <c r="AI274" t="str">
        <v>22.04.01</v>
      </c>
      <c r="AJ274">
        <v>0</v>
      </c>
      <c r="AK274">
        <v>0</v>
      </c>
      <c r="AL274">
        <v>0</v>
      </c>
      <c r="AM274">
        <v>0</v>
      </c>
      <c r="AN274">
        <v>0</v>
      </c>
      <c r="AO274" t="str">
        <v>2022/04/18</v>
      </c>
      <c r="AP274">
        <v>0</v>
      </c>
    </row>
    <row r="275" spans="1:42">
      <c r="A275" t="str">
        <f>H275&amp;COUNTIF($H$2:H275,H275)</f>
        <v>手動旋削5</v>
      </c>
      <c r="B275" t="str">
        <f>F275&amp;COUNTIF($F$2:F275,F275)</f>
        <v>高雄工業 静岡27</v>
      </c>
      <c r="C275" t="str">
        <v>在職中</v>
      </c>
      <c r="D275">
        <v>220415</v>
      </c>
      <c r="E275">
        <v>242041</v>
      </c>
      <c r="F275" t="str">
        <v>高雄工業 静岡</v>
      </c>
      <c r="G275" t="str">
        <v>高雄工業株式会社 静岡事業所第一工場製作課</v>
      </c>
      <c r="H275" t="str">
        <v>手動旋削</v>
      </c>
      <c r="I275" t="str">
        <v>CVJ部品短軸品の施削加工、NCプログラム修正</v>
      </c>
      <c r="J275" t="str">
        <v>TRINH THANH VIET ANH</v>
      </c>
      <c r="K275" t="str">
        <v>チン　タン　ヴィエト　アン</v>
      </c>
      <c r="L275" t="str">
        <v>男</v>
      </c>
      <c r="M275" t="str">
        <v>ﾍﾞﾄﾅﾑ</v>
      </c>
      <c r="N275">
        <v>34731</v>
      </c>
      <c r="O275">
        <v>28</v>
      </c>
      <c r="P275">
        <v>1400</v>
      </c>
      <c r="Q275">
        <v>0</v>
      </c>
      <c r="R275">
        <v>1780</v>
      </c>
      <c r="S275">
        <v>0</v>
      </c>
      <c r="T275">
        <v>380</v>
      </c>
      <c r="U275">
        <v>280000</v>
      </c>
      <c r="V275">
        <v>14014</v>
      </c>
      <c r="W275" t="str">
        <v>0</v>
      </c>
      <c r="X275">
        <v>25620</v>
      </c>
      <c r="Y275">
        <v>45278</v>
      </c>
      <c r="Z275" t="str">
        <v>残り期限90日!</v>
      </c>
      <c r="AA275" t="str">
        <v>技術・人文知識・国際業務</v>
      </c>
      <c r="AB275" t="str">
        <v>437-0015</v>
      </c>
      <c r="AC275" t="str">
        <v>静岡県袋井市旭町2-7-5</v>
      </c>
      <c r="AD275" t="str">
        <v>ﾌｨﾌﾃｨｰⅡ102</v>
      </c>
      <c r="AE275">
        <v>44699</v>
      </c>
      <c r="AF275">
        <v>44673</v>
      </c>
      <c r="AG275">
        <v>45289</v>
      </c>
      <c r="AH275">
        <v>0</v>
      </c>
      <c r="AI275" t="str">
        <v>22.07.01</v>
      </c>
      <c r="AJ275">
        <v>0</v>
      </c>
      <c r="AK275">
        <v>0</v>
      </c>
      <c r="AL275">
        <v>0</v>
      </c>
      <c r="AM275">
        <v>0</v>
      </c>
      <c r="AN275">
        <v>0</v>
      </c>
      <c r="AO275" t="str">
        <v>2022/05/16</v>
      </c>
      <c r="AP275">
        <v>0</v>
      </c>
    </row>
    <row r="276" spans="1:42">
      <c r="A276" t="str">
        <f>H276&amp;COUNTIF($H$2:H276,H276)</f>
        <v>内輪3</v>
      </c>
      <c r="B276" t="str">
        <f>F276&amp;COUNTIF($F$2:F276,F276)</f>
        <v>高雄工業 静岡28</v>
      </c>
      <c r="C276" t="str">
        <v>在職中</v>
      </c>
      <c r="D276">
        <v>220324</v>
      </c>
      <c r="E276">
        <v>242042</v>
      </c>
      <c r="F276" t="str">
        <v>高雄工業 静岡</v>
      </c>
      <c r="G276" t="str">
        <v>高雄工業株式会社 静岡事業所第二工場製作課</v>
      </c>
      <c r="H276" t="str">
        <v>内輪</v>
      </c>
      <c r="I276" t="str">
        <v>産業機械部品の研磨加工、NCプログラム修正</v>
      </c>
      <c r="J276" t="str">
        <v>CHU TRONG AN</v>
      </c>
      <c r="K276" t="str">
        <v>チュ　チョン　アン</v>
      </c>
      <c r="L276" t="str">
        <v>男</v>
      </c>
      <c r="M276" t="str">
        <v>ﾍﾞﾄﾅﾑ</v>
      </c>
      <c r="N276">
        <v>35332</v>
      </c>
      <c r="O276">
        <v>27</v>
      </c>
      <c r="P276">
        <v>1400</v>
      </c>
      <c r="Q276">
        <v>0</v>
      </c>
      <c r="R276">
        <v>1760</v>
      </c>
      <c r="S276">
        <v>0</v>
      </c>
      <c r="T276">
        <v>360</v>
      </c>
      <c r="U276">
        <v>280000</v>
      </c>
      <c r="V276">
        <v>14014</v>
      </c>
      <c r="W276" t="str">
        <v>0</v>
      </c>
      <c r="X276">
        <v>25620</v>
      </c>
      <c r="Y276">
        <v>45587</v>
      </c>
      <c r="Z276" t="str">
        <v/>
      </c>
      <c r="AA276" t="str">
        <v>技術・人文知識・国際業務</v>
      </c>
      <c r="AB276" t="str">
        <v>437-0015</v>
      </c>
      <c r="AC276" t="str">
        <v>静岡県袋井市旭町2-7-5</v>
      </c>
      <c r="AD276" t="str">
        <v>ﾌｨﾌﾃｨⅠ-101</v>
      </c>
      <c r="AE276">
        <v>44681</v>
      </c>
      <c r="AF276">
        <v>44649</v>
      </c>
      <c r="AG276">
        <v>45275</v>
      </c>
      <c r="AH276">
        <v>0</v>
      </c>
      <c r="AI276" t="str">
        <v>22.06.01</v>
      </c>
      <c r="AJ276">
        <v>0</v>
      </c>
      <c r="AK276">
        <v>0</v>
      </c>
      <c r="AL276">
        <v>0</v>
      </c>
      <c r="AM276">
        <v>0</v>
      </c>
      <c r="AN276">
        <v>0</v>
      </c>
      <c r="AO276" t="str">
        <v>2022/04/20</v>
      </c>
      <c r="AP276" t="str">
        <v>新日本ホイール 2022/4/29退社　5/10より高雄静岡へ配属</v>
      </c>
    </row>
    <row r="277" spans="1:42">
      <c r="A277" t="str">
        <f>H277&amp;COUNTIF($H$2:H277,H277)</f>
        <v>ナット3</v>
      </c>
      <c r="B277" t="str">
        <f>F277&amp;COUNTIF($F$2:F277,F277)</f>
        <v>瑞陵精機2</v>
      </c>
      <c r="C277" t="str">
        <v>在職中</v>
      </c>
      <c r="D277">
        <v>220507</v>
      </c>
      <c r="E277">
        <v>242043</v>
      </c>
      <c r="F277" t="str">
        <v>瑞陵精機</v>
      </c>
      <c r="G277" t="str">
        <v>高雄工業株式会社 静岡事業所第二工場製作課</v>
      </c>
      <c r="H277" t="str">
        <v>ナット</v>
      </c>
      <c r="I277" t="str">
        <v>産業機械部品の施削加工、NCプログラム修正</v>
      </c>
      <c r="J277" t="str">
        <v>LE VAN LONG</v>
      </c>
      <c r="K277" t="str">
        <v>レー　ヴァン　ロン</v>
      </c>
      <c r="L277" t="str">
        <v>男</v>
      </c>
      <c r="M277" t="str">
        <v>ﾍﾞﾄﾅﾑ</v>
      </c>
      <c r="N277">
        <v>35433</v>
      </c>
      <c r="O277">
        <v>26</v>
      </c>
      <c r="P277">
        <v>1300</v>
      </c>
      <c r="Q277">
        <v>0</v>
      </c>
      <c r="R277">
        <v>1670</v>
      </c>
      <c r="S277">
        <v>0</v>
      </c>
      <c r="T277">
        <v>370</v>
      </c>
      <c r="U277">
        <v>280000</v>
      </c>
      <c r="V277">
        <v>14014</v>
      </c>
      <c r="W277" t="str">
        <v>0</v>
      </c>
      <c r="X277">
        <v>25620</v>
      </c>
      <c r="Y277">
        <v>45424</v>
      </c>
      <c r="Z277" t="str">
        <v/>
      </c>
      <c r="AA277" t="str">
        <v>技術・人文知識・国際業務</v>
      </c>
      <c r="AB277" t="str">
        <v>437-0065</v>
      </c>
      <c r="AC277" t="str">
        <v>静岡県袋井市堀越1丁目14-6</v>
      </c>
      <c r="AD277" t="str">
        <v>ﾊｰﾓﾆｰ201</v>
      </c>
      <c r="AE277">
        <v>44680</v>
      </c>
      <c r="AF277">
        <v>44691</v>
      </c>
      <c r="AG277">
        <v>0</v>
      </c>
      <c r="AH277">
        <v>0</v>
      </c>
      <c r="AI277" t="str">
        <v>22.07.01</v>
      </c>
      <c r="AJ277" t="str">
        <v>グエン　ヴィエット　クオン</v>
      </c>
      <c r="AK277" t="str">
        <v>ゆうちょ銀行</v>
      </c>
      <c r="AL277">
        <v>248</v>
      </c>
      <c r="AM277" t="str">
        <v>二四八</v>
      </c>
      <c r="AN277" t="str">
        <v>3582622</v>
      </c>
      <c r="AO277" t="str">
        <v>5/17原</v>
      </c>
      <c r="AP277" t="str">
        <v>2022/5/10～2023/11/3高雄工業静岡退社　2023/11/6瑞陵精機に異動</v>
      </c>
    </row>
    <row r="278" spans="1:42">
      <c r="A278" t="str">
        <f>H278&amp;COUNTIF($H$2:H278,H278)</f>
        <v>PTJ1</v>
      </c>
      <c r="B278" t="str">
        <f>F278&amp;COUNTIF($F$2:F278,F278)</f>
        <v>高雄工業 静岡29</v>
      </c>
      <c r="C278" t="str">
        <v>在職中</v>
      </c>
      <c r="D278">
        <v>220506</v>
      </c>
      <c r="E278">
        <v>242044</v>
      </c>
      <c r="F278" t="str">
        <v>高雄工業 静岡</v>
      </c>
      <c r="G278" t="str">
        <v>高雄工業株式会社 静岡事業所第二工場製作課</v>
      </c>
      <c r="H278" t="str">
        <v>PTJ</v>
      </c>
      <c r="I278" t="str">
        <v>産業機械部品の研磨加工、NCプログラム修正</v>
      </c>
      <c r="J278" t="str">
        <v>NGO DUC HIEP</v>
      </c>
      <c r="K278" t="str">
        <v>ゴー　ドゥック　ヒエップ</v>
      </c>
      <c r="L278" t="str">
        <v>男</v>
      </c>
      <c r="M278" t="str">
        <v>ﾍﾞﾄﾅﾑ</v>
      </c>
      <c r="N278">
        <v>35364</v>
      </c>
      <c r="O278">
        <v>27</v>
      </c>
      <c r="P278">
        <v>1300</v>
      </c>
      <c r="Q278">
        <v>0</v>
      </c>
      <c r="R278">
        <v>1670</v>
      </c>
      <c r="S278">
        <v>0</v>
      </c>
      <c r="T278">
        <v>370</v>
      </c>
      <c r="U278">
        <v>300000</v>
      </c>
      <c r="V278">
        <v>15014.999999999998</v>
      </c>
      <c r="W278" t="str">
        <v>0</v>
      </c>
      <c r="X278">
        <v>27450</v>
      </c>
      <c r="Y278">
        <v>45424</v>
      </c>
      <c r="Z278" t="str">
        <v/>
      </c>
      <c r="AA278" t="str">
        <v>技術・人文知識・国際業務</v>
      </c>
      <c r="AB278" t="str">
        <v>437-0065</v>
      </c>
      <c r="AC278" t="str">
        <v>静岡県袋井市堀越1丁目14-6</v>
      </c>
      <c r="AD278" t="str">
        <v>ﾊｰﾓﾆｰ201</v>
      </c>
      <c r="AE278">
        <v>44680</v>
      </c>
      <c r="AF278">
        <v>44691</v>
      </c>
      <c r="AG278">
        <v>0</v>
      </c>
      <c r="AH278">
        <v>0</v>
      </c>
      <c r="AI278" t="str">
        <v>22.07.01</v>
      </c>
      <c r="AJ278" t="str">
        <v>ファム　ヴァン　ヒエウ</v>
      </c>
      <c r="AK278" t="str">
        <v>ゆうちょ銀行</v>
      </c>
      <c r="AL278">
        <v>408</v>
      </c>
      <c r="AM278" t="str">
        <v>四〇八</v>
      </c>
      <c r="AN278" t="str">
        <v>3267821</v>
      </c>
      <c r="AO278" t="str">
        <v>5/17原</v>
      </c>
      <c r="AP278">
        <v>0</v>
      </c>
    </row>
    <row r="279" spans="1:42">
      <c r="A279" t="str">
        <f>H279&amp;COUNTIF($H$2:H279,H279)</f>
        <v>ナット4</v>
      </c>
      <c r="B279" t="str">
        <f>F279&amp;COUNTIF($F$2:F279,F279)</f>
        <v>高雄工業 静岡30</v>
      </c>
      <c r="C279" t="str">
        <v>在職中</v>
      </c>
      <c r="D279">
        <v>220508</v>
      </c>
      <c r="E279">
        <v>242045</v>
      </c>
      <c r="F279" t="str">
        <v>高雄工業 静岡</v>
      </c>
      <c r="G279" t="str">
        <v>高雄工業株式会社 静岡事業所第二工場製作課</v>
      </c>
      <c r="H279" t="str">
        <v>ナット</v>
      </c>
      <c r="I279" t="str">
        <v>産業機械部品の研磨加工、NCプログラム修正</v>
      </c>
      <c r="J279" t="str">
        <v>TRAN VAN HIEU</v>
      </c>
      <c r="K279" t="str">
        <v>チャン　ヴァン　ヒエウ</v>
      </c>
      <c r="L279" t="str">
        <v>男</v>
      </c>
      <c r="M279" t="str">
        <v>ﾍﾞﾄﾅﾑ</v>
      </c>
      <c r="N279">
        <v>35623</v>
      </c>
      <c r="O279">
        <v>26</v>
      </c>
      <c r="P279">
        <v>1300</v>
      </c>
      <c r="Q279">
        <v>0</v>
      </c>
      <c r="R279">
        <v>1670</v>
      </c>
      <c r="S279">
        <v>0</v>
      </c>
      <c r="T279">
        <v>370</v>
      </c>
      <c r="U279">
        <v>320000</v>
      </c>
      <c r="V279">
        <v>16015.999999999998</v>
      </c>
      <c r="W279" t="str">
        <v>0</v>
      </c>
      <c r="X279">
        <v>29280</v>
      </c>
      <c r="Y279">
        <v>45424</v>
      </c>
      <c r="Z279" t="str">
        <v/>
      </c>
      <c r="AA279" t="str">
        <v>技術・人文知識・国際業務</v>
      </c>
      <c r="AB279" t="str">
        <v>437-0065</v>
      </c>
      <c r="AC279" t="str">
        <v>静岡県袋井市堀越1丁目14-6</v>
      </c>
      <c r="AD279" t="str">
        <v>ﾊｰﾓﾆｰ201</v>
      </c>
      <c r="AE279">
        <v>44680</v>
      </c>
      <c r="AF279">
        <v>44691</v>
      </c>
      <c r="AG279">
        <v>0</v>
      </c>
      <c r="AH279">
        <v>0</v>
      </c>
      <c r="AI279" t="str">
        <v>22.07.01</v>
      </c>
      <c r="AJ279" t="str">
        <v>ファム　デイン　トウン</v>
      </c>
      <c r="AK279" t="str">
        <v>ゆうちょ銀行</v>
      </c>
      <c r="AL279">
        <v>98</v>
      </c>
      <c r="AM279" t="str">
        <v>〇九八</v>
      </c>
      <c r="AN279" t="str">
        <v>1285143</v>
      </c>
      <c r="AO279" t="str">
        <v>5/17原</v>
      </c>
      <c r="AP279">
        <v>0</v>
      </c>
    </row>
    <row r="280" spans="1:42">
      <c r="A280" t="str">
        <f>H280&amp;COUNTIF($H$2:H280,H280)</f>
        <v>自動旋削7</v>
      </c>
      <c r="B280" t="str">
        <f>F280&amp;COUNTIF($F$2:F280,F280)</f>
        <v>高雄工業 静岡31</v>
      </c>
      <c r="C280" t="str">
        <v>退社</v>
      </c>
      <c r="D280">
        <v>220517</v>
      </c>
      <c r="E280">
        <v>242046</v>
      </c>
      <c r="F280" t="str">
        <v>高雄工業 静岡</v>
      </c>
      <c r="G280" t="str">
        <v>高雄工業株式会社 静岡事業所第一工場製作課</v>
      </c>
      <c r="H280" t="str">
        <v>自動旋削</v>
      </c>
      <c r="I280">
        <v>0</v>
      </c>
      <c r="J280" t="str">
        <v>MA THE THIEN</v>
      </c>
      <c r="K280" t="str">
        <v>マー　テー　ティエン</v>
      </c>
      <c r="L280" t="str">
        <v>男</v>
      </c>
      <c r="M280" t="str">
        <v>ﾍﾞﾄﾅﾑ</v>
      </c>
      <c r="N280">
        <v>35641</v>
      </c>
      <c r="O280">
        <v>26</v>
      </c>
      <c r="P280">
        <v>1210</v>
      </c>
      <c r="Q280">
        <v>0</v>
      </c>
      <c r="R280">
        <v>1650</v>
      </c>
      <c r="S280">
        <v>0</v>
      </c>
      <c r="T280">
        <v>440</v>
      </c>
      <c r="U280">
        <v>0</v>
      </c>
      <c r="V280" t="str">
        <v/>
      </c>
      <c r="W280" t="str">
        <v>0</v>
      </c>
      <c r="X280" t="str">
        <v/>
      </c>
      <c r="Y280">
        <v>45042</v>
      </c>
      <c r="Z280" t="str">
        <v>残り期限90日!</v>
      </c>
      <c r="AA280" t="str">
        <v>技術・人文知識・国際業務</v>
      </c>
      <c r="AB280" t="str">
        <v>437-0015</v>
      </c>
      <c r="AC280" t="str">
        <v>静岡県袋井市旭町2-7-5</v>
      </c>
      <c r="AD280" t="str">
        <v>ﾌｨﾌﾃｨⅡ102号室</v>
      </c>
      <c r="AE280" t="str">
        <v>個人</v>
      </c>
      <c r="AF280">
        <v>44694</v>
      </c>
      <c r="AG280">
        <v>44855</v>
      </c>
      <c r="AH280">
        <v>0</v>
      </c>
      <c r="AI280" t="str">
        <v>22.07.01</v>
      </c>
      <c r="AJ280" t="str">
        <v>ファム　ヴァン　ヒエウ</v>
      </c>
      <c r="AK280" t="str">
        <v>ゆうちょ銀行</v>
      </c>
      <c r="AL280">
        <v>408</v>
      </c>
      <c r="AM280" t="str">
        <v>四〇八</v>
      </c>
      <c r="AN280" t="str">
        <v>3267821</v>
      </c>
      <c r="AO280" t="str">
        <v>5/19林</v>
      </c>
      <c r="AP280">
        <v>0</v>
      </c>
    </row>
    <row r="281" spans="1:42">
      <c r="A281" t="str">
        <f>H281&amp;COUNTIF($H$2:H281,H281)</f>
        <v>ナット5</v>
      </c>
      <c r="B281" t="str">
        <f>F281&amp;COUNTIF($F$2:F281,F281)</f>
        <v>高雄工業 静岡32</v>
      </c>
      <c r="C281" t="str">
        <v>在職中</v>
      </c>
      <c r="D281">
        <v>220522</v>
      </c>
      <c r="E281">
        <v>242047</v>
      </c>
      <c r="F281" t="str">
        <v>高雄工業 静岡</v>
      </c>
      <c r="G281" t="str">
        <v>高雄工業株式会社 静岡事業所第一工場製作課</v>
      </c>
      <c r="H281" t="str">
        <v>ナット</v>
      </c>
      <c r="I281" t="str">
        <v>産業機械部品の研磨加工、NCプログラム修正</v>
      </c>
      <c r="J281" t="str">
        <v>NGUYEN DINH THANH</v>
      </c>
      <c r="K281" t="str">
        <v>グエン　ディン　タイン</v>
      </c>
      <c r="L281" t="str">
        <v>男</v>
      </c>
      <c r="M281" t="str">
        <v>ﾍﾞﾄﾅﾑ</v>
      </c>
      <c r="N281">
        <v>36538</v>
      </c>
      <c r="O281">
        <v>23</v>
      </c>
      <c r="P281">
        <v>1300</v>
      </c>
      <c r="Q281">
        <v>0</v>
      </c>
      <c r="R281">
        <v>1670</v>
      </c>
      <c r="S281">
        <v>0</v>
      </c>
      <c r="T281">
        <v>370</v>
      </c>
      <c r="U281">
        <v>320000</v>
      </c>
      <c r="V281">
        <v>16015.999999999998</v>
      </c>
      <c r="W281" t="str">
        <v>0</v>
      </c>
      <c r="X281">
        <v>29280</v>
      </c>
      <c r="Y281">
        <v>45437</v>
      </c>
      <c r="Z281" t="str">
        <v/>
      </c>
      <c r="AA281" t="str">
        <v>技術・人文知識・国際業務</v>
      </c>
      <c r="AB281" t="str">
        <v>437-0062</v>
      </c>
      <c r="AC281" t="str">
        <v>静岡県袋井市泉町1丁目7-3</v>
      </c>
      <c r="AD281" t="str">
        <v>BeehiveresidenceⅦ102</v>
      </c>
      <c r="AE281">
        <v>44699</v>
      </c>
      <c r="AF281">
        <v>44707</v>
      </c>
      <c r="AG281">
        <v>0</v>
      </c>
      <c r="AH281">
        <v>0</v>
      </c>
      <c r="AI281" t="str">
        <v>22.07.01</v>
      </c>
      <c r="AJ281" t="str">
        <v>グエン　チー　トゥアン</v>
      </c>
      <c r="AK281" t="str">
        <v>ゆうちょ銀行</v>
      </c>
      <c r="AL281">
        <v>248</v>
      </c>
      <c r="AM281" t="str">
        <v>二四八</v>
      </c>
      <c r="AN281" t="str">
        <v>3709440</v>
      </c>
      <c r="AO281" t="str">
        <v>6/6林</v>
      </c>
      <c r="AP281">
        <v>0</v>
      </c>
    </row>
    <row r="282" spans="1:42">
      <c r="A282" t="str">
        <f>H282&amp;COUNTIF($H$2:H282,H282)</f>
        <v>手動旋削6</v>
      </c>
      <c r="B282" t="str">
        <f>F282&amp;COUNTIF($F$2:F282,F282)</f>
        <v>高雄工業 静岡33</v>
      </c>
      <c r="C282" t="str">
        <v>在職中</v>
      </c>
      <c r="D282">
        <v>220604</v>
      </c>
      <c r="E282">
        <v>242048</v>
      </c>
      <c r="F282" t="str">
        <v>高雄工業 静岡</v>
      </c>
      <c r="G282" t="str">
        <v>高雄工業株式会社 静岡事業所第一工場製作課</v>
      </c>
      <c r="H282" t="str">
        <v>手動旋削</v>
      </c>
      <c r="I282" t="str">
        <v>CVJ部品短軸品の施削加工、NCプログラム修正</v>
      </c>
      <c r="J282" t="str">
        <v>NGUYEN XUAN HIEU</v>
      </c>
      <c r="K282" t="str">
        <v>グエン　スアン　ヒエウ</v>
      </c>
      <c r="L282" t="str">
        <v>男</v>
      </c>
      <c r="M282" t="str">
        <v>ﾍﾞﾄﾅﾑ</v>
      </c>
      <c r="N282">
        <v>35608</v>
      </c>
      <c r="O282">
        <v>26</v>
      </c>
      <c r="P282">
        <v>1350</v>
      </c>
      <c r="Q282">
        <v>0</v>
      </c>
      <c r="R282">
        <v>1670</v>
      </c>
      <c r="S282">
        <v>0</v>
      </c>
      <c r="T282">
        <v>320</v>
      </c>
      <c r="U282">
        <v>260000</v>
      </c>
      <c r="V282">
        <v>13013</v>
      </c>
      <c r="W282" t="str">
        <v>0</v>
      </c>
      <c r="X282">
        <v>23790</v>
      </c>
      <c r="Y282">
        <v>45437</v>
      </c>
      <c r="Z282" t="str">
        <v/>
      </c>
      <c r="AA282" t="str">
        <v>技術・人文知識・国際業務</v>
      </c>
      <c r="AB282" t="str">
        <v>437-0063</v>
      </c>
      <c r="AC282" t="str">
        <v>静岡県袋井市田町2丁目6-10</v>
      </c>
      <c r="AD282" t="str">
        <v>SuperiorⅠ201</v>
      </c>
      <c r="AE282">
        <v>44717</v>
      </c>
      <c r="AF282">
        <v>44718</v>
      </c>
      <c r="AG282">
        <v>0</v>
      </c>
      <c r="AH282">
        <v>0</v>
      </c>
      <c r="AI282" t="str">
        <v>22.08.01</v>
      </c>
      <c r="AJ282" t="str">
        <v>ファム　デイン　トウン</v>
      </c>
      <c r="AK282" t="str">
        <v>ゆうちょ銀行</v>
      </c>
      <c r="AL282">
        <v>98</v>
      </c>
      <c r="AM282" t="str">
        <v>〇九八</v>
      </c>
      <c r="AN282" t="str">
        <v>1285143</v>
      </c>
      <c r="AO282" t="str">
        <v>7/14林</v>
      </c>
      <c r="AP282">
        <v>0</v>
      </c>
    </row>
    <row r="283" spans="1:42">
      <c r="A283" t="str">
        <f>H283&amp;COUNTIF($H$2:H283,H283)</f>
        <v>自動旋削8</v>
      </c>
      <c r="B283" t="str">
        <f>F283&amp;COUNTIF($F$2:F283,F283)</f>
        <v>高雄工業 静岡34</v>
      </c>
      <c r="C283" t="str">
        <v>在職中</v>
      </c>
      <c r="D283">
        <v>220613</v>
      </c>
      <c r="E283">
        <v>242049</v>
      </c>
      <c r="F283" t="str">
        <v>高雄工業 静岡</v>
      </c>
      <c r="G283" t="str">
        <v>高雄工業株式会社 静岡事業所第一工場製作課</v>
      </c>
      <c r="H283" t="str">
        <v>自動旋削</v>
      </c>
      <c r="I283" t="str">
        <v>CVJ部品短軸品の施削加工、NCプログラム修正</v>
      </c>
      <c r="J283" t="str">
        <v>NGUYEN MINH DUC</v>
      </c>
      <c r="K283" t="str">
        <v>グエン　ミン　ドゥック</v>
      </c>
      <c r="L283" t="str">
        <v>男</v>
      </c>
      <c r="M283" t="str">
        <v>ﾍﾞﾄﾅﾑ</v>
      </c>
      <c r="N283">
        <v>35721</v>
      </c>
      <c r="O283">
        <v>26</v>
      </c>
      <c r="P283">
        <v>1300</v>
      </c>
      <c r="Q283">
        <v>0</v>
      </c>
      <c r="R283">
        <v>1670</v>
      </c>
      <c r="S283">
        <v>0</v>
      </c>
      <c r="T283">
        <v>370</v>
      </c>
      <c r="U283">
        <v>320000</v>
      </c>
      <c r="V283">
        <v>16015.999999999998</v>
      </c>
      <c r="W283" t="str">
        <v>0</v>
      </c>
      <c r="X283">
        <v>29280</v>
      </c>
      <c r="Y283">
        <v>45437</v>
      </c>
      <c r="Z283" t="str">
        <v/>
      </c>
      <c r="AA283" t="str">
        <v>技術・人文知識・国際業務</v>
      </c>
      <c r="AB283" t="str">
        <v>709-2132</v>
      </c>
      <c r="AC283" t="str">
        <v>静岡県袋井市田町2丁目6-10</v>
      </c>
      <c r="AD283" t="str">
        <v>SuperiorⅠ201</v>
      </c>
      <c r="AE283">
        <v>44721</v>
      </c>
      <c r="AF283">
        <v>44726</v>
      </c>
      <c r="AG283">
        <v>0</v>
      </c>
      <c r="AH283">
        <v>0</v>
      </c>
      <c r="AI283">
        <v>0</v>
      </c>
      <c r="AJ283">
        <v>0</v>
      </c>
      <c r="AK283">
        <v>0</v>
      </c>
      <c r="AL283">
        <v>0</v>
      </c>
      <c r="AM283">
        <v>0</v>
      </c>
      <c r="AN283">
        <v>0</v>
      </c>
      <c r="AO283" t="str">
        <v>7/6原</v>
      </c>
      <c r="AP283" t="str">
        <v>請負より異動</v>
      </c>
    </row>
    <row r="284" spans="1:42">
      <c r="A284" t="str">
        <f>H284&amp;COUNTIF($H$2:H284,H284)</f>
        <v>手動旋削7</v>
      </c>
      <c r="B284" t="str">
        <f>F284&amp;COUNTIF($F$2:F284,F284)</f>
        <v>高雄工業 静岡35</v>
      </c>
      <c r="C284" t="str">
        <v>在職中</v>
      </c>
      <c r="D284">
        <v>220614</v>
      </c>
      <c r="E284">
        <v>242050</v>
      </c>
      <c r="F284" t="str">
        <v>高雄工業 静岡</v>
      </c>
      <c r="G284" t="str">
        <v>高雄工業株式会社 静岡事業所第一工場製作課</v>
      </c>
      <c r="H284" t="str">
        <v>手動旋削</v>
      </c>
      <c r="I284" t="str">
        <v>CVJ部品短軸品の施削加工、NCプログラム修正</v>
      </c>
      <c r="J284" t="str">
        <v>NGUYEN NGOC DAI</v>
      </c>
      <c r="K284" t="str">
        <v>グエン　ゴック　ダイ</v>
      </c>
      <c r="L284" t="str">
        <v>男</v>
      </c>
      <c r="M284" t="str">
        <v>ﾍﾞﾄﾅﾑ</v>
      </c>
      <c r="N284">
        <v>35729</v>
      </c>
      <c r="O284">
        <v>26</v>
      </c>
      <c r="P284">
        <v>1300</v>
      </c>
      <c r="Q284">
        <v>0</v>
      </c>
      <c r="R284">
        <v>1670</v>
      </c>
      <c r="S284">
        <v>0</v>
      </c>
      <c r="T284">
        <v>370</v>
      </c>
      <c r="U284">
        <v>320000</v>
      </c>
      <c r="V284">
        <v>16015.999999999998</v>
      </c>
      <c r="W284" t="str">
        <v>0</v>
      </c>
      <c r="X284">
        <v>29280</v>
      </c>
      <c r="Y284">
        <v>45437</v>
      </c>
      <c r="Z284" t="str">
        <v/>
      </c>
      <c r="AA284" t="str">
        <v>技術・人文知識・国際業務</v>
      </c>
      <c r="AB284" t="str">
        <v>709-2132</v>
      </c>
      <c r="AC284" t="str">
        <v>静岡県袋井市田町2丁目6-10</v>
      </c>
      <c r="AD284" t="str">
        <v>SuperiorⅠ201</v>
      </c>
      <c r="AE284">
        <v>44721</v>
      </c>
      <c r="AF284">
        <v>44726</v>
      </c>
      <c r="AG284">
        <v>0</v>
      </c>
      <c r="AH284">
        <v>0</v>
      </c>
      <c r="AI284">
        <v>0</v>
      </c>
      <c r="AJ284">
        <v>0</v>
      </c>
      <c r="AK284">
        <v>0</v>
      </c>
      <c r="AL284">
        <v>0</v>
      </c>
      <c r="AM284">
        <v>0</v>
      </c>
      <c r="AN284">
        <v>0</v>
      </c>
      <c r="AO284" t="str">
        <v>7/6原</v>
      </c>
      <c r="AP284" t="str">
        <v>請負より異動</v>
      </c>
    </row>
    <row r="285" spans="1:42">
      <c r="A285" t="str">
        <f>H285&amp;COUNTIF($H$2:H285,H285)</f>
        <v>手動旋削8</v>
      </c>
      <c r="B285" t="str">
        <f>F285&amp;COUNTIF($F$2:F285,F285)</f>
        <v>高雄工業 静岡36</v>
      </c>
      <c r="C285" t="str">
        <v>退社</v>
      </c>
      <c r="D285">
        <v>220704</v>
      </c>
      <c r="E285">
        <v>242051</v>
      </c>
      <c r="F285" t="str">
        <v>高雄工業 静岡</v>
      </c>
      <c r="G285" t="str">
        <v>高雄工業株式会社 静岡事業所第一工場製作課</v>
      </c>
      <c r="H285" t="str">
        <v>手動旋削</v>
      </c>
      <c r="I285" t="str">
        <v>CVJ部品短軸品の施削加工、NCプログラム修正</v>
      </c>
      <c r="J285" t="str">
        <v>TRAN QUANG HUY</v>
      </c>
      <c r="K285" t="str">
        <v>チャン　クアン　フィ</v>
      </c>
      <c r="L285" t="str">
        <v>男</v>
      </c>
      <c r="M285" t="str">
        <v>ﾍﾞﾄﾅﾑ</v>
      </c>
      <c r="N285">
        <v>36093</v>
      </c>
      <c r="O285">
        <v>25</v>
      </c>
      <c r="P285">
        <v>1300</v>
      </c>
      <c r="Q285">
        <v>0</v>
      </c>
      <c r="R285">
        <v>1660</v>
      </c>
      <c r="S285">
        <v>0</v>
      </c>
      <c r="T285">
        <v>360</v>
      </c>
      <c r="U285">
        <v>260000</v>
      </c>
      <c r="V285">
        <v>13013</v>
      </c>
      <c r="W285" t="str">
        <v>0</v>
      </c>
      <c r="X285">
        <v>23790</v>
      </c>
      <c r="Y285">
        <v>45417</v>
      </c>
      <c r="Z285" t="str">
        <v/>
      </c>
      <c r="AA285" t="str">
        <v>技術・人文知識・国際業務</v>
      </c>
      <c r="AB285" t="str">
        <v>437-0016</v>
      </c>
      <c r="AC285" t="str">
        <v>静岡県袋井市葵町2丁目5番地1</v>
      </c>
      <c r="AD285" t="str">
        <v>ｼｬﾝﾄﾞﾌﾙｰﾙ103</v>
      </c>
      <c r="AE285">
        <v>44747</v>
      </c>
      <c r="AF285">
        <v>44750</v>
      </c>
      <c r="AG285">
        <v>45245</v>
      </c>
      <c r="AH285">
        <v>0</v>
      </c>
      <c r="AI285" t="str">
        <v>22.09.01</v>
      </c>
      <c r="AJ285">
        <v>0</v>
      </c>
      <c r="AK285">
        <v>0</v>
      </c>
      <c r="AL285">
        <v>0</v>
      </c>
      <c r="AM285">
        <v>0</v>
      </c>
      <c r="AN285">
        <v>0</v>
      </c>
      <c r="AO285" t="str">
        <v>7/14林</v>
      </c>
      <c r="AP285" t="str">
        <v>5/20請負入社　切子回収より異動</v>
      </c>
    </row>
    <row r="286" spans="1:42">
      <c r="A286" t="str">
        <f>H286&amp;COUNTIF($H$2:H286,H286)</f>
        <v>手動旋削9</v>
      </c>
      <c r="B286" t="str">
        <f>F286&amp;COUNTIF($F$2:F286,F286)</f>
        <v>高雄工業 静岡37</v>
      </c>
      <c r="C286" t="str">
        <v>在職中</v>
      </c>
      <c r="D286">
        <v>220707</v>
      </c>
      <c r="E286">
        <v>242052</v>
      </c>
      <c r="F286" t="str">
        <v>高雄工業 静岡</v>
      </c>
      <c r="G286" t="str">
        <v>高雄工業株式会社 静岡事業所第一工場製作課</v>
      </c>
      <c r="H286" t="str">
        <v>手動旋削</v>
      </c>
      <c r="I286" t="str">
        <v>CVJ部品短軸品の施削加工、NCプログラム修正</v>
      </c>
      <c r="J286" t="str">
        <v>NGUYEN VAN SANG</v>
      </c>
      <c r="K286" t="str">
        <v>グエン　ヴァン　サン</v>
      </c>
      <c r="L286" t="str">
        <v>男</v>
      </c>
      <c r="M286" t="str">
        <v>ﾍﾞﾄﾅﾑ</v>
      </c>
      <c r="N286">
        <v>33771</v>
      </c>
      <c r="O286">
        <v>31</v>
      </c>
      <c r="P286">
        <v>1300</v>
      </c>
      <c r="Q286">
        <v>0</v>
      </c>
      <c r="R286">
        <v>1670</v>
      </c>
      <c r="S286">
        <v>0</v>
      </c>
      <c r="T286">
        <v>370</v>
      </c>
      <c r="U286">
        <v>300000</v>
      </c>
      <c r="V286">
        <v>15014.999999999998</v>
      </c>
      <c r="W286" t="str">
        <v>0</v>
      </c>
      <c r="X286">
        <v>27450</v>
      </c>
      <c r="Y286">
        <v>45437</v>
      </c>
      <c r="Z286" t="str">
        <v/>
      </c>
      <c r="AA286" t="str">
        <v>技術・人文知識・国際業務</v>
      </c>
      <c r="AB286" t="str">
        <v>437-0065</v>
      </c>
      <c r="AC286" t="str">
        <v>静岡県袋井市堀越1丁目21-9</v>
      </c>
      <c r="AD286" t="str">
        <v>ﾌﾟﾁｾｿﾞﾝ203号</v>
      </c>
      <c r="AE286">
        <v>44756</v>
      </c>
      <c r="AF286">
        <v>44762</v>
      </c>
      <c r="AG286">
        <v>0</v>
      </c>
      <c r="AH286">
        <v>0</v>
      </c>
      <c r="AI286" t="str">
        <v>22.08.01</v>
      </c>
      <c r="AJ286">
        <v>0</v>
      </c>
      <c r="AK286">
        <v>0</v>
      </c>
      <c r="AL286">
        <v>0</v>
      </c>
      <c r="AM286">
        <v>0</v>
      </c>
      <c r="AN286">
        <v>0</v>
      </c>
      <c r="AO286" t="str">
        <v>8/8原</v>
      </c>
      <c r="AP286" t="str">
        <v>請負より異動</v>
      </c>
    </row>
    <row r="287" spans="1:42">
      <c r="A287" t="str">
        <f>H287&amp;COUNTIF($H$2:H287,H287)</f>
        <v>ナット6</v>
      </c>
      <c r="B287" t="str">
        <f>F287&amp;COUNTIF($F$2:F287,F287)</f>
        <v>高雄工業 静岡38</v>
      </c>
      <c r="C287" t="str">
        <v>在職中</v>
      </c>
      <c r="D287">
        <v>220808</v>
      </c>
      <c r="E287">
        <v>242053</v>
      </c>
      <c r="F287" t="str">
        <v>高雄工業 静岡</v>
      </c>
      <c r="G287" t="str">
        <v>高雄工業株式会社 静岡事業所第二工場製作課</v>
      </c>
      <c r="H287" t="str">
        <v>ナット</v>
      </c>
      <c r="I287" t="str">
        <v>産業機械部品の研磨加工、NCプログラム修正</v>
      </c>
      <c r="J287" t="str">
        <v>THIEU QUANG TINH</v>
      </c>
      <c r="K287" t="str">
        <v>ティエウ　クアン　ティン</v>
      </c>
      <c r="L287" t="str">
        <v>男</v>
      </c>
      <c r="M287" t="str">
        <v>ﾍﾞﾄﾅﾑ</v>
      </c>
      <c r="N287">
        <v>33643</v>
      </c>
      <c r="O287">
        <v>31</v>
      </c>
      <c r="P287">
        <v>1400</v>
      </c>
      <c r="Q287">
        <v>0</v>
      </c>
      <c r="R287">
        <v>1770</v>
      </c>
      <c r="S287">
        <v>0</v>
      </c>
      <c r="T287">
        <v>370</v>
      </c>
      <c r="U287">
        <v>280000</v>
      </c>
      <c r="V287">
        <v>14014</v>
      </c>
      <c r="W287" t="str">
        <v>0</v>
      </c>
      <c r="X287">
        <v>25620</v>
      </c>
      <c r="Y287">
        <v>45541</v>
      </c>
      <c r="Z287" t="str">
        <v/>
      </c>
      <c r="AA287" t="str">
        <v>技術・人文知識・国際業務</v>
      </c>
      <c r="AB287" t="str">
        <v>437-0065</v>
      </c>
      <c r="AC287" t="str">
        <v>静岡県袋井市堀越3丁目19番地2</v>
      </c>
      <c r="AD287" t="str">
        <v>ｴｸｾｰﾗ103号室</v>
      </c>
      <c r="AE287" t="str">
        <v>個人</v>
      </c>
      <c r="AF287">
        <v>44798</v>
      </c>
      <c r="AG287">
        <v>0</v>
      </c>
      <c r="AH287">
        <v>0</v>
      </c>
      <c r="AI287" t="str">
        <v>22.10.01</v>
      </c>
      <c r="AJ287" t="str">
        <v>チュ　バン　フオン</v>
      </c>
      <c r="AK287" t="str">
        <v>ゆうちょ銀行</v>
      </c>
      <c r="AL287">
        <v>208</v>
      </c>
      <c r="AM287" t="str">
        <v>二〇八</v>
      </c>
      <c r="AN287" t="str">
        <v>1493989</v>
      </c>
      <c r="AO287" t="str">
        <v>9/12林</v>
      </c>
      <c r="AP287">
        <v>0</v>
      </c>
    </row>
    <row r="288" spans="1:42">
      <c r="A288" t="str">
        <f>H288&amp;COUNTIF($H$2:H288,H288)</f>
        <v>内輪4</v>
      </c>
      <c r="B288" t="str">
        <f>F288&amp;COUNTIF($F$2:F288,F288)</f>
        <v>高雄工業 静岡39</v>
      </c>
      <c r="C288" t="str">
        <v>在職中</v>
      </c>
      <c r="D288">
        <v>220901</v>
      </c>
      <c r="E288">
        <v>242054</v>
      </c>
      <c r="F288" t="str">
        <v>高雄工業 静岡</v>
      </c>
      <c r="G288" t="str">
        <v>高雄工業株式会社 静岡事業所第二工場製作課</v>
      </c>
      <c r="H288" t="str">
        <v>内輪</v>
      </c>
      <c r="I288" t="str">
        <v>産業機械部品の研磨加工、NCプログラム修正</v>
      </c>
      <c r="J288" t="str">
        <v>DANG VAN DOANH</v>
      </c>
      <c r="K288" t="str">
        <v>ダン　ヴァン　ゾアン</v>
      </c>
      <c r="L288" t="str">
        <v>男</v>
      </c>
      <c r="M288" t="str">
        <v>ﾍﾞﾄﾅﾑ</v>
      </c>
      <c r="N288">
        <v>34555</v>
      </c>
      <c r="O288">
        <v>29</v>
      </c>
      <c r="P288">
        <v>1400</v>
      </c>
      <c r="Q288">
        <v>0</v>
      </c>
      <c r="R288">
        <v>1770</v>
      </c>
      <c r="S288">
        <v>0</v>
      </c>
      <c r="T288">
        <v>370</v>
      </c>
      <c r="U288">
        <v>240000</v>
      </c>
      <c r="V288">
        <v>12012</v>
      </c>
      <c r="W288" t="str">
        <v>0</v>
      </c>
      <c r="X288">
        <v>21960</v>
      </c>
      <c r="Y288">
        <v>45563</v>
      </c>
      <c r="Z288" t="str">
        <v/>
      </c>
      <c r="AA288" t="str">
        <v>技術・人文知識・国際業務</v>
      </c>
      <c r="AB288" t="str">
        <v>437-0065</v>
      </c>
      <c r="AC288" t="str">
        <v>静岡県袋井市堀越3-19-2</v>
      </c>
      <c r="AD288" t="str">
        <v>ｴｸｾｰﾗ305号室</v>
      </c>
      <c r="AE288" t="str">
        <v>個人</v>
      </c>
      <c r="AF288">
        <v>44805</v>
      </c>
      <c r="AG288">
        <v>0</v>
      </c>
      <c r="AH288">
        <v>0</v>
      </c>
      <c r="AI288" t="str">
        <v>22.10.01</v>
      </c>
      <c r="AJ288">
        <v>0</v>
      </c>
      <c r="AK288">
        <v>0</v>
      </c>
      <c r="AL288">
        <v>0</v>
      </c>
      <c r="AM288">
        <v>0</v>
      </c>
      <c r="AN288">
        <v>0</v>
      </c>
      <c r="AO288" t="str">
        <v>9/15林</v>
      </c>
      <c r="AP288">
        <v>0</v>
      </c>
    </row>
    <row r="289" spans="1:42">
      <c r="A289" t="str">
        <f>H289&amp;COUNTIF($H$2:H289,H289)</f>
        <v>手動旋削10</v>
      </c>
      <c r="B289" t="str">
        <f>F289&amp;COUNTIF($F$2:F289,F289)</f>
        <v>高雄工業 静岡40</v>
      </c>
      <c r="C289" t="str">
        <v>在職中</v>
      </c>
      <c r="D289">
        <v>221105</v>
      </c>
      <c r="E289">
        <v>242055</v>
      </c>
      <c r="F289" t="str">
        <v>高雄工業 静岡</v>
      </c>
      <c r="G289" t="str">
        <v>高雄工業株式会社 静岡事業所第一工場製作課</v>
      </c>
      <c r="H289" t="str">
        <v>手動旋削</v>
      </c>
      <c r="I289" t="str">
        <v>CVJ部品短軸品の施削加工、NCプログラム修正</v>
      </c>
      <c r="J289" t="str">
        <v>NGO VAN ANH</v>
      </c>
      <c r="K289" t="str">
        <v>ゴー　ヴァン　アイン</v>
      </c>
      <c r="L289" t="str">
        <v>男</v>
      </c>
      <c r="M289" t="str">
        <v>ﾍﾞﾄﾅﾑ</v>
      </c>
      <c r="N289">
        <v>35896</v>
      </c>
      <c r="O289">
        <v>25</v>
      </c>
      <c r="P289">
        <v>1250</v>
      </c>
      <c r="Q289">
        <v>0</v>
      </c>
      <c r="R289">
        <v>1670</v>
      </c>
      <c r="S289">
        <v>0</v>
      </c>
      <c r="T289">
        <v>420</v>
      </c>
      <c r="U289">
        <v>300000</v>
      </c>
      <c r="V289">
        <v>15014.999999999998</v>
      </c>
      <c r="W289" t="str">
        <v>0</v>
      </c>
      <c r="X289">
        <v>27450</v>
      </c>
      <c r="Y289">
        <v>45626</v>
      </c>
      <c r="Z289" t="str">
        <v/>
      </c>
      <c r="AA289" t="str">
        <v>技術・人文知識・国際業務</v>
      </c>
      <c r="AB289" t="str">
        <v>437-0061</v>
      </c>
      <c r="AC289" t="str">
        <v>静岡県袋井市久能1889-2</v>
      </c>
      <c r="AD289" t="str">
        <v>ﾗﾌｨｰﾈ久能402号</v>
      </c>
      <c r="AE289">
        <v>0</v>
      </c>
      <c r="AF289">
        <v>44883</v>
      </c>
      <c r="AG289">
        <v>0</v>
      </c>
      <c r="AH289">
        <v>0</v>
      </c>
      <c r="AI289" t="str">
        <v>22.12.1</v>
      </c>
      <c r="AJ289">
        <v>0</v>
      </c>
      <c r="AK289">
        <v>0</v>
      </c>
      <c r="AL289">
        <v>0</v>
      </c>
      <c r="AM289">
        <v>0</v>
      </c>
      <c r="AN289">
        <v>0</v>
      </c>
      <c r="AO289" t="str">
        <v>11/21林</v>
      </c>
      <c r="AP289">
        <v>0</v>
      </c>
    </row>
    <row r="290" spans="1:42">
      <c r="A290" t="str">
        <f>H290&amp;COUNTIF($H$2:H290,H290)</f>
        <v>ナット7</v>
      </c>
      <c r="B290" t="str">
        <f>F290&amp;COUNTIF($F$2:F290,F290)</f>
        <v>高雄工業 静岡41</v>
      </c>
      <c r="C290" t="str">
        <v>在職中</v>
      </c>
      <c r="D290">
        <v>221106</v>
      </c>
      <c r="E290">
        <v>242056</v>
      </c>
      <c r="F290" t="str">
        <v>高雄工業 静岡</v>
      </c>
      <c r="G290" t="str">
        <v>高雄工業株式会社 静岡事業所第二工場製作課</v>
      </c>
      <c r="H290" t="str">
        <v>ナット</v>
      </c>
      <c r="I290" t="str">
        <v>産業機械部品の研磨加工、NCプログラム修正</v>
      </c>
      <c r="J290" t="str">
        <v>NGO VAN SANG</v>
      </c>
      <c r="K290" t="str">
        <v>ゴー　ヴァン　サン</v>
      </c>
      <c r="L290" t="str">
        <v>男</v>
      </c>
      <c r="M290" t="str">
        <v>ﾍﾞﾄﾅﾑ</v>
      </c>
      <c r="N290">
        <v>33244</v>
      </c>
      <c r="O290">
        <v>32</v>
      </c>
      <c r="P290">
        <v>1270</v>
      </c>
      <c r="Q290">
        <v>0</v>
      </c>
      <c r="R290">
        <v>1690</v>
      </c>
      <c r="S290">
        <v>0</v>
      </c>
      <c r="T290">
        <v>420</v>
      </c>
      <c r="U290">
        <v>300000</v>
      </c>
      <c r="V290">
        <v>15014.999999999998</v>
      </c>
      <c r="W290" t="str">
        <v>0</v>
      </c>
      <c r="X290">
        <v>27450</v>
      </c>
      <c r="Y290">
        <v>45626</v>
      </c>
      <c r="Z290" t="str">
        <v/>
      </c>
      <c r="AA290" t="str">
        <v>技術・人文知識・国際業務</v>
      </c>
      <c r="AB290" t="str">
        <v>437-0065</v>
      </c>
      <c r="AC290" t="str">
        <v>静岡県袋井市堀越四丁目１番地の1</v>
      </c>
      <c r="AD290" t="str">
        <v>県営堀越団地5棟 205号室</v>
      </c>
      <c r="AE290">
        <v>0</v>
      </c>
      <c r="AF290">
        <v>44883</v>
      </c>
      <c r="AG290">
        <v>0</v>
      </c>
      <c r="AH290">
        <v>0</v>
      </c>
      <c r="AI290" t="str">
        <v>22.12.1</v>
      </c>
      <c r="AJ290">
        <v>0</v>
      </c>
      <c r="AK290">
        <v>0</v>
      </c>
      <c r="AL290">
        <v>0</v>
      </c>
      <c r="AM290">
        <v>0</v>
      </c>
      <c r="AN290">
        <v>0</v>
      </c>
      <c r="AO290" t="str">
        <v>11/21林</v>
      </c>
      <c r="AP290">
        <v>0</v>
      </c>
    </row>
    <row r="291" spans="1:42">
      <c r="A291" t="str">
        <f>H291&amp;COUNTIF($H$2:H291,H291)</f>
        <v>自動旋削9</v>
      </c>
      <c r="B291" t="str">
        <f>F291&amp;COUNTIF($F$2:F291,F291)</f>
        <v>高雄工業 静岡42</v>
      </c>
      <c r="C291" t="str">
        <v>在職中</v>
      </c>
      <c r="D291">
        <v>221207</v>
      </c>
      <c r="E291">
        <v>242057</v>
      </c>
      <c r="F291" t="str">
        <v>高雄工業 静岡</v>
      </c>
      <c r="G291" t="str">
        <v>高雄工業株式会社 静岡事業所第一工場製作課</v>
      </c>
      <c r="H291" t="str">
        <v>自動旋削</v>
      </c>
      <c r="I291" t="str">
        <v>CVJ部品短軸品の施削加工、NCプログラム修正</v>
      </c>
      <c r="J291" t="str">
        <v>PHAM TRUNG DUNG</v>
      </c>
      <c r="K291" t="str">
        <v>ファム　チュン　ズン</v>
      </c>
      <c r="L291" t="str">
        <v>男</v>
      </c>
      <c r="M291" t="str">
        <v>ﾍﾞﾄﾅﾑ</v>
      </c>
      <c r="N291">
        <v>35777</v>
      </c>
      <c r="O291">
        <v>25</v>
      </c>
      <c r="P291">
        <v>1250</v>
      </c>
      <c r="Q291">
        <v>0</v>
      </c>
      <c r="R291">
        <v>1660</v>
      </c>
      <c r="S291">
        <v>0</v>
      </c>
      <c r="T291">
        <v>410</v>
      </c>
      <c r="U291">
        <v>300000</v>
      </c>
      <c r="V291">
        <v>15014.999999999998</v>
      </c>
      <c r="W291" t="str">
        <v>0</v>
      </c>
      <c r="X291">
        <v>27450</v>
      </c>
      <c r="Y291">
        <v>45628</v>
      </c>
      <c r="Z291" t="str">
        <v/>
      </c>
      <c r="AA291" t="str">
        <v>技術・人文知識・国際業務</v>
      </c>
      <c r="AB291" t="str">
        <v>437-0016</v>
      </c>
      <c r="AC291" t="str">
        <v>静岡県袋井市葵町2丁目5番地1</v>
      </c>
      <c r="AD291" t="str">
        <v>ｼｬﾝﾄﾞﾌﾙｰﾙ103</v>
      </c>
      <c r="AE291">
        <v>44897</v>
      </c>
      <c r="AF291">
        <v>44903</v>
      </c>
      <c r="AG291">
        <v>0</v>
      </c>
      <c r="AH291">
        <v>0</v>
      </c>
      <c r="AI291" t="str">
        <v>23.1.1</v>
      </c>
      <c r="AJ291">
        <v>0</v>
      </c>
      <c r="AK291">
        <v>0</v>
      </c>
      <c r="AL291">
        <v>0</v>
      </c>
      <c r="AM291">
        <v>0</v>
      </c>
      <c r="AN291">
        <v>0</v>
      </c>
      <c r="AO291" t="str">
        <v>12/14林</v>
      </c>
      <c r="AP291">
        <v>0</v>
      </c>
    </row>
    <row r="292" spans="1:42">
      <c r="A292" t="str">
        <f>H292&amp;COUNTIF($H$2:H292,H292)</f>
        <v>手動旋削11</v>
      </c>
      <c r="B292" t="str">
        <f>F292&amp;COUNTIF($F$2:F292,F292)</f>
        <v>高雄工業 静岡43</v>
      </c>
      <c r="C292" t="str">
        <v>在職中</v>
      </c>
      <c r="D292">
        <v>221208</v>
      </c>
      <c r="E292">
        <v>242058</v>
      </c>
      <c r="F292" t="str">
        <v>高雄工業 静岡</v>
      </c>
      <c r="G292" t="str">
        <v>高雄工業株式会社 静岡事業所第一工場製作課</v>
      </c>
      <c r="H292" t="str">
        <v>手動旋削</v>
      </c>
      <c r="I292" t="str">
        <v>CVJ部品短軸品の施削加工、NCプログラム修正</v>
      </c>
      <c r="J292" t="str">
        <v>TRAN DUC KIEN</v>
      </c>
      <c r="K292" t="str">
        <v>チャン　ドゥック　キエン</v>
      </c>
      <c r="L292" t="str">
        <v>男</v>
      </c>
      <c r="M292" t="str">
        <v>ﾍﾞﾄﾅﾑ</v>
      </c>
      <c r="N292">
        <v>36302</v>
      </c>
      <c r="O292">
        <v>24</v>
      </c>
      <c r="P292">
        <v>1250</v>
      </c>
      <c r="Q292">
        <v>0</v>
      </c>
      <c r="R292">
        <v>1670</v>
      </c>
      <c r="S292">
        <v>0</v>
      </c>
      <c r="T292">
        <v>420</v>
      </c>
      <c r="U292">
        <v>300000</v>
      </c>
      <c r="V292">
        <v>15014.999999999998</v>
      </c>
      <c r="W292" t="str">
        <v>0</v>
      </c>
      <c r="X292">
        <v>27450</v>
      </c>
      <c r="Y292">
        <v>45628</v>
      </c>
      <c r="Z292" t="str">
        <v/>
      </c>
      <c r="AA292" t="str">
        <v>技術・人文知識・国際業務</v>
      </c>
      <c r="AB292" t="str">
        <v>437-0015</v>
      </c>
      <c r="AC292" t="str">
        <v>静岡県袋井市旭町2-7-5</v>
      </c>
      <c r="AD292" t="str">
        <v>ﾌｨﾌﾃｨⅠ-101</v>
      </c>
      <c r="AE292">
        <v>44897</v>
      </c>
      <c r="AF292">
        <v>44903</v>
      </c>
      <c r="AG292">
        <v>0</v>
      </c>
      <c r="AH292">
        <v>0</v>
      </c>
      <c r="AI292" t="str">
        <v>23.1.1</v>
      </c>
      <c r="AJ292">
        <v>0</v>
      </c>
      <c r="AK292">
        <v>0</v>
      </c>
      <c r="AL292">
        <v>0</v>
      </c>
      <c r="AM292">
        <v>0</v>
      </c>
      <c r="AN292">
        <v>0</v>
      </c>
      <c r="AO292" t="str">
        <v>12/14林</v>
      </c>
      <c r="AP292">
        <v>0</v>
      </c>
    </row>
    <row r="293" spans="1:42">
      <c r="A293" t="str">
        <f>H293&amp;COUNTIF($H$2:H293,H293)</f>
        <v>トラニオン2</v>
      </c>
      <c r="B293" t="str">
        <f>F293&amp;COUNTIF($F$2:F293,F293)</f>
        <v>高雄工業 静岡44</v>
      </c>
      <c r="C293" t="str">
        <v>在職中</v>
      </c>
      <c r="D293">
        <v>221211</v>
      </c>
      <c r="E293">
        <v>242059</v>
      </c>
      <c r="F293" t="str">
        <v>高雄工業 静岡</v>
      </c>
      <c r="G293" t="str">
        <v>高雄工業株式会社 静岡事業所第二工場製作課</v>
      </c>
      <c r="H293" t="str">
        <v>トラニオン</v>
      </c>
      <c r="I293" t="str">
        <v>産業機械部品の研磨加工、NCプログラム修正</v>
      </c>
      <c r="J293" t="str">
        <v>TA DUC TUAN</v>
      </c>
      <c r="K293" t="str">
        <v>ター　ドゥック　トゥアン</v>
      </c>
      <c r="L293" t="str">
        <v>男</v>
      </c>
      <c r="M293" t="str">
        <v>ﾍﾞﾄﾅﾑ</v>
      </c>
      <c r="N293">
        <v>35716</v>
      </c>
      <c r="O293">
        <v>26</v>
      </c>
      <c r="P293">
        <v>1250</v>
      </c>
      <c r="Q293">
        <v>0</v>
      </c>
      <c r="R293">
        <v>1670</v>
      </c>
      <c r="S293">
        <v>0</v>
      </c>
      <c r="T293">
        <v>420</v>
      </c>
      <c r="U293">
        <v>300000</v>
      </c>
      <c r="V293">
        <v>15014.999999999998</v>
      </c>
      <c r="W293" t="str">
        <v>0</v>
      </c>
      <c r="X293">
        <v>27450</v>
      </c>
      <c r="Y293">
        <v>45633</v>
      </c>
      <c r="Z293" t="str">
        <v/>
      </c>
      <c r="AA293" t="str">
        <v>技術・人文知識・国際業務</v>
      </c>
      <c r="AB293" t="str">
        <v>437-0065</v>
      </c>
      <c r="AC293" t="str">
        <v>静岡県袋井市堀越1丁目21-9</v>
      </c>
      <c r="AD293" t="str">
        <v>ﾌﾟﾁｾｿﾞﾝ103号</v>
      </c>
      <c r="AE293">
        <v>0</v>
      </c>
      <c r="AF293">
        <v>44907</v>
      </c>
      <c r="AG293">
        <v>0</v>
      </c>
      <c r="AH293">
        <v>0</v>
      </c>
      <c r="AI293" t="str">
        <v>23.1.1</v>
      </c>
      <c r="AJ293">
        <v>0</v>
      </c>
      <c r="AK293">
        <v>0</v>
      </c>
      <c r="AL293">
        <v>0</v>
      </c>
      <c r="AM293">
        <v>0</v>
      </c>
      <c r="AN293">
        <v>0</v>
      </c>
      <c r="AO293" t="str">
        <v>12/15林</v>
      </c>
      <c r="AP293">
        <v>0</v>
      </c>
    </row>
    <row r="294" spans="1:42">
      <c r="A294" t="str">
        <f>H294&amp;COUNTIF($H$2:H294,H294)</f>
        <v>自動旋削10</v>
      </c>
      <c r="B294" t="str">
        <f>F294&amp;COUNTIF($F$2:F294,F294)</f>
        <v>高雄工業 静岡45</v>
      </c>
      <c r="C294" t="str">
        <v>在職中</v>
      </c>
      <c r="D294">
        <v>230106</v>
      </c>
      <c r="E294">
        <v>242060</v>
      </c>
      <c r="F294" t="str">
        <v>高雄工業 静岡</v>
      </c>
      <c r="G294" t="str">
        <v>高雄工業株式会社 静岡事業所第一工場製作課</v>
      </c>
      <c r="H294" t="str">
        <v>自動旋削</v>
      </c>
      <c r="I294" t="str">
        <v>CVJ部品短軸品の施削加工、NCプログラム修正</v>
      </c>
      <c r="J294" t="str">
        <v>DAO TIEN KHANH</v>
      </c>
      <c r="K294" t="str">
        <v>ダオ　ティエン　カイン</v>
      </c>
      <c r="L294" t="str">
        <v>男</v>
      </c>
      <c r="M294" t="str">
        <v>ﾍﾞﾄﾅﾑ</v>
      </c>
      <c r="N294">
        <v>35192</v>
      </c>
      <c r="O294">
        <v>27</v>
      </c>
      <c r="P294">
        <v>1250</v>
      </c>
      <c r="Q294">
        <v>0</v>
      </c>
      <c r="R294">
        <v>1650</v>
      </c>
      <c r="S294">
        <v>0</v>
      </c>
      <c r="T294">
        <v>400</v>
      </c>
      <c r="U294">
        <v>240000</v>
      </c>
      <c r="V294">
        <v>12012</v>
      </c>
      <c r="W294" t="str">
        <v>0</v>
      </c>
      <c r="X294">
        <v>21960</v>
      </c>
      <c r="Y294">
        <v>45304</v>
      </c>
      <c r="Z294" t="str">
        <v>残り期限90日!</v>
      </c>
      <c r="AA294" t="str">
        <v>技術・人文知識・国際業務</v>
      </c>
      <c r="AB294" t="str">
        <v>437-0065</v>
      </c>
      <c r="AC294" t="str">
        <v>静岡県袋井市久能1744番地1</v>
      </c>
      <c r="AD294" t="str">
        <v>ｱﾙｺ･ﾊﾞﾚｰﾉ205</v>
      </c>
      <c r="AE294">
        <v>0</v>
      </c>
      <c r="AF294">
        <v>44945</v>
      </c>
      <c r="AG294">
        <v>0</v>
      </c>
      <c r="AH294">
        <v>0</v>
      </c>
      <c r="AI294" t="str">
        <v>23.2.1</v>
      </c>
      <c r="AJ294">
        <v>0</v>
      </c>
      <c r="AK294">
        <v>0</v>
      </c>
      <c r="AL294">
        <v>0</v>
      </c>
      <c r="AM294">
        <v>0</v>
      </c>
      <c r="AN294">
        <v>0</v>
      </c>
      <c r="AO294" t="str">
        <v>1/25林</v>
      </c>
      <c r="AP294">
        <v>0</v>
      </c>
    </row>
    <row r="295" spans="1:42">
      <c r="A295" t="str">
        <f>H295&amp;COUNTIF($H$2:H295,H295)</f>
        <v>手動旋削12</v>
      </c>
      <c r="B295" t="str">
        <f>F295&amp;COUNTIF($F$2:F295,F295)</f>
        <v>高雄工業 静岡46</v>
      </c>
      <c r="C295" t="str">
        <v>在職中</v>
      </c>
      <c r="D295">
        <v>230319</v>
      </c>
      <c r="E295">
        <v>242061</v>
      </c>
      <c r="F295" t="str">
        <v>高雄工業 静岡</v>
      </c>
      <c r="G295" t="str">
        <v>高雄工業株式会社 静岡事業所第一工場製作課</v>
      </c>
      <c r="H295" t="str">
        <v>手動旋削</v>
      </c>
      <c r="I295" t="str">
        <v>CVJ部品短軸品の施削加工、NCプログラム修正</v>
      </c>
      <c r="J295" t="str">
        <v>VU NGOC HOAN</v>
      </c>
      <c r="K295" t="str">
        <v>ヴー　ゴック　ホアン</v>
      </c>
      <c r="L295" t="str">
        <v>男</v>
      </c>
      <c r="M295" t="str">
        <v>ﾍﾞﾄﾅﾑ</v>
      </c>
      <c r="N295">
        <v>35493</v>
      </c>
      <c r="O295">
        <v>26</v>
      </c>
      <c r="P295">
        <v>1200</v>
      </c>
      <c r="Q295">
        <v>0</v>
      </c>
      <c r="R295">
        <v>1650</v>
      </c>
      <c r="S295">
        <v>0</v>
      </c>
      <c r="T295">
        <v>450</v>
      </c>
      <c r="U295">
        <v>220000</v>
      </c>
      <c r="V295">
        <v>11011</v>
      </c>
      <c r="W295" t="str">
        <v>0</v>
      </c>
      <c r="X295">
        <v>20130</v>
      </c>
      <c r="Y295">
        <v>45373</v>
      </c>
      <c r="Z295" t="str">
        <v/>
      </c>
      <c r="AA295" t="str">
        <v>技術・人文知識・国際業務</v>
      </c>
      <c r="AB295" t="str">
        <v>437-0016</v>
      </c>
      <c r="AC295" t="str">
        <v>静岡県袋井市葵町3丁目3番地3</v>
      </c>
      <c r="AD295" t="str">
        <v>BeehiveresidenceⅣ101</v>
      </c>
      <c r="AE295">
        <v>45007</v>
      </c>
      <c r="AF295">
        <v>45012</v>
      </c>
      <c r="AG295">
        <v>0</v>
      </c>
      <c r="AH295">
        <v>0</v>
      </c>
      <c r="AI295" t="str">
        <v>23.4.1</v>
      </c>
      <c r="AJ295">
        <v>0</v>
      </c>
      <c r="AK295">
        <v>0</v>
      </c>
      <c r="AL295">
        <v>0</v>
      </c>
      <c r="AM295">
        <v>0</v>
      </c>
      <c r="AN295">
        <v>0</v>
      </c>
      <c r="AO295" t="str">
        <v>4/12林</v>
      </c>
      <c r="AP295">
        <v>0</v>
      </c>
    </row>
    <row r="296" spans="1:42">
      <c r="A296" t="str">
        <f>H296&amp;COUNTIF($H$2:H296,H296)</f>
        <v>PTJ2</v>
      </c>
      <c r="B296" t="str">
        <f>F296&amp;COUNTIF($F$2:F296,F296)</f>
        <v>高雄工業 静岡47</v>
      </c>
      <c r="C296" t="str">
        <v>在職中</v>
      </c>
      <c r="D296">
        <v>230318</v>
      </c>
      <c r="E296">
        <v>242062</v>
      </c>
      <c r="F296" t="str">
        <v>高雄工業 静岡</v>
      </c>
      <c r="G296" t="str">
        <v>高雄工業株式会社 静岡事業所第二工場製作課</v>
      </c>
      <c r="H296" t="str">
        <v>PTJ</v>
      </c>
      <c r="I296" t="str">
        <v>産業機械部品の研磨加工、NCプログラム修正</v>
      </c>
      <c r="J296" t="str">
        <v>NGUYEN CANH HOANG</v>
      </c>
      <c r="K296" t="str">
        <v>グエン　カン　ホアン</v>
      </c>
      <c r="L296" t="str">
        <v>男</v>
      </c>
      <c r="M296" t="str">
        <v>ﾍﾞﾄﾅﾑ</v>
      </c>
      <c r="N296">
        <v>36466</v>
      </c>
      <c r="O296">
        <v>24</v>
      </c>
      <c r="P296">
        <v>1200</v>
      </c>
      <c r="Q296">
        <v>0</v>
      </c>
      <c r="R296">
        <v>1670</v>
      </c>
      <c r="S296">
        <v>0</v>
      </c>
      <c r="T296">
        <v>470</v>
      </c>
      <c r="U296">
        <v>240000</v>
      </c>
      <c r="V296">
        <v>12012</v>
      </c>
      <c r="W296" t="str">
        <v>0</v>
      </c>
      <c r="X296">
        <v>21960</v>
      </c>
      <c r="Y296">
        <v>45373</v>
      </c>
      <c r="Z296" t="str">
        <v/>
      </c>
      <c r="AA296" t="str">
        <v>技術・人文知識・国際業務</v>
      </c>
      <c r="AB296" t="str">
        <v>437-0016</v>
      </c>
      <c r="AC296" t="str">
        <v>静岡県袋井市葵町3丁目3番地3</v>
      </c>
      <c r="AD296" t="str">
        <v>BeehiveresidenceⅣ101</v>
      </c>
      <c r="AE296">
        <v>45007</v>
      </c>
      <c r="AF296">
        <v>45012</v>
      </c>
      <c r="AG296">
        <v>0</v>
      </c>
      <c r="AH296">
        <v>0</v>
      </c>
      <c r="AI296" t="str">
        <v>23.4.1</v>
      </c>
      <c r="AJ296">
        <v>0</v>
      </c>
      <c r="AK296">
        <v>0</v>
      </c>
      <c r="AL296">
        <v>0</v>
      </c>
      <c r="AM296">
        <v>0</v>
      </c>
      <c r="AN296">
        <v>0</v>
      </c>
      <c r="AO296" t="str">
        <v>4/12林</v>
      </c>
      <c r="AP296">
        <v>0</v>
      </c>
    </row>
    <row r="297" spans="1:42">
      <c r="A297" t="str">
        <f>H297&amp;COUNTIF($H$2:H297,H297)</f>
        <v>手動旋削13</v>
      </c>
      <c r="B297" t="str">
        <f>F297&amp;COUNTIF($F$2:F297,F297)</f>
        <v>高雄工業 静岡48</v>
      </c>
      <c r="C297" t="str">
        <v>退社</v>
      </c>
      <c r="D297">
        <v>230502</v>
      </c>
      <c r="E297">
        <v>242063</v>
      </c>
      <c r="F297" t="str">
        <v>高雄工業 静岡</v>
      </c>
      <c r="G297" t="str">
        <v>高雄工業株式会社 静岡事業所第一工場製作課</v>
      </c>
      <c r="H297" t="str">
        <v>手動旋削</v>
      </c>
      <c r="I297" t="str">
        <v>CVJ部品短軸品の施削加工、NCプログラム修正</v>
      </c>
      <c r="J297" t="str">
        <v>DO TUAN ANH</v>
      </c>
      <c r="K297" t="str">
        <v>ドー　トゥアン　アイン</v>
      </c>
      <c r="L297" t="str">
        <v>男</v>
      </c>
      <c r="M297" t="str">
        <v>ﾍﾞﾄﾅﾑ</v>
      </c>
      <c r="N297">
        <v>36559</v>
      </c>
      <c r="O297">
        <v>23</v>
      </c>
      <c r="P297">
        <v>1200</v>
      </c>
      <c r="Q297">
        <v>0</v>
      </c>
      <c r="R297">
        <v>1650</v>
      </c>
      <c r="S297">
        <v>0</v>
      </c>
      <c r="T297">
        <v>450</v>
      </c>
      <c r="U297">
        <v>180000</v>
      </c>
      <c r="V297">
        <v>9009</v>
      </c>
      <c r="W297" t="str">
        <v>0</v>
      </c>
      <c r="X297">
        <v>16470</v>
      </c>
      <c r="Y297">
        <v>45422</v>
      </c>
      <c r="Z297" t="str">
        <v/>
      </c>
      <c r="AA297" t="str">
        <v>技術・人文知識・国際業務</v>
      </c>
      <c r="AB297" t="str">
        <v>437-0015</v>
      </c>
      <c r="AC297" t="str">
        <v>静岡県袋井市旭町1-1-17</v>
      </c>
      <c r="AD297" t="str">
        <v>ｱｻﾋﾒｲﾄ202</v>
      </c>
      <c r="AE297">
        <v>45056</v>
      </c>
      <c r="AF297">
        <v>45061</v>
      </c>
      <c r="AG297">
        <v>45229</v>
      </c>
      <c r="AH297">
        <v>0</v>
      </c>
      <c r="AI297" t="str">
        <v>23.6.1</v>
      </c>
      <c r="AJ297">
        <v>0</v>
      </c>
      <c r="AK297">
        <v>0</v>
      </c>
      <c r="AL297">
        <v>0</v>
      </c>
      <c r="AM297">
        <v>0</v>
      </c>
      <c r="AN297">
        <v>0</v>
      </c>
      <c r="AO297" t="str">
        <v>5/17林</v>
      </c>
      <c r="AP297">
        <v>0</v>
      </c>
    </row>
    <row r="298" spans="1:42">
      <c r="A298" t="str">
        <f>H298&amp;COUNTIF($H$2:H298,H298)</f>
        <v>トラニオン3</v>
      </c>
      <c r="B298" t="str">
        <f>F298&amp;COUNTIF($F$2:F298,F298)</f>
        <v>高雄工業 静岡49</v>
      </c>
      <c r="C298" t="str">
        <v>在職中</v>
      </c>
      <c r="D298">
        <v>230504</v>
      </c>
      <c r="E298">
        <v>242064</v>
      </c>
      <c r="F298" t="str">
        <v>高雄工業 静岡</v>
      </c>
      <c r="G298" t="str">
        <v>高雄工業株式会社 静岡事業所第二工場製作課</v>
      </c>
      <c r="H298" t="str">
        <v>トラニオン</v>
      </c>
      <c r="I298" t="str">
        <v>産業機械部品の研磨加工、NCプログラム修正</v>
      </c>
      <c r="J298" t="str">
        <v>CHU DUC NGHI</v>
      </c>
      <c r="K298" t="str">
        <v>チュ　ドゥック　ギー</v>
      </c>
      <c r="L298" t="str">
        <v>男</v>
      </c>
      <c r="M298" t="str">
        <v>ﾍﾞﾄﾅﾑ</v>
      </c>
      <c r="N298">
        <v>36849</v>
      </c>
      <c r="O298">
        <v>23</v>
      </c>
      <c r="P298">
        <v>1200</v>
      </c>
      <c r="Q298">
        <v>0</v>
      </c>
      <c r="R298">
        <v>1650</v>
      </c>
      <c r="S298">
        <v>0</v>
      </c>
      <c r="T298">
        <v>450</v>
      </c>
      <c r="U298">
        <v>180000</v>
      </c>
      <c r="V298">
        <v>9009</v>
      </c>
      <c r="W298" t="str">
        <v>0</v>
      </c>
      <c r="X298">
        <v>16470</v>
      </c>
      <c r="Y298">
        <v>45422</v>
      </c>
      <c r="Z298" t="str">
        <v/>
      </c>
      <c r="AA298" t="str">
        <v>技術・人文知識・国際業務</v>
      </c>
      <c r="AB298" t="str">
        <v>437-0061</v>
      </c>
      <c r="AC298" t="str">
        <v>静岡県袋井市久能1889-2</v>
      </c>
      <c r="AD298" t="str">
        <v>ﾗﾌｨｰﾈ久能402号</v>
      </c>
      <c r="AE298">
        <v>45056</v>
      </c>
      <c r="AF298">
        <v>45061</v>
      </c>
      <c r="AG298">
        <v>0</v>
      </c>
      <c r="AH298">
        <v>0</v>
      </c>
      <c r="AI298" t="str">
        <v>23.6.1</v>
      </c>
      <c r="AJ298">
        <v>0</v>
      </c>
      <c r="AK298">
        <v>0</v>
      </c>
      <c r="AL298">
        <v>0</v>
      </c>
      <c r="AM298">
        <v>0</v>
      </c>
      <c r="AN298">
        <v>0</v>
      </c>
      <c r="AO298" t="str">
        <v>5/17林</v>
      </c>
      <c r="AP298">
        <v>0</v>
      </c>
    </row>
    <row r="299" spans="1:42">
      <c r="A299" t="str">
        <f>H299&amp;COUNTIF($H$2:H299,H299)</f>
        <v>ナット8</v>
      </c>
      <c r="B299" t="str">
        <f>F299&amp;COUNTIF($F$2:F299,F299)</f>
        <v>高雄工業 静岡50</v>
      </c>
      <c r="C299" t="str">
        <v>在職中</v>
      </c>
      <c r="D299">
        <v>230503</v>
      </c>
      <c r="E299">
        <v>242065</v>
      </c>
      <c r="F299" t="str">
        <v>高雄工業 静岡</v>
      </c>
      <c r="G299" t="str">
        <v>高雄工業株式会社 静岡事業所第二工場製作課</v>
      </c>
      <c r="H299" t="str">
        <v>ナット</v>
      </c>
      <c r="I299" t="str">
        <v>産業機械部品の研磨加工、NCプログラム修正</v>
      </c>
      <c r="J299" t="str">
        <v>LE DUC THINH</v>
      </c>
      <c r="K299" t="str">
        <v>レー　ドゥック　ティン</v>
      </c>
      <c r="L299" t="str">
        <v>男</v>
      </c>
      <c r="M299" t="str">
        <v>ﾍﾞﾄﾅﾑ</v>
      </c>
      <c r="N299">
        <v>36708</v>
      </c>
      <c r="O299">
        <v>23</v>
      </c>
      <c r="P299">
        <v>1200</v>
      </c>
      <c r="Q299">
        <v>0</v>
      </c>
      <c r="R299">
        <v>1650</v>
      </c>
      <c r="S299">
        <v>0</v>
      </c>
      <c r="T299">
        <v>450</v>
      </c>
      <c r="U299">
        <v>180000</v>
      </c>
      <c r="V299">
        <v>9009</v>
      </c>
      <c r="W299" t="str">
        <v>0</v>
      </c>
      <c r="X299">
        <v>16470</v>
      </c>
      <c r="Y299">
        <v>45422</v>
      </c>
      <c r="Z299" t="str">
        <v/>
      </c>
      <c r="AA299" t="str">
        <v>技術・人文知識・国際業務</v>
      </c>
      <c r="AB299" t="str">
        <v>437-0015</v>
      </c>
      <c r="AC299" t="str">
        <v>静岡県袋井市旭町1-1-17</v>
      </c>
      <c r="AD299" t="str">
        <v>ｱｻﾋﾒｲﾄ202</v>
      </c>
      <c r="AE299">
        <v>45056</v>
      </c>
      <c r="AF299">
        <v>45061</v>
      </c>
      <c r="AG299">
        <v>0</v>
      </c>
      <c r="AH299">
        <v>0</v>
      </c>
      <c r="AI299" t="str">
        <v>23.6.1</v>
      </c>
      <c r="AJ299">
        <v>0</v>
      </c>
      <c r="AK299">
        <v>0</v>
      </c>
      <c r="AL299">
        <v>0</v>
      </c>
      <c r="AM299">
        <v>0</v>
      </c>
      <c r="AN299">
        <v>0</v>
      </c>
      <c r="AO299" t="str">
        <v>5/17林</v>
      </c>
      <c r="AP299">
        <v>0</v>
      </c>
    </row>
    <row r="300" spans="1:42">
      <c r="A300" t="str">
        <f>H300&amp;COUNTIF($H$2:H300,H300)</f>
        <v>転造6</v>
      </c>
      <c r="B300" t="str">
        <f>F300&amp;COUNTIF($F$2:F300,F300)</f>
        <v>高雄工業 静岡51</v>
      </c>
      <c r="C300" t="str">
        <v>在職中</v>
      </c>
      <c r="D300">
        <v>230612</v>
      </c>
      <c r="E300">
        <v>242066</v>
      </c>
      <c r="F300" t="str">
        <v>高雄工業 静岡</v>
      </c>
      <c r="G300" t="str">
        <v>高雄工業株式会社 静岡事業所第一工場製作課</v>
      </c>
      <c r="H300" t="str">
        <v>転造</v>
      </c>
      <c r="I300" t="str">
        <v>ＣＶＪ短軸等速ジョイント旋削加工・ＮＣプログラム修正</v>
      </c>
      <c r="J300" t="str">
        <v>TRAN QUOC TRUONG</v>
      </c>
      <c r="K300" t="str">
        <v>チャン　コック　チュオン</v>
      </c>
      <c r="L300" t="str">
        <v>男</v>
      </c>
      <c r="M300" t="str">
        <v>ﾍﾞﾄﾅﾑ</v>
      </c>
      <c r="N300">
        <v>35972</v>
      </c>
      <c r="O300">
        <v>25</v>
      </c>
      <c r="P300">
        <v>1250</v>
      </c>
      <c r="Q300">
        <v>0</v>
      </c>
      <c r="R300">
        <v>1650</v>
      </c>
      <c r="S300">
        <v>0</v>
      </c>
      <c r="T300">
        <v>400</v>
      </c>
      <c r="U300">
        <v>280000</v>
      </c>
      <c r="V300">
        <v>14014</v>
      </c>
      <c r="W300" t="str">
        <v>0</v>
      </c>
      <c r="X300">
        <v>25620</v>
      </c>
      <c r="Y300">
        <v>45296</v>
      </c>
      <c r="Z300" t="str">
        <v>残り期限90日!</v>
      </c>
      <c r="AA300" t="str">
        <v>技術・人文知識・国際業務</v>
      </c>
      <c r="AB300" t="str">
        <v>437-0061</v>
      </c>
      <c r="AC300" t="str">
        <v>静岡県袋井市久能1889-2</v>
      </c>
      <c r="AD300" t="str">
        <v>ﾗﾌｨｰﾈ久能402号303</v>
      </c>
      <c r="AE300">
        <v>45097</v>
      </c>
      <c r="AF300">
        <v>45103</v>
      </c>
      <c r="AG300">
        <v>0</v>
      </c>
      <c r="AH300">
        <v>0</v>
      </c>
      <c r="AI300" t="str">
        <v>23.02.01</v>
      </c>
      <c r="AJ300">
        <v>0</v>
      </c>
      <c r="AK300">
        <v>0</v>
      </c>
      <c r="AL300">
        <v>0</v>
      </c>
      <c r="AM300">
        <v>0</v>
      </c>
      <c r="AN300">
        <v>0</v>
      </c>
      <c r="AO300" t="str">
        <v>7/18原</v>
      </c>
      <c r="AP300" t="str">
        <v>請負より異動(入社23/1/19）</v>
      </c>
    </row>
    <row r="301" spans="1:42">
      <c r="A301" t="str">
        <f>H301&amp;COUNTIF($H$2:H301,H301)</f>
        <v>自動旋削11</v>
      </c>
      <c r="B301" t="str">
        <f>F301&amp;COUNTIF($F$2:F301,F301)</f>
        <v>高雄工業 静岡52</v>
      </c>
      <c r="C301" t="str">
        <v>在職中</v>
      </c>
      <c r="D301">
        <v>230613</v>
      </c>
      <c r="E301">
        <v>242067</v>
      </c>
      <c r="F301" t="str">
        <v>高雄工業 静岡</v>
      </c>
      <c r="G301" t="str">
        <v>高雄工業株式会社 静岡事業所第一工場製作課</v>
      </c>
      <c r="H301" t="str">
        <v>自動旋削</v>
      </c>
      <c r="I301" t="str">
        <v>CVJ部品短軸品の施削加工、NCプログラム修正</v>
      </c>
      <c r="J301" t="str">
        <v>TRAN DINH THANH</v>
      </c>
      <c r="K301" t="str">
        <v>チャン　ディン　タイン</v>
      </c>
      <c r="L301" t="str">
        <v>男</v>
      </c>
      <c r="M301" t="str">
        <v>ﾍﾞﾄﾅﾑ</v>
      </c>
      <c r="N301">
        <v>36403</v>
      </c>
      <c r="O301">
        <v>24</v>
      </c>
      <c r="P301">
        <v>1300</v>
      </c>
      <c r="Q301">
        <v>0</v>
      </c>
      <c r="R301">
        <v>1650</v>
      </c>
      <c r="S301">
        <v>0</v>
      </c>
      <c r="T301">
        <v>350</v>
      </c>
      <c r="U301">
        <v>280000</v>
      </c>
      <c r="V301">
        <v>14014</v>
      </c>
      <c r="W301" t="str">
        <v>0</v>
      </c>
      <c r="X301">
        <v>25620</v>
      </c>
      <c r="Y301">
        <v>45563</v>
      </c>
      <c r="Z301" t="str">
        <v/>
      </c>
      <c r="AA301" t="str">
        <v>技術・人文知識・国際業務</v>
      </c>
      <c r="AB301" t="str">
        <v>437-0066</v>
      </c>
      <c r="AC301" t="str">
        <v>静岡県袋井市山科3388-1</v>
      </c>
      <c r="AD301" t="str">
        <v>鶴松203</v>
      </c>
      <c r="AE301">
        <v>45097</v>
      </c>
      <c r="AF301">
        <v>45103</v>
      </c>
      <c r="AG301">
        <v>0</v>
      </c>
      <c r="AH301">
        <v>0</v>
      </c>
      <c r="AI301" t="str">
        <v>22.10.01</v>
      </c>
      <c r="AJ301">
        <v>0</v>
      </c>
      <c r="AK301">
        <v>0</v>
      </c>
      <c r="AL301">
        <v>0</v>
      </c>
      <c r="AM301">
        <v>0</v>
      </c>
      <c r="AN301">
        <v>0</v>
      </c>
      <c r="AO301" t="str">
        <v>7/18原</v>
      </c>
      <c r="AP301" t="str">
        <v>請負より異動(入社22/9/8）</v>
      </c>
    </row>
    <row r="302" spans="1:42">
      <c r="A302" t="str">
        <f>H302&amp;COUNTIF($H$2:H302,H302)</f>
        <v>転造7</v>
      </c>
      <c r="B302" t="str">
        <f>F302&amp;COUNTIF($F$2:F302,F302)</f>
        <v>高雄工業 静岡53</v>
      </c>
      <c r="C302" t="str">
        <v>在職中</v>
      </c>
      <c r="D302">
        <v>230810</v>
      </c>
      <c r="E302">
        <v>242068</v>
      </c>
      <c r="F302" t="str">
        <v>高雄工業 静岡</v>
      </c>
      <c r="G302" t="str">
        <v>高雄工業株式会社 静岡事業所第一工場製作課</v>
      </c>
      <c r="H302" t="str">
        <v>転造</v>
      </c>
      <c r="I302" t="str">
        <v>ＣＶＪ短軸等速ジョイント旋削加工・ＮＣプログラム修正</v>
      </c>
      <c r="J302" t="str">
        <v>DANG TRONG BA</v>
      </c>
      <c r="K302" t="str">
        <v>ダン　チョン　バ</v>
      </c>
      <c r="L302" t="str">
        <v>男</v>
      </c>
      <c r="M302" t="str">
        <v>ﾍﾞﾄﾅﾑ</v>
      </c>
      <c r="N302">
        <v>32899</v>
      </c>
      <c r="O302">
        <v>33</v>
      </c>
      <c r="P302">
        <v>1200</v>
      </c>
      <c r="Q302">
        <v>0</v>
      </c>
      <c r="R302">
        <v>1650</v>
      </c>
      <c r="S302">
        <v>0</v>
      </c>
      <c r="T302">
        <v>450</v>
      </c>
      <c r="U302">
        <v>180000</v>
      </c>
      <c r="V302">
        <v>9009</v>
      </c>
      <c r="W302" t="str">
        <v>0</v>
      </c>
      <c r="X302">
        <v>16470</v>
      </c>
      <c r="Y302">
        <v>45499</v>
      </c>
      <c r="Z302" t="str">
        <v/>
      </c>
      <c r="AA302" t="str">
        <v>技術・人文知識・国際業務</v>
      </c>
      <c r="AB302" t="str">
        <v>437-0061</v>
      </c>
      <c r="AC302" t="str">
        <v>静岡県袋井市久能1889-2</v>
      </c>
      <c r="AD302" t="str">
        <v>ﾗﾌｨｰﾈ久能402号</v>
      </c>
      <c r="AE302">
        <v>45133</v>
      </c>
      <c r="AF302">
        <v>45139</v>
      </c>
      <c r="AG302">
        <v>0</v>
      </c>
      <c r="AH302">
        <v>0</v>
      </c>
      <c r="AI302" t="str">
        <v>23.8.1</v>
      </c>
      <c r="AJ302">
        <v>0</v>
      </c>
      <c r="AK302">
        <v>0</v>
      </c>
      <c r="AL302">
        <v>0</v>
      </c>
      <c r="AM302">
        <v>0</v>
      </c>
      <c r="AN302">
        <v>0</v>
      </c>
      <c r="AO302" t="str">
        <v>8/23林</v>
      </c>
      <c r="AP302">
        <v>0</v>
      </c>
    </row>
    <row r="303" spans="1:42">
      <c r="A303" t="str">
        <f>H303&amp;COUNTIF($H$2:H303,H303)</f>
        <v>転造8</v>
      </c>
      <c r="B303" t="str">
        <f>F303&amp;COUNTIF($F$2:F303,F303)</f>
        <v>高雄工業 静岡54</v>
      </c>
      <c r="C303" t="str">
        <v>在職中</v>
      </c>
      <c r="D303">
        <v>230808</v>
      </c>
      <c r="E303">
        <v>242069</v>
      </c>
      <c r="F303" t="str">
        <v>高雄工業 静岡</v>
      </c>
      <c r="G303" t="str">
        <v>高雄工業株式会社 静岡事業所第一工場製作課</v>
      </c>
      <c r="H303" t="str">
        <v>転造</v>
      </c>
      <c r="I303" t="str">
        <v>ＣＶＪ短軸等速ジョイント旋削加工・ＮＣプログラム修正</v>
      </c>
      <c r="J303" t="str">
        <v>NGUYEN CONG THANH</v>
      </c>
      <c r="K303" t="str">
        <v>グエン　コン　タイン</v>
      </c>
      <c r="L303" t="str">
        <v>男</v>
      </c>
      <c r="M303" t="str">
        <v>ﾍﾞﾄﾅﾑ</v>
      </c>
      <c r="N303">
        <v>37208</v>
      </c>
      <c r="O303">
        <v>22</v>
      </c>
      <c r="P303">
        <v>1200</v>
      </c>
      <c r="Q303">
        <v>0</v>
      </c>
      <c r="R303">
        <v>1650</v>
      </c>
      <c r="S303">
        <v>0</v>
      </c>
      <c r="T303">
        <v>450</v>
      </c>
      <c r="U303">
        <v>180000</v>
      </c>
      <c r="V303">
        <v>9009</v>
      </c>
      <c r="W303" t="str">
        <v>0</v>
      </c>
      <c r="X303">
        <v>16470</v>
      </c>
      <c r="Y303">
        <v>45499</v>
      </c>
      <c r="Z303" t="str">
        <v/>
      </c>
      <c r="AA303" t="str">
        <v>技術・人文知識・国際業務</v>
      </c>
      <c r="AB303" t="str">
        <v>437-0061</v>
      </c>
      <c r="AC303" t="str">
        <v>静岡県袋井市久能1889-2</v>
      </c>
      <c r="AD303" t="str">
        <v>ﾗﾌｨｰﾈ久能402号</v>
      </c>
      <c r="AE303">
        <v>45133</v>
      </c>
      <c r="AF303">
        <v>45139</v>
      </c>
      <c r="AG303">
        <v>0</v>
      </c>
      <c r="AH303">
        <v>0</v>
      </c>
      <c r="AI303" t="str">
        <v>23.8.1</v>
      </c>
      <c r="AJ303">
        <v>0</v>
      </c>
      <c r="AK303">
        <v>0</v>
      </c>
      <c r="AL303">
        <v>0</v>
      </c>
      <c r="AM303">
        <v>0</v>
      </c>
      <c r="AN303">
        <v>0</v>
      </c>
      <c r="AO303" t="str">
        <v>8/23林</v>
      </c>
      <c r="AP303">
        <v>0</v>
      </c>
    </row>
    <row r="304" spans="1:42">
      <c r="A304" t="str">
        <f>H304&amp;COUNTIF($H$2:H304,H304)</f>
        <v>内輪5</v>
      </c>
      <c r="B304" t="str">
        <f>F304&amp;COUNTIF($F$2:F304,F304)</f>
        <v>高雄工業 静岡55</v>
      </c>
      <c r="C304" t="str">
        <v>在職中</v>
      </c>
      <c r="D304">
        <v>230807</v>
      </c>
      <c r="E304">
        <v>242070</v>
      </c>
      <c r="F304" t="str">
        <v>高雄工業 静岡</v>
      </c>
      <c r="G304" t="str">
        <v>高雄工業株式会社 静岡事業所第二工場製作課</v>
      </c>
      <c r="H304" t="str">
        <v>内輪</v>
      </c>
      <c r="I304" t="str">
        <v>産業機械部品の研磨加工、NCプログラム修正</v>
      </c>
      <c r="J304" t="str">
        <v>VAN DUC NHIEN</v>
      </c>
      <c r="K304" t="str">
        <v>ヴァン　ドゥック　ニエン</v>
      </c>
      <c r="L304" t="str">
        <v>男</v>
      </c>
      <c r="M304" t="str">
        <v>ﾍﾞﾄﾅﾑ</v>
      </c>
      <c r="N304">
        <v>36053</v>
      </c>
      <c r="O304">
        <v>25</v>
      </c>
      <c r="P304">
        <v>1200</v>
      </c>
      <c r="Q304">
        <v>0</v>
      </c>
      <c r="R304">
        <v>1650</v>
      </c>
      <c r="S304">
        <v>0</v>
      </c>
      <c r="T304">
        <v>450</v>
      </c>
      <c r="U304">
        <v>180000</v>
      </c>
      <c r="V304">
        <v>9009</v>
      </c>
      <c r="W304" t="str">
        <v>0</v>
      </c>
      <c r="X304">
        <v>16470</v>
      </c>
      <c r="Y304">
        <v>45499</v>
      </c>
      <c r="Z304" t="str">
        <v/>
      </c>
      <c r="AA304" t="str">
        <v>技術・人文知識・国際業務</v>
      </c>
      <c r="AB304" t="str">
        <v>437-0016</v>
      </c>
      <c r="AC304" t="str">
        <v>静岡県袋井市葵町3丁目3番地3</v>
      </c>
      <c r="AD304" t="str">
        <v>BeehiveresidenceⅢ201</v>
      </c>
      <c r="AE304">
        <v>45133</v>
      </c>
      <c r="AF304">
        <v>45139</v>
      </c>
      <c r="AG304">
        <v>0</v>
      </c>
      <c r="AH304">
        <v>0</v>
      </c>
      <c r="AI304" t="str">
        <v>23.8.1</v>
      </c>
      <c r="AJ304">
        <v>0</v>
      </c>
      <c r="AK304">
        <v>0</v>
      </c>
      <c r="AL304">
        <v>0</v>
      </c>
      <c r="AM304">
        <v>0</v>
      </c>
      <c r="AN304">
        <v>0</v>
      </c>
      <c r="AO304" t="str">
        <v>8/23林</v>
      </c>
      <c r="AP304">
        <v>0</v>
      </c>
    </row>
    <row r="305" spans="1:42">
      <c r="A305" t="str">
        <f>H305&amp;COUNTIF($H$2:H305,H305)</f>
        <v>長軸バリ取り2</v>
      </c>
      <c r="B305" t="str">
        <f>F305&amp;COUNTIF($F$2:F305,F305)</f>
        <v>高雄工業 静岡56</v>
      </c>
      <c r="C305" t="str">
        <v>在職中</v>
      </c>
      <c r="D305">
        <v>230809</v>
      </c>
      <c r="E305">
        <v>242071</v>
      </c>
      <c r="F305" t="str">
        <v>高雄工業 静岡</v>
      </c>
      <c r="G305" t="str">
        <v>高雄工業株式会社 静岡事業所第二工場製作課</v>
      </c>
      <c r="H305" t="str">
        <v>長軸バリ取り</v>
      </c>
      <c r="I305" t="str">
        <v>長軸バリ取り、検査作業。</v>
      </c>
      <c r="J305" t="str">
        <v>NGUYEN HUU NHAT</v>
      </c>
      <c r="K305" t="str">
        <v>グエン　ヒュ　ニャット</v>
      </c>
      <c r="L305" t="str">
        <v>男</v>
      </c>
      <c r="M305" t="str">
        <v>ﾍﾞﾄﾅﾑ</v>
      </c>
      <c r="N305">
        <v>36239</v>
      </c>
      <c r="O305">
        <v>24</v>
      </c>
      <c r="P305">
        <v>1200</v>
      </c>
      <c r="Q305">
        <v>0</v>
      </c>
      <c r="R305">
        <v>1650</v>
      </c>
      <c r="S305">
        <v>0</v>
      </c>
      <c r="T305">
        <v>450</v>
      </c>
      <c r="U305">
        <v>180000</v>
      </c>
      <c r="V305">
        <v>9009</v>
      </c>
      <c r="W305" t="str">
        <v>0</v>
      </c>
      <c r="X305">
        <v>16470</v>
      </c>
      <c r="Y305">
        <v>45499</v>
      </c>
      <c r="Z305" t="str">
        <v/>
      </c>
      <c r="AA305" t="str">
        <v>技術・人文知識・国際業務</v>
      </c>
      <c r="AB305" t="str">
        <v>437-0016</v>
      </c>
      <c r="AC305" t="str">
        <v>静岡県袋井市葵町3丁目3番地3</v>
      </c>
      <c r="AD305" t="str">
        <v>BeehiveresidenceⅢ201</v>
      </c>
      <c r="AE305">
        <v>45133</v>
      </c>
      <c r="AF305">
        <v>45139</v>
      </c>
      <c r="AG305">
        <v>45282</v>
      </c>
      <c r="AH305">
        <v>0</v>
      </c>
      <c r="AI305" t="str">
        <v>23.8.1</v>
      </c>
      <c r="AJ305">
        <v>0</v>
      </c>
      <c r="AK305">
        <v>0</v>
      </c>
      <c r="AL305">
        <v>0</v>
      </c>
      <c r="AM305">
        <v>0</v>
      </c>
      <c r="AN305">
        <v>0</v>
      </c>
      <c r="AO305" t="str">
        <v>8/23林</v>
      </c>
      <c r="AP305">
        <v>0</v>
      </c>
    </row>
    <row r="306" spans="1:42">
      <c r="A306" t="str">
        <f>H306&amp;COUNTIF($H$2:H306,H306)</f>
        <v>自動旋削12</v>
      </c>
      <c r="B306" t="str">
        <f>F306&amp;COUNTIF($F$2:F306,F306)</f>
        <v>高雄工業 静岡57</v>
      </c>
      <c r="C306" t="str">
        <v>在職中</v>
      </c>
      <c r="D306">
        <v>230902</v>
      </c>
      <c r="E306">
        <v>242072</v>
      </c>
      <c r="F306" t="str">
        <v>高雄工業 静岡</v>
      </c>
      <c r="G306" t="str">
        <v>高雄工業株式会社 静岡事業所第一工場製作課</v>
      </c>
      <c r="H306" t="str">
        <v>自動旋削</v>
      </c>
      <c r="I306" t="str">
        <v>CVJ部品短軸品の施削加工、NCプログラム修正</v>
      </c>
      <c r="J306" t="str">
        <v>PHAN VAN THUC</v>
      </c>
      <c r="K306" t="str">
        <v>ファン　ヴァン　トゥック</v>
      </c>
      <c r="L306" t="str">
        <v>男</v>
      </c>
      <c r="M306" t="str">
        <v>ﾍﾞﾄﾅﾑ</v>
      </c>
      <c r="N306">
        <v>32987</v>
      </c>
      <c r="O306">
        <v>33</v>
      </c>
      <c r="P306">
        <v>1200</v>
      </c>
      <c r="Q306">
        <v>0</v>
      </c>
      <c r="R306">
        <v>1650</v>
      </c>
      <c r="S306">
        <v>0</v>
      </c>
      <c r="T306">
        <v>450</v>
      </c>
      <c r="U306">
        <v>200000</v>
      </c>
      <c r="V306">
        <v>10010</v>
      </c>
      <c r="W306" t="str">
        <v>0</v>
      </c>
      <c r="X306">
        <v>18300</v>
      </c>
      <c r="Y306">
        <v>45532</v>
      </c>
      <c r="Z306" t="str">
        <v/>
      </c>
      <c r="AA306" t="str">
        <v>技術・人文知識・国際業務</v>
      </c>
      <c r="AB306" t="str">
        <v>437-0061</v>
      </c>
      <c r="AC306" t="str">
        <v>静岡県袋井市久能2286-1</v>
      </c>
      <c r="AD306" t="str">
        <v>ｳﾞｪﾙﾃﾞ202</v>
      </c>
      <c r="AE306">
        <v>45166</v>
      </c>
      <c r="AF306">
        <v>45170</v>
      </c>
      <c r="AG306">
        <v>0</v>
      </c>
      <c r="AH306">
        <v>0</v>
      </c>
      <c r="AI306" t="str">
        <v>23.9.1</v>
      </c>
      <c r="AJ306">
        <v>0</v>
      </c>
      <c r="AK306">
        <v>0</v>
      </c>
      <c r="AL306">
        <v>0</v>
      </c>
      <c r="AM306">
        <v>0</v>
      </c>
      <c r="AN306">
        <v>0</v>
      </c>
      <c r="AO306" t="str">
        <v>9/8林</v>
      </c>
      <c r="AP306">
        <v>0</v>
      </c>
    </row>
    <row r="307" spans="1:42">
      <c r="A307" t="str">
        <f>H307&amp;COUNTIF($H$2:H307,H307)</f>
        <v>トラニオン4</v>
      </c>
      <c r="B307" t="str">
        <f>F307&amp;COUNTIF($F$2:F307,F307)</f>
        <v>高雄工業 静岡58</v>
      </c>
      <c r="C307" t="str">
        <v>在職中</v>
      </c>
      <c r="D307">
        <v>230901</v>
      </c>
      <c r="E307">
        <v>242073</v>
      </c>
      <c r="F307" t="str">
        <v>高雄工業 静岡</v>
      </c>
      <c r="G307" t="str">
        <v>高雄工業株式会社 静岡事業所第二工場製作課</v>
      </c>
      <c r="H307" t="str">
        <v>トラニオン</v>
      </c>
      <c r="I307" t="str">
        <v>産業機械部品の研磨加工、NCプログラム修正</v>
      </c>
      <c r="J307" t="str">
        <v>TRAN XUAN HUNG</v>
      </c>
      <c r="K307" t="str">
        <v>チャン　スアン　フン</v>
      </c>
      <c r="L307" t="str">
        <v>男</v>
      </c>
      <c r="M307" t="str">
        <v>ﾍﾞﾄﾅﾑ</v>
      </c>
      <c r="N307">
        <v>33801</v>
      </c>
      <c r="O307">
        <v>31</v>
      </c>
      <c r="P307">
        <v>1200</v>
      </c>
      <c r="Q307">
        <v>0</v>
      </c>
      <c r="R307">
        <v>1650</v>
      </c>
      <c r="S307">
        <v>0</v>
      </c>
      <c r="T307">
        <v>450</v>
      </c>
      <c r="U307">
        <v>200000</v>
      </c>
      <c r="V307">
        <v>10010</v>
      </c>
      <c r="W307" t="str">
        <v>0</v>
      </c>
      <c r="X307">
        <v>18300</v>
      </c>
      <c r="Y307">
        <v>45532</v>
      </c>
      <c r="Z307" t="str">
        <v/>
      </c>
      <c r="AA307" t="str">
        <v>技術・人文知識・国際業務</v>
      </c>
      <c r="AB307" t="str">
        <v>437-0061</v>
      </c>
      <c r="AC307" t="str">
        <v>静岡県袋井市久能2286-1</v>
      </c>
      <c r="AD307" t="str">
        <v>ｳﾞｪﾙﾃﾞ202</v>
      </c>
      <c r="AE307">
        <v>45166</v>
      </c>
      <c r="AF307">
        <v>45170</v>
      </c>
      <c r="AG307">
        <v>0</v>
      </c>
      <c r="AH307">
        <v>0</v>
      </c>
      <c r="AI307" t="str">
        <v>23.9.1</v>
      </c>
      <c r="AJ307">
        <v>0</v>
      </c>
      <c r="AK307">
        <v>0</v>
      </c>
      <c r="AL307">
        <v>0</v>
      </c>
      <c r="AM307">
        <v>0</v>
      </c>
      <c r="AN307">
        <v>0</v>
      </c>
      <c r="AO307" t="str">
        <v>9/8林</v>
      </c>
      <c r="AP307">
        <v>0</v>
      </c>
    </row>
    <row r="308" spans="1:42">
      <c r="A308" t="str">
        <f>H308&amp;COUNTIF($H$2:H308,H308)</f>
        <v>手動旋削14</v>
      </c>
      <c r="B308" t="str">
        <f>F308&amp;COUNTIF($F$2:F308,F308)</f>
        <v>高雄工業 静岡59</v>
      </c>
      <c r="C308" t="str">
        <v>在職中</v>
      </c>
      <c r="D308">
        <v>230912</v>
      </c>
      <c r="E308">
        <v>242074</v>
      </c>
      <c r="F308" t="str">
        <v>高雄工業 静岡</v>
      </c>
      <c r="G308" t="str">
        <v>高雄工業株式会社 静岡事業所第一工場製作課</v>
      </c>
      <c r="H308" t="str">
        <v>手動旋削</v>
      </c>
      <c r="I308" t="str">
        <v>CVJ部品短軸品の施削加工、NCプログラム修正</v>
      </c>
      <c r="J308" t="str">
        <v>NGUYEN SY PHUC</v>
      </c>
      <c r="K308" t="str">
        <v>グエン　シ　フック</v>
      </c>
      <c r="L308" t="str">
        <v>男</v>
      </c>
      <c r="M308" t="str">
        <v>ﾍﾞﾄﾅﾑ</v>
      </c>
      <c r="N308">
        <v>35415</v>
      </c>
      <c r="O308">
        <v>26</v>
      </c>
      <c r="P308">
        <v>1200</v>
      </c>
      <c r="Q308">
        <v>0</v>
      </c>
      <c r="R308">
        <v>1650</v>
      </c>
      <c r="S308">
        <v>0</v>
      </c>
      <c r="T308">
        <v>450</v>
      </c>
      <c r="U308">
        <v>200000</v>
      </c>
      <c r="V308">
        <v>10010</v>
      </c>
      <c r="W308" t="str">
        <v>0</v>
      </c>
      <c r="X308">
        <v>18300</v>
      </c>
      <c r="Y308">
        <v>45547</v>
      </c>
      <c r="Z308" t="str">
        <v/>
      </c>
      <c r="AA308" t="str">
        <v>技術・人文知識・国際業務</v>
      </c>
      <c r="AB308" t="str">
        <v>437-0065</v>
      </c>
      <c r="AC308" t="str">
        <v>静岡県袋井市堀越1548</v>
      </c>
      <c r="AD308" t="str">
        <v>ﾍﾞﾙｺｰﾎﾟ202</v>
      </c>
      <c r="AE308">
        <v>45181</v>
      </c>
      <c r="AF308">
        <v>45188</v>
      </c>
      <c r="AG308">
        <v>0</v>
      </c>
      <c r="AH308">
        <v>0</v>
      </c>
      <c r="AI308" t="str">
        <v>23.9.19</v>
      </c>
      <c r="AJ308">
        <v>0</v>
      </c>
      <c r="AK308">
        <v>0</v>
      </c>
      <c r="AL308">
        <v>0</v>
      </c>
      <c r="AM308">
        <v>0</v>
      </c>
      <c r="AN308">
        <v>0</v>
      </c>
      <c r="AO308" t="str">
        <v>9/29林</v>
      </c>
      <c r="AP308">
        <v>0</v>
      </c>
    </row>
    <row r="309" spans="1:42">
      <c r="A309" t="str">
        <f>H309&amp;COUNTIF($H$2:H309,H309)</f>
        <v>転造9</v>
      </c>
      <c r="B309" t="str">
        <f>F309&amp;COUNTIF($F$2:F309,F309)</f>
        <v>高雄工業 静岡60</v>
      </c>
      <c r="C309" t="str">
        <v>在職中</v>
      </c>
      <c r="D309">
        <v>230911</v>
      </c>
      <c r="E309">
        <v>242075</v>
      </c>
      <c r="F309" t="str">
        <v>高雄工業 静岡</v>
      </c>
      <c r="G309" t="str">
        <v>高雄工業株式会社 静岡事業所第一工場製作課</v>
      </c>
      <c r="H309" t="str">
        <v>転造</v>
      </c>
      <c r="I309" t="str">
        <v>ＣＶＪ短軸等速ジョイント旋削加工・ＮＣプログラム修正</v>
      </c>
      <c r="J309" t="str">
        <v>NGUYEN DUC MANH</v>
      </c>
      <c r="K309" t="str">
        <v>グエン　ドゥック　マン</v>
      </c>
      <c r="L309" t="str">
        <v>男</v>
      </c>
      <c r="M309" t="str">
        <v>ﾍﾞﾄﾅﾑ</v>
      </c>
      <c r="N309">
        <v>36248</v>
      </c>
      <c r="O309">
        <v>24</v>
      </c>
      <c r="P309">
        <v>1200</v>
      </c>
      <c r="Q309">
        <v>0</v>
      </c>
      <c r="R309">
        <v>1650</v>
      </c>
      <c r="S309">
        <v>0</v>
      </c>
      <c r="T309">
        <v>450</v>
      </c>
      <c r="U309">
        <v>200000</v>
      </c>
      <c r="V309">
        <v>10010</v>
      </c>
      <c r="W309" t="str">
        <v>0</v>
      </c>
      <c r="X309">
        <v>18300</v>
      </c>
      <c r="Y309">
        <v>45547</v>
      </c>
      <c r="Z309" t="str">
        <v/>
      </c>
      <c r="AA309" t="str">
        <v>技術・人文知識・国際業務</v>
      </c>
      <c r="AB309" t="str">
        <v>437-0123</v>
      </c>
      <c r="AC309" t="str">
        <v>静岡県袋井市下山梨1603-2</v>
      </c>
      <c r="AD309" t="str">
        <v>ﾎｰﾌﾟｼﾃｨHIRO202</v>
      </c>
      <c r="AE309">
        <v>45181</v>
      </c>
      <c r="AF309">
        <v>45188</v>
      </c>
      <c r="AG309">
        <v>0</v>
      </c>
      <c r="AH309">
        <v>0</v>
      </c>
      <c r="AI309" t="str">
        <v>23.9.19</v>
      </c>
      <c r="AJ309">
        <v>0</v>
      </c>
      <c r="AK309">
        <v>0</v>
      </c>
      <c r="AL309">
        <v>0</v>
      </c>
      <c r="AM309">
        <v>0</v>
      </c>
      <c r="AN309">
        <v>0</v>
      </c>
      <c r="AO309" t="str">
        <v>9/29林</v>
      </c>
      <c r="AP309">
        <v>0</v>
      </c>
    </row>
    <row r="310" spans="1:42">
      <c r="A310" t="str">
        <f>H310&amp;COUNTIF($H$2:H310,H310)</f>
        <v>チャンファ2</v>
      </c>
      <c r="B310" t="str">
        <f>F310&amp;COUNTIF($F$2:F310,F310)</f>
        <v>高雄工業 静岡61</v>
      </c>
      <c r="C310" t="str">
        <v>在職中</v>
      </c>
      <c r="D310">
        <v>230910</v>
      </c>
      <c r="E310">
        <v>242076</v>
      </c>
      <c r="F310" t="str">
        <v>高雄工業 静岡</v>
      </c>
      <c r="G310" t="str">
        <v>高雄工業株式会社 静岡事業所第一工場製作課</v>
      </c>
      <c r="H310" t="str">
        <v>チャンファ</v>
      </c>
      <c r="I310" t="str">
        <v>産業機械部品の研磨加工、NCプログラム修正</v>
      </c>
      <c r="J310" t="str">
        <v>TRAN THANH VAN</v>
      </c>
      <c r="K310" t="str">
        <v>チャン　タン　バン</v>
      </c>
      <c r="L310" t="str">
        <v>男</v>
      </c>
      <c r="M310" t="str">
        <v>ﾍﾞﾄﾅﾑ</v>
      </c>
      <c r="N310">
        <v>36274</v>
      </c>
      <c r="O310">
        <v>24</v>
      </c>
      <c r="P310">
        <v>1200</v>
      </c>
      <c r="Q310">
        <v>0</v>
      </c>
      <c r="R310">
        <v>1650</v>
      </c>
      <c r="S310">
        <v>0</v>
      </c>
      <c r="T310">
        <v>450</v>
      </c>
      <c r="U310">
        <v>200000</v>
      </c>
      <c r="V310">
        <v>10010</v>
      </c>
      <c r="W310" t="str">
        <v>0</v>
      </c>
      <c r="X310">
        <v>18300</v>
      </c>
      <c r="Y310">
        <v>45547</v>
      </c>
      <c r="Z310" t="str">
        <v/>
      </c>
      <c r="AA310" t="str">
        <v>技術・人文知識・国際業務</v>
      </c>
      <c r="AB310" t="str">
        <v>437-0015</v>
      </c>
      <c r="AC310" t="str">
        <v>静岡県袋井市旭町2-7-5</v>
      </c>
      <c r="AD310" t="str">
        <v>ﾌｨﾌﾃｨｰⅡ102</v>
      </c>
      <c r="AE310">
        <v>45181</v>
      </c>
      <c r="AF310">
        <v>45188</v>
      </c>
      <c r="AG310">
        <v>0</v>
      </c>
      <c r="AH310">
        <v>0</v>
      </c>
      <c r="AI310" t="str">
        <v>23.9.19</v>
      </c>
      <c r="AJ310">
        <v>0</v>
      </c>
      <c r="AK310">
        <v>0</v>
      </c>
      <c r="AL310">
        <v>0</v>
      </c>
      <c r="AM310">
        <v>0</v>
      </c>
      <c r="AN310">
        <v>0</v>
      </c>
      <c r="AO310" t="str">
        <v>9/29林</v>
      </c>
      <c r="AP310">
        <v>0</v>
      </c>
    </row>
    <row r="311" spans="1:42">
      <c r="A311" t="str">
        <f>H311&amp;COUNTIF($H$2:H311,H311)</f>
        <v>自動旋削13</v>
      </c>
      <c r="B311" t="str">
        <f>F311&amp;COUNTIF($F$2:F311,F311)</f>
        <v>高雄工業 静岡62</v>
      </c>
      <c r="C311" t="str">
        <v>在職中</v>
      </c>
      <c r="D311">
        <v>230909</v>
      </c>
      <c r="E311">
        <v>242077</v>
      </c>
      <c r="F311" t="str">
        <v>高雄工業 静岡</v>
      </c>
      <c r="G311" t="str">
        <v>高雄工業株式会社 静岡事業所第一工場製作課</v>
      </c>
      <c r="H311" t="str">
        <v>自動旋削</v>
      </c>
      <c r="I311" t="str">
        <v>CVJ部品短軸品の施削加工、NCプログラム修正</v>
      </c>
      <c r="J311" t="str">
        <v>DANG VAN TAN</v>
      </c>
      <c r="K311" t="str">
        <v>ダン　バン　タン</v>
      </c>
      <c r="L311" t="str">
        <v>男</v>
      </c>
      <c r="M311" t="str">
        <v>ﾍﾞﾄﾅﾑ</v>
      </c>
      <c r="N311">
        <v>36992</v>
      </c>
      <c r="O311">
        <v>22</v>
      </c>
      <c r="P311">
        <v>1200</v>
      </c>
      <c r="Q311">
        <v>0</v>
      </c>
      <c r="R311">
        <v>1650</v>
      </c>
      <c r="S311">
        <v>0</v>
      </c>
      <c r="T311">
        <v>450</v>
      </c>
      <c r="U311">
        <v>200000</v>
      </c>
      <c r="V311">
        <v>10010</v>
      </c>
      <c r="W311" t="str">
        <v>0</v>
      </c>
      <c r="X311">
        <v>18300</v>
      </c>
      <c r="Y311">
        <v>45547</v>
      </c>
      <c r="Z311" t="str">
        <v/>
      </c>
      <c r="AA311" t="str">
        <v>技術・人文知識・国際業務</v>
      </c>
      <c r="AB311" t="str">
        <v>437-0065</v>
      </c>
      <c r="AC311" t="str">
        <v>静岡県袋井市堀越1548</v>
      </c>
      <c r="AD311" t="str">
        <v>ﾍﾞﾙｺｰﾎﾟ202</v>
      </c>
      <c r="AE311">
        <v>45181</v>
      </c>
      <c r="AF311">
        <v>45188</v>
      </c>
      <c r="AG311">
        <v>0</v>
      </c>
      <c r="AH311">
        <v>0</v>
      </c>
      <c r="AI311" t="str">
        <v>23.9.19</v>
      </c>
      <c r="AJ311">
        <v>0</v>
      </c>
      <c r="AK311">
        <v>0</v>
      </c>
      <c r="AL311">
        <v>0</v>
      </c>
      <c r="AM311">
        <v>0</v>
      </c>
      <c r="AN311">
        <v>0</v>
      </c>
      <c r="AO311" t="str">
        <v>9/29林</v>
      </c>
      <c r="AP311">
        <v>0</v>
      </c>
    </row>
    <row r="312" spans="1:42">
      <c r="A312" t="str">
        <f>H312&amp;COUNTIF($H$2:H312,H312)</f>
        <v>自動旋削14</v>
      </c>
      <c r="B312" t="str">
        <f>F312&amp;COUNTIF($F$2:F312,F312)</f>
        <v>高雄工業 静岡63</v>
      </c>
      <c r="C312" t="str">
        <v>在職中</v>
      </c>
      <c r="D312">
        <v>230913</v>
      </c>
      <c r="E312">
        <v>242078</v>
      </c>
      <c r="F312" t="str">
        <v>高雄工業 静岡</v>
      </c>
      <c r="G312" t="str">
        <v>高雄工業株式会社 静岡事業所第一工場製作課</v>
      </c>
      <c r="H312" t="str">
        <v>自動旋削</v>
      </c>
      <c r="I312" t="str">
        <v>CVJ部品短軸品の施削加工、NCプログラム修正</v>
      </c>
      <c r="J312" t="str">
        <v>TRAN DUC CUONG</v>
      </c>
      <c r="K312" t="str">
        <v>チャン　ドゥック　クオン</v>
      </c>
      <c r="L312" t="str">
        <v>男</v>
      </c>
      <c r="M312" t="str">
        <v>ﾍﾞﾄﾅﾑ</v>
      </c>
      <c r="N312">
        <v>37070</v>
      </c>
      <c r="O312">
        <v>22</v>
      </c>
      <c r="P312">
        <v>1200</v>
      </c>
      <c r="Q312">
        <v>0</v>
      </c>
      <c r="R312">
        <v>1650</v>
      </c>
      <c r="S312">
        <v>0</v>
      </c>
      <c r="T312">
        <v>450</v>
      </c>
      <c r="U312">
        <v>200000</v>
      </c>
      <c r="V312">
        <v>10010</v>
      </c>
      <c r="W312" t="str">
        <v>0</v>
      </c>
      <c r="X312">
        <v>18300</v>
      </c>
      <c r="Y312">
        <v>45547</v>
      </c>
      <c r="Z312" t="str">
        <v/>
      </c>
      <c r="AA312" t="str">
        <v>技術・人文知識・国際業務</v>
      </c>
      <c r="AB312" t="str">
        <v>437-0123</v>
      </c>
      <c r="AC312" t="str">
        <v>静岡県袋井市下山梨1603-2</v>
      </c>
      <c r="AD312" t="str">
        <v>ﾎｰﾌﾟｼﾃｨHIRO202</v>
      </c>
      <c r="AE312">
        <v>45181</v>
      </c>
      <c r="AF312">
        <v>45188</v>
      </c>
      <c r="AG312">
        <v>0</v>
      </c>
      <c r="AH312">
        <v>0</v>
      </c>
      <c r="AI312" t="str">
        <v>23.9.19</v>
      </c>
      <c r="AJ312">
        <v>0</v>
      </c>
      <c r="AK312">
        <v>0</v>
      </c>
      <c r="AL312">
        <v>0</v>
      </c>
      <c r="AM312">
        <v>0</v>
      </c>
      <c r="AN312">
        <v>0</v>
      </c>
      <c r="AO312" t="str">
        <v>9/29林</v>
      </c>
      <c r="AP312">
        <v>0</v>
      </c>
    </row>
    <row r="313" spans="1:42">
      <c r="A313" t="str">
        <f>H313&amp;COUNTIF($H$2:H313,H313)</f>
        <v>トラニオン5</v>
      </c>
      <c r="B313" t="str">
        <f>F313&amp;COUNTIF($F$2:F313,F313)</f>
        <v>高雄工業 静岡64</v>
      </c>
      <c r="C313" t="str">
        <v>在職中</v>
      </c>
      <c r="D313">
        <v>230914</v>
      </c>
      <c r="E313">
        <v>242079</v>
      </c>
      <c r="F313" t="str">
        <v>高雄工業 静岡</v>
      </c>
      <c r="G313" t="str">
        <v>高雄工業株式会社 静岡事業所第二工場製作課</v>
      </c>
      <c r="H313" t="str">
        <v>トラニオン</v>
      </c>
      <c r="I313" t="str">
        <v>産業機械部品の研磨加工、NCプログラム修正</v>
      </c>
      <c r="J313" t="str">
        <v>TRAN VAN THINH</v>
      </c>
      <c r="K313" t="str">
        <v>チャン　バン　ティン</v>
      </c>
      <c r="L313" t="str">
        <v>男</v>
      </c>
      <c r="M313" t="str">
        <v>ﾍﾞﾄﾅﾑ</v>
      </c>
      <c r="N313">
        <v>35440</v>
      </c>
      <c r="O313">
        <v>26</v>
      </c>
      <c r="P313">
        <v>1200</v>
      </c>
      <c r="Q313">
        <v>0</v>
      </c>
      <c r="R313">
        <v>1650</v>
      </c>
      <c r="S313">
        <v>0</v>
      </c>
      <c r="T313">
        <v>450</v>
      </c>
      <c r="U313">
        <v>200000</v>
      </c>
      <c r="V313">
        <v>10010</v>
      </c>
      <c r="W313" t="str">
        <v>0</v>
      </c>
      <c r="X313">
        <v>18300</v>
      </c>
      <c r="Y313">
        <v>45553</v>
      </c>
      <c r="Z313" t="str">
        <v/>
      </c>
      <c r="AA313" t="str">
        <v>技術・人文知識・国際業務</v>
      </c>
      <c r="AB313" t="str">
        <v>437-0066</v>
      </c>
      <c r="AC313" t="str">
        <v>静岡県袋井市山科2844-1</v>
      </c>
      <c r="AD313" t="str">
        <v>ｳﾞｨﾚﾁﾞﾌｫｰB101</v>
      </c>
      <c r="AE313">
        <v>45187</v>
      </c>
      <c r="AF313">
        <v>45190</v>
      </c>
      <c r="AG313">
        <v>0</v>
      </c>
      <c r="AH313">
        <v>0</v>
      </c>
      <c r="AI313" t="str">
        <v>23.9.21</v>
      </c>
      <c r="AJ313">
        <v>0</v>
      </c>
      <c r="AK313">
        <v>0</v>
      </c>
      <c r="AL313">
        <v>0</v>
      </c>
      <c r="AM313">
        <v>0</v>
      </c>
      <c r="AN313">
        <v>0</v>
      </c>
      <c r="AO313" t="str">
        <v>10/13林</v>
      </c>
      <c r="AP313">
        <v>0</v>
      </c>
    </row>
    <row r="314" spans="1:42">
      <c r="A314" t="str">
        <f>H314&amp;COUNTIF($H$2:H314,H314)</f>
        <v>PTJ3</v>
      </c>
      <c r="B314" t="str">
        <f>F314&amp;COUNTIF($F$2:F314,F314)</f>
        <v>高雄工業 静岡65</v>
      </c>
      <c r="C314" t="str">
        <v>在職中</v>
      </c>
      <c r="D314">
        <v>230915</v>
      </c>
      <c r="E314">
        <v>242080</v>
      </c>
      <c r="F314" t="str">
        <v>高雄工業 静岡</v>
      </c>
      <c r="G314" t="str">
        <v>高雄工業株式会社 静岡事業所第二工場製作課</v>
      </c>
      <c r="H314" t="str">
        <v>PTJ</v>
      </c>
      <c r="I314" t="str">
        <v>産業機械部品の研磨加工、NCプログラム修正</v>
      </c>
      <c r="J314" t="str">
        <v>NGUYEN TRUONG AN</v>
      </c>
      <c r="K314" t="str">
        <v>グエン　チュオン　アン</v>
      </c>
      <c r="L314" t="str">
        <v>男</v>
      </c>
      <c r="M314" t="str">
        <v>ﾍﾞﾄﾅﾑ</v>
      </c>
      <c r="N314">
        <v>36642</v>
      </c>
      <c r="O314">
        <v>23</v>
      </c>
      <c r="P314">
        <v>1200</v>
      </c>
      <c r="Q314">
        <v>0</v>
      </c>
      <c r="R314">
        <v>1650</v>
      </c>
      <c r="S314">
        <v>0</v>
      </c>
      <c r="T314">
        <v>450</v>
      </c>
      <c r="U314">
        <v>200000</v>
      </c>
      <c r="V314">
        <v>10010</v>
      </c>
      <c r="W314" t="str">
        <v>0</v>
      </c>
      <c r="X314">
        <v>18300</v>
      </c>
      <c r="Y314">
        <v>45553</v>
      </c>
      <c r="Z314" t="str">
        <v/>
      </c>
      <c r="AA314" t="str">
        <v>技術・人文知識・国際業務</v>
      </c>
      <c r="AB314" t="str">
        <v>437-0066</v>
      </c>
      <c r="AC314" t="str">
        <v>静岡県袋井市山科2844-1</v>
      </c>
      <c r="AD314" t="str">
        <v>ｳﾞｨﾚﾁﾞﾌｫｰB101</v>
      </c>
      <c r="AE314">
        <v>45187</v>
      </c>
      <c r="AF314">
        <v>45190</v>
      </c>
      <c r="AG314">
        <v>0</v>
      </c>
      <c r="AH314">
        <v>0</v>
      </c>
      <c r="AI314" t="str">
        <v>23.9.21</v>
      </c>
      <c r="AJ314">
        <v>0</v>
      </c>
      <c r="AK314">
        <v>0</v>
      </c>
      <c r="AL314">
        <v>0</v>
      </c>
      <c r="AM314">
        <v>0</v>
      </c>
      <c r="AN314">
        <v>0</v>
      </c>
      <c r="AO314" t="str">
        <v>10/13林</v>
      </c>
      <c r="AP314">
        <v>0</v>
      </c>
    </row>
    <row r="315" spans="1:42">
      <c r="A315" t="str">
        <f>H315&amp;COUNTIF($H$2:H315,H315)</f>
        <v>自動旋削15</v>
      </c>
      <c r="B315" t="str">
        <f>F315&amp;COUNTIF($F$2:F315,F315)</f>
        <v>高雄工業 静岡66</v>
      </c>
      <c r="C315" t="str">
        <v>在職中</v>
      </c>
      <c r="D315">
        <v>231109</v>
      </c>
      <c r="E315">
        <v>242081</v>
      </c>
      <c r="F315" t="str">
        <v>高雄工業 静岡</v>
      </c>
      <c r="G315" t="str">
        <v>高雄工業株式会社 静岡事業所第一工場製作課</v>
      </c>
      <c r="H315" t="str">
        <v>自動旋削</v>
      </c>
      <c r="I315" t="str">
        <v>CVJ部品短軸品の施削加工、NCプログラム修正</v>
      </c>
      <c r="J315" t="str">
        <v>NGUYEN CONG DAT</v>
      </c>
      <c r="K315" t="str">
        <v>グエン　コン　ダット</v>
      </c>
      <c r="L315" t="str">
        <v>男</v>
      </c>
      <c r="M315" t="str">
        <v>ﾍﾞﾄﾅﾑ</v>
      </c>
      <c r="N315">
        <v>35962</v>
      </c>
      <c r="O315">
        <v>25</v>
      </c>
      <c r="P315">
        <v>1200</v>
      </c>
      <c r="Q315">
        <v>0</v>
      </c>
      <c r="R315">
        <v>1650</v>
      </c>
      <c r="S315">
        <v>0</v>
      </c>
      <c r="T315">
        <v>450</v>
      </c>
      <c r="U315">
        <v>200000</v>
      </c>
      <c r="V315">
        <v>10010</v>
      </c>
      <c r="W315" t="str">
        <v>0</v>
      </c>
      <c r="X315">
        <v>18300</v>
      </c>
      <c r="Y315">
        <v>45592</v>
      </c>
      <c r="Z315" t="str">
        <v/>
      </c>
      <c r="AA315" t="str">
        <v>技術・人文知識・国際業務</v>
      </c>
      <c r="AB315" t="str">
        <v>437-0015</v>
      </c>
      <c r="AC315" t="str">
        <v>静岡県袋井市旭町2-7-5</v>
      </c>
      <c r="AD315" t="str">
        <v>ﾌｨﾌﾃｨⅠ101</v>
      </c>
      <c r="AE315">
        <v>0</v>
      </c>
      <c r="AF315">
        <v>45232</v>
      </c>
      <c r="AG315">
        <v>0</v>
      </c>
      <c r="AH315">
        <v>0</v>
      </c>
      <c r="AI315" t="str">
        <v>23.11.2</v>
      </c>
      <c r="AJ315">
        <v>0</v>
      </c>
      <c r="AK315">
        <v>0</v>
      </c>
      <c r="AL315">
        <v>0</v>
      </c>
      <c r="AM315">
        <v>0</v>
      </c>
      <c r="AN315">
        <v>0</v>
      </c>
      <c r="AO315" t="str">
        <v>11/20林</v>
      </c>
      <c r="AP315">
        <v>0</v>
      </c>
    </row>
    <row r="316" spans="1:42">
      <c r="A316" t="str">
        <f>H316&amp;COUNTIF($H$2:H316,H316)</f>
        <v>手動旋削15</v>
      </c>
      <c r="B316" t="str">
        <f>F316&amp;COUNTIF($F$2:F316,F316)</f>
        <v>高雄工業 静岡67</v>
      </c>
      <c r="C316" t="str">
        <v>在職中</v>
      </c>
      <c r="D316">
        <v>231110</v>
      </c>
      <c r="E316">
        <v>242082</v>
      </c>
      <c r="F316" t="str">
        <v>高雄工業 静岡</v>
      </c>
      <c r="G316" t="str">
        <v>高雄工業株式会社 静岡事業所第一工場製作課</v>
      </c>
      <c r="H316" t="str">
        <v>手動旋削</v>
      </c>
      <c r="I316" t="str">
        <v>CVJ部品短軸品の施削加工、NCプログラム修正</v>
      </c>
      <c r="J316" t="str">
        <v>NGUYEN VAN HOAI NAM</v>
      </c>
      <c r="K316" t="str">
        <v>グエン　ヴァン　ホアイ　ナム</v>
      </c>
      <c r="L316" t="str">
        <v>男</v>
      </c>
      <c r="M316" t="str">
        <v>ﾍﾞﾄﾅﾑ</v>
      </c>
      <c r="N316">
        <v>37096</v>
      </c>
      <c r="O316">
        <v>22</v>
      </c>
      <c r="P316">
        <v>1200</v>
      </c>
      <c r="Q316">
        <v>0</v>
      </c>
      <c r="R316">
        <v>1650</v>
      </c>
      <c r="S316">
        <v>0</v>
      </c>
      <c r="T316">
        <v>450</v>
      </c>
      <c r="U316">
        <v>200000</v>
      </c>
      <c r="V316">
        <v>10010</v>
      </c>
      <c r="W316" t="str">
        <v>0</v>
      </c>
      <c r="X316">
        <v>18300</v>
      </c>
      <c r="Y316">
        <v>45592</v>
      </c>
      <c r="Z316" t="str">
        <v/>
      </c>
      <c r="AA316" t="str">
        <v>技術・人文知識・国際業務</v>
      </c>
      <c r="AB316" t="str">
        <v>437-0062</v>
      </c>
      <c r="AC316" t="str">
        <v>静岡県袋井市泉町1-7-3</v>
      </c>
      <c r="AD316" t="str">
        <v>BeehiveresidenceⅦ102</v>
      </c>
      <c r="AE316">
        <v>0</v>
      </c>
      <c r="AF316">
        <v>45232</v>
      </c>
      <c r="AG316">
        <v>0</v>
      </c>
      <c r="AH316">
        <v>0</v>
      </c>
      <c r="AI316" t="str">
        <v>23.11.2</v>
      </c>
      <c r="AJ316">
        <v>0</v>
      </c>
      <c r="AK316">
        <v>0</v>
      </c>
      <c r="AL316">
        <v>0</v>
      </c>
      <c r="AM316">
        <v>0</v>
      </c>
      <c r="AN316">
        <v>0</v>
      </c>
      <c r="AO316" t="str">
        <v>11/20林</v>
      </c>
      <c r="AP316">
        <v>0</v>
      </c>
    </row>
    <row r="317" spans="1:42">
      <c r="A317" t="str">
        <f>H317&amp;COUNTIF($H$2:H317,H317)</f>
        <v>転造10</v>
      </c>
      <c r="B317" t="str">
        <f>F317&amp;COUNTIF($F$2:F317,F317)</f>
        <v>高雄工業 静岡68</v>
      </c>
      <c r="C317" t="str">
        <v>在職中</v>
      </c>
      <c r="D317">
        <v>231114</v>
      </c>
      <c r="E317">
        <v>242083</v>
      </c>
      <c r="F317" t="str">
        <v>高雄工業 静岡</v>
      </c>
      <c r="G317" t="str">
        <v>高雄工業株式会社 静岡事業所第一工場製作課</v>
      </c>
      <c r="H317" t="str">
        <v>転造</v>
      </c>
      <c r="I317" t="str">
        <v>ＣＶＪ短軸等速ジョイント旋削加工・ＮＣプログラム修正</v>
      </c>
      <c r="J317" t="str">
        <v>VU VIET HUNG</v>
      </c>
      <c r="K317" t="str">
        <v>ブー　ベト　フン</v>
      </c>
      <c r="L317" t="str">
        <v>男</v>
      </c>
      <c r="M317" t="str">
        <v>ﾍﾞﾄﾅﾑ</v>
      </c>
      <c r="N317">
        <v>34746</v>
      </c>
      <c r="O317">
        <v>28</v>
      </c>
      <c r="P317">
        <v>1200</v>
      </c>
      <c r="Q317">
        <v>0</v>
      </c>
      <c r="R317">
        <v>1650</v>
      </c>
      <c r="S317">
        <v>0</v>
      </c>
      <c r="T317">
        <v>450</v>
      </c>
      <c r="U317">
        <v>0</v>
      </c>
      <c r="V317">
        <v>0</v>
      </c>
      <c r="W317" t="str">
        <v>0</v>
      </c>
      <c r="X317">
        <v>0</v>
      </c>
      <c r="Y317">
        <v>45611</v>
      </c>
      <c r="Z317" t="str">
        <v/>
      </c>
      <c r="AA317" t="str">
        <v>技術・人文知識・国際業務</v>
      </c>
      <c r="AB317">
        <v>0</v>
      </c>
      <c r="AC317">
        <v>0</v>
      </c>
      <c r="AD317">
        <v>0</v>
      </c>
      <c r="AE317">
        <v>45245</v>
      </c>
      <c r="AF317">
        <v>45251</v>
      </c>
      <c r="AG317">
        <v>0</v>
      </c>
      <c r="AH317">
        <v>0</v>
      </c>
      <c r="AI317">
        <v>0</v>
      </c>
      <c r="AJ317">
        <v>0</v>
      </c>
      <c r="AK317">
        <v>0</v>
      </c>
      <c r="AL317">
        <v>0</v>
      </c>
      <c r="AM317">
        <v>0</v>
      </c>
      <c r="AN317">
        <v>0</v>
      </c>
      <c r="AO317">
        <v>0</v>
      </c>
      <c r="AP317">
        <v>0</v>
      </c>
    </row>
    <row r="318" spans="1:42">
      <c r="A318" t="str">
        <f>H318&amp;COUNTIF($H$2:H318,H318)</f>
        <v>ナット9</v>
      </c>
      <c r="B318" t="str">
        <f>F318&amp;COUNTIF($F$2:F318,F318)</f>
        <v>高雄工業 静岡69</v>
      </c>
      <c r="C318" t="str">
        <v>在職中</v>
      </c>
      <c r="D318">
        <v>231116</v>
      </c>
      <c r="E318">
        <v>242084</v>
      </c>
      <c r="F318" t="str">
        <v>高雄工業 静岡</v>
      </c>
      <c r="G318" t="str">
        <v>高雄工業株式会社 静岡事業所第二工場製作課</v>
      </c>
      <c r="H318" t="str">
        <v>ナット</v>
      </c>
      <c r="I318" t="str">
        <v>産業機械部品の研磨加工、NCプログラム修正</v>
      </c>
      <c r="J318" t="str">
        <v>NGUYEN VAN THANH</v>
      </c>
      <c r="K318" t="str">
        <v>グエン　バン　タイン</v>
      </c>
      <c r="L318" t="str">
        <v>男</v>
      </c>
      <c r="M318" t="str">
        <v>ﾍﾞﾄﾅﾑ</v>
      </c>
      <c r="N318">
        <v>35182</v>
      </c>
      <c r="O318">
        <v>27</v>
      </c>
      <c r="P318">
        <v>1200</v>
      </c>
      <c r="Q318">
        <v>0</v>
      </c>
      <c r="R318">
        <v>1650</v>
      </c>
      <c r="S318">
        <v>0</v>
      </c>
      <c r="T318">
        <v>450</v>
      </c>
      <c r="U318">
        <v>0</v>
      </c>
      <c r="V318">
        <v>0</v>
      </c>
      <c r="W318" t="str">
        <v>0</v>
      </c>
      <c r="X318">
        <v>0</v>
      </c>
      <c r="Y318">
        <v>45611</v>
      </c>
      <c r="Z318" t="str">
        <v/>
      </c>
      <c r="AA318" t="str">
        <v>技術・人文知識・国際業務</v>
      </c>
      <c r="AB318">
        <v>0</v>
      </c>
      <c r="AC318">
        <v>0</v>
      </c>
      <c r="AD318">
        <v>0</v>
      </c>
      <c r="AE318">
        <v>45245</v>
      </c>
      <c r="AF318">
        <v>45251</v>
      </c>
      <c r="AG318">
        <v>0</v>
      </c>
      <c r="AH318">
        <v>0</v>
      </c>
      <c r="AI318">
        <v>0</v>
      </c>
      <c r="AJ318">
        <v>0</v>
      </c>
      <c r="AK318">
        <v>0</v>
      </c>
      <c r="AL318">
        <v>0</v>
      </c>
      <c r="AM318">
        <v>0</v>
      </c>
      <c r="AN318">
        <v>0</v>
      </c>
      <c r="AO318">
        <v>0</v>
      </c>
      <c r="AP318">
        <v>0</v>
      </c>
    </row>
    <row r="319" spans="1:42">
      <c r="A319" t="str">
        <f>H319&amp;COUNTIF($H$2:H319,H319)</f>
        <v>転造11</v>
      </c>
      <c r="B319" t="str">
        <f>F319&amp;COUNTIF($F$2:F319,F319)</f>
        <v>高雄工業 静岡70</v>
      </c>
      <c r="C319" t="str">
        <v>在職中</v>
      </c>
      <c r="D319">
        <v>231115</v>
      </c>
      <c r="E319">
        <v>242085</v>
      </c>
      <c r="F319" t="str">
        <v>高雄工業 静岡</v>
      </c>
      <c r="G319" t="str">
        <v>高雄工業株式会社 静岡事業所第一工場製作課</v>
      </c>
      <c r="H319" t="str">
        <v>転造</v>
      </c>
      <c r="I319" t="str">
        <v>ＣＶＪ短軸等速ジョイント旋削加工・ＮＣプログラム修正</v>
      </c>
      <c r="J319" t="str">
        <v>NGUYEN CONG LUONG</v>
      </c>
      <c r="K319" t="str">
        <v>グエン　コン　ルオン</v>
      </c>
      <c r="L319" t="str">
        <v>男</v>
      </c>
      <c r="M319" t="str">
        <v>ﾍﾞﾄﾅﾑ</v>
      </c>
      <c r="N319">
        <v>35957</v>
      </c>
      <c r="O319">
        <v>25</v>
      </c>
      <c r="P319">
        <v>1200</v>
      </c>
      <c r="Q319">
        <v>0</v>
      </c>
      <c r="R319">
        <v>1650</v>
      </c>
      <c r="S319">
        <v>0</v>
      </c>
      <c r="T319">
        <v>450</v>
      </c>
      <c r="U319">
        <v>0</v>
      </c>
      <c r="V319">
        <v>0</v>
      </c>
      <c r="W319" t="str">
        <v>0</v>
      </c>
      <c r="X319">
        <v>0</v>
      </c>
      <c r="Y319">
        <v>45611</v>
      </c>
      <c r="Z319" t="str">
        <v/>
      </c>
      <c r="AA319" t="str">
        <v>技術・人文知識・国際業務</v>
      </c>
      <c r="AB319">
        <v>0</v>
      </c>
      <c r="AC319">
        <v>0</v>
      </c>
      <c r="AD319">
        <v>0</v>
      </c>
      <c r="AE319">
        <v>45245</v>
      </c>
      <c r="AF319">
        <v>45251</v>
      </c>
      <c r="AG319">
        <v>0</v>
      </c>
      <c r="AH319">
        <v>0</v>
      </c>
      <c r="AI319">
        <v>0</v>
      </c>
      <c r="AJ319">
        <v>0</v>
      </c>
      <c r="AK319">
        <v>0</v>
      </c>
      <c r="AL319">
        <v>0</v>
      </c>
      <c r="AM319">
        <v>0</v>
      </c>
      <c r="AN319">
        <v>0</v>
      </c>
      <c r="AO319">
        <v>0</v>
      </c>
      <c r="AP319">
        <v>0</v>
      </c>
    </row>
    <row r="320" spans="1:42">
      <c r="A320" t="str">
        <f>H320&amp;COUNTIF($H$2:H320,H320)</f>
        <v>内輪6</v>
      </c>
      <c r="B320" t="str">
        <f>F320&amp;COUNTIF($F$2:F320,F320)</f>
        <v>高雄工業 静岡71</v>
      </c>
      <c r="C320" t="str">
        <v>在職中</v>
      </c>
      <c r="D320">
        <v>231117</v>
      </c>
      <c r="E320">
        <v>242086</v>
      </c>
      <c r="F320" t="str">
        <v>高雄工業 静岡</v>
      </c>
      <c r="G320" t="str">
        <v>高雄工業株式会社 静岡事業所第二工場製作課</v>
      </c>
      <c r="H320" t="str">
        <v>内輪</v>
      </c>
      <c r="I320" t="str">
        <v>産業機械部品の研磨加工、NCプログラム修正</v>
      </c>
      <c r="J320" t="str">
        <v>NGUYEN QUANG DIEU</v>
      </c>
      <c r="K320" t="str">
        <v>グエン　クアン　ジエウ</v>
      </c>
      <c r="L320" t="str">
        <v>男</v>
      </c>
      <c r="M320" t="str">
        <v>ﾍﾞﾄﾅﾑ</v>
      </c>
      <c r="N320">
        <v>36877</v>
      </c>
      <c r="O320">
        <v>22</v>
      </c>
      <c r="P320">
        <v>1200</v>
      </c>
      <c r="Q320">
        <v>0</v>
      </c>
      <c r="R320">
        <v>1650</v>
      </c>
      <c r="S320">
        <v>0</v>
      </c>
      <c r="T320">
        <v>450</v>
      </c>
      <c r="U320">
        <v>0</v>
      </c>
      <c r="V320">
        <v>0</v>
      </c>
      <c r="W320" t="str">
        <v>0</v>
      </c>
      <c r="X320">
        <v>0</v>
      </c>
      <c r="Y320">
        <v>45611</v>
      </c>
      <c r="Z320" t="str">
        <v/>
      </c>
      <c r="AA320" t="str">
        <v>技術・人文知識・国際業務</v>
      </c>
      <c r="AB320">
        <v>0</v>
      </c>
      <c r="AC320">
        <v>0</v>
      </c>
      <c r="AD320">
        <v>0</v>
      </c>
      <c r="AE320">
        <v>45245</v>
      </c>
      <c r="AF320">
        <v>45251</v>
      </c>
      <c r="AG320">
        <v>0</v>
      </c>
      <c r="AH320">
        <v>0</v>
      </c>
      <c r="AI320">
        <v>0</v>
      </c>
      <c r="AJ320">
        <v>0</v>
      </c>
      <c r="AK320">
        <v>0</v>
      </c>
      <c r="AL320">
        <v>0</v>
      </c>
      <c r="AM320">
        <v>0</v>
      </c>
      <c r="AN320">
        <v>0</v>
      </c>
      <c r="AO320">
        <v>0</v>
      </c>
      <c r="AP320">
        <v>0</v>
      </c>
    </row>
    <row r="321" spans="1:42">
      <c r="A321" t="str">
        <f>H321&amp;COUNTIF($H$2:H321,H321)</f>
        <v>転造12</v>
      </c>
      <c r="B321" t="str">
        <f>F321&amp;COUNTIF($F$2:F321,F321)</f>
        <v>高雄工業 静岡72</v>
      </c>
      <c r="C321" t="str">
        <v>在職中</v>
      </c>
      <c r="D321">
        <v>231212</v>
      </c>
      <c r="E321">
        <v>242087</v>
      </c>
      <c r="F321" t="str">
        <v>高雄工業 静岡</v>
      </c>
      <c r="G321" t="str">
        <v>高雄工業株式会社 静岡事業所第一工場製作課</v>
      </c>
      <c r="H321" t="str">
        <v>転造</v>
      </c>
      <c r="I321" t="str">
        <v>ＣＶＪ短軸等速ジョイント旋削加工・ＮＣプログラム修正</v>
      </c>
      <c r="J321" t="str">
        <v>PHAM KHANH LINH</v>
      </c>
      <c r="K321" t="str">
        <v>ファム　カイン　リン</v>
      </c>
      <c r="L321" t="str">
        <v>男</v>
      </c>
      <c r="M321" t="str">
        <v>ﾍﾞﾄﾅﾑ</v>
      </c>
      <c r="N321">
        <v>36648</v>
      </c>
      <c r="O321">
        <v>23</v>
      </c>
      <c r="P321">
        <v>1200</v>
      </c>
      <c r="Q321">
        <v>0</v>
      </c>
      <c r="R321">
        <v>1650</v>
      </c>
      <c r="S321">
        <v>0</v>
      </c>
      <c r="T321">
        <v>450</v>
      </c>
      <c r="U321">
        <v>0</v>
      </c>
      <c r="V321">
        <v>0</v>
      </c>
      <c r="W321" t="str">
        <v>0</v>
      </c>
      <c r="X321">
        <v>0</v>
      </c>
      <c r="Y321">
        <v>45623</v>
      </c>
      <c r="Z321" t="str">
        <v/>
      </c>
      <c r="AA321" t="str">
        <v>技術・人文知識・国際業務</v>
      </c>
      <c r="AB321">
        <v>0</v>
      </c>
      <c r="AC321">
        <v>0</v>
      </c>
      <c r="AD321">
        <v>0</v>
      </c>
      <c r="AE321">
        <v>45257</v>
      </c>
      <c r="AF321">
        <v>45264</v>
      </c>
      <c r="AG321">
        <v>0</v>
      </c>
      <c r="AH321">
        <v>0</v>
      </c>
      <c r="AI321">
        <v>0</v>
      </c>
      <c r="AJ321">
        <v>0</v>
      </c>
      <c r="AK321">
        <v>0</v>
      </c>
      <c r="AL321">
        <v>0</v>
      </c>
      <c r="AM321">
        <v>0</v>
      </c>
      <c r="AN321">
        <v>0</v>
      </c>
      <c r="AO321">
        <v>0</v>
      </c>
      <c r="AP321">
        <v>0</v>
      </c>
    </row>
    <row r="322" spans="1:42">
      <c r="A322" t="str">
        <f>H322&amp;COUNTIF($H$2:H322,H322)</f>
        <v>転造13</v>
      </c>
      <c r="B322" t="str">
        <f>F322&amp;COUNTIF($F$2:F322,F322)</f>
        <v>高雄工業 静岡73</v>
      </c>
      <c r="C322" t="str">
        <v>在職中</v>
      </c>
      <c r="D322">
        <v>231213</v>
      </c>
      <c r="E322">
        <v>242088</v>
      </c>
      <c r="F322" t="str">
        <v>高雄工業 静岡</v>
      </c>
      <c r="G322" t="str">
        <v>高雄工業株式会社 静岡事業所第一工場製作課</v>
      </c>
      <c r="H322" t="str">
        <v>転造</v>
      </c>
      <c r="I322" t="str">
        <v>ＣＶＪ短軸等速ジョイント旋削加工・ＮＣプログラム修正</v>
      </c>
      <c r="J322" t="str">
        <v>LE VAN TAI</v>
      </c>
      <c r="K322" t="str">
        <v>レ　バン　タイ</v>
      </c>
      <c r="L322" t="str">
        <v>男</v>
      </c>
      <c r="M322" t="str">
        <v>ﾍﾞﾄﾅﾑ</v>
      </c>
      <c r="N322">
        <v>36438</v>
      </c>
      <c r="O322">
        <v>24</v>
      </c>
      <c r="P322">
        <v>1200</v>
      </c>
      <c r="Q322">
        <v>0</v>
      </c>
      <c r="R322">
        <v>1650</v>
      </c>
      <c r="S322">
        <v>0</v>
      </c>
      <c r="T322">
        <v>450</v>
      </c>
      <c r="U322">
        <v>0</v>
      </c>
      <c r="V322">
        <v>0</v>
      </c>
      <c r="W322" t="str">
        <v>0</v>
      </c>
      <c r="X322">
        <v>0</v>
      </c>
      <c r="Y322">
        <v>45623</v>
      </c>
      <c r="Z322" t="str">
        <v/>
      </c>
      <c r="AA322" t="str">
        <v>技術・人文知識・国際業務</v>
      </c>
      <c r="AB322">
        <v>0</v>
      </c>
      <c r="AC322">
        <v>0</v>
      </c>
      <c r="AD322">
        <v>0</v>
      </c>
      <c r="AE322">
        <v>45257</v>
      </c>
      <c r="AF322">
        <v>45264</v>
      </c>
      <c r="AG322">
        <v>0</v>
      </c>
      <c r="AH322">
        <v>0</v>
      </c>
      <c r="AI322">
        <v>0</v>
      </c>
      <c r="AJ322">
        <v>0</v>
      </c>
      <c r="AK322">
        <v>0</v>
      </c>
      <c r="AL322">
        <v>0</v>
      </c>
      <c r="AM322">
        <v>0</v>
      </c>
      <c r="AN322">
        <v>0</v>
      </c>
      <c r="AO322">
        <v>0</v>
      </c>
      <c r="AP322">
        <v>0</v>
      </c>
    </row>
    <row r="323" spans="1:42">
      <c r="A323" t="str">
        <f>H323&amp;COUNTIF($H$2:H323,H323)</f>
        <v>転造14</v>
      </c>
      <c r="B323" t="str">
        <f>F323&amp;COUNTIF($F$2:F323,F323)</f>
        <v>高雄工業 静岡74</v>
      </c>
      <c r="C323" t="str">
        <v>在職中</v>
      </c>
      <c r="D323">
        <v>231211</v>
      </c>
      <c r="E323">
        <v>242089</v>
      </c>
      <c r="F323" t="str">
        <v>高雄工業 静岡</v>
      </c>
      <c r="G323" t="str">
        <v>高雄工業株式会社 静岡事業所第一工場製作課</v>
      </c>
      <c r="H323" t="str">
        <v>転造</v>
      </c>
      <c r="I323" t="str">
        <v>ＣＶＪ短軸等速ジョイント旋削加工・ＮＣプログラム修正</v>
      </c>
      <c r="J323" t="str">
        <v>HOANG TRUNG VIET</v>
      </c>
      <c r="K323" t="str">
        <v>ホアン　チュン　ベト</v>
      </c>
      <c r="L323" t="str">
        <v>男</v>
      </c>
      <c r="M323" t="str">
        <v>ﾍﾞﾄﾅﾑ</v>
      </c>
      <c r="N323">
        <v>36779</v>
      </c>
      <c r="O323">
        <v>23</v>
      </c>
      <c r="P323">
        <v>1200</v>
      </c>
      <c r="Q323">
        <v>0</v>
      </c>
      <c r="R323">
        <v>1650</v>
      </c>
      <c r="S323">
        <v>0</v>
      </c>
      <c r="T323">
        <v>450</v>
      </c>
      <c r="U323">
        <v>0</v>
      </c>
      <c r="V323">
        <v>0</v>
      </c>
      <c r="W323" t="str">
        <v>0</v>
      </c>
      <c r="X323">
        <v>0</v>
      </c>
      <c r="Y323">
        <v>45623</v>
      </c>
      <c r="Z323" t="str">
        <v/>
      </c>
      <c r="AA323" t="str">
        <v>技術・人文知識・国際業務</v>
      </c>
      <c r="AB323">
        <v>0</v>
      </c>
      <c r="AC323">
        <v>0</v>
      </c>
      <c r="AD323">
        <v>0</v>
      </c>
      <c r="AE323">
        <v>45257</v>
      </c>
      <c r="AF323">
        <v>45264</v>
      </c>
      <c r="AG323">
        <v>0</v>
      </c>
      <c r="AH323">
        <v>0</v>
      </c>
      <c r="AI323">
        <v>0</v>
      </c>
      <c r="AJ323">
        <v>0</v>
      </c>
      <c r="AK323">
        <v>0</v>
      </c>
      <c r="AL323">
        <v>0</v>
      </c>
      <c r="AM323">
        <v>0</v>
      </c>
      <c r="AN323">
        <v>0</v>
      </c>
      <c r="AO323">
        <v>0</v>
      </c>
      <c r="AP323">
        <v>0</v>
      </c>
    </row>
    <row r="324" spans="1:42">
      <c r="A324" t="str">
        <f>H324&amp;COUNTIF($H$2:H324,H324)</f>
        <v>手動旋削16</v>
      </c>
      <c r="B324" t="str">
        <f>F324&amp;COUNTIF($F$2:F324,F324)</f>
        <v>高雄工業 静岡75</v>
      </c>
      <c r="C324" t="str">
        <v>在職中</v>
      </c>
      <c r="D324">
        <v>231209</v>
      </c>
      <c r="E324">
        <v>242090</v>
      </c>
      <c r="F324" t="str">
        <v>高雄工業 静岡</v>
      </c>
      <c r="G324" t="str">
        <v>高雄工業株式会社 静岡事業所第一工場製作課</v>
      </c>
      <c r="H324" t="str">
        <v>手動旋削</v>
      </c>
      <c r="I324" t="str">
        <v>CVJ部品短軸品の施削加工、NCプログラム修正</v>
      </c>
      <c r="J324" t="str">
        <v>NGUYEN DUY TAN</v>
      </c>
      <c r="K324" t="str">
        <v>グエン　ズイ　タン</v>
      </c>
      <c r="L324" t="str">
        <v>男</v>
      </c>
      <c r="M324" t="str">
        <v>ﾍﾞﾄﾅﾑ</v>
      </c>
      <c r="N324">
        <v>37138</v>
      </c>
      <c r="O324">
        <v>22</v>
      </c>
      <c r="P324">
        <v>1200</v>
      </c>
      <c r="Q324">
        <v>0</v>
      </c>
      <c r="R324">
        <v>1650</v>
      </c>
      <c r="S324">
        <v>0</v>
      </c>
      <c r="T324">
        <v>450</v>
      </c>
      <c r="U324">
        <v>0</v>
      </c>
      <c r="V324">
        <v>0</v>
      </c>
      <c r="W324" t="str">
        <v>0</v>
      </c>
      <c r="X324">
        <v>0</v>
      </c>
      <c r="Y324">
        <v>45623</v>
      </c>
      <c r="Z324" t="str">
        <v/>
      </c>
      <c r="AA324" t="str">
        <v>技術・人文知識・国際業務</v>
      </c>
      <c r="AB324">
        <v>0</v>
      </c>
      <c r="AC324">
        <v>0</v>
      </c>
      <c r="AD324">
        <v>0</v>
      </c>
      <c r="AE324">
        <v>45257</v>
      </c>
      <c r="AF324">
        <v>45264</v>
      </c>
      <c r="AG324">
        <v>0</v>
      </c>
      <c r="AH324">
        <v>0</v>
      </c>
      <c r="AI324">
        <v>0</v>
      </c>
      <c r="AJ324">
        <v>0</v>
      </c>
      <c r="AK324">
        <v>0</v>
      </c>
      <c r="AL324">
        <v>0</v>
      </c>
      <c r="AM324">
        <v>0</v>
      </c>
      <c r="AN324">
        <v>0</v>
      </c>
      <c r="AO324">
        <v>0</v>
      </c>
      <c r="AP324">
        <v>0</v>
      </c>
    </row>
    <row r="325" spans="1:42">
      <c r="A325" t="str">
        <f>H325&amp;COUNTIF($H$2:H325,H325)</f>
        <v>自動旋削16</v>
      </c>
      <c r="B325" t="str">
        <f>F325&amp;COUNTIF($F$2:F325,F325)</f>
        <v>高雄工業 静岡76</v>
      </c>
      <c r="C325" t="str">
        <v>在職中</v>
      </c>
      <c r="D325">
        <v>231210</v>
      </c>
      <c r="E325">
        <v>242091</v>
      </c>
      <c r="F325" t="str">
        <v>高雄工業 静岡</v>
      </c>
      <c r="G325" t="str">
        <v>高雄工業株式会社 静岡事業所第一工場製作課</v>
      </c>
      <c r="H325" t="str">
        <v>自動旋削</v>
      </c>
      <c r="I325" t="str">
        <v>CVJ部品短軸品の施削加工、NCプログラム修正</v>
      </c>
      <c r="J325" t="str">
        <v>NGUYEN VIET TIEP</v>
      </c>
      <c r="K325" t="str">
        <v>グエン　ベト　テイエップ</v>
      </c>
      <c r="L325" t="str">
        <v>男</v>
      </c>
      <c r="M325" t="str">
        <v>ﾍﾞﾄﾅﾑ</v>
      </c>
      <c r="N325">
        <v>37378</v>
      </c>
      <c r="O325">
        <v>21</v>
      </c>
      <c r="P325">
        <v>1200</v>
      </c>
      <c r="Q325">
        <v>0</v>
      </c>
      <c r="R325">
        <v>1650</v>
      </c>
      <c r="S325">
        <v>0</v>
      </c>
      <c r="T325">
        <v>450</v>
      </c>
      <c r="U325">
        <v>0</v>
      </c>
      <c r="V325">
        <v>0</v>
      </c>
      <c r="W325" t="str">
        <v>0</v>
      </c>
      <c r="X325">
        <v>0</v>
      </c>
      <c r="Y325">
        <v>45623</v>
      </c>
      <c r="Z325" t="str">
        <v/>
      </c>
      <c r="AA325" t="str">
        <v>技術・人文知識・国際業務</v>
      </c>
      <c r="AB325">
        <v>0</v>
      </c>
      <c r="AC325">
        <v>0</v>
      </c>
      <c r="AD325">
        <v>0</v>
      </c>
      <c r="AE325">
        <v>45257</v>
      </c>
      <c r="AF325">
        <v>45264</v>
      </c>
      <c r="AG325">
        <v>0</v>
      </c>
      <c r="AH325">
        <v>0</v>
      </c>
      <c r="AI325">
        <v>0</v>
      </c>
      <c r="AJ325">
        <v>0</v>
      </c>
      <c r="AK325">
        <v>0</v>
      </c>
      <c r="AL325">
        <v>0</v>
      </c>
      <c r="AM325">
        <v>0</v>
      </c>
      <c r="AN325">
        <v>0</v>
      </c>
      <c r="AO325">
        <v>0</v>
      </c>
      <c r="AP325">
        <v>0</v>
      </c>
    </row>
    <row r="326" spans="1:42">
      <c r="A326" t="str">
        <f>H326&amp;COUNTIF($H$2:H326,H326)</f>
        <v>等速ジョイント1</v>
      </c>
      <c r="B326" t="str">
        <f>F326&amp;COUNTIF($F$2:F326,F326)</f>
        <v>瑞陵精機3</v>
      </c>
      <c r="C326" t="str">
        <v>在職中</v>
      </c>
      <c r="D326">
        <v>210421</v>
      </c>
      <c r="E326">
        <v>410001</v>
      </c>
      <c r="F326" t="str">
        <v>瑞陵精機</v>
      </c>
      <c r="G326" t="str">
        <v>製造課</v>
      </c>
      <c r="H326" t="str">
        <v>等速ジョイント</v>
      </c>
      <c r="I326" t="str">
        <v>ＮＣ旋盤、マシニングセンター等の工作機械を使いオペレーターとして製造ラインで製品を加工</v>
      </c>
      <c r="J326" t="str">
        <v>VU NGOC HAI</v>
      </c>
      <c r="K326" t="str">
        <v>ヴ　ゴク　ハイ</v>
      </c>
      <c r="L326" t="str">
        <v>男</v>
      </c>
      <c r="M326" t="str">
        <v>ﾍﾞﾄﾅﾑ</v>
      </c>
      <c r="N326">
        <v>34027</v>
      </c>
      <c r="O326">
        <v>30</v>
      </c>
      <c r="P326">
        <v>1350</v>
      </c>
      <c r="Q326" t="str">
        <v>2022/4/21～　1320円→1350円</v>
      </c>
      <c r="R326">
        <v>1700</v>
      </c>
      <c r="S326">
        <v>0</v>
      </c>
      <c r="T326">
        <v>350</v>
      </c>
      <c r="U326">
        <v>300000</v>
      </c>
      <c r="V326">
        <v>15014.999999999998</v>
      </c>
      <c r="W326" t="str">
        <v>0</v>
      </c>
      <c r="X326">
        <v>27450</v>
      </c>
      <c r="Y326">
        <v>46178</v>
      </c>
      <c r="Z326" t="str">
        <v/>
      </c>
      <c r="AA326" t="str">
        <v>技術・人文知識・国際業務</v>
      </c>
      <c r="AB326" t="str">
        <v>509-7201</v>
      </c>
      <c r="AC326" t="str">
        <v>岐阜県恵那市大井町2087-170</v>
      </c>
      <c r="AD326" t="str">
        <v>ﾋﾞﾚｯｼﾞﾊｳｽ3-205</v>
      </c>
      <c r="AE326" t="str">
        <v>個人</v>
      </c>
      <c r="AF326">
        <v>44312</v>
      </c>
      <c r="AG326">
        <v>0</v>
      </c>
      <c r="AH326">
        <v>0</v>
      </c>
      <c r="AI326">
        <v>44378</v>
      </c>
      <c r="AJ326" t="str">
        <v>ヴ　ゴク　ハイ</v>
      </c>
      <c r="AK326" t="str">
        <v>ゆうちょ銀行</v>
      </c>
      <c r="AL326">
        <v>238</v>
      </c>
      <c r="AM326" t="str">
        <v>二三八</v>
      </c>
      <c r="AN326" t="str">
        <v>4583759</v>
      </c>
      <c r="AO326" t="str">
        <v>OK</v>
      </c>
      <c r="AP326">
        <v>0</v>
      </c>
    </row>
    <row r="327" spans="1:42">
      <c r="A327" t="str">
        <f>H327&amp;COUNTIF($H$2:H327,H327)</f>
        <v>等速ジョイント2</v>
      </c>
      <c r="B327" t="str">
        <f>F327&amp;COUNTIF($F$2:F327,F327)</f>
        <v>瑞陵精機4</v>
      </c>
      <c r="C327" t="str">
        <v>在職中</v>
      </c>
      <c r="D327">
        <v>210507</v>
      </c>
      <c r="E327">
        <v>410005</v>
      </c>
      <c r="F327" t="str">
        <v>瑞陵精機</v>
      </c>
      <c r="G327" t="str">
        <v>製造課</v>
      </c>
      <c r="H327" t="str">
        <v>等速ジョイント</v>
      </c>
      <c r="I327" t="str">
        <v>ＮＣ旋盤、マシニングセンター等の工作機械を使いオペレーターとして製造ラインで製品を加工</v>
      </c>
      <c r="J327" t="str">
        <v>VI VAN NHI</v>
      </c>
      <c r="K327" t="str">
        <v>ヴィ　バン　ニィ</v>
      </c>
      <c r="L327" t="str">
        <v>男</v>
      </c>
      <c r="M327" t="str">
        <v>ﾍﾞﾄﾅﾑ</v>
      </c>
      <c r="N327">
        <v>31006</v>
      </c>
      <c r="O327">
        <v>39</v>
      </c>
      <c r="P327">
        <v>1350</v>
      </c>
      <c r="Q327" t="str">
        <v>2022/3/21～　1250円→1300円</v>
      </c>
      <c r="R327">
        <v>1700</v>
      </c>
      <c r="S327">
        <v>0</v>
      </c>
      <c r="T327">
        <v>350</v>
      </c>
      <c r="U327">
        <v>280000</v>
      </c>
      <c r="V327">
        <v>14014</v>
      </c>
      <c r="W327" t="str">
        <v>0</v>
      </c>
      <c r="X327">
        <v>25620</v>
      </c>
      <c r="Y327">
        <v>45378</v>
      </c>
      <c r="Z327" t="str">
        <v/>
      </c>
      <c r="AA327" t="str">
        <v>技術・人文知識・国際業務</v>
      </c>
      <c r="AB327" t="str">
        <v>509-7201</v>
      </c>
      <c r="AC327" t="str">
        <v>岐阜県恵那市大井町1120-303</v>
      </c>
      <c r="AD327" t="str">
        <v>各務ﾊｲﾂ4J</v>
      </c>
      <c r="AE327">
        <v>44743</v>
      </c>
      <c r="AF327">
        <v>44337</v>
      </c>
      <c r="AG327">
        <v>0</v>
      </c>
      <c r="AH327">
        <v>0</v>
      </c>
      <c r="AI327">
        <v>44409</v>
      </c>
      <c r="AJ327" t="str">
        <v>ビー　バン　ニイ</v>
      </c>
      <c r="AK327" t="str">
        <v>ゆうちょ銀行</v>
      </c>
      <c r="AL327">
        <v>248</v>
      </c>
      <c r="AM327" t="str">
        <v>二四八</v>
      </c>
      <c r="AN327" t="str">
        <v>3687040</v>
      </c>
      <c r="AO327" t="str">
        <v>OK</v>
      </c>
      <c r="AP327">
        <v>0</v>
      </c>
    </row>
    <row r="328" spans="1:42">
      <c r="A328" t="str">
        <f>H328&amp;COUNTIF($H$2:H328,H328)</f>
        <v>等速ジョイント3</v>
      </c>
      <c r="B328" t="str">
        <f>F328&amp;COUNTIF($F$2:F328,F328)</f>
        <v>瑞陵精機5</v>
      </c>
      <c r="C328" t="str">
        <v>在職中</v>
      </c>
      <c r="D328">
        <v>210811</v>
      </c>
      <c r="E328">
        <v>410007</v>
      </c>
      <c r="F328" t="str">
        <v>瑞陵精機</v>
      </c>
      <c r="G328" t="str">
        <v>製造課</v>
      </c>
      <c r="H328" t="str">
        <v>等速ジョイント</v>
      </c>
      <c r="I328" t="str">
        <v>ＮＣ旋盤、マシニングセンター等の工作機械を使いオペレーターとして製造ラインで製品を加工</v>
      </c>
      <c r="J328" t="str">
        <v>LE DOAN ANH</v>
      </c>
      <c r="K328" t="str">
        <v>レー　ドアン　アン</v>
      </c>
      <c r="L328" t="str">
        <v>男</v>
      </c>
      <c r="M328" t="str">
        <v>ﾍﾞﾄﾅﾑ</v>
      </c>
      <c r="N328">
        <v>35338</v>
      </c>
      <c r="O328">
        <v>27</v>
      </c>
      <c r="P328">
        <v>1350</v>
      </c>
      <c r="Q328" t="str">
        <v>2022/3/21～　1250円→1300円</v>
      </c>
      <c r="R328">
        <v>1700</v>
      </c>
      <c r="S328">
        <v>0</v>
      </c>
      <c r="T328">
        <v>350</v>
      </c>
      <c r="U328">
        <v>280000</v>
      </c>
      <c r="V328">
        <v>14014</v>
      </c>
      <c r="W328" t="str">
        <v>0</v>
      </c>
      <c r="X328">
        <v>25620</v>
      </c>
      <c r="Y328">
        <v>45309</v>
      </c>
      <c r="Z328" t="str">
        <v>残り期限90日!</v>
      </c>
      <c r="AA328" t="str">
        <v>技術・人文知識・国際業務</v>
      </c>
      <c r="AB328" t="str">
        <v>509-7201</v>
      </c>
      <c r="AC328" t="str">
        <v>岐阜県恵那市大井町1120-303</v>
      </c>
      <c r="AD328" t="str">
        <v>各務ﾊｲﾂ3D</v>
      </c>
      <c r="AE328">
        <v>44412</v>
      </c>
      <c r="AF328">
        <v>44424</v>
      </c>
      <c r="AG328">
        <v>0</v>
      </c>
      <c r="AH328">
        <v>0</v>
      </c>
      <c r="AI328">
        <v>44470</v>
      </c>
      <c r="AJ328" t="str">
        <v>レ　ドァン　アン</v>
      </c>
      <c r="AK328" t="str">
        <v>ゆうちょ銀行</v>
      </c>
      <c r="AL328">
        <v>468</v>
      </c>
      <c r="AM328" t="str">
        <v>四六八</v>
      </c>
      <c r="AN328" t="str">
        <v>2420427</v>
      </c>
      <c r="AO328" t="str">
        <v>OK</v>
      </c>
      <c r="AP328">
        <v>0</v>
      </c>
    </row>
    <row r="329" spans="1:42">
      <c r="A329" t="str">
        <f>H329&amp;COUNTIF($H$2:H329,H329)</f>
        <v>CVJ2</v>
      </c>
      <c r="B329" t="str">
        <f>F329&amp;COUNTIF($F$2:F329,F329)</f>
        <v>瑞陵精機6</v>
      </c>
      <c r="C329" t="str">
        <v>退社</v>
      </c>
      <c r="D329">
        <v>210810</v>
      </c>
      <c r="E329">
        <v>410008</v>
      </c>
      <c r="F329" t="str">
        <v>瑞陵精機</v>
      </c>
      <c r="G329" t="str">
        <v>製造1課</v>
      </c>
      <c r="H329" t="str">
        <v>CVJ</v>
      </c>
      <c r="I329">
        <v>0</v>
      </c>
      <c r="J329" t="str">
        <v>KHUONG SI GIANG</v>
      </c>
      <c r="K329" t="str">
        <v>クオン　シー　ザン</v>
      </c>
      <c r="L329" t="str">
        <v>男</v>
      </c>
      <c r="M329" t="str">
        <v>ﾍﾞﾄﾅﾑ</v>
      </c>
      <c r="N329">
        <v>35192</v>
      </c>
      <c r="O329">
        <v>27</v>
      </c>
      <c r="P329">
        <v>1300</v>
      </c>
      <c r="Q329" t="str">
        <v>2022/3/21～　1250円→1300円</v>
      </c>
      <c r="R329">
        <v>1700</v>
      </c>
      <c r="S329">
        <v>0</v>
      </c>
      <c r="T329">
        <v>400</v>
      </c>
      <c r="U329">
        <v>0</v>
      </c>
      <c r="V329" t="str">
        <v/>
      </c>
      <c r="W329" t="str">
        <v>0</v>
      </c>
      <c r="X329" t="str">
        <v/>
      </c>
      <c r="Y329">
        <v>45052</v>
      </c>
      <c r="Z329" t="str">
        <v>残り期限90日!</v>
      </c>
      <c r="AA329" t="str">
        <v>技術・人文知識・国際業務</v>
      </c>
      <c r="AB329" t="str">
        <v>509-7201</v>
      </c>
      <c r="AC329" t="str">
        <v>岐阜県恵那市大井町1120-303</v>
      </c>
      <c r="AD329" t="str">
        <v>各務ﾊｲﾂ3D</v>
      </c>
      <c r="AE329">
        <v>44412</v>
      </c>
      <c r="AF329">
        <v>44424</v>
      </c>
      <c r="AG329">
        <v>44817</v>
      </c>
      <c r="AH329">
        <v>0</v>
      </c>
      <c r="AI329">
        <v>44470</v>
      </c>
      <c r="AJ329" t="str">
        <v>クオン　シー　ジャン</v>
      </c>
      <c r="AK329" t="str">
        <v>ゆうちょ銀行</v>
      </c>
      <c r="AL329">
        <v>408</v>
      </c>
      <c r="AM329" t="str">
        <v>四〇八</v>
      </c>
      <c r="AN329" t="str">
        <v>6277805</v>
      </c>
      <c r="AO329" t="str">
        <v>OK</v>
      </c>
      <c r="AP329">
        <v>0</v>
      </c>
    </row>
    <row r="330" spans="1:42">
      <c r="A330" t="str">
        <f>H330&amp;COUNTIF($H$2:H330,H330)</f>
        <v>CVJ3</v>
      </c>
      <c r="B330" t="str">
        <f>F330&amp;COUNTIF($F$2:F330,F330)</f>
        <v>瑞陵精機7</v>
      </c>
      <c r="C330" t="str">
        <v>退社</v>
      </c>
      <c r="D330">
        <v>210815</v>
      </c>
      <c r="E330">
        <v>410009</v>
      </c>
      <c r="F330" t="str">
        <v>瑞陵精機</v>
      </c>
      <c r="G330" t="str">
        <v>製造1課</v>
      </c>
      <c r="H330" t="str">
        <v>CVJ</v>
      </c>
      <c r="I330">
        <v>0</v>
      </c>
      <c r="J330" t="str">
        <v>NGUYEN THE SON</v>
      </c>
      <c r="K330" t="str">
        <v>グエン　テ―　ソン</v>
      </c>
      <c r="L330" t="str">
        <v>男</v>
      </c>
      <c r="M330" t="str">
        <v>ﾍﾞﾄﾅﾑ</v>
      </c>
      <c r="N330">
        <v>35230</v>
      </c>
      <c r="O330">
        <v>27</v>
      </c>
      <c r="P330">
        <v>1300</v>
      </c>
      <c r="Q330" t="str">
        <v>2022/3/21～　1250円→1300円</v>
      </c>
      <c r="R330">
        <v>1700</v>
      </c>
      <c r="S330">
        <v>0</v>
      </c>
      <c r="T330">
        <v>400</v>
      </c>
      <c r="U330">
        <v>0</v>
      </c>
      <c r="V330" t="str">
        <v/>
      </c>
      <c r="W330" t="str">
        <v>0</v>
      </c>
      <c r="X330" t="str">
        <v/>
      </c>
      <c r="Y330">
        <v>44974</v>
      </c>
      <c r="Z330" t="str">
        <v>残り期限90日!</v>
      </c>
      <c r="AA330" t="str">
        <v>技術・人文知識・国際業務</v>
      </c>
      <c r="AB330" t="str">
        <v>509-7201</v>
      </c>
      <c r="AC330" t="str">
        <v>岐阜県恵那市大井町1120-303</v>
      </c>
      <c r="AD330" t="str">
        <v>各務ﾊｲﾂ7I</v>
      </c>
      <c r="AE330">
        <v>44427</v>
      </c>
      <c r="AF330">
        <v>44431</v>
      </c>
      <c r="AG330">
        <v>44781</v>
      </c>
      <c r="AH330">
        <v>0</v>
      </c>
      <c r="AI330">
        <v>44501</v>
      </c>
      <c r="AJ330" t="str">
        <v>グエン　テー　ソン</v>
      </c>
      <c r="AK330" t="str">
        <v>ゆうちょ銀行</v>
      </c>
      <c r="AL330">
        <v>0</v>
      </c>
      <c r="AM330">
        <v>0</v>
      </c>
      <c r="AN330" t="str">
        <v>12450　31135391</v>
      </c>
      <c r="AO330" t="str">
        <v>OK</v>
      </c>
      <c r="AP330">
        <v>0</v>
      </c>
    </row>
    <row r="331" spans="1:42">
      <c r="A331" t="str">
        <f>H331&amp;COUNTIF($H$2:H331,H331)</f>
        <v>CVJ4</v>
      </c>
      <c r="B331" t="str">
        <f>F331&amp;COUNTIF($F$2:F331,F331)</f>
        <v>瑞陵精機8</v>
      </c>
      <c r="C331" t="str">
        <v>退社</v>
      </c>
      <c r="D331">
        <v>210319</v>
      </c>
      <c r="E331">
        <v>410010</v>
      </c>
      <c r="F331" t="str">
        <v>瑞陵精機</v>
      </c>
      <c r="G331" t="str">
        <v>製造1課</v>
      </c>
      <c r="H331" t="str">
        <v>CVJ</v>
      </c>
      <c r="I331">
        <v>0</v>
      </c>
      <c r="J331" t="str">
        <v>HA HAI PHI</v>
      </c>
      <c r="K331" t="str">
        <v>ハー　ハイ　フィ</v>
      </c>
      <c r="L331" t="str">
        <v>男</v>
      </c>
      <c r="M331" t="str">
        <v>ﾍﾞﾄﾅﾑ</v>
      </c>
      <c r="N331">
        <v>33589</v>
      </c>
      <c r="O331">
        <v>31</v>
      </c>
      <c r="P331">
        <v>1350</v>
      </c>
      <c r="Q331" t="str">
        <v>2021/7/16　1300円→1320円　2022/4/21～　1320円⇒1350円</v>
      </c>
      <c r="R331">
        <v>1700</v>
      </c>
      <c r="S331" t="str">
        <v>9/16~ 1600円→1750円</v>
      </c>
      <c r="T331">
        <v>350</v>
      </c>
      <c r="U331">
        <v>0</v>
      </c>
      <c r="V331" t="str">
        <v/>
      </c>
      <c r="W331" t="str">
        <v>0</v>
      </c>
      <c r="X331" t="str">
        <v/>
      </c>
      <c r="Y331">
        <v>45257</v>
      </c>
      <c r="Z331" t="str">
        <v>残り期限90日!</v>
      </c>
      <c r="AA331" t="str">
        <v>技術・人文知識・国際業務</v>
      </c>
      <c r="AB331" t="str">
        <v>509-7201</v>
      </c>
      <c r="AC331" t="str">
        <v>岐阜県恵那市大井町1120-303</v>
      </c>
      <c r="AD331" t="str">
        <v>各務ﾊｲﾂ6A</v>
      </c>
      <c r="AE331">
        <v>44280</v>
      </c>
      <c r="AF331">
        <v>44286</v>
      </c>
      <c r="AG331">
        <v>44764</v>
      </c>
      <c r="AH331">
        <v>0</v>
      </c>
      <c r="AI331">
        <v>44348</v>
      </c>
      <c r="AJ331" t="str">
        <v>ハー　ハイ　フィ</v>
      </c>
      <c r="AK331" t="str">
        <v>ゆうちょ銀行</v>
      </c>
      <c r="AL331">
        <v>248</v>
      </c>
      <c r="AM331" t="str">
        <v>二四八</v>
      </c>
      <c r="AN331" t="str">
        <v>3693814</v>
      </c>
      <c r="AO331" t="str">
        <v>OK</v>
      </c>
      <c r="AP331" t="str">
        <v>高雄宇工業本社⇒瑞陵精機へ異動</v>
      </c>
    </row>
    <row r="332" spans="1:42">
      <c r="A332" t="str">
        <f>H332&amp;COUNTIF($H$2:H332,H332)</f>
        <v>等速ジョイント4</v>
      </c>
      <c r="B332" t="str">
        <f>F332&amp;COUNTIF($F$2:F332,F332)</f>
        <v>瑞陵精機9</v>
      </c>
      <c r="C332" t="str">
        <v>在職中</v>
      </c>
      <c r="D332">
        <v>220501</v>
      </c>
      <c r="E332">
        <v>410014</v>
      </c>
      <c r="F332" t="str">
        <v>瑞陵精機</v>
      </c>
      <c r="G332" t="str">
        <v>製造課</v>
      </c>
      <c r="H332" t="str">
        <v>等速ジョイント</v>
      </c>
      <c r="I332" t="str">
        <v>ＮＣ旋盤、マシニングセンター等の工作機械を使いオペレーターとして製造ラインで製品を加工</v>
      </c>
      <c r="J332" t="str">
        <v>PHAN VAN CUONG</v>
      </c>
      <c r="K332" t="str">
        <v>ハン　バン　クオン</v>
      </c>
      <c r="L332" t="str">
        <v>男</v>
      </c>
      <c r="M332" t="str">
        <v>ﾍﾞﾄﾅﾑ</v>
      </c>
      <c r="N332">
        <v>34992</v>
      </c>
      <c r="O332">
        <v>28</v>
      </c>
      <c r="P332">
        <v>1320</v>
      </c>
      <c r="Q332">
        <v>0</v>
      </c>
      <c r="R332">
        <v>1700</v>
      </c>
      <c r="S332">
        <v>0</v>
      </c>
      <c r="T332">
        <v>380</v>
      </c>
      <c r="U332">
        <v>280000</v>
      </c>
      <c r="V332">
        <v>14014</v>
      </c>
      <c r="W332" t="str">
        <v>0</v>
      </c>
      <c r="X332">
        <v>25620</v>
      </c>
      <c r="Y332">
        <v>45621</v>
      </c>
      <c r="Z332" t="str">
        <v/>
      </c>
      <c r="AA332" t="str">
        <v>技術・人文知識・国際業務</v>
      </c>
      <c r="AB332" t="str">
        <v>509-7201</v>
      </c>
      <c r="AC332" t="str">
        <v>岐阜県恵那市大井町2087-170</v>
      </c>
      <c r="AD332" t="str">
        <v>ﾋﾞﾚｯｼﾞﾊｳｽ恵那1号棟104</v>
      </c>
      <c r="AE332" t="str">
        <v>個人</v>
      </c>
      <c r="AF332">
        <v>44690</v>
      </c>
      <c r="AG332">
        <v>0</v>
      </c>
      <c r="AH332">
        <v>0</v>
      </c>
      <c r="AI332" t="str">
        <v>22.07.01</v>
      </c>
      <c r="AJ332" t="str">
        <v>ハン　バン　クオン</v>
      </c>
      <c r="AK332" t="str">
        <v>ゆうちょ銀行</v>
      </c>
      <c r="AL332">
        <v>248</v>
      </c>
      <c r="AM332" t="str">
        <v>二四八</v>
      </c>
      <c r="AN332" t="str">
        <v>3493668</v>
      </c>
      <c r="AO332" t="str">
        <v>5/17原</v>
      </c>
      <c r="AP332">
        <v>0</v>
      </c>
    </row>
    <row r="333" spans="1:42">
      <c r="A333" t="str">
        <f>H333&amp;COUNTIF($H$2:H333,H333)</f>
        <v>043</v>
      </c>
      <c r="B333" t="str">
        <f>F333&amp;COUNTIF($F$2:F333,F333)</f>
        <v>プレテック5</v>
      </c>
      <c r="C333" t="str">
        <v>退社</v>
      </c>
      <c r="D333">
        <v>210409</v>
      </c>
      <c r="E333">
        <v>500001</v>
      </c>
      <c r="F333" t="str">
        <v>プレテック</v>
      </c>
      <c r="G333" t="str">
        <v>岡山工場製造部TF課６インチ担当</v>
      </c>
      <c r="H333">
        <v>0</v>
      </c>
      <c r="I333">
        <v>0</v>
      </c>
      <c r="J333" t="str">
        <v>DONG NGOC SON</v>
      </c>
      <c r="K333" t="str">
        <v>ドン　ゴック　ソン</v>
      </c>
      <c r="L333" t="str">
        <v>男</v>
      </c>
      <c r="M333" t="str">
        <v>ﾍﾞﾄﾅﾑ</v>
      </c>
      <c r="N333">
        <v>34843</v>
      </c>
      <c r="O333">
        <v>28</v>
      </c>
      <c r="P333">
        <v>1400</v>
      </c>
      <c r="Q333">
        <v>0</v>
      </c>
      <c r="R333">
        <v>1850</v>
      </c>
      <c r="S333" t="str">
        <v>入社4ヵ月後50円UP</v>
      </c>
      <c r="T333">
        <v>450</v>
      </c>
      <c r="U333">
        <v>300000</v>
      </c>
      <c r="V333">
        <v>15014.999999999998</v>
      </c>
      <c r="W333" t="str">
        <v>0</v>
      </c>
      <c r="X333">
        <v>27450</v>
      </c>
      <c r="Y333">
        <v>45000</v>
      </c>
      <c r="Z333" t="str">
        <v>残り期限90日!</v>
      </c>
      <c r="AA333" t="str">
        <v>技術・人文知識・国際業務</v>
      </c>
      <c r="AB333" t="str">
        <v>715-0023</v>
      </c>
      <c r="AC333" t="str">
        <v>岡山県井原市大江町3715番地</v>
      </c>
      <c r="AD333" t="str">
        <v>折口住宅3-7</v>
      </c>
      <c r="AE333" t="str">
        <v>個人</v>
      </c>
      <c r="AF333">
        <v>44291</v>
      </c>
      <c r="AG333">
        <v>44984</v>
      </c>
      <c r="AH333">
        <v>44671</v>
      </c>
      <c r="AI333">
        <v>44348</v>
      </c>
      <c r="AJ333" t="str">
        <v>ドン　ゴック　ソン</v>
      </c>
      <c r="AK333" t="str">
        <v>ゆうちょ銀行</v>
      </c>
      <c r="AL333">
        <v>238</v>
      </c>
      <c r="AM333" t="str">
        <v>二三八</v>
      </c>
      <c r="AN333" t="str">
        <v>6228256</v>
      </c>
      <c r="AO333" t="str">
        <v>OK</v>
      </c>
      <c r="AP333" t="str">
        <v>2021/4/5～2022/8/？？　2022/9/1~ﾌｪﾆﾃｯｸ岡山へ異動　2023/1/23～ﾌｪﾆﾃｯｸ岡山からプレテックへ異動</v>
      </c>
    </row>
    <row r="334" spans="1:42">
      <c r="A334" t="str">
        <f>H334&amp;COUNTIF($H$2:H334,H334)</f>
        <v>044</v>
      </c>
      <c r="B334" t="str">
        <f>F334&amp;COUNTIF($F$2:F334,F334)</f>
        <v>セイビテック1</v>
      </c>
      <c r="C334" t="str">
        <v>退社</v>
      </c>
      <c r="D334">
        <v>210420</v>
      </c>
      <c r="E334">
        <v>500002</v>
      </c>
      <c r="F334" t="str">
        <v>セイビテック</v>
      </c>
      <c r="G334" t="str">
        <v>製造部DCG課検査CHIP</v>
      </c>
      <c r="H334">
        <v>0</v>
      </c>
      <c r="I334">
        <v>0</v>
      </c>
      <c r="J334" t="str">
        <v>TRAN VAN HUY</v>
      </c>
      <c r="K334" t="str">
        <v>チャン　バン　フィ</v>
      </c>
      <c r="L334" t="str">
        <v>男</v>
      </c>
      <c r="M334" t="str">
        <v>ﾍﾞﾄﾅﾑ</v>
      </c>
      <c r="N334">
        <v>33714</v>
      </c>
      <c r="O334">
        <v>31</v>
      </c>
      <c r="P334">
        <v>1400</v>
      </c>
      <c r="Q334">
        <v>0</v>
      </c>
      <c r="R334">
        <v>2000</v>
      </c>
      <c r="S334">
        <v>0</v>
      </c>
      <c r="T334">
        <v>600</v>
      </c>
      <c r="U334">
        <v>0</v>
      </c>
      <c r="V334" t="str">
        <v/>
      </c>
      <c r="W334" t="str">
        <v>0</v>
      </c>
      <c r="X334" t="str">
        <v/>
      </c>
      <c r="Y334">
        <v>44970</v>
      </c>
      <c r="Z334" t="str">
        <v>残り期限90日!</v>
      </c>
      <c r="AA334" t="str">
        <v>技術・人文知識・国際業務</v>
      </c>
      <c r="AB334" t="str">
        <v>715-0024</v>
      </c>
      <c r="AC334" t="str">
        <v>岡山県井原市高屋町5丁目11-6</v>
      </c>
      <c r="AD334" t="str">
        <v>ﾀｶﾞﾐﾊｲﾑ102</v>
      </c>
      <c r="AE334">
        <v>44311</v>
      </c>
      <c r="AF334">
        <v>44312</v>
      </c>
      <c r="AG334">
        <v>44859</v>
      </c>
      <c r="AH334">
        <v>0</v>
      </c>
      <c r="AI334">
        <v>44378</v>
      </c>
      <c r="AJ334" t="str">
        <v>チャン　ヴァン　フィ</v>
      </c>
      <c r="AK334" t="str">
        <v>ゆうちょ銀行</v>
      </c>
      <c r="AL334">
        <v>548</v>
      </c>
      <c r="AM334" t="str">
        <v>五四八</v>
      </c>
      <c r="AN334" t="str">
        <v>15420　32516551</v>
      </c>
      <c r="AO334" t="str">
        <v>OK</v>
      </c>
      <c r="AP334">
        <v>0</v>
      </c>
    </row>
    <row r="335" spans="1:42">
      <c r="A335" t="str">
        <f>H335&amp;COUNTIF($H$2:H335,H335)</f>
        <v>045</v>
      </c>
      <c r="B335" t="str">
        <f>F335&amp;COUNTIF($F$2:F335,F335)</f>
        <v>セイビテック2</v>
      </c>
      <c r="C335" t="str">
        <v>退社</v>
      </c>
      <c r="D335">
        <v>210418</v>
      </c>
      <c r="E335">
        <v>500003</v>
      </c>
      <c r="F335" t="str">
        <v>セイビテック</v>
      </c>
      <c r="G335" t="str">
        <v>製造部DCG課検査CHIP</v>
      </c>
      <c r="H335">
        <v>0</v>
      </c>
      <c r="I335">
        <v>0</v>
      </c>
      <c r="J335" t="str">
        <v>LE VAN HUNG</v>
      </c>
      <c r="K335" t="str">
        <v>レ　ヴァン　ホウン</v>
      </c>
      <c r="L335" t="str">
        <v>男</v>
      </c>
      <c r="M335" t="str">
        <v>ﾍﾞﾄﾅﾑ</v>
      </c>
      <c r="N335">
        <v>36040</v>
      </c>
      <c r="O335">
        <v>25</v>
      </c>
      <c r="P335">
        <v>1400</v>
      </c>
      <c r="Q335">
        <v>0</v>
      </c>
      <c r="R335">
        <v>2000</v>
      </c>
      <c r="S335">
        <v>0</v>
      </c>
      <c r="T335">
        <v>600</v>
      </c>
      <c r="U335">
        <v>0</v>
      </c>
      <c r="V335" t="str">
        <v/>
      </c>
      <c r="W335" t="str">
        <v>0</v>
      </c>
      <c r="X335" t="str">
        <v/>
      </c>
      <c r="Y335">
        <v>46018</v>
      </c>
      <c r="Z335" t="str">
        <v/>
      </c>
      <c r="AA335" t="str">
        <v>技術・人文知識・国際業務</v>
      </c>
      <c r="AB335" t="str">
        <v>715-0021</v>
      </c>
      <c r="AC335" t="str">
        <v>岡山県井原市上出部町171番地1</v>
      </c>
      <c r="AD335" t="str">
        <v>ﾌｧﾐｰﾙいずえ102</v>
      </c>
      <c r="AE335">
        <v>44306</v>
      </c>
      <c r="AF335">
        <v>44307</v>
      </c>
      <c r="AG335">
        <v>44841</v>
      </c>
      <c r="AH335">
        <v>0</v>
      </c>
      <c r="AI335">
        <v>44378</v>
      </c>
      <c r="AJ335" t="str">
        <v>レー　ヴァン　ホウン</v>
      </c>
      <c r="AK335" t="str">
        <v>ゆうちょ銀行</v>
      </c>
      <c r="AL335">
        <v>0</v>
      </c>
      <c r="AM335">
        <v>0</v>
      </c>
      <c r="AN335" t="str">
        <v>10440　454861</v>
      </c>
      <c r="AO335" t="str">
        <v>OK</v>
      </c>
      <c r="AP335">
        <v>0</v>
      </c>
    </row>
    <row r="336" spans="1:42">
      <c r="A336" t="str">
        <f>H336&amp;COUNTIF($H$2:H336,H336)</f>
        <v>046</v>
      </c>
      <c r="B336" t="str">
        <f>F336&amp;COUNTIF($F$2:F336,F336)</f>
        <v>セイビテック3</v>
      </c>
      <c r="C336" t="str">
        <v>退社</v>
      </c>
      <c r="D336">
        <v>210604</v>
      </c>
      <c r="E336">
        <v>500004</v>
      </c>
      <c r="F336" t="str">
        <v>セイビテック</v>
      </c>
      <c r="G336" t="str">
        <v>製造部WT課プローブ</v>
      </c>
      <c r="H336">
        <v>0</v>
      </c>
      <c r="I336">
        <v>0</v>
      </c>
      <c r="J336" t="str">
        <v>TRUONG THI THANH THAO</v>
      </c>
      <c r="K336" t="str">
        <v>チュオン　ティ　タン　タオ</v>
      </c>
      <c r="L336" t="str">
        <v>女</v>
      </c>
      <c r="M336" t="str">
        <v>ﾍﾞﾄﾅﾑ</v>
      </c>
      <c r="N336">
        <v>35065</v>
      </c>
      <c r="O336">
        <v>27</v>
      </c>
      <c r="P336">
        <v>1350</v>
      </c>
      <c r="Q336" t="str">
        <v>2022/6/21～　1300円⇒1350円</v>
      </c>
      <c r="R336">
        <v>1900</v>
      </c>
      <c r="S336">
        <v>0</v>
      </c>
      <c r="T336">
        <v>550</v>
      </c>
      <c r="U336">
        <v>300000</v>
      </c>
      <c r="V336">
        <v>15014.999999999998</v>
      </c>
      <c r="W336" t="str">
        <v>0</v>
      </c>
      <c r="X336">
        <v>27450</v>
      </c>
      <c r="Y336">
        <v>45362</v>
      </c>
      <c r="Z336" t="str">
        <v/>
      </c>
      <c r="AA336" t="str">
        <v>技術・人文知識・国際業務</v>
      </c>
      <c r="AB336" t="str">
        <v>715-0024</v>
      </c>
      <c r="AC336" t="str">
        <v>岡山県井原市高屋町1丁目20-11</v>
      </c>
      <c r="AD336" t="str">
        <v>ｲﾌﾟｼﾛﾝB101</v>
      </c>
      <c r="AE336">
        <v>44354</v>
      </c>
      <c r="AF336">
        <v>44354</v>
      </c>
      <c r="AG336">
        <v>45048</v>
      </c>
      <c r="AH336">
        <v>0</v>
      </c>
      <c r="AI336">
        <v>0</v>
      </c>
      <c r="AJ336" t="str">
        <v>チュオン　ティ　タン　タオ</v>
      </c>
      <c r="AK336" t="str">
        <v>ゆうちょ銀行</v>
      </c>
      <c r="AL336">
        <v>548</v>
      </c>
      <c r="AM336" t="str">
        <v>五四八</v>
      </c>
      <c r="AN336" t="str">
        <v>3741640</v>
      </c>
      <c r="AO336">
        <v>0</v>
      </c>
      <c r="AP336">
        <v>0</v>
      </c>
    </row>
    <row r="337" spans="1:42">
      <c r="A337" t="str">
        <f>H337&amp;COUNTIF($H$2:H337,H337)</f>
        <v>047</v>
      </c>
      <c r="B337" t="str">
        <f>F337&amp;COUNTIF($F$2:F337,F337)</f>
        <v>セイビテック4</v>
      </c>
      <c r="C337" t="str">
        <v>退社</v>
      </c>
      <c r="D337">
        <v>210703</v>
      </c>
      <c r="E337">
        <v>500007</v>
      </c>
      <c r="F337" t="str">
        <v>セイビテック</v>
      </c>
      <c r="G337" t="str">
        <v>製造部DCG課ダイザー</v>
      </c>
      <c r="H337">
        <v>0</v>
      </c>
      <c r="I337">
        <v>0</v>
      </c>
      <c r="J337" t="str">
        <v>VU VAN PHONG</v>
      </c>
      <c r="K337" t="str">
        <v>ヴー　ヴァン　フォン</v>
      </c>
      <c r="L337" t="str">
        <v>男</v>
      </c>
      <c r="M337" t="str">
        <v>ﾍﾞﾄﾅﾑ</v>
      </c>
      <c r="N337">
        <v>33449</v>
      </c>
      <c r="O337">
        <v>32</v>
      </c>
      <c r="P337">
        <v>1400</v>
      </c>
      <c r="Q337">
        <v>0</v>
      </c>
      <c r="R337">
        <v>1900</v>
      </c>
      <c r="S337">
        <v>0</v>
      </c>
      <c r="T337">
        <v>500</v>
      </c>
      <c r="U337">
        <v>0</v>
      </c>
      <c r="V337" t="str">
        <v/>
      </c>
      <c r="W337" t="str">
        <v>0</v>
      </c>
      <c r="X337" t="str">
        <v/>
      </c>
      <c r="Y337">
        <v>45039</v>
      </c>
      <c r="Z337" t="str">
        <v>残り期限90日!</v>
      </c>
      <c r="AA337" t="str">
        <v>技術・人文知識・国際業務</v>
      </c>
      <c r="AB337" t="str">
        <v>715-0023</v>
      </c>
      <c r="AC337" t="str">
        <v>岡山県井原市大池町3715番地折口</v>
      </c>
      <c r="AD337" t="str">
        <v>住宅7-6</v>
      </c>
      <c r="AE337" t="str">
        <v>個人</v>
      </c>
      <c r="AF337">
        <v>44384</v>
      </c>
      <c r="AG337">
        <v>44848</v>
      </c>
      <c r="AH337">
        <v>44853</v>
      </c>
      <c r="AI337">
        <v>0</v>
      </c>
      <c r="AJ337" t="str">
        <v>ヴー　ヴァン　フォン</v>
      </c>
      <c r="AK337" t="str">
        <v>ゆうちょ銀行</v>
      </c>
      <c r="AL337">
        <v>548</v>
      </c>
      <c r="AM337" t="str">
        <v>五四八</v>
      </c>
      <c r="AN337" t="str">
        <v>3717729</v>
      </c>
      <c r="AO337" t="str">
        <v>OK</v>
      </c>
      <c r="AP337">
        <v>0</v>
      </c>
    </row>
    <row r="338" spans="1:42">
      <c r="A338" t="str">
        <f>H338&amp;COUNTIF($H$2:H338,H338)</f>
        <v>048</v>
      </c>
      <c r="B338" t="str">
        <f>F338&amp;COUNTIF($F$2:F338,F338)</f>
        <v>セイビテック5</v>
      </c>
      <c r="C338" t="str">
        <v>退社</v>
      </c>
      <c r="D338">
        <v>210709</v>
      </c>
      <c r="E338">
        <v>500008</v>
      </c>
      <c r="F338" t="str">
        <v>セイビテック</v>
      </c>
      <c r="G338" t="str">
        <v>製造部WT課プローブ</v>
      </c>
      <c r="H338">
        <v>0</v>
      </c>
      <c r="I338">
        <v>0</v>
      </c>
      <c r="J338" t="str">
        <v>PHAM BAO NGHIA</v>
      </c>
      <c r="K338" t="str">
        <v>ファン　バオ　ギア</v>
      </c>
      <c r="L338" t="str">
        <v>男</v>
      </c>
      <c r="M338" t="str">
        <v>ﾍﾞﾄﾅﾑ</v>
      </c>
      <c r="N338">
        <v>34027</v>
      </c>
      <c r="O338">
        <v>30</v>
      </c>
      <c r="P338">
        <v>1400</v>
      </c>
      <c r="Q338">
        <v>0</v>
      </c>
      <c r="R338">
        <v>2000</v>
      </c>
      <c r="S338">
        <v>0</v>
      </c>
      <c r="T338">
        <v>600</v>
      </c>
      <c r="U338">
        <v>340000</v>
      </c>
      <c r="V338">
        <v>17017</v>
      </c>
      <c r="W338" t="str">
        <v>0</v>
      </c>
      <c r="X338">
        <v>31110</v>
      </c>
      <c r="Y338">
        <v>45319</v>
      </c>
      <c r="Z338" t="str">
        <v>残り期限90日!</v>
      </c>
      <c r="AA338" t="str">
        <v>技術・人文知識・国際業務</v>
      </c>
      <c r="AB338" t="str">
        <v>715-0014</v>
      </c>
      <c r="AC338" t="str">
        <v>岡山県井原市高屋町1丁目20-11</v>
      </c>
      <c r="AD338" t="str">
        <v>ﾌｧﾐｰﾙいずえ102</v>
      </c>
      <c r="AE338">
        <v>44877</v>
      </c>
      <c r="AF338">
        <v>44393</v>
      </c>
      <c r="AG338">
        <v>45029</v>
      </c>
      <c r="AH338">
        <v>0</v>
      </c>
      <c r="AI338">
        <v>0</v>
      </c>
      <c r="AJ338" t="str">
        <v>ファン　バオ　ギア</v>
      </c>
      <c r="AK338" t="str">
        <v>ゆうちょ銀行</v>
      </c>
      <c r="AL338">
        <v>748</v>
      </c>
      <c r="AM338" t="str">
        <v>七四八</v>
      </c>
      <c r="AN338" t="str">
        <v>9654327</v>
      </c>
      <c r="AO338" t="str">
        <v>OK</v>
      </c>
      <c r="AP338">
        <v>0</v>
      </c>
    </row>
    <row r="339" spans="1:42">
      <c r="A339" t="str">
        <f>H339&amp;COUNTIF($H$2:H339,H339)</f>
        <v>049</v>
      </c>
      <c r="B339" t="str">
        <f>F339&amp;COUNTIF($F$2:F339,F339)</f>
        <v>セイビテック6</v>
      </c>
      <c r="C339" t="str">
        <v>退社</v>
      </c>
      <c r="D339">
        <v>210818</v>
      </c>
      <c r="E339">
        <v>500009</v>
      </c>
      <c r="F339" t="str">
        <v>セイビテック</v>
      </c>
      <c r="G339" t="str">
        <v>製造部DCG課検査CHIP</v>
      </c>
      <c r="H339">
        <v>0</v>
      </c>
      <c r="I339">
        <v>0</v>
      </c>
      <c r="J339" t="str">
        <v>DO THI THUY</v>
      </c>
      <c r="K339" t="str">
        <v>ド　ティ　トゥイ</v>
      </c>
      <c r="L339" t="str">
        <v>女</v>
      </c>
      <c r="M339" t="str">
        <v>ﾍﾞﾄﾅﾑ</v>
      </c>
      <c r="N339">
        <v>32977</v>
      </c>
      <c r="O339">
        <v>33</v>
      </c>
      <c r="P339">
        <v>1300</v>
      </c>
      <c r="Q339" t="str">
        <v>2021/11/23(11/21)～　1250⇒1300UP</v>
      </c>
      <c r="R339">
        <v>1900</v>
      </c>
      <c r="S339">
        <v>0</v>
      </c>
      <c r="T339">
        <v>600</v>
      </c>
      <c r="U339">
        <v>0</v>
      </c>
      <c r="V339" t="str">
        <v/>
      </c>
      <c r="W339" t="str">
        <v>0</v>
      </c>
      <c r="X339" t="str">
        <v/>
      </c>
      <c r="Y339">
        <v>45021</v>
      </c>
      <c r="Z339" t="str">
        <v>残り期限90日!</v>
      </c>
      <c r="AA339" t="str">
        <v>技術・人文知識・国際業務</v>
      </c>
      <c r="AB339" t="str">
        <v>715-0024</v>
      </c>
      <c r="AC339" t="str">
        <v>岡山県井原市高屋町1丁目20-11</v>
      </c>
      <c r="AD339" t="str">
        <v>ｲﾌﾟｼﾛﾝB101</v>
      </c>
      <c r="AE339">
        <v>44422</v>
      </c>
      <c r="AF339">
        <v>44431</v>
      </c>
      <c r="AG339">
        <v>44817</v>
      </c>
      <c r="AH339">
        <v>0</v>
      </c>
      <c r="AI339">
        <v>44501</v>
      </c>
      <c r="AJ339" t="str">
        <v>ＤＯ　ＴＨＩ　ＴＨＵＹ</v>
      </c>
      <c r="AK339" t="str">
        <v>中国銀行</v>
      </c>
      <c r="AL339">
        <v>181</v>
      </c>
      <c r="AM339" t="str">
        <v>倉敷支店</v>
      </c>
      <c r="AN339" t="str">
        <v>2582728</v>
      </c>
      <c r="AO339" t="str">
        <v>OK</v>
      </c>
      <c r="AP339">
        <v>0</v>
      </c>
    </row>
    <row r="340" spans="1:42">
      <c r="A340" t="str">
        <f>H340&amp;COUNTIF($H$2:H340,H340)</f>
        <v>050</v>
      </c>
      <c r="B340" t="str">
        <f>F340&amp;COUNTIF($F$2:F340,F340)</f>
        <v>ﾌｪﾆﾃｯｸｾﾐｺﾝﾀﾞｸﾀｰ 岡山14</v>
      </c>
      <c r="C340" t="str">
        <v>退社</v>
      </c>
      <c r="D340">
        <v>210903</v>
      </c>
      <c r="E340">
        <v>500010</v>
      </c>
      <c r="F340" t="str">
        <v>ﾌｪﾆﾃｯｸｾﾐｺﾝﾀﾞｸﾀｰ 岡山</v>
      </c>
      <c r="G340" t="str">
        <v>製造部DCG課検査CHIP</v>
      </c>
      <c r="H340">
        <v>0</v>
      </c>
      <c r="I340">
        <v>0</v>
      </c>
      <c r="J340" t="str">
        <v>NGUYEN NGOC TIEN</v>
      </c>
      <c r="K340" t="str">
        <v>グエン　ゴック　ティエン</v>
      </c>
      <c r="L340" t="str">
        <v>男</v>
      </c>
      <c r="M340" t="str">
        <v>ﾍﾞﾄﾅﾑ</v>
      </c>
      <c r="N340">
        <v>31703</v>
      </c>
      <c r="O340">
        <v>37</v>
      </c>
      <c r="P340">
        <v>1500</v>
      </c>
      <c r="Q340">
        <v>0</v>
      </c>
      <c r="R340">
        <v>2300</v>
      </c>
      <c r="S340">
        <v>0</v>
      </c>
      <c r="T340">
        <v>800</v>
      </c>
      <c r="U340">
        <v>300000</v>
      </c>
      <c r="V340">
        <v>15014.999999999998</v>
      </c>
      <c r="W340" t="str">
        <v>0</v>
      </c>
      <c r="X340">
        <v>27450</v>
      </c>
      <c r="Y340">
        <v>45288</v>
      </c>
      <c r="Z340" t="str">
        <v>残り期限90日!</v>
      </c>
      <c r="AA340" t="str">
        <v>技術・人文知識・国際業務</v>
      </c>
      <c r="AB340" t="str">
        <v>715-0023</v>
      </c>
      <c r="AC340" t="str">
        <v>岡山県井原市大江町3715番地</v>
      </c>
      <c r="AD340" t="str">
        <v>折口住宅11-315号</v>
      </c>
      <c r="AE340" t="str">
        <v>個人</v>
      </c>
      <c r="AF340">
        <v>44445</v>
      </c>
      <c r="AG340">
        <v>45046</v>
      </c>
      <c r="AH340">
        <v>0</v>
      </c>
      <c r="AI340">
        <v>44501</v>
      </c>
      <c r="AJ340" t="str">
        <v>グエン　ゴック　ティエン</v>
      </c>
      <c r="AK340" t="str">
        <v>ゆうちょ銀行</v>
      </c>
      <c r="AL340">
        <v>0</v>
      </c>
      <c r="AM340">
        <v>0</v>
      </c>
      <c r="AN340" t="str">
        <v>14630　19769401</v>
      </c>
      <c r="AO340" t="str">
        <v>OK</v>
      </c>
      <c r="AP340" t="str">
        <v>2021/9/6～　ｾｲﾋﾞﾃｯｸ　2022/9/12～ﾌｪﾆﾃｯｸｾﾐｺﾝﾀﾞｸﾀｰへ異動</v>
      </c>
    </row>
    <row r="341" spans="1:42">
      <c r="A341" t="str">
        <f>H341&amp;COUNTIF($H$2:H341,H341)</f>
        <v>CVJ長軸旋盤係9</v>
      </c>
      <c r="B341" t="str">
        <f>F341&amp;COUNTIF($F$2:F341,F341)</f>
        <v>セイビテック7</v>
      </c>
      <c r="C341" t="str">
        <v>退社</v>
      </c>
      <c r="D341">
        <v>211013</v>
      </c>
      <c r="E341">
        <v>500011</v>
      </c>
      <c r="F341" t="str">
        <v>セイビテック</v>
      </c>
      <c r="G341" t="str">
        <v>製造部DCG課検査CHIP</v>
      </c>
      <c r="H341" t="str">
        <v>CVJ長軸旋盤係</v>
      </c>
      <c r="I341">
        <v>0</v>
      </c>
      <c r="J341" t="str">
        <v>HOANG VAN HUY</v>
      </c>
      <c r="K341" t="str">
        <v>ホアン　ヴァン　フィ</v>
      </c>
      <c r="L341" t="str">
        <v>男</v>
      </c>
      <c r="M341" t="str">
        <v>ﾍﾞﾄﾅﾑ</v>
      </c>
      <c r="N341">
        <v>32133</v>
      </c>
      <c r="O341">
        <v>35</v>
      </c>
      <c r="P341">
        <v>1400</v>
      </c>
      <c r="Q341">
        <v>0</v>
      </c>
      <c r="R341">
        <v>1900</v>
      </c>
      <c r="S341">
        <v>0</v>
      </c>
      <c r="T341">
        <v>500</v>
      </c>
      <c r="U341">
        <v>0</v>
      </c>
      <c r="V341" t="str">
        <v/>
      </c>
      <c r="W341" t="str">
        <v>0</v>
      </c>
      <c r="X341" t="str">
        <v/>
      </c>
      <c r="Y341">
        <v>45828</v>
      </c>
      <c r="Z341" t="str">
        <v/>
      </c>
      <c r="AA341" t="str">
        <v>技術・人文知識・国際業務</v>
      </c>
      <c r="AB341" t="str">
        <v>715-0024</v>
      </c>
      <c r="AC341" t="str">
        <v>岡山県井原市高屋町1丁目20-11</v>
      </c>
      <c r="AD341" t="str">
        <v>ｲﾌﾟｼﾛﾝB102</v>
      </c>
      <c r="AE341">
        <v>44478</v>
      </c>
      <c r="AF341">
        <v>44480</v>
      </c>
      <c r="AG341">
        <v>44771</v>
      </c>
      <c r="AH341">
        <v>0</v>
      </c>
      <c r="AI341">
        <v>44531</v>
      </c>
      <c r="AJ341" t="str">
        <v>ホアン　ヴァン　フイ</v>
      </c>
      <c r="AK341" t="str">
        <v>ゆうちょ銀行</v>
      </c>
      <c r="AL341">
        <v>518</v>
      </c>
      <c r="AM341" t="str">
        <v>五一八</v>
      </c>
      <c r="AN341" t="str">
        <v>6014057</v>
      </c>
      <c r="AO341" t="str">
        <v>OK</v>
      </c>
      <c r="AP341">
        <v>0</v>
      </c>
    </row>
    <row r="342" spans="1:42">
      <c r="A342" t="str">
        <f>H342&amp;COUNTIF($H$2:H342,H342)</f>
        <v>051</v>
      </c>
      <c r="B342" t="str">
        <f>F342&amp;COUNTIF($F$2:F342,F342)</f>
        <v>セイビテック8</v>
      </c>
      <c r="C342" t="str">
        <v>退社</v>
      </c>
      <c r="D342">
        <v>211026</v>
      </c>
      <c r="E342">
        <v>500012</v>
      </c>
      <c r="F342" t="str">
        <v>セイビテック</v>
      </c>
      <c r="G342" t="str">
        <v>製造部DCG課検査CHIP</v>
      </c>
      <c r="H342">
        <v>0</v>
      </c>
      <c r="I342">
        <v>0</v>
      </c>
      <c r="J342" t="str">
        <v>TA MANH TRONG</v>
      </c>
      <c r="K342" t="str">
        <v>ター　マイン　チョン</v>
      </c>
      <c r="L342" t="str">
        <v>男</v>
      </c>
      <c r="M342" t="str">
        <v>ﾍﾞﾄﾅﾑ</v>
      </c>
      <c r="N342">
        <v>31720</v>
      </c>
      <c r="O342">
        <v>37</v>
      </c>
      <c r="P342">
        <v>1400</v>
      </c>
      <c r="Q342">
        <v>0</v>
      </c>
      <c r="R342">
        <v>2000</v>
      </c>
      <c r="S342">
        <v>0</v>
      </c>
      <c r="T342">
        <v>600</v>
      </c>
      <c r="U342">
        <v>0</v>
      </c>
      <c r="V342" t="str">
        <v/>
      </c>
      <c r="W342" t="str">
        <v>0</v>
      </c>
      <c r="X342" t="str">
        <v/>
      </c>
      <c r="Y342">
        <v>44959</v>
      </c>
      <c r="Z342" t="str">
        <v>残り期限90日!</v>
      </c>
      <c r="AA342" t="str">
        <v>技術・人文知識・国際業務</v>
      </c>
      <c r="AB342" t="str">
        <v>715-0024</v>
      </c>
      <c r="AC342" t="str">
        <v>岡山県井原市高屋町5丁目11-6</v>
      </c>
      <c r="AD342" t="str">
        <v>ﾀｶﾞﾐﾊｲﾑ102</v>
      </c>
      <c r="AE342">
        <v>44737</v>
      </c>
      <c r="AF342">
        <v>44494</v>
      </c>
      <c r="AG342">
        <v>44803</v>
      </c>
      <c r="AH342">
        <v>0</v>
      </c>
      <c r="AI342">
        <v>22.01</v>
      </c>
      <c r="AJ342" t="str">
        <v>ＴＡ　ＭＡＮＨ　ＴＲＯＮＧ</v>
      </c>
      <c r="AK342" t="str">
        <v>中国銀行</v>
      </c>
      <c r="AL342">
        <v>146</v>
      </c>
      <c r="AM342" t="str">
        <v>福浜支店</v>
      </c>
      <c r="AN342" t="str">
        <v>1571298</v>
      </c>
      <c r="AO342" t="str">
        <v>OK</v>
      </c>
      <c r="AP342">
        <v>0</v>
      </c>
    </row>
    <row r="343" spans="1:42">
      <c r="A343" t="str">
        <f>H343&amp;COUNTIF($H$2:H343,H343)</f>
        <v>一次旋係73</v>
      </c>
      <c r="B343" t="str">
        <f>F343&amp;COUNTIF($F$2:F343,F343)</f>
        <v>セイビテック9</v>
      </c>
      <c r="C343" t="str">
        <v>退社</v>
      </c>
      <c r="D343">
        <v>211101</v>
      </c>
      <c r="E343">
        <v>500013</v>
      </c>
      <c r="F343" t="str">
        <v>セイビテック</v>
      </c>
      <c r="G343" t="str">
        <v>製造部DCG課検査CHIP</v>
      </c>
      <c r="H343" t="str">
        <v>一次旋係</v>
      </c>
      <c r="I343">
        <v>0</v>
      </c>
      <c r="J343" t="str">
        <v>DO THI DUYEN</v>
      </c>
      <c r="K343" t="str">
        <v>ド　ティ　デュエン</v>
      </c>
      <c r="L343" t="str">
        <v>女</v>
      </c>
      <c r="M343" t="str">
        <v>ﾍﾞﾄﾅﾑ</v>
      </c>
      <c r="N343">
        <v>34552</v>
      </c>
      <c r="O343">
        <v>29</v>
      </c>
      <c r="P343">
        <v>1300</v>
      </c>
      <c r="Q343" t="str">
        <v>2022/2/1（2/21）～1250円⇒1300UP</v>
      </c>
      <c r="R343">
        <v>1900</v>
      </c>
      <c r="S343" t="str">
        <v>12/1～1900円</v>
      </c>
      <c r="T343">
        <v>600</v>
      </c>
      <c r="U343">
        <v>0</v>
      </c>
      <c r="V343" t="str">
        <v/>
      </c>
      <c r="W343" t="str">
        <v>0</v>
      </c>
      <c r="X343" t="str">
        <v/>
      </c>
      <c r="Y343">
        <v>45867</v>
      </c>
      <c r="Z343" t="str">
        <v/>
      </c>
      <c r="AA343" t="str">
        <v>技術・人文知識・国際業務</v>
      </c>
      <c r="AB343" t="str">
        <v>715-0024</v>
      </c>
      <c r="AC343" t="str">
        <v>岡山県井原市高屋町1丁目26-6</v>
      </c>
      <c r="AD343" t="str">
        <v>ｺｰﾎﾟとりおか201号</v>
      </c>
      <c r="AE343">
        <v>44499</v>
      </c>
      <c r="AF343">
        <v>44501</v>
      </c>
      <c r="AG343">
        <v>44802</v>
      </c>
      <c r="AH343">
        <v>0</v>
      </c>
      <c r="AI343">
        <v>22.01</v>
      </c>
      <c r="AJ343" t="str">
        <v>ド　ティ　デュエン</v>
      </c>
      <c r="AK343" t="str">
        <v>ゆうちょ銀行</v>
      </c>
      <c r="AL343">
        <v>748</v>
      </c>
      <c r="AM343" t="str">
        <v>七四八</v>
      </c>
      <c r="AN343" t="str">
        <v>8307715</v>
      </c>
      <c r="AO343" t="str">
        <v>OK</v>
      </c>
      <c r="AP343">
        <v>0</v>
      </c>
    </row>
    <row r="344" spans="1:42">
      <c r="A344" t="str">
        <f>H344&amp;COUNTIF($H$2:H344,H344)</f>
        <v>052</v>
      </c>
      <c r="B344" t="str">
        <f>F344&amp;COUNTIF($F$2:F344,F344)</f>
        <v>ﾌｪﾆﾃｯｸｾﾐｺﾝﾀﾞｸﾀｰ 岡山15</v>
      </c>
      <c r="C344" t="str">
        <v>退社</v>
      </c>
      <c r="D344">
        <v>220217</v>
      </c>
      <c r="E344">
        <v>662522</v>
      </c>
      <c r="F344" t="str">
        <v>ﾌｪﾆﾃｯｸｾﾐｺﾝﾀﾞｸﾀｰ 岡山</v>
      </c>
      <c r="G344" t="str">
        <v>岡山工場製造部PR課５インチ担当</v>
      </c>
      <c r="H344">
        <v>0</v>
      </c>
      <c r="I344">
        <v>0</v>
      </c>
      <c r="J344" t="str">
        <v>TRAN VAN LUC</v>
      </c>
      <c r="K344" t="str">
        <v>トラン　バン　ルック</v>
      </c>
      <c r="L344" t="str">
        <v>男</v>
      </c>
      <c r="M344" t="str">
        <v>ﾍﾞﾄﾅﾑ</v>
      </c>
      <c r="N344">
        <v>31254</v>
      </c>
      <c r="O344">
        <v>38</v>
      </c>
      <c r="P344">
        <v>1500</v>
      </c>
      <c r="Q344" t="str">
        <v>5/21～1500</v>
      </c>
      <c r="R344">
        <v>2300</v>
      </c>
      <c r="S344" t="str">
        <v>22.05.01～200円UP</v>
      </c>
      <c r="T344">
        <v>800</v>
      </c>
      <c r="U344">
        <v>0</v>
      </c>
      <c r="V344">
        <v>0</v>
      </c>
      <c r="W344" t="str">
        <v>0</v>
      </c>
      <c r="X344">
        <v>0</v>
      </c>
      <c r="Y344">
        <v>45301</v>
      </c>
      <c r="Z344" t="str">
        <v>残り期限90日!</v>
      </c>
      <c r="AA344" t="str">
        <v>技術・人文知識・国際業務</v>
      </c>
      <c r="AB344" t="str">
        <v>715-0004</v>
      </c>
      <c r="AC344" t="str">
        <v>岡山県井原市木之子町82-1</v>
      </c>
      <c r="AD344" t="str">
        <v>ﾋﾞｱﾝｺ・ﾈﾛB102</v>
      </c>
      <c r="AE344">
        <v>44611</v>
      </c>
      <c r="AF344">
        <v>44613</v>
      </c>
      <c r="AG344">
        <v>44950</v>
      </c>
      <c r="AH344">
        <v>0</v>
      </c>
      <c r="AI344">
        <v>22.05</v>
      </c>
      <c r="AJ344" t="str">
        <v>トラン　バン　ルック</v>
      </c>
      <c r="AK344" t="str">
        <v>ゆうちょ銀行</v>
      </c>
      <c r="AL344">
        <v>68</v>
      </c>
      <c r="AM344" t="str">
        <v>〇六八</v>
      </c>
      <c r="AN344" t="str">
        <v>5382495</v>
      </c>
      <c r="AO344" t="str">
        <v>OK</v>
      </c>
      <c r="AP344" t="str">
        <v>退社日修正1/30→1/24　他社1/25より就労の為</v>
      </c>
    </row>
    <row r="345" spans="1:42">
      <c r="A345" t="str">
        <f>H345&amp;COUNTIF($H$2:H345,H345)</f>
        <v>乙川工場製造3課6工区9班1</v>
      </c>
      <c r="B345" t="str">
        <f>F345&amp;COUNTIF($F$2:F345,F345)</f>
        <v>コーリツ 乙川1</v>
      </c>
      <c r="C345" t="str">
        <v>在職中</v>
      </c>
      <c r="D345">
        <v>210108</v>
      </c>
      <c r="E345">
        <v>8210001</v>
      </c>
      <c r="F345" t="str">
        <v>コーリツ 乙川</v>
      </c>
      <c r="G345" t="str">
        <v>乙川第２工場　製造３課６工区９班</v>
      </c>
      <c r="H345" t="str">
        <v>乙川工場製造3課6工区9班</v>
      </c>
      <c r="I345">
        <v>0</v>
      </c>
      <c r="J345" t="str">
        <v>NGUYEN DINH TRONG</v>
      </c>
      <c r="K345" t="str">
        <v>グェン　ヂィン　チョン</v>
      </c>
      <c r="L345" t="str">
        <v>男</v>
      </c>
      <c r="M345" t="str">
        <v>ﾍﾞﾄﾅﾑ</v>
      </c>
      <c r="N345">
        <v>33896</v>
      </c>
      <c r="O345">
        <v>31</v>
      </c>
      <c r="P345">
        <v>1430</v>
      </c>
      <c r="Q345" t="str">
        <v>2022/4/1～　1400円⇒1430円</v>
      </c>
      <c r="R345">
        <v>2020</v>
      </c>
      <c r="S345">
        <v>0</v>
      </c>
      <c r="T345">
        <v>590</v>
      </c>
      <c r="U345">
        <v>360000</v>
      </c>
      <c r="V345">
        <v>18018</v>
      </c>
      <c r="W345" t="str">
        <v>0</v>
      </c>
      <c r="X345">
        <v>32940</v>
      </c>
      <c r="Y345">
        <v>45409</v>
      </c>
      <c r="Z345" t="str">
        <v/>
      </c>
      <c r="AA345" t="str">
        <v>技術・人文知識・国際業務</v>
      </c>
      <c r="AB345" t="str">
        <v>475-0074</v>
      </c>
      <c r="AC345" t="str">
        <v>愛知県半田市長根町３丁目１番　</v>
      </c>
      <c r="AD345" t="str">
        <v>県営長根住宅6棟301号</v>
      </c>
      <c r="AE345" t="str">
        <v>個人</v>
      </c>
      <c r="AF345">
        <v>44202</v>
      </c>
      <c r="AG345">
        <v>0</v>
      </c>
      <c r="AH345">
        <v>0</v>
      </c>
      <c r="AI345">
        <v>44197</v>
      </c>
      <c r="AJ345" t="str">
        <v>グェン　ディン　チョン</v>
      </c>
      <c r="AK345" t="str">
        <v>ゆうちょ銀行</v>
      </c>
      <c r="AL345">
        <v>438</v>
      </c>
      <c r="AM345" t="str">
        <v>四三八</v>
      </c>
      <c r="AN345" t="str">
        <v>9660858</v>
      </c>
      <c r="AO345" t="str">
        <v>OK</v>
      </c>
      <c r="AP345">
        <v>0</v>
      </c>
    </row>
    <row r="346" spans="1:42">
      <c r="A346" t="str">
        <f>H346&amp;COUNTIF($H$2:H346,H346)</f>
        <v>053</v>
      </c>
      <c r="B346" t="str">
        <f>F346&amp;COUNTIF($F$2:F346,F346)</f>
        <v>コーリツ 乙川2</v>
      </c>
      <c r="C346" t="str">
        <v>退社</v>
      </c>
      <c r="D346">
        <v>210109</v>
      </c>
      <c r="E346">
        <v>8210002</v>
      </c>
      <c r="F346" t="str">
        <v>コーリツ 乙川</v>
      </c>
      <c r="G346" t="str">
        <v>乙川第２工場　製造３課６工区８班</v>
      </c>
      <c r="H346">
        <v>0</v>
      </c>
      <c r="I346">
        <v>0</v>
      </c>
      <c r="J346" t="str">
        <v>NGUYEN HUY DUC</v>
      </c>
      <c r="K346" t="str">
        <v>グエン　フィー　ドウク</v>
      </c>
      <c r="L346" t="str">
        <v>男</v>
      </c>
      <c r="M346" t="str">
        <v>ﾍﾞﾄﾅﾑ</v>
      </c>
      <c r="N346">
        <v>33410</v>
      </c>
      <c r="O346">
        <v>32</v>
      </c>
      <c r="P346">
        <v>1460</v>
      </c>
      <c r="Q346" t="str">
        <v>2022/4/1～　1400円⇒1460円</v>
      </c>
      <c r="R346">
        <v>2050</v>
      </c>
      <c r="S346">
        <v>0</v>
      </c>
      <c r="T346">
        <v>590</v>
      </c>
      <c r="U346">
        <v>0</v>
      </c>
      <c r="V346" t="str">
        <v/>
      </c>
      <c r="W346" t="str">
        <v>0</v>
      </c>
      <c r="X346" t="str">
        <v/>
      </c>
      <c r="Y346">
        <v>45822</v>
      </c>
      <c r="Z346" t="str">
        <v/>
      </c>
      <c r="AA346" t="str">
        <v>技術・人文知識・国際業務</v>
      </c>
      <c r="AB346" t="str">
        <v>475-0828</v>
      </c>
      <c r="AC346" t="str">
        <v>愛知県半田市瑞穂町9丁目6-9</v>
      </c>
      <c r="AD346" t="str">
        <v>ｽｲｶｲﾚｼﾞﾃﾞﾝｽ302</v>
      </c>
      <c r="AE346">
        <v>44682</v>
      </c>
      <c r="AF346">
        <v>44202</v>
      </c>
      <c r="AG346">
        <v>44803</v>
      </c>
      <c r="AH346">
        <v>0</v>
      </c>
      <c r="AI346">
        <v>44197</v>
      </c>
      <c r="AJ346">
        <v>0</v>
      </c>
      <c r="AK346">
        <v>0</v>
      </c>
      <c r="AL346">
        <v>0</v>
      </c>
      <c r="AM346">
        <v>0</v>
      </c>
      <c r="AN346">
        <v>0</v>
      </c>
      <c r="AO346" t="str">
        <v>OK</v>
      </c>
      <c r="AP346">
        <v>0</v>
      </c>
    </row>
    <row r="347" spans="1:42">
      <c r="A347" t="str">
        <f>H347&amp;COUNTIF($H$2:H347,H347)</f>
        <v>054</v>
      </c>
      <c r="B347" t="str">
        <f>F347&amp;COUNTIF($F$2:F347,F347)</f>
        <v>コーリツ 乙川3</v>
      </c>
      <c r="C347" t="str">
        <v>退社</v>
      </c>
      <c r="D347">
        <v>210107</v>
      </c>
      <c r="E347">
        <v>8210003</v>
      </c>
      <c r="F347" t="str">
        <v>コーリツ 乙川</v>
      </c>
      <c r="G347" t="str">
        <v>乙川第２工場　製造３課６工区９班</v>
      </c>
      <c r="H347">
        <v>0</v>
      </c>
      <c r="I347">
        <v>0</v>
      </c>
      <c r="J347" t="str">
        <v>PHAM VAN DUNG</v>
      </c>
      <c r="K347" t="str">
        <v>ファム　ヴァン　ズン</v>
      </c>
      <c r="L347" t="str">
        <v>男</v>
      </c>
      <c r="M347" t="str">
        <v>ﾍﾞﾄﾅﾑ</v>
      </c>
      <c r="N347">
        <v>33227</v>
      </c>
      <c r="O347">
        <v>32</v>
      </c>
      <c r="P347">
        <v>1430</v>
      </c>
      <c r="Q347" t="str">
        <v>2022/4/1～　1400円⇒1430円</v>
      </c>
      <c r="R347">
        <v>2020</v>
      </c>
      <c r="S347">
        <v>0</v>
      </c>
      <c r="T347">
        <v>590</v>
      </c>
      <c r="U347">
        <v>0</v>
      </c>
      <c r="V347" t="str">
        <v/>
      </c>
      <c r="W347" t="str">
        <v>0</v>
      </c>
      <c r="X347" t="str">
        <v/>
      </c>
      <c r="Y347">
        <v>45443</v>
      </c>
      <c r="Z347" t="str">
        <v/>
      </c>
      <c r="AA347" t="str">
        <v>技術・人文知識・国際業務</v>
      </c>
      <c r="AB347" t="str">
        <v>475-0828</v>
      </c>
      <c r="AC347" t="str">
        <v>愛知県半田市瑞穂町4丁目1-19</v>
      </c>
      <c r="AD347" t="str">
        <v>大松ﾊﾟｻｰｼﾞｭⅡ102号</v>
      </c>
      <c r="AE347">
        <v>44255</v>
      </c>
      <c r="AF347">
        <v>44202</v>
      </c>
      <c r="AG347">
        <v>44911</v>
      </c>
      <c r="AH347">
        <v>0</v>
      </c>
      <c r="AI347">
        <v>44197</v>
      </c>
      <c r="AJ347" t="str">
        <v>フアム　バン　ユン</v>
      </c>
      <c r="AK347" t="str">
        <v>ゆうちょ銀行</v>
      </c>
      <c r="AL347">
        <v>408</v>
      </c>
      <c r="AM347" t="str">
        <v>四〇八</v>
      </c>
      <c r="AN347" t="str">
        <v>4343420</v>
      </c>
      <c r="AO347" t="str">
        <v>OK</v>
      </c>
      <c r="AP347">
        <v>0</v>
      </c>
    </row>
    <row r="348" spans="1:42">
      <c r="A348" t="str">
        <f>H348&amp;COUNTIF($H$2:H348,H348)</f>
        <v>州の崎工場製造2課2工区3班1</v>
      </c>
      <c r="B348" t="str">
        <f>F348&amp;COUNTIF($F$2:F348,F348)</f>
        <v>コーリツ 州の崎1</v>
      </c>
      <c r="C348" t="str">
        <v>在職中</v>
      </c>
      <c r="D348">
        <v>210106</v>
      </c>
      <c r="E348">
        <v>8210004</v>
      </c>
      <c r="F348" t="str">
        <v>コーリツ 州の崎</v>
      </c>
      <c r="G348" t="str">
        <v>州の埼工場製造2課2工区3班</v>
      </c>
      <c r="H348" t="str">
        <v>州の崎工場製造2課2工区3班</v>
      </c>
      <c r="I348">
        <v>0</v>
      </c>
      <c r="J348" t="str">
        <v xml:space="preserve">NGUYEN DUC THANH </v>
      </c>
      <c r="K348" t="str">
        <v>グエン　ドウック　タイン</v>
      </c>
      <c r="L348" t="str">
        <v>男</v>
      </c>
      <c r="M348" t="str">
        <v>ﾍﾞﾄﾅﾑ</v>
      </c>
      <c r="N348">
        <v>32739</v>
      </c>
      <c r="O348">
        <v>34</v>
      </c>
      <c r="P348">
        <v>1430</v>
      </c>
      <c r="Q348" t="str">
        <v>2022/4/1～　1400円⇒1430円</v>
      </c>
      <c r="R348">
        <v>2020</v>
      </c>
      <c r="S348">
        <v>0</v>
      </c>
      <c r="T348">
        <v>590</v>
      </c>
      <c r="U348">
        <v>410000</v>
      </c>
      <c r="V348">
        <v>20520.5</v>
      </c>
      <c r="W348" t="str">
        <v>0</v>
      </c>
      <c r="X348">
        <v>37515</v>
      </c>
      <c r="Y348">
        <v>45738</v>
      </c>
      <c r="Z348" t="str">
        <v/>
      </c>
      <c r="AA348" t="str">
        <v>技術・人文知識・国際業務</v>
      </c>
      <c r="AB348" t="str">
        <v>475-0074</v>
      </c>
      <c r="AC348" t="str">
        <v>愛知県半田市長根町３丁目１番　</v>
      </c>
      <c r="AD348" t="str">
        <v>県営長根住宅7棟406号</v>
      </c>
      <c r="AE348" t="str">
        <v>個人</v>
      </c>
      <c r="AF348">
        <v>44202</v>
      </c>
      <c r="AG348">
        <v>0</v>
      </c>
      <c r="AH348">
        <v>0</v>
      </c>
      <c r="AI348">
        <v>44197</v>
      </c>
      <c r="AJ348" t="str">
        <v>グエン　ドゥック　タイン</v>
      </c>
      <c r="AK348" t="str">
        <v>ゆうちょ銀行</v>
      </c>
      <c r="AL348">
        <v>208</v>
      </c>
      <c r="AM348" t="str">
        <v>二〇八</v>
      </c>
      <c r="AN348" t="str">
        <v>6019091</v>
      </c>
      <c r="AO348" t="str">
        <v>OK</v>
      </c>
      <c r="AP348">
        <v>0</v>
      </c>
    </row>
    <row r="349" spans="1:42">
      <c r="A349" t="str">
        <f>H349&amp;COUNTIF($H$2:H349,H349)</f>
        <v>055</v>
      </c>
      <c r="B349" t="str">
        <f>F349&amp;COUNTIF($F$2:F349,F349)</f>
        <v>コーリツ 州の崎2</v>
      </c>
      <c r="C349" t="str">
        <v>退社</v>
      </c>
      <c r="D349">
        <v>200803</v>
      </c>
      <c r="E349">
        <v>8210005</v>
      </c>
      <c r="F349" t="str">
        <v>コーリツ 州の崎</v>
      </c>
      <c r="G349" t="str">
        <v>州の埼工場　製造２課２工区３班</v>
      </c>
      <c r="H349">
        <v>0</v>
      </c>
      <c r="I349">
        <v>0</v>
      </c>
      <c r="J349" t="str">
        <v>NGUYEN QUANG HUNG</v>
      </c>
      <c r="K349" t="str">
        <v>グエン　クアン　フン</v>
      </c>
      <c r="L349" t="str">
        <v>男</v>
      </c>
      <c r="M349" t="str">
        <v>ﾍﾞﾄﾅﾑ</v>
      </c>
      <c r="N349">
        <v>34939</v>
      </c>
      <c r="O349">
        <v>28</v>
      </c>
      <c r="P349">
        <v>1400</v>
      </c>
      <c r="Q349" t="str">
        <v>2020/11/21 1200⇒1250　2021/2/22PMI⇒ｺｰﾘﾂ移動</v>
      </c>
      <c r="R349">
        <v>1990</v>
      </c>
      <c r="S349">
        <v>0</v>
      </c>
      <c r="T349">
        <v>590</v>
      </c>
      <c r="U349">
        <v>0</v>
      </c>
      <c r="V349" t="str">
        <v/>
      </c>
      <c r="W349" t="str">
        <v>0</v>
      </c>
      <c r="X349" t="str">
        <v/>
      </c>
      <c r="Y349">
        <v>44988</v>
      </c>
      <c r="Z349" t="str">
        <v>残り期限90日!</v>
      </c>
      <c r="AA349" t="str">
        <v>技術・人文知識・国際業務</v>
      </c>
      <c r="AB349" t="str">
        <v>475-0074</v>
      </c>
      <c r="AC349" t="str">
        <v>愛知県半田市長根町３丁目１番　</v>
      </c>
      <c r="AD349" t="str">
        <v>県営長根住宅5棟303号</v>
      </c>
      <c r="AE349" t="str">
        <v>個人</v>
      </c>
      <c r="AF349">
        <v>44064</v>
      </c>
      <c r="AG349">
        <v>44923</v>
      </c>
      <c r="AH349">
        <v>44619</v>
      </c>
      <c r="AI349" t="str">
        <v>OK</v>
      </c>
      <c r="AJ349">
        <v>0</v>
      </c>
      <c r="AK349">
        <v>0</v>
      </c>
      <c r="AL349">
        <v>0</v>
      </c>
      <c r="AM349">
        <v>0</v>
      </c>
      <c r="AN349">
        <v>0</v>
      </c>
      <c r="AO349" t="str">
        <v>OK</v>
      </c>
      <c r="AP349" t="str">
        <v>2/27ｼｬﾙﾏﾝ苗代102号から自分のアパートに移動</v>
      </c>
    </row>
    <row r="350" spans="1:42">
      <c r="A350" t="str">
        <f>H350&amp;COUNTIF($H$2:H350,H350)</f>
        <v>州の崎工場製造2課３工区5班1</v>
      </c>
      <c r="B350" t="str">
        <f>F350&amp;COUNTIF($F$2:F350,F350)</f>
        <v>コーリツ 州の崎3</v>
      </c>
      <c r="C350" t="str">
        <v>在職中</v>
      </c>
      <c r="D350">
        <v>200803</v>
      </c>
      <c r="E350">
        <v>8210005</v>
      </c>
      <c r="F350" t="str">
        <v>コーリツ 州の崎</v>
      </c>
      <c r="G350" t="str">
        <v>州の崎工場製造2課３工区5班</v>
      </c>
      <c r="H350" t="str">
        <v>州の崎工場製造2課３工区5班</v>
      </c>
      <c r="I350">
        <v>0</v>
      </c>
      <c r="J350" t="str">
        <v>NGUYEN QUANG HUNG</v>
      </c>
      <c r="K350" t="str">
        <v>グエン　クアン　フン</v>
      </c>
      <c r="L350" t="str">
        <v>男</v>
      </c>
      <c r="M350" t="str">
        <v>ﾍﾞﾄﾅﾑ</v>
      </c>
      <c r="N350">
        <v>34939</v>
      </c>
      <c r="O350">
        <v>28</v>
      </c>
      <c r="P350">
        <v>1500</v>
      </c>
      <c r="Q350">
        <v>0</v>
      </c>
      <c r="R350">
        <v>1990</v>
      </c>
      <c r="S350">
        <v>0</v>
      </c>
      <c r="T350">
        <v>490</v>
      </c>
      <c r="U350">
        <v>380000</v>
      </c>
      <c r="V350">
        <v>19019</v>
      </c>
      <c r="W350" t="str">
        <v>0</v>
      </c>
      <c r="X350">
        <v>34770</v>
      </c>
      <c r="Y350">
        <v>46084</v>
      </c>
      <c r="Z350" t="str">
        <v/>
      </c>
      <c r="AA350" t="str">
        <v>技術・人文知識・国際業務</v>
      </c>
      <c r="AB350" t="str">
        <v>475-0074</v>
      </c>
      <c r="AC350" t="str">
        <v>愛知県半田市長根町３丁目１番　</v>
      </c>
      <c r="AD350" t="str">
        <v>県営長根住宅5棟303号</v>
      </c>
      <c r="AE350" t="str">
        <v>個人</v>
      </c>
      <c r="AF350">
        <v>44984</v>
      </c>
      <c r="AG350">
        <v>0</v>
      </c>
      <c r="AH350">
        <v>0</v>
      </c>
      <c r="AI350" t="str">
        <v>23.2.27</v>
      </c>
      <c r="AJ350">
        <v>0</v>
      </c>
      <c r="AK350">
        <v>0</v>
      </c>
      <c r="AL350">
        <v>0</v>
      </c>
      <c r="AM350">
        <v>0</v>
      </c>
      <c r="AN350">
        <v>0</v>
      </c>
      <c r="AO350" t="str">
        <v>3/16林</v>
      </c>
      <c r="AP350">
        <v>0</v>
      </c>
    </row>
    <row r="351" spans="1:42">
      <c r="A351" t="str">
        <f>H351&amp;COUNTIF($H$2:H351,H351)</f>
        <v>亀崎工場製造5課7工区9班1</v>
      </c>
      <c r="B351" t="str">
        <f>F351&amp;COUNTIF($F$2:F351,F351)</f>
        <v>コーリツ 亀崎1</v>
      </c>
      <c r="C351" t="str">
        <v>在職中</v>
      </c>
      <c r="D351">
        <v>210401</v>
      </c>
      <c r="E351">
        <v>8210007</v>
      </c>
      <c r="F351" t="str">
        <v>コーリツ 亀崎</v>
      </c>
      <c r="G351" t="str">
        <v>亀崎工場製造5課7工区9班</v>
      </c>
      <c r="H351" t="str">
        <v>亀崎工場製造5課7工区9班</v>
      </c>
      <c r="I351">
        <v>0</v>
      </c>
      <c r="J351" t="str">
        <v>HOANG VAN TUYEN</v>
      </c>
      <c r="K351" t="str">
        <v>ホアン　ヴァン　トウイエン</v>
      </c>
      <c r="L351" t="str">
        <v>男</v>
      </c>
      <c r="M351" t="str">
        <v>ﾍﾞﾄﾅﾑ</v>
      </c>
      <c r="N351">
        <v>31202</v>
      </c>
      <c r="O351">
        <v>38</v>
      </c>
      <c r="P351">
        <v>1460</v>
      </c>
      <c r="Q351" t="str">
        <v>2022/4/1～　1400円⇒1430円</v>
      </c>
      <c r="R351">
        <v>2050</v>
      </c>
      <c r="S351">
        <v>0</v>
      </c>
      <c r="T351">
        <v>590</v>
      </c>
      <c r="U351">
        <v>360000</v>
      </c>
      <c r="V351">
        <v>18018</v>
      </c>
      <c r="W351" t="str">
        <v>0</v>
      </c>
      <c r="X351">
        <v>32940</v>
      </c>
      <c r="Y351">
        <v>45387</v>
      </c>
      <c r="Z351" t="str">
        <v/>
      </c>
      <c r="AA351" t="str">
        <v>技術・人文知識・国際業務</v>
      </c>
      <c r="AB351" t="str">
        <v>475-0086</v>
      </c>
      <c r="AC351" t="str">
        <v>愛知県半田市庚申町2-6-7</v>
      </c>
      <c r="AD351" t="str">
        <v>ﾊｲﾂこうしんB棟101</v>
      </c>
      <c r="AE351" t="str">
        <v>個人</v>
      </c>
      <c r="AF351">
        <v>44287</v>
      </c>
      <c r="AG351">
        <v>0</v>
      </c>
      <c r="AH351">
        <v>0</v>
      </c>
      <c r="AI351">
        <v>44348</v>
      </c>
      <c r="AJ351" t="str">
        <v>ホアン　ヴァン　トウイエン</v>
      </c>
      <c r="AK351" t="str">
        <v>ゆうちょ銀行</v>
      </c>
      <c r="AL351">
        <v>248</v>
      </c>
      <c r="AM351" t="str">
        <v>二四八</v>
      </c>
      <c r="AN351" t="str">
        <v>3436853</v>
      </c>
      <c r="AO351" t="str">
        <v>OK</v>
      </c>
      <c r="AP351">
        <v>0</v>
      </c>
    </row>
    <row r="352" spans="1:42">
      <c r="A352" t="str">
        <f>H352&amp;COUNTIF($H$2:H352,H352)</f>
        <v>056</v>
      </c>
      <c r="B352" t="str">
        <f>F352&amp;COUNTIF($F$2:F352,F352)</f>
        <v>コーリツ 乙川4</v>
      </c>
      <c r="C352" t="str">
        <v>退社</v>
      </c>
      <c r="D352">
        <v>210403</v>
      </c>
      <c r="E352">
        <v>8210008</v>
      </c>
      <c r="F352" t="str">
        <v>コーリツ 乙川</v>
      </c>
      <c r="G352" t="str">
        <v>乙川第２工場　製造３課６工区９班</v>
      </c>
      <c r="H352">
        <v>0</v>
      </c>
      <c r="I352">
        <v>0</v>
      </c>
      <c r="J352" t="str">
        <v>LE VAN TUAT</v>
      </c>
      <c r="K352" t="str">
        <v>レ　ヴァン　トァト</v>
      </c>
      <c r="L352" t="str">
        <v>男</v>
      </c>
      <c r="M352" t="str">
        <v>ﾍﾞﾄﾅﾑ</v>
      </c>
      <c r="N352">
        <v>30126</v>
      </c>
      <c r="O352">
        <v>41</v>
      </c>
      <c r="P352">
        <v>1400</v>
      </c>
      <c r="Q352">
        <v>0</v>
      </c>
      <c r="R352">
        <v>1990</v>
      </c>
      <c r="S352">
        <v>0</v>
      </c>
      <c r="T352">
        <v>590</v>
      </c>
      <c r="U352">
        <v>360000</v>
      </c>
      <c r="V352">
        <v>18018</v>
      </c>
      <c r="W352">
        <v>3275.9999999999964</v>
      </c>
      <c r="X352">
        <v>32940</v>
      </c>
      <c r="Y352">
        <v>45671</v>
      </c>
      <c r="Z352" t="str">
        <v/>
      </c>
      <c r="AA352" t="str">
        <v>技術・人文知識・国際業務</v>
      </c>
      <c r="AB352" t="str">
        <v>475-0961</v>
      </c>
      <c r="AC352" t="str">
        <v>愛知県半田市岩滑中町1丁目65番地の１</v>
      </c>
      <c r="AD352" t="str">
        <v>FLAT HANDA32号</v>
      </c>
      <c r="AE352" t="str">
        <v>個人</v>
      </c>
      <c r="AF352">
        <v>44287</v>
      </c>
      <c r="AG352">
        <v>45002</v>
      </c>
      <c r="AH352">
        <v>0</v>
      </c>
      <c r="AI352">
        <v>44348</v>
      </c>
      <c r="AJ352" t="str">
        <v>レー　ヴァン　トァト</v>
      </c>
      <c r="AK352" t="str">
        <v>ゆうちょ銀行</v>
      </c>
      <c r="AL352">
        <v>208</v>
      </c>
      <c r="AM352" t="str">
        <v>二〇八</v>
      </c>
      <c r="AN352" t="str">
        <v>2167120</v>
      </c>
      <c r="AO352" t="str">
        <v>OK</v>
      </c>
      <c r="AP352">
        <v>0</v>
      </c>
    </row>
    <row r="353" spans="1:42">
      <c r="A353" t="str">
        <f>H353&amp;COUNTIF($H$2:H353,H353)</f>
        <v>州の崎工場製造3課5工区6班1</v>
      </c>
      <c r="B353" t="str">
        <f>F353&amp;COUNTIF($F$2:F353,F353)</f>
        <v>コーリツ 州の崎4</v>
      </c>
      <c r="C353" t="str">
        <v>在職中</v>
      </c>
      <c r="D353">
        <v>210405</v>
      </c>
      <c r="E353">
        <v>8210009</v>
      </c>
      <c r="F353" t="str">
        <v>コーリツ 州の崎</v>
      </c>
      <c r="G353" t="str">
        <v>州の崎工場製造3課5工区6班</v>
      </c>
      <c r="H353" t="str">
        <v>州の崎工場製造3課5工区6班</v>
      </c>
      <c r="I353">
        <v>0</v>
      </c>
      <c r="J353" t="str">
        <v>DO XUAN HIEN</v>
      </c>
      <c r="K353" t="str">
        <v>ドー　スアン　ヒエン</v>
      </c>
      <c r="L353" t="str">
        <v>男</v>
      </c>
      <c r="M353" t="str">
        <v>ﾍﾞﾄﾅﾑ</v>
      </c>
      <c r="N353">
        <v>33072</v>
      </c>
      <c r="O353">
        <v>33</v>
      </c>
      <c r="P353">
        <v>1500</v>
      </c>
      <c r="Q353" t="str">
        <v>2021/5/21~　1400円⇒1500円</v>
      </c>
      <c r="R353">
        <v>1990</v>
      </c>
      <c r="S353">
        <v>0</v>
      </c>
      <c r="T353">
        <v>490</v>
      </c>
      <c r="U353">
        <v>360000</v>
      </c>
      <c r="V353">
        <v>18018</v>
      </c>
      <c r="W353" t="str">
        <v>0</v>
      </c>
      <c r="X353">
        <v>32940</v>
      </c>
      <c r="Y353">
        <v>45436</v>
      </c>
      <c r="Z353" t="str">
        <v/>
      </c>
      <c r="AA353" t="str">
        <v>技術・人文知識・国際業務</v>
      </c>
      <c r="AB353" t="str">
        <v>447-0884</v>
      </c>
      <c r="AC353" t="str">
        <v>愛知県碧南市平七町5丁目23番地</v>
      </c>
      <c r="AD353" t="str">
        <v>ﾋﾞﾚｯｼﾞﾊｳｽ家下1棟405号</v>
      </c>
      <c r="AE353" t="str">
        <v>個人</v>
      </c>
      <c r="AF353">
        <v>44291</v>
      </c>
      <c r="AG353">
        <v>0</v>
      </c>
      <c r="AH353">
        <v>44508</v>
      </c>
      <c r="AI353">
        <v>44348</v>
      </c>
      <c r="AJ353" t="str">
        <v>ドー　スアン　ヒエン</v>
      </c>
      <c r="AK353" t="str">
        <v>ゆうちょ銀行</v>
      </c>
      <c r="AL353">
        <v>208</v>
      </c>
      <c r="AM353" t="str">
        <v>二〇八</v>
      </c>
      <c r="AN353" t="str">
        <v>2552550</v>
      </c>
      <c r="AO353" t="str">
        <v>OK</v>
      </c>
      <c r="AP353">
        <v>0</v>
      </c>
    </row>
    <row r="354" spans="1:42">
      <c r="A354" t="str">
        <f>H354&amp;COUNTIF($H$2:H354,H354)</f>
        <v>057</v>
      </c>
      <c r="B354" t="str">
        <f>F354&amp;COUNTIF($F$2:F354,F354)</f>
        <v>コーリツ 州の崎5</v>
      </c>
      <c r="C354" t="str">
        <v>退社</v>
      </c>
      <c r="D354">
        <v>210404</v>
      </c>
      <c r="E354">
        <v>8210010</v>
      </c>
      <c r="F354" t="str">
        <v>コーリツ 州の崎</v>
      </c>
      <c r="G354" t="str">
        <v>州の埼工場　製造３課５工区７班</v>
      </c>
      <c r="H354">
        <v>0</v>
      </c>
      <c r="I354">
        <v>0</v>
      </c>
      <c r="J354" t="str">
        <v>NGUYEN KHAC TRUNG</v>
      </c>
      <c r="K354" t="str">
        <v>グエン　カック　チュン</v>
      </c>
      <c r="L354" t="str">
        <v>男</v>
      </c>
      <c r="M354" t="str">
        <v>ﾍﾞﾄﾅﾑ</v>
      </c>
      <c r="N354">
        <v>34845</v>
      </c>
      <c r="O354">
        <v>28</v>
      </c>
      <c r="P354">
        <v>1500</v>
      </c>
      <c r="Q354" t="str">
        <v>2022/3/21～　1400円⇒1500円</v>
      </c>
      <c r="R354">
        <v>1990</v>
      </c>
      <c r="S354">
        <v>0</v>
      </c>
      <c r="T354">
        <v>490</v>
      </c>
      <c r="U354">
        <v>0</v>
      </c>
      <c r="V354" t="str">
        <v/>
      </c>
      <c r="W354" t="str">
        <v>0</v>
      </c>
      <c r="X354" t="str">
        <v/>
      </c>
      <c r="Y354">
        <v>45486</v>
      </c>
      <c r="Z354" t="str">
        <v/>
      </c>
      <c r="AA354" t="str">
        <v>技術・人文知識・国際業務</v>
      </c>
      <c r="AB354" t="str">
        <v>475-0004</v>
      </c>
      <c r="AC354" t="str">
        <v>愛知県半田市上池町5丁目37-1</v>
      </c>
      <c r="AD354" t="str">
        <v>ﾙﾐｴｰﾙ上池203</v>
      </c>
      <c r="AE354">
        <v>44289</v>
      </c>
      <c r="AF354">
        <v>44291</v>
      </c>
      <c r="AG354">
        <v>44916</v>
      </c>
      <c r="AH354">
        <v>0</v>
      </c>
      <c r="AI354">
        <v>44348</v>
      </c>
      <c r="AJ354" t="str">
        <v>グエン　カック　チュン</v>
      </c>
      <c r="AK354" t="str">
        <v>ゆうちょ銀行</v>
      </c>
      <c r="AL354">
        <v>0</v>
      </c>
      <c r="AM354">
        <v>0</v>
      </c>
      <c r="AN354" t="str">
        <v>12090　20345331</v>
      </c>
      <c r="AO354" t="str">
        <v>OK</v>
      </c>
      <c r="AP354">
        <v>0</v>
      </c>
    </row>
    <row r="355" spans="1:42">
      <c r="A355" t="str">
        <f>H355&amp;COUNTIF($H$2:H355,H355)</f>
        <v>亀崎工場製造5課7工区9班2</v>
      </c>
      <c r="B355" t="str">
        <f>F355&amp;COUNTIF($F$2:F355,F355)</f>
        <v>コーリツ 亀崎2</v>
      </c>
      <c r="C355" t="str">
        <v>在職中</v>
      </c>
      <c r="D355">
        <v>210608</v>
      </c>
      <c r="E355">
        <v>8210012</v>
      </c>
      <c r="F355" t="str">
        <v>コーリツ 亀崎</v>
      </c>
      <c r="G355" t="str">
        <v>亀崎工場製造5課7工区9班</v>
      </c>
      <c r="H355" t="str">
        <v>亀崎工場製造5課7工区9班</v>
      </c>
      <c r="I355">
        <v>0</v>
      </c>
      <c r="J355" t="str">
        <v>NGUYEN VAN HONG</v>
      </c>
      <c r="K355" t="str">
        <v>グエン　バン　ホン</v>
      </c>
      <c r="L355" t="str">
        <v>男</v>
      </c>
      <c r="M355" t="str">
        <v>ﾍﾞﾄﾅﾑ</v>
      </c>
      <c r="N355">
        <v>32203</v>
      </c>
      <c r="O355">
        <v>35</v>
      </c>
      <c r="P355">
        <v>1400</v>
      </c>
      <c r="Q355">
        <v>0</v>
      </c>
      <c r="R355">
        <v>1990</v>
      </c>
      <c r="S355">
        <v>0</v>
      </c>
      <c r="T355">
        <v>590</v>
      </c>
      <c r="U355">
        <v>340000</v>
      </c>
      <c r="V355">
        <v>17017</v>
      </c>
      <c r="W355" t="str">
        <v>0</v>
      </c>
      <c r="X355">
        <v>31110</v>
      </c>
      <c r="Y355">
        <v>45388</v>
      </c>
      <c r="Z355" t="str">
        <v/>
      </c>
      <c r="AA355" t="str">
        <v>技術・人文知識・国際業務</v>
      </c>
      <c r="AB355" t="str">
        <v>475-0004</v>
      </c>
      <c r="AC355" t="str">
        <v>愛知県半田市上池町5丁目37-1</v>
      </c>
      <c r="AD355" t="str">
        <v>ﾙﾐｴｰﾙ上池203</v>
      </c>
      <c r="AE355">
        <v>44472</v>
      </c>
      <c r="AF355">
        <v>44361</v>
      </c>
      <c r="AG355">
        <v>0</v>
      </c>
      <c r="AH355">
        <v>0</v>
      </c>
      <c r="AI355">
        <v>44409</v>
      </c>
      <c r="AJ355" t="str">
        <v>グエン　バン　ホン</v>
      </c>
      <c r="AK355" t="str">
        <v>ゆうちょ銀行</v>
      </c>
      <c r="AL355">
        <v>208</v>
      </c>
      <c r="AM355" t="str">
        <v>二〇八</v>
      </c>
      <c r="AN355" t="str">
        <v>2042813</v>
      </c>
      <c r="AO355" t="str">
        <v>OK</v>
      </c>
      <c r="AP355">
        <v>0</v>
      </c>
    </row>
    <row r="356" spans="1:42">
      <c r="A356" t="str">
        <f>H356&amp;COUNTIF($H$2:H356,H356)</f>
        <v>CVJ製作課1</v>
      </c>
      <c r="B356" t="str">
        <f>F356&amp;COUNTIF($F$2:F356,F356)</f>
        <v>コーリツ 州の崎6</v>
      </c>
      <c r="C356" t="str">
        <v>退社</v>
      </c>
      <c r="D356">
        <v>210813</v>
      </c>
      <c r="E356">
        <v>8210014</v>
      </c>
      <c r="F356" t="str">
        <v>コーリツ 州の崎</v>
      </c>
      <c r="G356" t="str">
        <v>州の埼工場　製造３課５工区６班</v>
      </c>
      <c r="H356" t="str">
        <v>CVJ製作課</v>
      </c>
      <c r="I356">
        <v>0</v>
      </c>
      <c r="J356" t="str">
        <v>NGUYEN VAN TRUONG</v>
      </c>
      <c r="K356" t="str">
        <v>グエン　バン　チュオン</v>
      </c>
      <c r="L356" t="str">
        <v>男</v>
      </c>
      <c r="M356" t="str">
        <v>ﾍﾞﾄﾅﾑ</v>
      </c>
      <c r="N356">
        <v>34304</v>
      </c>
      <c r="O356">
        <v>30</v>
      </c>
      <c r="P356">
        <v>1400</v>
      </c>
      <c r="Q356">
        <v>0</v>
      </c>
      <c r="R356">
        <v>1990</v>
      </c>
      <c r="S356">
        <v>0</v>
      </c>
      <c r="T356">
        <v>590</v>
      </c>
      <c r="U356">
        <v>0</v>
      </c>
      <c r="V356" t="str">
        <v/>
      </c>
      <c r="W356" t="str">
        <v>0</v>
      </c>
      <c r="X356" t="str">
        <v/>
      </c>
      <c r="Y356">
        <v>45085</v>
      </c>
      <c r="Z356" t="str">
        <v>残り期限90日!</v>
      </c>
      <c r="AA356" t="str">
        <v>技術・人文知識・国際業務</v>
      </c>
      <c r="AB356" t="str">
        <v>475-0862</v>
      </c>
      <c r="AC356" t="str">
        <v>愛知県半田市住吉町2丁目124番地1</v>
      </c>
      <c r="AD356" t="str">
        <v>ﾚｼﾞﾃﾞﾝｽ住吉102</v>
      </c>
      <c r="AE356">
        <v>44424</v>
      </c>
      <c r="AF356">
        <v>44426</v>
      </c>
      <c r="AG356">
        <v>44785</v>
      </c>
      <c r="AH356">
        <v>0</v>
      </c>
      <c r="AI356">
        <v>44470</v>
      </c>
      <c r="AJ356">
        <v>0</v>
      </c>
      <c r="AK356">
        <v>0</v>
      </c>
      <c r="AL356">
        <v>0</v>
      </c>
      <c r="AM356">
        <v>0</v>
      </c>
      <c r="AN356">
        <v>0</v>
      </c>
      <c r="AO356" t="str">
        <v>OK</v>
      </c>
      <c r="AP356">
        <v>0</v>
      </c>
    </row>
    <row r="357" spans="1:42">
      <c r="A357" t="str">
        <f>H357&amp;COUNTIF($H$2:H357,H357)</f>
        <v>本社工場製造1課2工区2班1</v>
      </c>
      <c r="B357" t="str">
        <f>F357&amp;COUNTIF($F$2:F357,F357)</f>
        <v>コーリツ 本社1</v>
      </c>
      <c r="C357" t="str">
        <v>在職中</v>
      </c>
      <c r="D357">
        <v>211012</v>
      </c>
      <c r="E357">
        <v>8210016</v>
      </c>
      <c r="F357" t="str">
        <v>コーリツ 本社</v>
      </c>
      <c r="G357" t="str">
        <v>本社工場製造1課2工区2班</v>
      </c>
      <c r="H357" t="str">
        <v>本社工場製造1課2工区2班</v>
      </c>
      <c r="I357">
        <v>0</v>
      </c>
      <c r="J357" t="str">
        <v>LE QUI HAI</v>
      </c>
      <c r="K357" t="str">
        <v>レ　クイ　ハイ</v>
      </c>
      <c r="L357" t="str">
        <v>男</v>
      </c>
      <c r="M357" t="str">
        <v>ﾍﾞﾄﾅﾑ</v>
      </c>
      <c r="N357">
        <v>34946</v>
      </c>
      <c r="O357">
        <v>28</v>
      </c>
      <c r="P357">
        <v>1400</v>
      </c>
      <c r="Q357">
        <v>0</v>
      </c>
      <c r="R357">
        <v>1990</v>
      </c>
      <c r="S357">
        <v>0</v>
      </c>
      <c r="T357">
        <v>590</v>
      </c>
      <c r="U357">
        <v>340000</v>
      </c>
      <c r="V357">
        <v>17017</v>
      </c>
      <c r="W357" t="str">
        <v>0</v>
      </c>
      <c r="X357">
        <v>31110</v>
      </c>
      <c r="Y357">
        <v>45531</v>
      </c>
      <c r="Z357" t="str">
        <v/>
      </c>
      <c r="AA357" t="str">
        <v>技術・人文知識・国際業務</v>
      </c>
      <c r="AB357" t="str">
        <v>444-1314</v>
      </c>
      <c r="AC357" t="str">
        <v>愛知県高浜市論地町3-2-27</v>
      </c>
      <c r="AD357" t="str">
        <v>ｺｰﾎﾟｲｰｽﾄC205</v>
      </c>
      <c r="AE357" t="str">
        <v>個人</v>
      </c>
      <c r="AF357">
        <v>44480</v>
      </c>
      <c r="AG357">
        <v>0</v>
      </c>
      <c r="AH357">
        <v>0</v>
      </c>
      <c r="AI357">
        <v>44531</v>
      </c>
      <c r="AJ357" t="str">
        <v>レ　クイ　ハイ</v>
      </c>
      <c r="AK357" t="str">
        <v>ゆうちょ銀行</v>
      </c>
      <c r="AL357">
        <v>208</v>
      </c>
      <c r="AM357" t="str">
        <v>二〇八</v>
      </c>
      <c r="AN357" t="str">
        <v>2289657</v>
      </c>
      <c r="AO357" t="str">
        <v>OK</v>
      </c>
      <c r="AP357">
        <v>0</v>
      </c>
    </row>
    <row r="358" spans="1:42">
      <c r="A358" t="str">
        <f>H358&amp;COUNTIF($H$2:H358,H358)</f>
        <v>州の崎工場製造1課1工区2班1</v>
      </c>
      <c r="B358" t="str">
        <f>F358&amp;COUNTIF($F$2:F358,F358)</f>
        <v>コーリツ 州の崎7</v>
      </c>
      <c r="C358" t="str">
        <v>退社</v>
      </c>
      <c r="D358">
        <v>210905</v>
      </c>
      <c r="E358">
        <v>8210017</v>
      </c>
      <c r="F358" t="str">
        <v>コーリツ 州の崎</v>
      </c>
      <c r="G358" t="str">
        <v>州の埼工場　製造１課１工区２班</v>
      </c>
      <c r="H358" t="str">
        <v>州の崎工場製造1課1工区2班</v>
      </c>
      <c r="I358">
        <v>0</v>
      </c>
      <c r="J358" t="str">
        <v>VU DUC CUONG</v>
      </c>
      <c r="K358" t="str">
        <v>ヴ　ドゥック　クオン</v>
      </c>
      <c r="L358" t="str">
        <v>男</v>
      </c>
      <c r="M358" t="str">
        <v>ﾍﾞﾄﾅﾑ</v>
      </c>
      <c r="N358">
        <v>34036</v>
      </c>
      <c r="O358">
        <v>30</v>
      </c>
      <c r="P358">
        <v>1400</v>
      </c>
      <c r="Q358">
        <v>0</v>
      </c>
      <c r="R358">
        <v>1990</v>
      </c>
      <c r="S358">
        <v>0</v>
      </c>
      <c r="T358">
        <v>590</v>
      </c>
      <c r="U358">
        <v>320000</v>
      </c>
      <c r="V358">
        <v>16015.999999999998</v>
      </c>
      <c r="W358" t="str">
        <v>0</v>
      </c>
      <c r="X358">
        <v>29280</v>
      </c>
      <c r="Y358">
        <v>45479</v>
      </c>
      <c r="Z358" t="str">
        <v/>
      </c>
      <c r="AA358" t="str">
        <v>技術・人文知識・国際業務</v>
      </c>
      <c r="AB358" t="str">
        <v>475-0024</v>
      </c>
      <c r="AC358" t="str">
        <v>愛知県半田市 亀崎高根町2丁目20-7</v>
      </c>
      <c r="AD358" t="str">
        <v>ﾋﾞﾚｯｼﾞﾊｳｽ亀崎2号棟301</v>
      </c>
      <c r="AE358">
        <v>44890</v>
      </c>
      <c r="AF358">
        <v>44455</v>
      </c>
      <c r="AG358">
        <v>45240</v>
      </c>
      <c r="AH358">
        <v>0</v>
      </c>
      <c r="AI358">
        <v>44531</v>
      </c>
      <c r="AJ358" t="str">
        <v>ヴー　ドゥック　クオン</v>
      </c>
      <c r="AK358" t="str">
        <v>ゆうちょ銀行</v>
      </c>
      <c r="AL358">
        <v>208</v>
      </c>
      <c r="AM358" t="str">
        <v>二〇八</v>
      </c>
      <c r="AN358" t="str">
        <v>2541338</v>
      </c>
      <c r="AO358" t="str">
        <v>OK</v>
      </c>
      <c r="AP358">
        <v>0</v>
      </c>
    </row>
    <row r="359" spans="1:42">
      <c r="A359" t="str">
        <f>H359&amp;COUNTIF($H$2:H359,H359)</f>
        <v>058</v>
      </c>
      <c r="B359" t="str">
        <f>F359&amp;COUNTIF($F$2:F359,F359)</f>
        <v>コーリツ 州の崎8</v>
      </c>
      <c r="C359" t="str">
        <v>退社</v>
      </c>
      <c r="D359">
        <v>211113</v>
      </c>
      <c r="E359">
        <v>8210019</v>
      </c>
      <c r="F359" t="str">
        <v>コーリツ 州の崎</v>
      </c>
      <c r="G359" t="str">
        <v>州の埼第２工場　製造３課５工区７班</v>
      </c>
      <c r="H359">
        <v>0</v>
      </c>
      <c r="I359">
        <v>0</v>
      </c>
      <c r="J359" t="str">
        <v>DO DUC THUAN</v>
      </c>
      <c r="K359" t="str">
        <v>ドー　ドゥック　トゥアン</v>
      </c>
      <c r="L359" t="str">
        <v>男</v>
      </c>
      <c r="M359" t="str">
        <v>ﾍﾞﾄﾅﾑ</v>
      </c>
      <c r="N359">
        <v>35013</v>
      </c>
      <c r="O359">
        <v>28</v>
      </c>
      <c r="P359">
        <v>1400</v>
      </c>
      <c r="Q359">
        <v>0</v>
      </c>
      <c r="R359">
        <v>1990</v>
      </c>
      <c r="S359">
        <v>0</v>
      </c>
      <c r="T359">
        <v>590</v>
      </c>
      <c r="U359">
        <v>0</v>
      </c>
      <c r="V359" t="str">
        <v/>
      </c>
      <c r="W359" t="str">
        <v>0</v>
      </c>
      <c r="X359" t="str">
        <v/>
      </c>
      <c r="Y359">
        <v>45115</v>
      </c>
      <c r="Z359" t="str">
        <v>残り期限90日!</v>
      </c>
      <c r="AA359" t="str">
        <v>技術・人文知識・国際業務</v>
      </c>
      <c r="AB359" t="str">
        <v>475-0071</v>
      </c>
      <c r="AC359" t="str">
        <v>愛知県半田市大伝根町2丁目2-16</v>
      </c>
      <c r="AD359" t="str">
        <v>ｻﾝﾋﾞﾚｯｼﾞ横川203</v>
      </c>
      <c r="AE359">
        <v>44522</v>
      </c>
      <c r="AF359">
        <v>44523</v>
      </c>
      <c r="AG359">
        <v>44876</v>
      </c>
      <c r="AH359">
        <v>0</v>
      </c>
      <c r="AI359">
        <v>22.02</v>
      </c>
      <c r="AJ359" t="str">
        <v>ドー　ドゥック　トゥアン</v>
      </c>
      <c r="AK359" t="str">
        <v>ゆうちょ銀行</v>
      </c>
      <c r="AL359">
        <v>208</v>
      </c>
      <c r="AM359" t="str">
        <v>二〇八</v>
      </c>
      <c r="AN359" t="str">
        <v>2288471</v>
      </c>
      <c r="AO359" t="str">
        <v>OK</v>
      </c>
      <c r="AP359">
        <v>0</v>
      </c>
    </row>
    <row r="360" spans="1:42">
      <c r="A360" t="str">
        <f>H360&amp;COUNTIF($H$2:H360,H360)</f>
        <v>州の崎工場製造1課1工区1班1</v>
      </c>
      <c r="B360" t="str">
        <f>F360&amp;COUNTIF($F$2:F360,F360)</f>
        <v>コーリツ 州の崎9</v>
      </c>
      <c r="C360" t="str">
        <v>在職中</v>
      </c>
      <c r="D360">
        <v>211208</v>
      </c>
      <c r="E360">
        <v>8210020</v>
      </c>
      <c r="F360" t="str">
        <v>コーリツ 州の崎</v>
      </c>
      <c r="G360" t="str">
        <v>州の埼工場　製造１課１工区１班</v>
      </c>
      <c r="H360" t="str">
        <v>州の崎工場製造1課1工区1班</v>
      </c>
      <c r="I360">
        <v>0</v>
      </c>
      <c r="J360" t="str">
        <v>CAO HUU SON</v>
      </c>
      <c r="K360" t="str">
        <v>カオ　フ　ソン</v>
      </c>
      <c r="L360" t="str">
        <v>男</v>
      </c>
      <c r="M360" t="str">
        <v>ﾍﾞﾄﾅﾑ</v>
      </c>
      <c r="N360">
        <v>33059</v>
      </c>
      <c r="O360">
        <v>33</v>
      </c>
      <c r="P360">
        <v>1400</v>
      </c>
      <c r="Q360">
        <v>0</v>
      </c>
      <c r="R360">
        <v>1990</v>
      </c>
      <c r="S360">
        <v>0</v>
      </c>
      <c r="T360">
        <v>590</v>
      </c>
      <c r="U360">
        <v>340000</v>
      </c>
      <c r="V360">
        <v>17017</v>
      </c>
      <c r="W360" t="str">
        <v>0</v>
      </c>
      <c r="X360">
        <v>31110</v>
      </c>
      <c r="Y360">
        <v>45595</v>
      </c>
      <c r="Z360" t="str">
        <v/>
      </c>
      <c r="AA360" t="str">
        <v>技術・人文知識・国際業務</v>
      </c>
      <c r="AB360" t="str">
        <v>475-0074</v>
      </c>
      <c r="AC360" t="str">
        <v>愛知県半田市長根町3-1</v>
      </c>
      <c r="AD360" t="str">
        <v>県営長根住宅1-306</v>
      </c>
      <c r="AE360" t="str">
        <v>個人</v>
      </c>
      <c r="AF360">
        <v>44543</v>
      </c>
      <c r="AG360">
        <v>0</v>
      </c>
      <c r="AH360">
        <v>0</v>
      </c>
      <c r="AI360">
        <v>22.01</v>
      </c>
      <c r="AJ360" t="str">
        <v>カオ　フー　ソン</v>
      </c>
      <c r="AK360" t="str">
        <v>ゆうちょ銀行</v>
      </c>
      <c r="AL360">
        <v>208</v>
      </c>
      <c r="AM360" t="str">
        <v>二〇八</v>
      </c>
      <c r="AN360" t="str">
        <v>572121</v>
      </c>
      <c r="AO360" t="str">
        <v>OK</v>
      </c>
      <c r="AP360">
        <v>0</v>
      </c>
    </row>
    <row r="361" spans="1:42">
      <c r="A361" t="str">
        <f>H361&amp;COUNTIF($H$2:H361,H361)</f>
        <v>059</v>
      </c>
      <c r="B361" t="str">
        <f>F361&amp;COUNTIF($F$2:F361,F361)</f>
        <v>コーリツ 州の崎10</v>
      </c>
      <c r="C361" t="str">
        <v>退社</v>
      </c>
      <c r="D361">
        <v>211209</v>
      </c>
      <c r="E361">
        <v>8210021</v>
      </c>
      <c r="F361" t="str">
        <v>コーリツ 州の崎</v>
      </c>
      <c r="G361" t="str">
        <v>州の埼工場　製造２課２工区３班</v>
      </c>
      <c r="H361">
        <v>0</v>
      </c>
      <c r="I361">
        <v>0</v>
      </c>
      <c r="J361" t="str">
        <v>LAI DUY HIEN</v>
      </c>
      <c r="K361" t="str">
        <v>ライ　ズイ　ヒエン</v>
      </c>
      <c r="L361" t="str">
        <v>男</v>
      </c>
      <c r="M361" t="str">
        <v>ﾍﾞﾄﾅﾑ</v>
      </c>
      <c r="N361">
        <v>32092</v>
      </c>
      <c r="O361">
        <v>36</v>
      </c>
      <c r="P361">
        <v>1400</v>
      </c>
      <c r="Q361">
        <v>0</v>
      </c>
      <c r="R361">
        <v>1990</v>
      </c>
      <c r="S361">
        <v>0</v>
      </c>
      <c r="T361">
        <v>590</v>
      </c>
      <c r="U361">
        <v>0</v>
      </c>
      <c r="V361" t="str">
        <v/>
      </c>
      <c r="W361" t="str">
        <v>0</v>
      </c>
      <c r="X361" t="str">
        <v/>
      </c>
      <c r="Y361">
        <v>45070</v>
      </c>
      <c r="Z361" t="str">
        <v>残り期限90日!</v>
      </c>
      <c r="AA361" t="str">
        <v>技術・人文知識・国際業務</v>
      </c>
      <c r="AB361" t="str">
        <v>475-0024</v>
      </c>
      <c r="AC361" t="str">
        <v>愛知県半田市 亀崎高根町2丁目20-7</v>
      </c>
      <c r="AD361" t="str">
        <v>ﾋﾞﾚｯｼﾞﾊｳｽ亀崎2号棟301</v>
      </c>
      <c r="AE361">
        <v>44539</v>
      </c>
      <c r="AF361">
        <v>44543</v>
      </c>
      <c r="AG361">
        <v>44816</v>
      </c>
      <c r="AH361">
        <v>0</v>
      </c>
      <c r="AI361">
        <v>22.02</v>
      </c>
      <c r="AJ361">
        <v>0</v>
      </c>
      <c r="AK361">
        <v>0</v>
      </c>
      <c r="AL361">
        <v>0</v>
      </c>
      <c r="AM361">
        <v>0</v>
      </c>
      <c r="AN361">
        <v>0</v>
      </c>
      <c r="AO361" t="str">
        <v>OK</v>
      </c>
      <c r="AP361">
        <v>0</v>
      </c>
    </row>
    <row r="362" spans="1:42">
      <c r="A362" t="str">
        <f>H362&amp;COUNTIF($H$2:H362,H362)</f>
        <v>乙川工場製造3課5工区7班1</v>
      </c>
      <c r="B362" t="str">
        <f>F362&amp;COUNTIF($F$2:F362,F362)</f>
        <v>コーリツ 乙川5</v>
      </c>
      <c r="C362" t="str">
        <v>退社</v>
      </c>
      <c r="D362">
        <v>211212</v>
      </c>
      <c r="E362">
        <v>8210022</v>
      </c>
      <c r="F362" t="str">
        <v>コーリツ 乙川</v>
      </c>
      <c r="G362" t="str">
        <v>乙川工場　製造３課５工区７班</v>
      </c>
      <c r="H362" t="str">
        <v>乙川工場製造3課5工区7班</v>
      </c>
      <c r="I362">
        <v>0</v>
      </c>
      <c r="J362" t="str">
        <v>NGUYEN TIEN DUC</v>
      </c>
      <c r="K362" t="str">
        <v>グエン　テイエン　ドウク</v>
      </c>
      <c r="L362" t="str">
        <v>男</v>
      </c>
      <c r="M362" t="str">
        <v>ﾍﾞﾄﾅﾑ</v>
      </c>
      <c r="N362">
        <v>31479</v>
      </c>
      <c r="O362">
        <v>37</v>
      </c>
      <c r="P362">
        <v>1400</v>
      </c>
      <c r="Q362">
        <v>0</v>
      </c>
      <c r="R362">
        <v>1990</v>
      </c>
      <c r="S362">
        <v>0</v>
      </c>
      <c r="T362">
        <v>590</v>
      </c>
      <c r="U362">
        <v>360000</v>
      </c>
      <c r="V362">
        <v>18018</v>
      </c>
      <c r="W362" t="str">
        <v>0</v>
      </c>
      <c r="X362">
        <v>32940</v>
      </c>
      <c r="Y362">
        <v>45408</v>
      </c>
      <c r="Z362" t="str">
        <v/>
      </c>
      <c r="AA362" t="str">
        <v>技術・人文知識・国際業務</v>
      </c>
      <c r="AB362" t="str">
        <v>470-2300</v>
      </c>
      <c r="AC362" t="str">
        <v>愛知県知多郡武豊町堀割1-1</v>
      </c>
      <c r="AD362" t="str">
        <v>県営武豊住宅2-405</v>
      </c>
      <c r="AE362" t="str">
        <v>個人</v>
      </c>
      <c r="AF362">
        <v>44550</v>
      </c>
      <c r="AG362">
        <v>45128</v>
      </c>
      <c r="AH362">
        <v>0</v>
      </c>
      <c r="AI362">
        <v>22.02</v>
      </c>
      <c r="AJ362" t="str">
        <v>MR.NGUYEN　TIEN　DUC</v>
      </c>
      <c r="AK362" t="str">
        <v>三菱ＵＦＪ銀行</v>
      </c>
      <c r="AL362">
        <v>587</v>
      </c>
      <c r="AM362" t="str">
        <v>豊武</v>
      </c>
      <c r="AN362" t="str">
        <v>171491</v>
      </c>
      <c r="AO362" t="str">
        <v>OK</v>
      </c>
      <c r="AP362">
        <v>0</v>
      </c>
    </row>
    <row r="363" spans="1:42">
      <c r="A363" t="str">
        <f>H363&amp;COUNTIF($H$2:H363,H363)</f>
        <v>乙川工場製造3課6工区9班2</v>
      </c>
      <c r="B363" t="str">
        <f>F363&amp;COUNTIF($F$2:F363,F363)</f>
        <v>コーリツ 乙川6</v>
      </c>
      <c r="C363" t="str">
        <v>在職中</v>
      </c>
      <c r="D363">
        <v>201202</v>
      </c>
      <c r="E363">
        <v>8210023</v>
      </c>
      <c r="F363" t="str">
        <v>コーリツ 乙川</v>
      </c>
      <c r="G363" t="str">
        <v>乙川工場製造3課6工区9班</v>
      </c>
      <c r="H363" t="str">
        <v>乙川工場製造3課6工区9班</v>
      </c>
      <c r="I363">
        <v>0</v>
      </c>
      <c r="J363" t="str">
        <v>BUI VIET THANH</v>
      </c>
      <c r="K363" t="str">
        <v>ブイ　ヴィエット　タイン</v>
      </c>
      <c r="L363" t="str">
        <v>男</v>
      </c>
      <c r="M363" t="str">
        <v>ﾍﾞﾄﾅﾑ</v>
      </c>
      <c r="N363">
        <v>35115</v>
      </c>
      <c r="O363">
        <v>27</v>
      </c>
      <c r="P363">
        <v>1400</v>
      </c>
      <c r="Q363" t="str">
        <v>7/14トゥアン</v>
      </c>
      <c r="R363">
        <v>1990</v>
      </c>
      <c r="S363" t="str">
        <v>9/21　1600円→1650円</v>
      </c>
      <c r="T363">
        <v>590</v>
      </c>
      <c r="U363">
        <v>300000</v>
      </c>
      <c r="V363">
        <v>15014.999999999998</v>
      </c>
      <c r="W363" t="str">
        <v>0</v>
      </c>
      <c r="X363">
        <v>27450</v>
      </c>
      <c r="Y363">
        <v>45564</v>
      </c>
      <c r="Z363" t="str">
        <v/>
      </c>
      <c r="AA363" t="str">
        <v>技術・人文知識・国際業務</v>
      </c>
      <c r="AB363" t="str">
        <v>475-0828</v>
      </c>
      <c r="AC363" t="str">
        <v>愛知県半田市瑞穂町4丁目1-19</v>
      </c>
      <c r="AD363" t="str">
        <v>大松ﾊﾟｻｰｼﾞｭⅡ102号</v>
      </c>
      <c r="AE363">
        <v>44164</v>
      </c>
      <c r="AF363">
        <v>44166</v>
      </c>
      <c r="AG363">
        <v>0</v>
      </c>
      <c r="AH363">
        <v>0</v>
      </c>
      <c r="AI363">
        <v>44228</v>
      </c>
      <c r="AJ363" t="str">
        <v>ヴィ　ヴィエット　タイン</v>
      </c>
      <c r="AK363" t="str">
        <v>ゆうちょ銀行</v>
      </c>
      <c r="AL363">
        <v>828</v>
      </c>
      <c r="AM363" t="str">
        <v>八二八</v>
      </c>
      <c r="AN363" t="str">
        <v>3859058</v>
      </c>
      <c r="AO363" t="str">
        <v>OK</v>
      </c>
      <c r="AP363" t="str">
        <v>2022/02/05レジデンス住吉102～スカイレジデンス302に移動</v>
      </c>
    </row>
    <row r="364" spans="1:42">
      <c r="A364" t="str">
        <f>H364&amp;COUNTIF($H$2:H364,H364)</f>
        <v>乙川工場製造3課6工区9班3</v>
      </c>
      <c r="B364" t="str">
        <f>F364&amp;COUNTIF($F$2:F364,F364)</f>
        <v>コーリツ 乙川7</v>
      </c>
      <c r="C364" t="str">
        <v>在職中</v>
      </c>
      <c r="D364">
        <v>211211</v>
      </c>
      <c r="E364">
        <v>8210024</v>
      </c>
      <c r="F364" t="str">
        <v>コーリツ 乙川</v>
      </c>
      <c r="G364" t="str">
        <v>乙川工場製造3課6工区9班</v>
      </c>
      <c r="H364" t="str">
        <v>乙川工場製造3課6工区9班</v>
      </c>
      <c r="I364">
        <v>0</v>
      </c>
      <c r="J364" t="str">
        <v>TRAN VAN THAN</v>
      </c>
      <c r="K364" t="str">
        <v>チャン　ヴァン　タン</v>
      </c>
      <c r="L364" t="str">
        <v>男</v>
      </c>
      <c r="M364" t="str">
        <v>ﾍﾞﾄﾅﾑ</v>
      </c>
      <c r="N364">
        <v>33865</v>
      </c>
      <c r="O364">
        <v>31</v>
      </c>
      <c r="P364">
        <v>1400</v>
      </c>
      <c r="Q364">
        <v>0</v>
      </c>
      <c r="R364">
        <v>1990</v>
      </c>
      <c r="S364">
        <v>0</v>
      </c>
      <c r="T364">
        <v>590</v>
      </c>
      <c r="U364">
        <v>360000</v>
      </c>
      <c r="V364">
        <v>18018</v>
      </c>
      <c r="W364" t="str">
        <v>0</v>
      </c>
      <c r="X364">
        <v>32940</v>
      </c>
      <c r="Y364">
        <v>45266</v>
      </c>
      <c r="Z364" t="str">
        <v>残り期限90日!</v>
      </c>
      <c r="AA364" t="str">
        <v>技術・人文知識・国際業務</v>
      </c>
      <c r="AB364" t="str">
        <v>475-0828</v>
      </c>
      <c r="AC364" t="str">
        <v>愛知県半田市長根町1丁目104</v>
      </c>
      <c r="AD364" t="str">
        <v>ｺｯﾄﾝﾊｲﾂ105</v>
      </c>
      <c r="AE364" t="str">
        <v>個人</v>
      </c>
      <c r="AF364">
        <v>44550</v>
      </c>
      <c r="AG364">
        <v>45288</v>
      </c>
      <c r="AH364">
        <v>0</v>
      </c>
      <c r="AI364">
        <v>22.01</v>
      </c>
      <c r="AJ364" t="str">
        <v>チヤン　ヴアン　タン</v>
      </c>
      <c r="AK364" t="str">
        <v>ゆうちょ銀行</v>
      </c>
      <c r="AL364">
        <v>538</v>
      </c>
      <c r="AM364" t="str">
        <v>五三八</v>
      </c>
      <c r="AN364" t="str">
        <v>1580202</v>
      </c>
      <c r="AO364" t="str">
        <v>OK</v>
      </c>
      <c r="AP364">
        <v>0</v>
      </c>
    </row>
    <row r="365" spans="1:42">
      <c r="A365" t="str">
        <f>H365&amp;COUNTIF($H$2:H365,H365)</f>
        <v>060</v>
      </c>
      <c r="B365" t="str">
        <f>F365&amp;COUNTIF($F$2:F365,F365)</f>
        <v>コーリツ 州の崎11</v>
      </c>
      <c r="C365" t="str">
        <v>退社</v>
      </c>
      <c r="D365">
        <v>211213</v>
      </c>
      <c r="E365">
        <v>8210025</v>
      </c>
      <c r="F365" t="str">
        <v>コーリツ 州の崎</v>
      </c>
      <c r="G365" t="str">
        <v>州の埼工場　製造２課２工区３班</v>
      </c>
      <c r="H365">
        <v>0</v>
      </c>
      <c r="I365">
        <v>0</v>
      </c>
      <c r="J365" t="str">
        <v>TRAN HUU DANG</v>
      </c>
      <c r="K365" t="str">
        <v>チャン　フュ　ダン</v>
      </c>
      <c r="L365" t="str">
        <v>男</v>
      </c>
      <c r="M365" t="str">
        <v>ﾍﾞﾄﾅﾑ</v>
      </c>
      <c r="N365">
        <v>34548</v>
      </c>
      <c r="O365">
        <v>29</v>
      </c>
      <c r="P365">
        <v>1400</v>
      </c>
      <c r="Q365">
        <v>0</v>
      </c>
      <c r="R365">
        <v>1990</v>
      </c>
      <c r="S365">
        <v>0</v>
      </c>
      <c r="T365">
        <v>590</v>
      </c>
      <c r="U365">
        <v>0</v>
      </c>
      <c r="V365" t="str">
        <v/>
      </c>
      <c r="W365" t="str">
        <v>0</v>
      </c>
      <c r="X365" t="str">
        <v/>
      </c>
      <c r="Y365">
        <v>45118</v>
      </c>
      <c r="Z365" t="str">
        <v>残り期限90日!</v>
      </c>
      <c r="AA365" t="str">
        <v>技術・人文知識・国際業務</v>
      </c>
      <c r="AB365" t="str">
        <v>475-0024</v>
      </c>
      <c r="AC365" t="str">
        <v>愛知県半田市 亀崎高根町2丁目20-7</v>
      </c>
      <c r="AD365" t="str">
        <v>ﾋﾞﾚｯｼﾞﾊｳｽ亀崎2号棟301</v>
      </c>
      <c r="AE365">
        <v>44555</v>
      </c>
      <c r="AF365">
        <v>44550</v>
      </c>
      <c r="AG365">
        <v>44742</v>
      </c>
      <c r="AH365">
        <v>0</v>
      </c>
      <c r="AI365">
        <v>22.03</v>
      </c>
      <c r="AJ365">
        <v>0</v>
      </c>
      <c r="AK365">
        <v>0</v>
      </c>
      <c r="AL365">
        <v>0</v>
      </c>
      <c r="AM365">
        <v>0</v>
      </c>
      <c r="AN365">
        <v>0</v>
      </c>
      <c r="AO365" t="str">
        <v>OK</v>
      </c>
      <c r="AP365">
        <v>0</v>
      </c>
    </row>
    <row r="366" spans="1:42">
      <c r="A366" t="str">
        <f>H366&amp;COUNTIF($H$2:H366,H366)</f>
        <v>061</v>
      </c>
      <c r="B366" t="str">
        <f>F366&amp;COUNTIF($F$2:F366,F366)</f>
        <v>コーリツ 本社2</v>
      </c>
      <c r="C366" t="str">
        <v>退社</v>
      </c>
      <c r="D366">
        <v>220106</v>
      </c>
      <c r="E366">
        <v>8210026</v>
      </c>
      <c r="F366" t="str">
        <v>コーリツ 本社</v>
      </c>
      <c r="G366" t="str">
        <v>第５工場　製造２課３工区６班</v>
      </c>
      <c r="H366">
        <v>0</v>
      </c>
      <c r="I366">
        <v>0</v>
      </c>
      <c r="J366" t="str">
        <v>NGUYEN VAN CUA</v>
      </c>
      <c r="K366" t="str">
        <v>グエン　ヴァン　クア</v>
      </c>
      <c r="L366" t="str">
        <v>男</v>
      </c>
      <c r="M366" t="str">
        <v>ﾍﾞﾄﾅﾑ</v>
      </c>
      <c r="N366">
        <v>34496</v>
      </c>
      <c r="O366">
        <v>29</v>
      </c>
      <c r="P366">
        <v>1400</v>
      </c>
      <c r="Q366">
        <v>0</v>
      </c>
      <c r="R366">
        <v>1990</v>
      </c>
      <c r="S366">
        <v>0</v>
      </c>
      <c r="T366">
        <v>590</v>
      </c>
      <c r="U366">
        <v>0</v>
      </c>
      <c r="V366" t="str">
        <v/>
      </c>
      <c r="W366" t="str">
        <v>0</v>
      </c>
      <c r="X366" t="str">
        <v/>
      </c>
      <c r="Y366">
        <v>44856</v>
      </c>
      <c r="Z366" t="str">
        <v>残り期限90日!</v>
      </c>
      <c r="AA366" t="str">
        <v>技術・人文知識・国際業務</v>
      </c>
      <c r="AB366" t="str">
        <v>444-1313</v>
      </c>
      <c r="AC366" t="str">
        <v>愛知県高浜市向山町1丁目210番地3</v>
      </c>
      <c r="AD366" t="str">
        <v>ｻﾞ･ｼｯｸ101</v>
      </c>
      <c r="AE366">
        <v>44566</v>
      </c>
      <c r="AF366">
        <v>44567</v>
      </c>
      <c r="AG366">
        <v>44707</v>
      </c>
      <c r="AH366">
        <v>0</v>
      </c>
      <c r="AI366">
        <v>22.03</v>
      </c>
      <c r="AJ366">
        <v>0</v>
      </c>
      <c r="AK366">
        <v>0</v>
      </c>
      <c r="AL366">
        <v>0</v>
      </c>
      <c r="AM366">
        <v>0</v>
      </c>
      <c r="AN366">
        <v>0</v>
      </c>
      <c r="AO366" t="str">
        <v>OK</v>
      </c>
      <c r="AP366">
        <v>0</v>
      </c>
    </row>
    <row r="367" spans="1:42">
      <c r="A367" t="str">
        <f>H367&amp;COUNTIF($H$2:H367,H367)</f>
        <v>062</v>
      </c>
      <c r="B367" t="str">
        <f>F367&amp;COUNTIF($F$2:F367,F367)</f>
        <v>コーリツ 乙川8</v>
      </c>
      <c r="C367" t="str">
        <v>退社</v>
      </c>
      <c r="D367">
        <v>220108</v>
      </c>
      <c r="E367">
        <v>8210027</v>
      </c>
      <c r="F367" t="str">
        <v>コーリツ 乙川</v>
      </c>
      <c r="G367" t="str">
        <v>乙川工場　製造３課５工区７班</v>
      </c>
      <c r="H367">
        <v>0</v>
      </c>
      <c r="I367">
        <v>0</v>
      </c>
      <c r="J367" t="str">
        <v>NGUYEN TIEN HAI</v>
      </c>
      <c r="K367" t="str">
        <v>グエン　ティエン　ハイ</v>
      </c>
      <c r="L367" t="str">
        <v>男</v>
      </c>
      <c r="M367" t="str">
        <v>ﾍﾞﾄﾅﾑ</v>
      </c>
      <c r="N367">
        <v>33230</v>
      </c>
      <c r="O367">
        <v>32</v>
      </c>
      <c r="P367">
        <v>1400</v>
      </c>
      <c r="Q367">
        <v>0</v>
      </c>
      <c r="R367">
        <v>1990</v>
      </c>
      <c r="S367">
        <v>0</v>
      </c>
      <c r="T367">
        <v>590</v>
      </c>
      <c r="U367">
        <v>320000</v>
      </c>
      <c r="V367">
        <v>16015.999999999998</v>
      </c>
      <c r="W367" t="str">
        <v>0</v>
      </c>
      <c r="X367">
        <v>29280</v>
      </c>
      <c r="Y367">
        <v>45251</v>
      </c>
      <c r="Z367" t="str">
        <v>残り期限90日!</v>
      </c>
      <c r="AA367" t="str">
        <v>技術・人文知識・国際業務</v>
      </c>
      <c r="AB367" t="str">
        <v>475-0828</v>
      </c>
      <c r="AC367" t="str">
        <v>愛知県半田市瑞穂町9丁目6-9</v>
      </c>
      <c r="AD367" t="str">
        <v>ｽｶｲﾚｼﾞﾃﾞﾝｽ302</v>
      </c>
      <c r="AE367">
        <v>44569</v>
      </c>
      <c r="AF367">
        <v>44571</v>
      </c>
      <c r="AG367">
        <v>44952</v>
      </c>
      <c r="AH367">
        <v>0</v>
      </c>
      <c r="AI367">
        <v>22.03</v>
      </c>
      <c r="AJ367" t="str">
        <v>グエン　ティエン　ハイ</v>
      </c>
      <c r="AK367" t="str">
        <v>ゆうちょ銀行</v>
      </c>
      <c r="AL367">
        <v>468</v>
      </c>
      <c r="AM367" t="str">
        <v>四六八</v>
      </c>
      <c r="AN367" t="str">
        <v>2347060</v>
      </c>
      <c r="AO367" t="str">
        <v>OK</v>
      </c>
      <c r="AP367" t="str">
        <v>2022/02/05ﾋﾙｽﾞｻﾝﾊﾟﾃｨｰｸ203～スカイレジデンス302に移動</v>
      </c>
    </row>
    <row r="368" spans="1:42">
      <c r="A368" t="str">
        <f>H368&amp;COUNTIF($H$2:H368,H368)</f>
        <v>州の崎工場製造1課1工区1班2</v>
      </c>
      <c r="B368" t="str">
        <f>F368&amp;COUNTIF($F$2:F368,F368)</f>
        <v>コーリツ 州の崎12</v>
      </c>
      <c r="C368" t="str">
        <v>在職中</v>
      </c>
      <c r="D368">
        <v>220108</v>
      </c>
      <c r="E368">
        <v>8210027</v>
      </c>
      <c r="F368" t="str">
        <v>コーリツ 州の崎</v>
      </c>
      <c r="G368" t="str">
        <v>州の崎工場製造1課1工区1班</v>
      </c>
      <c r="H368" t="str">
        <v>州の崎工場製造1課1工区1班</v>
      </c>
      <c r="I368">
        <v>0</v>
      </c>
      <c r="J368" t="str">
        <v>NGUYEN TIEN HAI</v>
      </c>
      <c r="K368" t="str">
        <v>グエン　ティエン　ハイ</v>
      </c>
      <c r="L368" t="str">
        <v>男</v>
      </c>
      <c r="M368" t="str">
        <v>ﾍﾞﾄﾅﾑ</v>
      </c>
      <c r="N368">
        <v>33230</v>
      </c>
      <c r="O368">
        <v>32</v>
      </c>
      <c r="P368">
        <v>1400</v>
      </c>
      <c r="Q368">
        <v>0</v>
      </c>
      <c r="R368">
        <v>1990</v>
      </c>
      <c r="S368">
        <v>0</v>
      </c>
      <c r="T368">
        <v>590</v>
      </c>
      <c r="U368">
        <v>280000</v>
      </c>
      <c r="V368">
        <v>14014</v>
      </c>
      <c r="W368" t="str">
        <v>0</v>
      </c>
      <c r="X368">
        <v>25620</v>
      </c>
      <c r="Y368">
        <v>45632</v>
      </c>
      <c r="Z368" t="str">
        <v/>
      </c>
      <c r="AA368" t="str">
        <v>技術・人文知識・国際業務</v>
      </c>
      <c r="AB368" t="str">
        <v>475-0074</v>
      </c>
      <c r="AC368" t="str">
        <v>愛知県半田市長根町３丁目１番　</v>
      </c>
      <c r="AD368" t="str">
        <v>県営長根住宅10棟402号</v>
      </c>
      <c r="AE368" t="str">
        <v>個人</v>
      </c>
      <c r="AF368">
        <v>44970</v>
      </c>
      <c r="AG368">
        <v>0</v>
      </c>
      <c r="AH368">
        <v>0</v>
      </c>
      <c r="AI368" t="str">
        <v>23.3.1</v>
      </c>
      <c r="AJ368">
        <v>0</v>
      </c>
      <c r="AK368">
        <v>0</v>
      </c>
      <c r="AL368">
        <v>0</v>
      </c>
      <c r="AM368">
        <v>0</v>
      </c>
      <c r="AN368">
        <v>0</v>
      </c>
      <c r="AO368" t="str">
        <v>2/27林</v>
      </c>
      <c r="AP368">
        <v>0</v>
      </c>
    </row>
    <row r="369" spans="1:42">
      <c r="A369" t="str">
        <f>H369&amp;COUNTIF($H$2:H369,H369)</f>
        <v>州の崎工場製造1課1工区1班3</v>
      </c>
      <c r="B369" t="str">
        <f>F369&amp;COUNTIF($F$2:F369,F369)</f>
        <v>コーリツ 州の崎13</v>
      </c>
      <c r="C369" t="str">
        <v>在職中</v>
      </c>
      <c r="D369">
        <v>220107</v>
      </c>
      <c r="E369">
        <v>8210028</v>
      </c>
      <c r="F369" t="str">
        <v>コーリツ 州の崎</v>
      </c>
      <c r="G369" t="str">
        <v>州の崎工場製造1課1工区1班</v>
      </c>
      <c r="H369" t="str">
        <v>州の崎工場製造1課1工区1班</v>
      </c>
      <c r="I369">
        <v>0</v>
      </c>
      <c r="J369" t="str">
        <v>NGUYEN VAN KHOA</v>
      </c>
      <c r="K369" t="str">
        <v>グエン　ヴァン　コア</v>
      </c>
      <c r="L369" t="str">
        <v>男</v>
      </c>
      <c r="M369" t="str">
        <v>ﾍﾞﾄﾅﾑ</v>
      </c>
      <c r="N369">
        <v>33552</v>
      </c>
      <c r="O369">
        <v>32</v>
      </c>
      <c r="P369">
        <v>1400</v>
      </c>
      <c r="Q369">
        <v>0</v>
      </c>
      <c r="R369">
        <v>1990</v>
      </c>
      <c r="S369">
        <v>0</v>
      </c>
      <c r="T369">
        <v>590</v>
      </c>
      <c r="U369">
        <v>320000</v>
      </c>
      <c r="V369">
        <v>16015.999999999998</v>
      </c>
      <c r="W369" t="str">
        <v>0</v>
      </c>
      <c r="X369">
        <v>29280</v>
      </c>
      <c r="Y369">
        <v>46189</v>
      </c>
      <c r="Z369" t="str">
        <v/>
      </c>
      <c r="AA369" t="str">
        <v>技術・人文知識・国際業務</v>
      </c>
      <c r="AB369" t="str">
        <v>444-1334</v>
      </c>
      <c r="AC369" t="str">
        <v>愛知県高浜市春日町1丁目２番地１</v>
      </c>
      <c r="AD369" t="str">
        <v>県営赤松住宅4棟202号</v>
      </c>
      <c r="AE369" t="str">
        <v>個人</v>
      </c>
      <c r="AF369">
        <v>44567</v>
      </c>
      <c r="AG369">
        <v>0</v>
      </c>
      <c r="AH369">
        <v>0</v>
      </c>
      <c r="AI369">
        <v>22.03</v>
      </c>
      <c r="AJ369" t="str">
        <v>グエン　ヴァン　コア</v>
      </c>
      <c r="AK369" t="str">
        <v>ゆうちょ銀行</v>
      </c>
      <c r="AL369">
        <v>78</v>
      </c>
      <c r="AM369" t="str">
        <v>〇七八</v>
      </c>
      <c r="AN369" t="str">
        <v>3121130</v>
      </c>
      <c r="AO369" t="str">
        <v>OK</v>
      </c>
      <c r="AP369">
        <v>0</v>
      </c>
    </row>
    <row r="370" spans="1:42">
      <c r="A370" t="str">
        <f>H370&amp;COUNTIF($H$2:H370,H370)</f>
        <v>州の崎工場製造1課1工区2班2</v>
      </c>
      <c r="B370" t="str">
        <f>F370&amp;COUNTIF($F$2:F370,F370)</f>
        <v>コーリツ 州の崎14</v>
      </c>
      <c r="C370" t="str">
        <v>在職中</v>
      </c>
      <c r="D370">
        <v>220115</v>
      </c>
      <c r="E370">
        <v>8210029</v>
      </c>
      <c r="F370" t="str">
        <v>コーリツ 州の崎</v>
      </c>
      <c r="G370" t="str">
        <v>州の埼工場製造１課１工区２班</v>
      </c>
      <c r="H370" t="str">
        <v>州の崎工場製造1課1工区2班</v>
      </c>
      <c r="I370">
        <v>0</v>
      </c>
      <c r="J370" t="str">
        <v>LE XUAN QUYNH</v>
      </c>
      <c r="K370" t="str">
        <v>レー　スァン　クイン</v>
      </c>
      <c r="L370" t="str">
        <v>男</v>
      </c>
      <c r="M370" t="str">
        <v>ﾍﾞﾄﾅﾑ</v>
      </c>
      <c r="N370">
        <v>35393</v>
      </c>
      <c r="O370">
        <v>27</v>
      </c>
      <c r="P370">
        <v>1400</v>
      </c>
      <c r="Q370">
        <v>0</v>
      </c>
      <c r="R370">
        <v>1990</v>
      </c>
      <c r="S370">
        <v>0</v>
      </c>
      <c r="T370">
        <v>590</v>
      </c>
      <c r="U370">
        <v>320000</v>
      </c>
      <c r="V370">
        <v>16015.999999999998</v>
      </c>
      <c r="W370" t="str">
        <v>0</v>
      </c>
      <c r="X370">
        <v>29280</v>
      </c>
      <c r="Y370">
        <v>45625</v>
      </c>
      <c r="Z370" t="str">
        <v/>
      </c>
      <c r="AA370" t="str">
        <v>技術・人文知識・国際業務</v>
      </c>
      <c r="AB370" t="str">
        <v>475-0006</v>
      </c>
      <c r="AC370" t="str">
        <v>愛知県半田市南大矢知町4丁目205番地2</v>
      </c>
      <c r="AD370" t="str">
        <v>ﾒｿﾞﾝﾄﾞﾗﾊﾟﾝⅡ203</v>
      </c>
      <c r="AE370">
        <v>44575</v>
      </c>
      <c r="AF370">
        <v>44578</v>
      </c>
      <c r="AG370">
        <v>0</v>
      </c>
      <c r="AH370">
        <v>0</v>
      </c>
      <c r="AI370">
        <v>22.04</v>
      </c>
      <c r="AJ370" t="str">
        <v>レー　スアン　クイン</v>
      </c>
      <c r="AK370" t="str">
        <v>ゆうちょ銀行</v>
      </c>
      <c r="AL370">
        <v>248</v>
      </c>
      <c r="AM370" t="str">
        <v>二四八</v>
      </c>
      <c r="AN370" t="str">
        <v>3573452</v>
      </c>
      <c r="AO370" t="str">
        <v>OK</v>
      </c>
      <c r="AP370">
        <v>0</v>
      </c>
    </row>
    <row r="371" spans="1:42">
      <c r="A371" t="str">
        <f>H371&amp;COUNTIF($H$2:H371,H371)</f>
        <v>063</v>
      </c>
      <c r="B371" t="str">
        <f>F371&amp;COUNTIF($F$2:F371,F371)</f>
        <v>コーリツ 州の崎15</v>
      </c>
      <c r="C371" t="str">
        <v>退社</v>
      </c>
      <c r="D371">
        <v>220117</v>
      </c>
      <c r="E371">
        <v>8210031</v>
      </c>
      <c r="F371" t="str">
        <v>コーリツ 州の崎</v>
      </c>
      <c r="G371" t="str">
        <v>州の埼２工場　製造3課５工区７班</v>
      </c>
      <c r="H371">
        <v>0</v>
      </c>
      <c r="I371">
        <v>0</v>
      </c>
      <c r="J371" t="str">
        <v>VU VAN LONG</v>
      </c>
      <c r="K371" t="str">
        <v>ブー　バン　ロン</v>
      </c>
      <c r="L371" t="str">
        <v>男</v>
      </c>
      <c r="M371" t="str">
        <v>ﾍﾞﾄﾅﾑ</v>
      </c>
      <c r="N371">
        <v>34808</v>
      </c>
      <c r="O371">
        <v>28</v>
      </c>
      <c r="P371">
        <v>1400</v>
      </c>
      <c r="Q371">
        <v>0</v>
      </c>
      <c r="R371">
        <v>1960</v>
      </c>
      <c r="S371">
        <v>0</v>
      </c>
      <c r="T371">
        <v>560</v>
      </c>
      <c r="U371">
        <v>0</v>
      </c>
      <c r="V371" t="str">
        <v/>
      </c>
      <c r="W371" t="str">
        <v>0</v>
      </c>
      <c r="X371" t="str">
        <v/>
      </c>
      <c r="Y371">
        <v>45625</v>
      </c>
      <c r="Z371" t="str">
        <v/>
      </c>
      <c r="AA371" t="str">
        <v>技術・人文知識・国際業務</v>
      </c>
      <c r="AB371" t="str">
        <v>475-0006</v>
      </c>
      <c r="AC371" t="str">
        <v>愛知県半田市南大矢知町4丁目205番地2</v>
      </c>
      <c r="AD371" t="str">
        <v>ﾒｿﾞﾝﾄﾞﾗﾊﾟﾝⅡ203</v>
      </c>
      <c r="AE371">
        <v>44575</v>
      </c>
      <c r="AF371">
        <v>44578</v>
      </c>
      <c r="AG371">
        <v>44715</v>
      </c>
      <c r="AH371">
        <v>45198</v>
      </c>
      <c r="AI371">
        <v>22.04</v>
      </c>
      <c r="AJ371">
        <v>0</v>
      </c>
      <c r="AK371">
        <v>0</v>
      </c>
      <c r="AL371">
        <v>0</v>
      </c>
      <c r="AM371">
        <v>0</v>
      </c>
      <c r="AN371">
        <v>0</v>
      </c>
      <c r="AO371" t="str">
        <v>OK</v>
      </c>
      <c r="AP371">
        <v>0</v>
      </c>
    </row>
    <row r="372" spans="1:42">
      <c r="A372" t="str">
        <f>H372&amp;COUNTIF($H$2:H372,H372)</f>
        <v>064</v>
      </c>
      <c r="B372" t="str">
        <f>F372&amp;COUNTIF($F$2:F372,F372)</f>
        <v>コーリツ 州の崎16</v>
      </c>
      <c r="C372" t="str">
        <v>退社</v>
      </c>
      <c r="D372">
        <v>220114</v>
      </c>
      <c r="E372">
        <v>8210032</v>
      </c>
      <c r="F372" t="str">
        <v>コーリツ 州の崎</v>
      </c>
      <c r="G372" t="str">
        <v>州の埼２工場　製造3課５工区７班</v>
      </c>
      <c r="H372">
        <v>0</v>
      </c>
      <c r="I372">
        <v>0</v>
      </c>
      <c r="J372" t="str">
        <v>HOANG MANH TIEN</v>
      </c>
      <c r="K372" t="str">
        <v>ホアン　マン　ティエン</v>
      </c>
      <c r="L372" t="str">
        <v>男</v>
      </c>
      <c r="M372" t="str">
        <v>ﾍﾞﾄﾅﾑ</v>
      </c>
      <c r="N372">
        <v>34201</v>
      </c>
      <c r="O372">
        <v>30</v>
      </c>
      <c r="P372">
        <v>1400</v>
      </c>
      <c r="Q372">
        <v>0</v>
      </c>
      <c r="R372">
        <v>1990</v>
      </c>
      <c r="S372">
        <v>0</v>
      </c>
      <c r="T372">
        <v>590</v>
      </c>
      <c r="U372">
        <v>0</v>
      </c>
      <c r="V372" t="str">
        <v/>
      </c>
      <c r="W372" t="str">
        <v>0</v>
      </c>
      <c r="X372" t="str">
        <v/>
      </c>
      <c r="Y372">
        <v>45366</v>
      </c>
      <c r="Z372" t="str">
        <v/>
      </c>
      <c r="AA372" t="str">
        <v>技術・人文知識・国際業務</v>
      </c>
      <c r="AB372" t="str">
        <v>475-0024</v>
      </c>
      <c r="AC372" t="str">
        <v>愛知県半田市 亀崎高根町2丁目20-7</v>
      </c>
      <c r="AD372" t="str">
        <v>ﾋﾞﾚｯｼﾞﾊｳｽ亀崎2号棟301</v>
      </c>
      <c r="AE372">
        <v>0</v>
      </c>
      <c r="AF372">
        <v>44578</v>
      </c>
      <c r="AG372">
        <v>44742</v>
      </c>
      <c r="AH372">
        <v>0</v>
      </c>
      <c r="AI372">
        <v>22.04</v>
      </c>
      <c r="AJ372">
        <v>0</v>
      </c>
      <c r="AK372">
        <v>0</v>
      </c>
      <c r="AL372">
        <v>0</v>
      </c>
      <c r="AM372">
        <v>0</v>
      </c>
      <c r="AN372">
        <v>0</v>
      </c>
      <c r="AO372" t="str">
        <v>OK</v>
      </c>
      <c r="AP372">
        <v>0</v>
      </c>
    </row>
    <row r="373" spans="1:42">
      <c r="A373" t="str">
        <f>H373&amp;COUNTIF($H$2:H373,H373)</f>
        <v>乙川工場製造3課6工区8班1</v>
      </c>
      <c r="B373" t="str">
        <f>F373&amp;COUNTIF($F$2:F373,F373)</f>
        <v>コーリツ 乙川9</v>
      </c>
      <c r="C373" t="str">
        <v>在職中</v>
      </c>
      <c r="D373">
        <v>220125</v>
      </c>
      <c r="E373">
        <v>8210033</v>
      </c>
      <c r="F373" t="str">
        <v>コーリツ 乙川</v>
      </c>
      <c r="G373" t="str">
        <v>乙川工場製造3課6工区8班</v>
      </c>
      <c r="H373" t="str">
        <v>乙川工場製造3課6工区8班</v>
      </c>
      <c r="I373">
        <v>0</v>
      </c>
      <c r="J373" t="str">
        <v>BUI DUC THANG</v>
      </c>
      <c r="K373" t="str">
        <v>ブイ　ドック　タン</v>
      </c>
      <c r="L373" t="str">
        <v>男</v>
      </c>
      <c r="M373" t="str">
        <v>ﾍﾞﾄﾅﾑ</v>
      </c>
      <c r="N373">
        <v>35389</v>
      </c>
      <c r="O373">
        <v>27</v>
      </c>
      <c r="P373">
        <v>1400</v>
      </c>
      <c r="Q373">
        <v>0</v>
      </c>
      <c r="R373">
        <v>1990</v>
      </c>
      <c r="S373">
        <v>0</v>
      </c>
      <c r="T373">
        <v>590</v>
      </c>
      <c r="U373">
        <v>340000</v>
      </c>
      <c r="V373">
        <v>17017</v>
      </c>
      <c r="W373" t="str">
        <v>0</v>
      </c>
      <c r="X373">
        <v>31110</v>
      </c>
      <c r="Y373">
        <v>45625</v>
      </c>
      <c r="Z373" t="str">
        <v/>
      </c>
      <c r="AA373" t="str">
        <v>技術・人文知識・国際業務</v>
      </c>
      <c r="AB373" t="str">
        <v>475-0006</v>
      </c>
      <c r="AC373" t="str">
        <v>愛知県半田市南大矢知町4丁目205番地2</v>
      </c>
      <c r="AD373" t="str">
        <v>ﾒｿﾞﾝﾄﾞﾗﾊﾟﾝⅡ203</v>
      </c>
      <c r="AE373">
        <v>44582</v>
      </c>
      <c r="AF373">
        <v>44585</v>
      </c>
      <c r="AG373">
        <v>0</v>
      </c>
      <c r="AH373">
        <v>0</v>
      </c>
      <c r="AI373">
        <v>22.04</v>
      </c>
      <c r="AJ373" t="str">
        <v>プイ　ドック　タン</v>
      </c>
      <c r="AK373" t="str">
        <v>ゆうちょ銀行</v>
      </c>
      <c r="AL373">
        <v>248</v>
      </c>
      <c r="AM373" t="str">
        <v>二四八</v>
      </c>
      <c r="AN373" t="str">
        <v>3498134</v>
      </c>
      <c r="AO373" t="str">
        <v>OK</v>
      </c>
      <c r="AP373">
        <v>0</v>
      </c>
    </row>
    <row r="374" spans="1:42">
      <c r="A374" t="str">
        <f>H374&amp;COUNTIF($H$2:H374,H374)</f>
        <v>乙川工場製造3課6工区9班4</v>
      </c>
      <c r="B374" t="str">
        <f>F374&amp;COUNTIF($F$2:F374,F374)</f>
        <v>コーリツ 乙川10</v>
      </c>
      <c r="C374" t="str">
        <v>在職中</v>
      </c>
      <c r="D374">
        <v>220302</v>
      </c>
      <c r="E374">
        <v>8210034</v>
      </c>
      <c r="F374" t="str">
        <v>コーリツ 乙川</v>
      </c>
      <c r="G374" t="str">
        <v>乙川工場製造3課6工区9班</v>
      </c>
      <c r="H374" t="str">
        <v>乙川工場製造3課6工区9班</v>
      </c>
      <c r="I374">
        <v>0</v>
      </c>
      <c r="J374" t="str">
        <v>TRAN VAN NHAT</v>
      </c>
      <c r="K374" t="str">
        <v>チャン　バン　ニャット</v>
      </c>
      <c r="L374" t="str">
        <v>男</v>
      </c>
      <c r="M374" t="str">
        <v>ﾍﾞﾄﾅﾑ</v>
      </c>
      <c r="N374">
        <v>34640</v>
      </c>
      <c r="O374">
        <v>29</v>
      </c>
      <c r="P374">
        <v>1400</v>
      </c>
      <c r="Q374">
        <v>0</v>
      </c>
      <c r="R374">
        <v>1990</v>
      </c>
      <c r="S374">
        <v>0</v>
      </c>
      <c r="T374">
        <v>590</v>
      </c>
      <c r="U374">
        <v>340000</v>
      </c>
      <c r="V374">
        <v>17017</v>
      </c>
      <c r="W374" t="str">
        <v>0</v>
      </c>
      <c r="X374">
        <v>31110</v>
      </c>
      <c r="Y374">
        <v>45316</v>
      </c>
      <c r="Z374" t="str">
        <v>残り期限90日!</v>
      </c>
      <c r="AA374" t="str">
        <v>技術・人文知識・国際業務</v>
      </c>
      <c r="AB374" t="str">
        <v>470-2385</v>
      </c>
      <c r="AC374" t="str">
        <v>愛知県知多郡武豊町北中根4-1</v>
      </c>
      <c r="AD374" t="str">
        <v>ﾋﾞﾚｯｼﾞﾊｳｽ1-204</v>
      </c>
      <c r="AE374" t="str">
        <v>個人</v>
      </c>
      <c r="AF374">
        <v>44621</v>
      </c>
      <c r="AG374">
        <v>0</v>
      </c>
      <c r="AH374">
        <v>0</v>
      </c>
      <c r="AI374">
        <v>22.05</v>
      </c>
      <c r="AJ374" t="str">
        <v>チャン　ヴァン　ニャット</v>
      </c>
      <c r="AK374" t="str">
        <v>ゆうちょ銀行</v>
      </c>
      <c r="AL374">
        <v>18</v>
      </c>
      <c r="AM374" t="str">
        <v>〇一八</v>
      </c>
      <c r="AN374" t="str">
        <v>6883860</v>
      </c>
      <c r="AO374" t="str">
        <v>OK</v>
      </c>
      <c r="AP374">
        <v>0</v>
      </c>
    </row>
    <row r="375" spans="1:42">
      <c r="A375" t="str">
        <f>H375&amp;COUNTIF($H$2:H375,H375)</f>
        <v>065</v>
      </c>
      <c r="B375" t="str">
        <f>F375&amp;COUNTIF($F$2:F375,F375)</f>
        <v>コーリツ 本社3</v>
      </c>
      <c r="C375" t="str">
        <v>退社</v>
      </c>
      <c r="D375">
        <v>220304</v>
      </c>
      <c r="E375">
        <v>8210035</v>
      </c>
      <c r="F375" t="str">
        <v>コーリツ 本社</v>
      </c>
      <c r="G375" t="str">
        <v>本社工場　製造１課２工区２班</v>
      </c>
      <c r="H375">
        <v>0</v>
      </c>
      <c r="I375">
        <v>0</v>
      </c>
      <c r="J375" t="str">
        <v>VU VAN TOAN</v>
      </c>
      <c r="K375" t="str">
        <v>ヴー　ヴァン　トアン</v>
      </c>
      <c r="L375" t="str">
        <v>男</v>
      </c>
      <c r="M375" t="str">
        <v>ﾍﾞﾄﾅﾑ</v>
      </c>
      <c r="N375">
        <v>34536</v>
      </c>
      <c r="O375">
        <v>29</v>
      </c>
      <c r="P375">
        <v>1400</v>
      </c>
      <c r="Q375">
        <v>0</v>
      </c>
      <c r="R375">
        <v>1990</v>
      </c>
      <c r="S375">
        <v>0</v>
      </c>
      <c r="T375">
        <v>590</v>
      </c>
      <c r="U375">
        <v>0</v>
      </c>
      <c r="V375" t="str">
        <v/>
      </c>
      <c r="W375" t="str">
        <v>0</v>
      </c>
      <c r="X375" t="str">
        <v/>
      </c>
      <c r="Y375">
        <v>45340</v>
      </c>
      <c r="Z375" t="str">
        <v>残り期限90日!</v>
      </c>
      <c r="AA375" t="str">
        <v>技術・人文知識・国際業務</v>
      </c>
      <c r="AB375" t="str">
        <v>444-1302</v>
      </c>
      <c r="AC375" t="str">
        <v>愛知県高浜市八幡町6-1-9</v>
      </c>
      <c r="AD375" t="str">
        <v>ﾙﾐｴｰﾙ KATO201</v>
      </c>
      <c r="AE375">
        <v>44617</v>
      </c>
      <c r="AF375">
        <v>44621</v>
      </c>
      <c r="AG375">
        <v>44923</v>
      </c>
      <c r="AH375">
        <v>0</v>
      </c>
      <c r="AI375">
        <v>22.05</v>
      </c>
      <c r="AJ375" t="str">
        <v>ヴー　ヴァン　トアン</v>
      </c>
      <c r="AK375" t="str">
        <v>ゆうちょ銀行</v>
      </c>
      <c r="AL375">
        <v>78</v>
      </c>
      <c r="AM375" t="str">
        <v>〇七八</v>
      </c>
      <c r="AN375" t="str">
        <v>3612697</v>
      </c>
      <c r="AO375" t="str">
        <v>OK</v>
      </c>
      <c r="AP375" t="str">
        <v>2022/2//28ﾋﾙｽﾞｻﾝﾊﾟﾃｨｰｸ203~ザ・シック101に移動 ,
 2022/03/13ザ・シック101~KATO201に移動</v>
      </c>
    </row>
    <row r="376" spans="1:42">
      <c r="A376" t="str">
        <f>H376&amp;COUNTIF($H$2:H376,H376)</f>
        <v>本社工場製造1課2工区2班2</v>
      </c>
      <c r="B376" t="str">
        <f>F376&amp;COUNTIF($F$2:F376,F376)</f>
        <v>コーリツ 本社4</v>
      </c>
      <c r="C376" t="str">
        <v>在職中</v>
      </c>
      <c r="D376">
        <v>220304</v>
      </c>
      <c r="E376">
        <v>8210035</v>
      </c>
      <c r="F376" t="str">
        <v>コーリツ 本社</v>
      </c>
      <c r="G376" t="str">
        <v>本社工場　製造１課２工区２班</v>
      </c>
      <c r="H376" t="str">
        <v>本社工場製造1課2工区2班</v>
      </c>
      <c r="I376">
        <v>0</v>
      </c>
      <c r="J376" t="str">
        <v>VU VAN TOAN</v>
      </c>
      <c r="K376" t="str">
        <v>ヴー　ヴァン　トアン</v>
      </c>
      <c r="L376" t="str">
        <v>男</v>
      </c>
      <c r="M376" t="str">
        <v>ﾍﾞﾄﾅﾑ</v>
      </c>
      <c r="N376">
        <v>34536</v>
      </c>
      <c r="O376">
        <v>29</v>
      </c>
      <c r="P376">
        <v>1400</v>
      </c>
      <c r="Q376">
        <v>0</v>
      </c>
      <c r="R376">
        <v>1990</v>
      </c>
      <c r="S376">
        <v>0</v>
      </c>
      <c r="T376">
        <v>590</v>
      </c>
      <c r="U376">
        <v>340000</v>
      </c>
      <c r="V376">
        <v>17017</v>
      </c>
      <c r="W376" t="str">
        <v>0</v>
      </c>
      <c r="X376">
        <v>31110</v>
      </c>
      <c r="Y376">
        <v>45340</v>
      </c>
      <c r="Z376" t="str">
        <v>残り期限90日!</v>
      </c>
      <c r="AA376" t="str">
        <v>技術・人文知識・国際業務</v>
      </c>
      <c r="AB376" t="str">
        <v>444-1332</v>
      </c>
      <c r="AC376" t="str">
        <v>愛知県高浜市湯山町4丁目9番地6</v>
      </c>
      <c r="AD376" t="str">
        <v>ﾋﾞﾚｯｼﾞﾊｳｽ高取3号棟102号</v>
      </c>
      <c r="AE376" t="str">
        <v>個人</v>
      </c>
      <c r="AF376">
        <v>44958</v>
      </c>
      <c r="AG376">
        <v>0</v>
      </c>
      <c r="AH376">
        <v>0</v>
      </c>
      <c r="AI376" t="str">
        <v>23.3.1</v>
      </c>
      <c r="AJ376">
        <v>0</v>
      </c>
      <c r="AK376">
        <v>0</v>
      </c>
      <c r="AL376">
        <v>0</v>
      </c>
      <c r="AM376">
        <v>0</v>
      </c>
      <c r="AN376">
        <v>0</v>
      </c>
      <c r="AO376" t="str">
        <v>2/15林</v>
      </c>
      <c r="AP376">
        <v>0</v>
      </c>
    </row>
    <row r="377" spans="1:42">
      <c r="A377" t="str">
        <f>H377&amp;COUNTIF($H$2:H377,H377)</f>
        <v>066</v>
      </c>
      <c r="B377" t="str">
        <f>F377&amp;COUNTIF($F$2:F377,F377)</f>
        <v>コーリツ 州の崎17</v>
      </c>
      <c r="C377" t="str">
        <v>退社</v>
      </c>
      <c r="D377">
        <v>220303</v>
      </c>
      <c r="E377">
        <v>8210036</v>
      </c>
      <c r="F377" t="str">
        <v>コーリツ 州の崎</v>
      </c>
      <c r="G377" t="str">
        <v>州の埼工場　製造２課２工区３班</v>
      </c>
      <c r="H377">
        <v>0</v>
      </c>
      <c r="I377">
        <v>0</v>
      </c>
      <c r="J377" t="str">
        <v>BUI VAN DOAN</v>
      </c>
      <c r="K377" t="str">
        <v>ブイ　ヴァン　ドアン</v>
      </c>
      <c r="L377" t="str">
        <v>男</v>
      </c>
      <c r="M377" t="str">
        <v>ﾍﾞﾄﾅﾑ</v>
      </c>
      <c r="N377">
        <v>33068</v>
      </c>
      <c r="O377">
        <v>33</v>
      </c>
      <c r="P377">
        <v>1400</v>
      </c>
      <c r="Q377">
        <v>0</v>
      </c>
      <c r="R377">
        <v>1990</v>
      </c>
      <c r="S377">
        <v>0</v>
      </c>
      <c r="T377">
        <v>590</v>
      </c>
      <c r="U377">
        <v>0</v>
      </c>
      <c r="V377">
        <v>0</v>
      </c>
      <c r="W377" t="str">
        <v>0</v>
      </c>
      <c r="X377">
        <v>0</v>
      </c>
      <c r="Y377">
        <v>45155</v>
      </c>
      <c r="Z377" t="str">
        <v>残り期限90日!</v>
      </c>
      <c r="AA377" t="str">
        <v>技術・人文知識・国際業務</v>
      </c>
      <c r="AB377" t="str">
        <v>475-0075</v>
      </c>
      <c r="AC377" t="str">
        <v>愛知県半田市苗代町2丁目19番地</v>
      </c>
      <c r="AD377" t="str">
        <v>ｼｬﾙﾏﾝ苗代102号</v>
      </c>
      <c r="AE377">
        <v>44619</v>
      </c>
      <c r="AF377">
        <v>44621</v>
      </c>
      <c r="AG377">
        <v>44952</v>
      </c>
      <c r="AH377">
        <v>0</v>
      </c>
      <c r="AI377">
        <v>22.05</v>
      </c>
      <c r="AJ377" t="str">
        <v>ヴィ　ヴァン　ドアン</v>
      </c>
      <c r="AK377" t="str">
        <v>ゆうちょ銀行</v>
      </c>
      <c r="AL377">
        <v>238</v>
      </c>
      <c r="AM377" t="str">
        <v>二三八</v>
      </c>
      <c r="AN377" t="str">
        <v>5892958</v>
      </c>
      <c r="AO377" t="str">
        <v>OK</v>
      </c>
      <c r="AP377">
        <v>0</v>
      </c>
    </row>
    <row r="378" spans="1:42">
      <c r="A378" t="str">
        <f>H378&amp;COUNTIF($H$2:H378,H378)</f>
        <v>乙川工場製造3課6工区8班2</v>
      </c>
      <c r="B378" t="str">
        <f>F378&amp;COUNTIF($F$2:F378,F378)</f>
        <v>コーリツ 乙川11</v>
      </c>
      <c r="C378" t="str">
        <v>在職中</v>
      </c>
      <c r="D378">
        <v>220303</v>
      </c>
      <c r="E378">
        <v>8210036</v>
      </c>
      <c r="F378" t="str">
        <v>コーリツ 乙川</v>
      </c>
      <c r="G378" t="str">
        <v>乙川工場製造3課6工区8班</v>
      </c>
      <c r="H378" t="str">
        <v>乙川工場製造3課6工区8班</v>
      </c>
      <c r="I378">
        <v>0</v>
      </c>
      <c r="J378" t="str">
        <v>BUI VAN DOAN</v>
      </c>
      <c r="K378" t="str">
        <v>ブイ　ヴァン　ドアン</v>
      </c>
      <c r="L378" t="str">
        <v>男</v>
      </c>
      <c r="M378" t="str">
        <v>ﾍﾞﾄﾅﾑ</v>
      </c>
      <c r="N378">
        <v>33068</v>
      </c>
      <c r="O378">
        <v>33</v>
      </c>
      <c r="P378">
        <v>1400</v>
      </c>
      <c r="Q378">
        <v>0</v>
      </c>
      <c r="R378">
        <v>1990</v>
      </c>
      <c r="S378">
        <v>0</v>
      </c>
      <c r="T378">
        <v>590</v>
      </c>
      <c r="U378">
        <v>380000</v>
      </c>
      <c r="V378">
        <v>19019</v>
      </c>
      <c r="W378" t="str">
        <v>0</v>
      </c>
      <c r="X378">
        <v>34770</v>
      </c>
      <c r="Y378">
        <v>45521</v>
      </c>
      <c r="Z378" t="str">
        <v/>
      </c>
      <c r="AA378" t="str">
        <v>技術・人文知識・国際業務</v>
      </c>
      <c r="AB378" t="str">
        <v>475-0075</v>
      </c>
      <c r="AC378" t="str">
        <v>愛知県半田市苗代町2-19</v>
      </c>
      <c r="AD378" t="str">
        <v>ｼｬﾙﾏﾝ苗代102号</v>
      </c>
      <c r="AE378">
        <v>44971</v>
      </c>
      <c r="AF378">
        <v>44986</v>
      </c>
      <c r="AG378">
        <v>0</v>
      </c>
      <c r="AH378">
        <v>0</v>
      </c>
      <c r="AI378" t="str">
        <v>23.4.1</v>
      </c>
      <c r="AJ378">
        <v>0</v>
      </c>
      <c r="AK378">
        <v>0</v>
      </c>
      <c r="AL378">
        <v>0</v>
      </c>
      <c r="AM378">
        <v>0</v>
      </c>
      <c r="AN378">
        <v>0</v>
      </c>
      <c r="AO378" t="str">
        <v>3/20林</v>
      </c>
      <c r="AP378">
        <v>0</v>
      </c>
    </row>
    <row r="379" spans="1:42">
      <c r="A379" t="str">
        <f>H379&amp;COUNTIF($H$2:H379,H379)</f>
        <v>067</v>
      </c>
      <c r="B379" t="str">
        <f>F379&amp;COUNTIF($F$2:F379,F379)</f>
        <v>コーリツ 本社5</v>
      </c>
      <c r="C379" t="str">
        <v>退社</v>
      </c>
      <c r="D379">
        <v>220315</v>
      </c>
      <c r="E379">
        <v>8210037</v>
      </c>
      <c r="F379" t="str">
        <v>コーリツ 本社</v>
      </c>
      <c r="G379" t="str">
        <v>本社工場　製造１課２工区２班</v>
      </c>
      <c r="H379">
        <v>0</v>
      </c>
      <c r="I379">
        <v>0</v>
      </c>
      <c r="J379" t="str">
        <v>VU VAN NGHIA</v>
      </c>
      <c r="K379" t="str">
        <v>ヴー　ヴァン　ギエ</v>
      </c>
      <c r="L379" t="str">
        <v>男</v>
      </c>
      <c r="M379" t="str">
        <v>ﾍﾞﾄﾅﾑ</v>
      </c>
      <c r="N379">
        <v>34262</v>
      </c>
      <c r="O379">
        <v>30</v>
      </c>
      <c r="P379">
        <v>1400</v>
      </c>
      <c r="Q379">
        <v>0</v>
      </c>
      <c r="R379">
        <v>1960</v>
      </c>
      <c r="S379">
        <v>0</v>
      </c>
      <c r="T379">
        <v>560</v>
      </c>
      <c r="U379">
        <v>0</v>
      </c>
      <c r="V379" t="str">
        <v/>
      </c>
      <c r="W379" t="str">
        <v>0</v>
      </c>
      <c r="X379" t="str">
        <v/>
      </c>
      <c r="Y379">
        <v>45482</v>
      </c>
      <c r="Z379" t="str">
        <v/>
      </c>
      <c r="AA379" t="str">
        <v>技術・人文知識・国際業務</v>
      </c>
      <c r="AB379" t="str">
        <v>444-1313</v>
      </c>
      <c r="AC379" t="str">
        <v>愛知県高浜市向山町1丁目210番地3</v>
      </c>
      <c r="AD379" t="str">
        <v>ｻﾞ･ｼｯｸ101</v>
      </c>
      <c r="AE379">
        <v>44633</v>
      </c>
      <c r="AF379">
        <v>44634</v>
      </c>
      <c r="AG379">
        <v>44944</v>
      </c>
      <c r="AH379">
        <v>0</v>
      </c>
      <c r="AI379">
        <v>22.05</v>
      </c>
      <c r="AJ379" t="str">
        <v>ヴ　ヴァン　ギャ　</v>
      </c>
      <c r="AK379" t="str">
        <v>ゆうちょ銀行</v>
      </c>
      <c r="AL379">
        <v>208</v>
      </c>
      <c r="AM379" t="str">
        <v>二〇八</v>
      </c>
      <c r="AN379" t="str">
        <v>1789706</v>
      </c>
      <c r="AO379" t="str">
        <v>OK</v>
      </c>
      <c r="AP379">
        <v>0</v>
      </c>
    </row>
    <row r="380" spans="1:42">
      <c r="A380" t="str">
        <f>H380&amp;COUNTIF($H$2:H380,H380)</f>
        <v>本社工場製造1課2工区2班3</v>
      </c>
      <c r="B380" t="str">
        <f>F380&amp;COUNTIF($F$2:F380,F380)</f>
        <v>コーリツ 本社6</v>
      </c>
      <c r="C380" t="str">
        <v>在職中</v>
      </c>
      <c r="D380">
        <v>220315</v>
      </c>
      <c r="E380">
        <v>8210037</v>
      </c>
      <c r="F380" t="str">
        <v>コーリツ 本社</v>
      </c>
      <c r="G380" t="str">
        <v>本社工場製造1課2工区2班</v>
      </c>
      <c r="H380" t="str">
        <v>本社工場製造1課2工区2班</v>
      </c>
      <c r="I380">
        <v>0</v>
      </c>
      <c r="J380" t="str">
        <v>VU VAN NGHIA</v>
      </c>
      <c r="K380" t="str">
        <v>ヴー　ヴァン　ギエ</v>
      </c>
      <c r="L380" t="str">
        <v>男</v>
      </c>
      <c r="M380" t="str">
        <v>ﾍﾞﾄﾅﾑ</v>
      </c>
      <c r="N380">
        <v>34262</v>
      </c>
      <c r="O380">
        <v>30</v>
      </c>
      <c r="P380">
        <v>1400</v>
      </c>
      <c r="Q380">
        <v>0</v>
      </c>
      <c r="R380">
        <v>1990</v>
      </c>
      <c r="S380">
        <v>0</v>
      </c>
      <c r="T380">
        <v>590</v>
      </c>
      <c r="U380">
        <v>320000</v>
      </c>
      <c r="V380">
        <v>16015.999999999998</v>
      </c>
      <c r="W380" t="str">
        <v>0</v>
      </c>
      <c r="X380">
        <v>29280</v>
      </c>
      <c r="Y380">
        <v>45482</v>
      </c>
      <c r="Z380" t="str">
        <v/>
      </c>
      <c r="AA380" t="str">
        <v>技術・人文知識・国際業務</v>
      </c>
      <c r="AB380" t="str">
        <v>444-1303</v>
      </c>
      <c r="AC380" t="str">
        <v>愛知県高浜市小池町4丁目6番地6</v>
      </c>
      <c r="AD380" t="str">
        <v>ｺｰﾎﾟﾗｽSK102</v>
      </c>
      <c r="AE380">
        <v>0</v>
      </c>
      <c r="AF380">
        <v>44986</v>
      </c>
      <c r="AG380">
        <v>45275</v>
      </c>
      <c r="AH380">
        <v>0</v>
      </c>
      <c r="AI380" t="str">
        <v>23.4.1</v>
      </c>
      <c r="AJ380">
        <v>0</v>
      </c>
      <c r="AK380">
        <v>0</v>
      </c>
      <c r="AL380">
        <v>0</v>
      </c>
      <c r="AM380">
        <v>0</v>
      </c>
      <c r="AN380">
        <v>0</v>
      </c>
      <c r="AO380" t="str">
        <v>3/30林</v>
      </c>
      <c r="AP380">
        <v>0</v>
      </c>
    </row>
    <row r="381" spans="1:42">
      <c r="A381" t="str">
        <f>H381&amp;COUNTIF($H$2:H381,H381)</f>
        <v>乙川工場製造3課6工区9班5</v>
      </c>
      <c r="B381" t="str">
        <f>F381&amp;COUNTIF($F$2:F381,F381)</f>
        <v>コーリツ 乙川12</v>
      </c>
      <c r="C381" t="str">
        <v>退社</v>
      </c>
      <c r="D381">
        <v>220320</v>
      </c>
      <c r="E381">
        <v>8210038</v>
      </c>
      <c r="F381" t="str">
        <v>コーリツ 乙川</v>
      </c>
      <c r="G381" t="str">
        <v>乙川第２工場　製造３課６工区９班</v>
      </c>
      <c r="H381" t="str">
        <v>乙川工場製造3課6工区9班</v>
      </c>
      <c r="I381">
        <v>0</v>
      </c>
      <c r="J381" t="str">
        <v>NGUYEN QUANG HUY</v>
      </c>
      <c r="K381" t="str">
        <v>グエン　クアン　フィ</v>
      </c>
      <c r="L381" t="str">
        <v>男</v>
      </c>
      <c r="M381" t="str">
        <v>ﾍﾞﾄﾅﾑ</v>
      </c>
      <c r="N381">
        <v>33921</v>
      </c>
      <c r="O381">
        <v>31</v>
      </c>
      <c r="P381">
        <v>1400</v>
      </c>
      <c r="Q381">
        <v>0</v>
      </c>
      <c r="R381">
        <v>1960</v>
      </c>
      <c r="S381">
        <v>0</v>
      </c>
      <c r="T381">
        <v>560</v>
      </c>
      <c r="U381">
        <v>180000</v>
      </c>
      <c r="V381">
        <v>9009</v>
      </c>
      <c r="W381" t="str">
        <v>0</v>
      </c>
      <c r="X381">
        <v>16470</v>
      </c>
      <c r="Y381">
        <v>45691</v>
      </c>
      <c r="Z381" t="str">
        <v/>
      </c>
      <c r="AA381" t="str">
        <v>技術・人文知識・国際業務</v>
      </c>
      <c r="AB381" t="str">
        <v>444-1332</v>
      </c>
      <c r="AC381" t="str">
        <v>愛知県高浜市湯山町4丁目9番地6</v>
      </c>
      <c r="AD381" t="str">
        <v>ﾋﾞﾚｯｼﾞﾊｳｽ高取4号棟110号室</v>
      </c>
      <c r="AE381" t="str">
        <v>個人</v>
      </c>
      <c r="AF381">
        <v>44638</v>
      </c>
      <c r="AG381">
        <v>45119</v>
      </c>
      <c r="AH381">
        <v>0</v>
      </c>
      <c r="AI381">
        <v>22.06</v>
      </c>
      <c r="AJ381" t="str">
        <v>グエン　クアン　フィ</v>
      </c>
      <c r="AK381" t="str">
        <v>ゆうちょ銀行</v>
      </c>
      <c r="AL381">
        <v>208</v>
      </c>
      <c r="AM381" t="str">
        <v>二〇八</v>
      </c>
      <c r="AN381" t="str">
        <v>1800157</v>
      </c>
      <c r="AO381" t="str">
        <v>OK</v>
      </c>
      <c r="AP381">
        <v>0</v>
      </c>
    </row>
    <row r="382" spans="1:42">
      <c r="A382" t="str">
        <f>H382&amp;COUNTIF($H$2:H382,H382)</f>
        <v>亀崎工場製造5課6工区8班1</v>
      </c>
      <c r="B382" t="str">
        <f>F382&amp;COUNTIF($F$2:F382,F382)</f>
        <v>コーリツ 亀崎3</v>
      </c>
      <c r="C382" t="str">
        <v>在職中</v>
      </c>
      <c r="D382">
        <v>220321</v>
      </c>
      <c r="E382">
        <v>8210039</v>
      </c>
      <c r="F382" t="str">
        <v>コーリツ 亀崎</v>
      </c>
      <c r="G382" t="str">
        <v>亀崎工場　製造５課６工区８班</v>
      </c>
      <c r="H382" t="str">
        <v>亀崎工場製造5課6工区8班</v>
      </c>
      <c r="I382">
        <v>0</v>
      </c>
      <c r="J382" t="str">
        <v>VU DUC THINH</v>
      </c>
      <c r="K382" t="str">
        <v>ヴー　ドゥック　ティン</v>
      </c>
      <c r="L382" t="str">
        <v>男</v>
      </c>
      <c r="M382" t="str">
        <v>ﾍﾞﾄﾅﾑ</v>
      </c>
      <c r="N382">
        <v>35710</v>
      </c>
      <c r="O382">
        <v>26</v>
      </c>
      <c r="P382">
        <v>1400</v>
      </c>
      <c r="Q382">
        <v>0</v>
      </c>
      <c r="R382">
        <v>1960</v>
      </c>
      <c r="S382">
        <v>0</v>
      </c>
      <c r="T382">
        <v>560</v>
      </c>
      <c r="U382">
        <v>360000</v>
      </c>
      <c r="V382">
        <v>18018</v>
      </c>
      <c r="W382" t="str">
        <v>0</v>
      </c>
      <c r="X382">
        <v>32940</v>
      </c>
      <c r="Y382">
        <v>45326</v>
      </c>
      <c r="Z382" t="str">
        <v>残り期限90日!</v>
      </c>
      <c r="AA382" t="str">
        <v>技術・人文知識・国際業務</v>
      </c>
      <c r="AB382" t="str">
        <v>475-0078</v>
      </c>
      <c r="AC382" t="str">
        <v>愛知県半田市亀崎高根町2丁目20－7</v>
      </c>
      <c r="AD382" t="str">
        <v>ﾋﾞﾚｯｼﾞﾊｳｽ亀崎2号棟301</v>
      </c>
      <c r="AE382">
        <v>44955</v>
      </c>
      <c r="AF382">
        <v>44641</v>
      </c>
      <c r="AG382">
        <v>0</v>
      </c>
      <c r="AH382">
        <v>0</v>
      </c>
      <c r="AI382">
        <v>22.06</v>
      </c>
      <c r="AJ382" t="str">
        <v>ヴ　ドゥック　テイン</v>
      </c>
      <c r="AK382" t="str">
        <v>ゆうちょ銀行</v>
      </c>
      <c r="AL382">
        <v>408</v>
      </c>
      <c r="AM382" t="str">
        <v>四〇八</v>
      </c>
      <c r="AN382" t="str">
        <v>6290591</v>
      </c>
      <c r="AO382" t="str">
        <v>OK</v>
      </c>
      <c r="AP382" t="str">
        <v>2022/6/27友達のアパートへ引っ越ししました</v>
      </c>
    </row>
    <row r="383" spans="1:42">
      <c r="A383" t="str">
        <f>H383&amp;COUNTIF($H$2:H383,H383)</f>
        <v>州の崎製造3課5工区6班1</v>
      </c>
      <c r="B383" t="str">
        <f>F383&amp;COUNTIF($F$2:F383,F383)</f>
        <v>コーリツ 州の崎18</v>
      </c>
      <c r="C383" t="str">
        <v>在職中</v>
      </c>
      <c r="D383">
        <v>210412</v>
      </c>
      <c r="E383">
        <v>8210040</v>
      </c>
      <c r="F383" t="str">
        <v>コーリツ 州の崎</v>
      </c>
      <c r="G383" t="str">
        <v>州の崎第2工場製造3課5工区6班</v>
      </c>
      <c r="H383" t="str">
        <v>州の崎製造3課5工区6班</v>
      </c>
      <c r="I383">
        <v>0</v>
      </c>
      <c r="J383" t="str">
        <v>CAO VAN TUYEN</v>
      </c>
      <c r="K383" t="str">
        <v>カオ　バン　トウエン</v>
      </c>
      <c r="L383" t="str">
        <v>男</v>
      </c>
      <c r="M383" t="str">
        <v>ﾍﾞﾄﾅﾑ</v>
      </c>
      <c r="N383">
        <v>30793</v>
      </c>
      <c r="O383">
        <v>39</v>
      </c>
      <c r="P383">
        <v>1500</v>
      </c>
      <c r="Q383" t="str">
        <v>2022/6/7～　1400円⇒1500円</v>
      </c>
      <c r="R383">
        <v>1990</v>
      </c>
      <c r="S383">
        <v>0</v>
      </c>
      <c r="T383">
        <v>490</v>
      </c>
      <c r="U383">
        <v>340000</v>
      </c>
      <c r="V383">
        <v>17017</v>
      </c>
      <c r="W383" t="str">
        <v>0</v>
      </c>
      <c r="X383">
        <v>31110</v>
      </c>
      <c r="Y383">
        <v>45388</v>
      </c>
      <c r="Z383" t="str">
        <v/>
      </c>
      <c r="AA383" t="str">
        <v>技術・人文知識・国際業務</v>
      </c>
      <c r="AB383" t="str">
        <v>475-0024</v>
      </c>
      <c r="AC383" t="str">
        <v>愛知県半田市 亀崎高根町2丁目20-7</v>
      </c>
      <c r="AD383" t="str">
        <v>ﾋﾞﾚｯｼﾞﾊｳｽ亀崎2号棟301</v>
      </c>
      <c r="AE383">
        <v>44808</v>
      </c>
      <c r="AF383">
        <v>44713</v>
      </c>
      <c r="AG383">
        <v>0</v>
      </c>
      <c r="AH383">
        <v>0</v>
      </c>
      <c r="AI383">
        <v>44713</v>
      </c>
      <c r="AJ383">
        <v>0</v>
      </c>
      <c r="AK383">
        <v>0</v>
      </c>
      <c r="AL383">
        <v>0</v>
      </c>
      <c r="AM383">
        <v>0</v>
      </c>
      <c r="AN383">
        <v>0</v>
      </c>
      <c r="AO383" t="str">
        <v>7/8原</v>
      </c>
      <c r="AP383" t="str">
        <v>2022/4/27コーリツ退社　2022/6/1　コーリツに再入社</v>
      </c>
    </row>
    <row r="384" spans="1:42">
      <c r="A384" t="str">
        <f>H384&amp;COUNTIF($H$2:H384,H384)</f>
        <v>068</v>
      </c>
      <c r="B384" t="str">
        <f>F384&amp;COUNTIF($F$2:F384,F384)</f>
        <v>コーリツ 州の崎19</v>
      </c>
      <c r="C384" t="str">
        <v>退社</v>
      </c>
      <c r="D384">
        <v>210710</v>
      </c>
      <c r="E384">
        <v>8210041</v>
      </c>
      <c r="F384" t="str">
        <v>コーリツ 州の崎</v>
      </c>
      <c r="G384" t="str">
        <v>州の崎第2工場製造3課5工区7班</v>
      </c>
      <c r="H384">
        <v>0</v>
      </c>
      <c r="I384">
        <v>0</v>
      </c>
      <c r="J384" t="str">
        <v>NGUYEN XUAN THANG</v>
      </c>
      <c r="K384" t="str">
        <v>グエン　スワン　タン</v>
      </c>
      <c r="L384" t="str">
        <v>男</v>
      </c>
      <c r="M384" t="str">
        <v>ﾍﾞﾄﾅﾑ</v>
      </c>
      <c r="N384">
        <v>33139</v>
      </c>
      <c r="O384">
        <v>33</v>
      </c>
      <c r="P384">
        <v>1400</v>
      </c>
      <c r="Q384">
        <v>0</v>
      </c>
      <c r="R384">
        <v>1990</v>
      </c>
      <c r="S384">
        <v>0</v>
      </c>
      <c r="T384">
        <v>590</v>
      </c>
      <c r="U384">
        <v>240000</v>
      </c>
      <c r="V384">
        <v>12012</v>
      </c>
      <c r="W384" t="str">
        <v>0</v>
      </c>
      <c r="X384">
        <v>21960</v>
      </c>
      <c r="Y384">
        <v>45441</v>
      </c>
      <c r="Z384" t="str">
        <v/>
      </c>
      <c r="AA384" t="str">
        <v>技術・人文知識・国際業務</v>
      </c>
      <c r="AB384" t="str">
        <v>475-0041</v>
      </c>
      <c r="AC384" t="str">
        <v>愛知県半田市乙川太田町2丁目125番地</v>
      </c>
      <c r="AD384" t="str">
        <v>ｺｰﾎﾟｵｰｸｽ202号</v>
      </c>
      <c r="AE384" t="str">
        <v>個人</v>
      </c>
      <c r="AF384">
        <v>44713</v>
      </c>
      <c r="AG384">
        <v>44939</v>
      </c>
      <c r="AH384">
        <v>0</v>
      </c>
      <c r="AI384">
        <v>44713</v>
      </c>
      <c r="AJ384" t="str">
        <v>ファム　デイン　トウン</v>
      </c>
      <c r="AK384" t="str">
        <v>ゆうちょ銀行</v>
      </c>
      <c r="AL384">
        <v>98</v>
      </c>
      <c r="AM384" t="str">
        <v>〇九八</v>
      </c>
      <c r="AN384" t="str">
        <v>1285143</v>
      </c>
      <c r="AO384" t="str">
        <v>7/8原</v>
      </c>
      <c r="AP384" t="str">
        <v>2022/4/1コーリツ退社　2022/6/1　コーリツに再入社</v>
      </c>
    </row>
    <row r="385" spans="1:42">
      <c r="A385" t="str">
        <f>H385&amp;COUNTIF($H$2:H385,H385)</f>
        <v>乙川工場製造3課6工区9班6</v>
      </c>
      <c r="B385" t="str">
        <f>F385&amp;COUNTIF($F$2:F385,F385)</f>
        <v>コーリツ 乙川13</v>
      </c>
      <c r="C385" t="str">
        <v>在職中</v>
      </c>
      <c r="D385">
        <v>230218</v>
      </c>
      <c r="E385">
        <v>8210042</v>
      </c>
      <c r="F385" t="str">
        <v>コーリツ 乙川</v>
      </c>
      <c r="G385" t="str">
        <v>乙川工場製造3課6工区9班</v>
      </c>
      <c r="H385" t="str">
        <v>乙川工場製造3課6工区9班</v>
      </c>
      <c r="I385">
        <v>0</v>
      </c>
      <c r="J385" t="str">
        <v>DO VAN SON</v>
      </c>
      <c r="K385" t="str">
        <v>ド　ヴァン　ソン</v>
      </c>
      <c r="L385" t="str">
        <v>男</v>
      </c>
      <c r="M385" t="str">
        <v>ﾍﾞﾄﾅﾑ</v>
      </c>
      <c r="N385">
        <v>35077</v>
      </c>
      <c r="O385">
        <v>27</v>
      </c>
      <c r="P385">
        <v>1400</v>
      </c>
      <c r="Q385">
        <v>0</v>
      </c>
      <c r="R385">
        <v>1990</v>
      </c>
      <c r="S385">
        <v>0</v>
      </c>
      <c r="T385">
        <v>590</v>
      </c>
      <c r="U385">
        <v>320000</v>
      </c>
      <c r="V385">
        <v>16015.999999999998</v>
      </c>
      <c r="W385" t="str">
        <v>0</v>
      </c>
      <c r="X385">
        <v>29280</v>
      </c>
      <c r="Y385">
        <v>45528</v>
      </c>
      <c r="Z385" t="str">
        <v/>
      </c>
      <c r="AA385" t="str">
        <v>技術・人文知識・国際業務</v>
      </c>
      <c r="AB385" t="str">
        <v>475-0006</v>
      </c>
      <c r="AC385" t="str">
        <v>愛知県半田市南大矢知町4丁目205番地2</v>
      </c>
      <c r="AD385" t="str">
        <v>ﾒｿﾞﾝﾄﾞﾗﾊﾟﾝⅡ203</v>
      </c>
      <c r="AE385">
        <v>44981</v>
      </c>
      <c r="AF385">
        <v>44984</v>
      </c>
      <c r="AG385">
        <v>0</v>
      </c>
      <c r="AH385">
        <v>0</v>
      </c>
      <c r="AI385" t="str">
        <v>23.3.1</v>
      </c>
      <c r="AJ385">
        <v>0</v>
      </c>
      <c r="AK385">
        <v>0</v>
      </c>
      <c r="AL385">
        <v>0</v>
      </c>
      <c r="AM385">
        <v>0</v>
      </c>
      <c r="AN385">
        <v>0</v>
      </c>
      <c r="AO385" t="str">
        <v>3/30林</v>
      </c>
      <c r="AP385">
        <v>0</v>
      </c>
    </row>
    <row r="386" spans="1:42">
      <c r="A386" t="str">
        <f>H386&amp;COUNTIF($H$2:H386,H386)</f>
        <v>州の崎工場製造2課2工区３班1</v>
      </c>
      <c r="B386" t="str">
        <f>F386&amp;COUNTIF($F$2:F386,F386)</f>
        <v>コーリツ 州の崎20</v>
      </c>
      <c r="C386" t="str">
        <v>在職中</v>
      </c>
      <c r="D386">
        <v>230217</v>
      </c>
      <c r="E386">
        <v>8210043</v>
      </c>
      <c r="F386" t="str">
        <v>コーリツ 州の崎</v>
      </c>
      <c r="G386" t="str">
        <v>州の崎工場製造2課2工区３班</v>
      </c>
      <c r="H386" t="str">
        <v>州の崎工場製造2課2工区３班</v>
      </c>
      <c r="I386">
        <v>0</v>
      </c>
      <c r="J386" t="str">
        <v>NGUYEN DANH TIEP</v>
      </c>
      <c r="K386" t="str">
        <v>グエン　ダン　テイエプ</v>
      </c>
      <c r="L386" t="str">
        <v>男</v>
      </c>
      <c r="M386" t="str">
        <v>ﾍﾞﾄﾅﾑ</v>
      </c>
      <c r="N386">
        <v>32902</v>
      </c>
      <c r="O386">
        <v>33</v>
      </c>
      <c r="P386">
        <v>1460</v>
      </c>
      <c r="Q386">
        <v>0</v>
      </c>
      <c r="R386">
        <v>2050</v>
      </c>
      <c r="S386">
        <v>0</v>
      </c>
      <c r="T386">
        <v>590</v>
      </c>
      <c r="U386">
        <v>360000</v>
      </c>
      <c r="V386">
        <v>18018</v>
      </c>
      <c r="W386" t="str">
        <v>0</v>
      </c>
      <c r="X386">
        <v>32940</v>
      </c>
      <c r="Y386">
        <v>45505</v>
      </c>
      <c r="Z386" t="str">
        <v/>
      </c>
      <c r="AA386" t="str">
        <v>技術・人文知識・国際業務</v>
      </c>
      <c r="AB386" t="str">
        <v>475-0074</v>
      </c>
      <c r="AC386" t="str">
        <v>愛知県半田市長根町３丁目１番　</v>
      </c>
      <c r="AD386" t="str">
        <v>県営長根住宅5棟306号</v>
      </c>
      <c r="AE386" t="str">
        <v>個人</v>
      </c>
      <c r="AF386">
        <v>44984</v>
      </c>
      <c r="AG386">
        <v>0</v>
      </c>
      <c r="AH386">
        <v>0</v>
      </c>
      <c r="AI386" t="str">
        <v>23.2.27</v>
      </c>
      <c r="AJ386">
        <v>0</v>
      </c>
      <c r="AK386">
        <v>0</v>
      </c>
      <c r="AL386">
        <v>0</v>
      </c>
      <c r="AM386">
        <v>0</v>
      </c>
      <c r="AN386">
        <v>0</v>
      </c>
      <c r="AO386" t="str">
        <v>3/16林</v>
      </c>
      <c r="AP386">
        <v>0</v>
      </c>
    </row>
    <row r="387" spans="1:42">
      <c r="A387" t="str">
        <f>H387&amp;COUNTIF($H$2:H387,H387)</f>
        <v>州の崎第2工場製造3課5工区7班1</v>
      </c>
      <c r="B387" t="str">
        <f>F387&amp;COUNTIF($F$2:F387,F387)</f>
        <v>コーリツ 州の崎21</v>
      </c>
      <c r="C387" t="str">
        <v>在職中</v>
      </c>
      <c r="D387">
        <v>210404</v>
      </c>
      <c r="E387">
        <v>8210044</v>
      </c>
      <c r="F387" t="str">
        <v>コーリツ 州の崎</v>
      </c>
      <c r="G387" t="str">
        <v>州の崎第2工場製造3課5工区7班</v>
      </c>
      <c r="H387" t="str">
        <v>州の崎第2工場製造3課5工区7班</v>
      </c>
      <c r="I387">
        <v>0</v>
      </c>
      <c r="J387" t="str">
        <v>NGUYEN KHAC TRUNG</v>
      </c>
      <c r="K387" t="str">
        <v>グエン　カック　チュン</v>
      </c>
      <c r="L387" t="str">
        <v>男</v>
      </c>
      <c r="M387" t="str">
        <v>ﾍﾞﾄﾅﾑ</v>
      </c>
      <c r="N387">
        <v>34845</v>
      </c>
      <c r="O387">
        <v>28</v>
      </c>
      <c r="P387">
        <v>1500</v>
      </c>
      <c r="Q387">
        <v>0</v>
      </c>
      <c r="R387">
        <v>1990</v>
      </c>
      <c r="S387">
        <v>0</v>
      </c>
      <c r="T387">
        <v>490</v>
      </c>
      <c r="U387">
        <v>360000</v>
      </c>
      <c r="V387">
        <v>18018</v>
      </c>
      <c r="W387" t="str">
        <v>0</v>
      </c>
      <c r="X387">
        <v>32940</v>
      </c>
      <c r="Y387">
        <v>45486</v>
      </c>
      <c r="Z387" t="str">
        <v/>
      </c>
      <c r="AA387" t="str">
        <v>技術・人文知識・国際業務</v>
      </c>
      <c r="AB387" t="str">
        <v>475-0061</v>
      </c>
      <c r="AC387" t="str">
        <v>愛知県半田市一ノ草町201-11</v>
      </c>
      <c r="AD387" t="str">
        <v>ﾒｿﾞﾝﾊﾟｰｸｱﾍﾞﾆｭｰ103</v>
      </c>
      <c r="AE387">
        <v>44988</v>
      </c>
      <c r="AF387">
        <v>44991</v>
      </c>
      <c r="AG387">
        <v>0</v>
      </c>
      <c r="AH387">
        <v>0</v>
      </c>
      <c r="AI387" t="str">
        <v>23.4.1</v>
      </c>
      <c r="AJ387">
        <v>0</v>
      </c>
      <c r="AK387">
        <v>0</v>
      </c>
      <c r="AL387">
        <v>0</v>
      </c>
      <c r="AM387">
        <v>0</v>
      </c>
      <c r="AN387">
        <v>0</v>
      </c>
      <c r="AO387" t="str">
        <v>3/20林</v>
      </c>
      <c r="AP387">
        <v>0</v>
      </c>
    </row>
    <row r="388" spans="1:42">
      <c r="A388" t="str">
        <f>H388&amp;COUNTIF($H$2:H388,H388)</f>
        <v>亀崎工場製造5課6工区8班2</v>
      </c>
      <c r="B388" t="str">
        <f>F388&amp;COUNTIF($F$2:F388,F388)</f>
        <v>コーリツ 亀崎4</v>
      </c>
      <c r="C388" t="str">
        <v>在職中</v>
      </c>
      <c r="D388">
        <v>230301</v>
      </c>
      <c r="E388">
        <v>8210045</v>
      </c>
      <c r="F388" t="str">
        <v>コーリツ 亀崎</v>
      </c>
      <c r="G388" t="str">
        <v>亀崎工場製造5課6工区8班</v>
      </c>
      <c r="H388" t="str">
        <v>亀崎工場製造5課6工区8班</v>
      </c>
      <c r="I388">
        <v>0</v>
      </c>
      <c r="J388" t="str">
        <v>DOAN MINH HAI</v>
      </c>
      <c r="K388" t="str">
        <v>ドアン　ミン　ハイ</v>
      </c>
      <c r="L388" t="str">
        <v>男</v>
      </c>
      <c r="M388" t="str">
        <v>ﾍﾞﾄﾅﾑ</v>
      </c>
      <c r="N388">
        <v>33608</v>
      </c>
      <c r="O388">
        <v>31</v>
      </c>
      <c r="P388">
        <v>1430</v>
      </c>
      <c r="Q388">
        <v>0</v>
      </c>
      <c r="R388">
        <v>2020</v>
      </c>
      <c r="S388">
        <v>0</v>
      </c>
      <c r="T388">
        <v>590</v>
      </c>
      <c r="U388">
        <v>360000</v>
      </c>
      <c r="V388">
        <v>18018</v>
      </c>
      <c r="W388" t="str">
        <v>0</v>
      </c>
      <c r="X388">
        <v>32940</v>
      </c>
      <c r="Y388">
        <v>46657</v>
      </c>
      <c r="Z388" t="str">
        <v/>
      </c>
      <c r="AA388" t="str">
        <v>技術・人文知識・国際業務</v>
      </c>
      <c r="AB388" t="str">
        <v>475-0004</v>
      </c>
      <c r="AC388" t="str">
        <v>愛知県半田市上池町5丁目37-1</v>
      </c>
      <c r="AD388" t="str">
        <v>ﾙﾐｴｰﾙ上池203</v>
      </c>
      <c r="AE388">
        <v>44985</v>
      </c>
      <c r="AF388">
        <v>44986</v>
      </c>
      <c r="AG388">
        <v>0</v>
      </c>
      <c r="AH388">
        <v>0</v>
      </c>
      <c r="AI388" t="str">
        <v>23.4.1</v>
      </c>
      <c r="AJ388">
        <v>0</v>
      </c>
      <c r="AK388">
        <v>0</v>
      </c>
      <c r="AL388">
        <v>0</v>
      </c>
      <c r="AM388">
        <v>0</v>
      </c>
      <c r="AN388">
        <v>0</v>
      </c>
      <c r="AO388" t="str">
        <v>3/30林</v>
      </c>
      <c r="AP388">
        <v>0</v>
      </c>
    </row>
    <row r="389" spans="1:42">
      <c r="A389" t="str">
        <f>H389&amp;COUNTIF($H$2:H389,H389)</f>
        <v>乙川工場製造3課5工区7班2</v>
      </c>
      <c r="B389" t="str">
        <f>F389&amp;COUNTIF($F$2:F389,F389)</f>
        <v>コーリツ 乙川14</v>
      </c>
      <c r="C389" t="str">
        <v>在職中</v>
      </c>
      <c r="D389">
        <v>230302</v>
      </c>
      <c r="E389">
        <v>8210046</v>
      </c>
      <c r="F389" t="str">
        <v>コーリツ 乙川</v>
      </c>
      <c r="G389" t="str">
        <v>乙川工場製造3課5工区7班</v>
      </c>
      <c r="H389" t="str">
        <v>乙川工場製造3課5工区7班</v>
      </c>
      <c r="I389">
        <v>0</v>
      </c>
      <c r="J389" t="str">
        <v>PHAM TUAN ANH</v>
      </c>
      <c r="K389" t="str">
        <v>ファム　トゥアン　アン</v>
      </c>
      <c r="L389" t="str">
        <v>男</v>
      </c>
      <c r="M389" t="str">
        <v>ﾍﾞﾄﾅﾑ</v>
      </c>
      <c r="N389">
        <v>33126</v>
      </c>
      <c r="O389">
        <v>33</v>
      </c>
      <c r="P389">
        <v>1400</v>
      </c>
      <c r="Q389">
        <v>0</v>
      </c>
      <c r="R389">
        <v>1990</v>
      </c>
      <c r="S389">
        <v>0</v>
      </c>
      <c r="T389">
        <v>590</v>
      </c>
      <c r="U389">
        <v>340000</v>
      </c>
      <c r="V389">
        <v>17017</v>
      </c>
      <c r="W389" t="str">
        <v>0</v>
      </c>
      <c r="X389">
        <v>31110</v>
      </c>
      <c r="Y389">
        <v>45528</v>
      </c>
      <c r="Z389" t="str">
        <v/>
      </c>
      <c r="AA389" t="str">
        <v>技術・人文知識・国際業務</v>
      </c>
      <c r="AB389" t="str">
        <v>475-0061</v>
      </c>
      <c r="AC389" t="str">
        <v>愛知県半田市一ノ草町201-11</v>
      </c>
      <c r="AD389" t="str">
        <v>ﾒｿﾞﾝﾊﾟｰｸｱﾍﾞﾆｭｰ101</v>
      </c>
      <c r="AE389">
        <v>45073</v>
      </c>
      <c r="AF389">
        <v>44986</v>
      </c>
      <c r="AG389">
        <v>0</v>
      </c>
      <c r="AH389">
        <v>0</v>
      </c>
      <c r="AI389" t="str">
        <v>23.4.1</v>
      </c>
      <c r="AJ389">
        <v>0</v>
      </c>
      <c r="AK389">
        <v>0</v>
      </c>
      <c r="AL389">
        <v>0</v>
      </c>
      <c r="AM389">
        <v>0</v>
      </c>
      <c r="AN389">
        <v>0</v>
      </c>
      <c r="AO389" t="str">
        <v>3/20林</v>
      </c>
      <c r="AP389">
        <v>0</v>
      </c>
    </row>
    <row r="390" spans="1:42">
      <c r="A390" t="str">
        <f>H390&amp;COUNTIF($H$2:H390,H390)</f>
        <v>乙川工場製造3課5工区7班3</v>
      </c>
      <c r="B390" t="str">
        <f>F390&amp;COUNTIF($F$2:F390,F390)</f>
        <v>コーリツ 乙川15</v>
      </c>
      <c r="C390" t="str">
        <v>在職中</v>
      </c>
      <c r="D390">
        <v>230313</v>
      </c>
      <c r="E390">
        <v>8210047</v>
      </c>
      <c r="F390" t="str">
        <v>コーリツ 乙川</v>
      </c>
      <c r="G390" t="str">
        <v>乙川工場製造3課5工区7班</v>
      </c>
      <c r="H390" t="str">
        <v>乙川工場製造3課5工区7班</v>
      </c>
      <c r="I390">
        <v>0</v>
      </c>
      <c r="J390" t="str">
        <v>DAM XUAN SOAT</v>
      </c>
      <c r="K390" t="str">
        <v>ダム　スアン　ソアット</v>
      </c>
      <c r="L390" t="str">
        <v>男</v>
      </c>
      <c r="M390" t="str">
        <v>ﾍﾞﾄﾅﾑ</v>
      </c>
      <c r="N390">
        <v>31426</v>
      </c>
      <c r="O390">
        <v>37</v>
      </c>
      <c r="P390">
        <v>1400</v>
      </c>
      <c r="Q390">
        <v>0</v>
      </c>
      <c r="R390">
        <v>1990</v>
      </c>
      <c r="S390">
        <v>0</v>
      </c>
      <c r="T390">
        <v>590</v>
      </c>
      <c r="U390">
        <v>340000</v>
      </c>
      <c r="V390">
        <v>17017</v>
      </c>
      <c r="W390" t="str">
        <v>0</v>
      </c>
      <c r="X390">
        <v>31110</v>
      </c>
      <c r="Y390">
        <v>45465</v>
      </c>
      <c r="Z390" t="str">
        <v/>
      </c>
      <c r="AA390" t="str">
        <v>技術・人文知識・国際業務</v>
      </c>
      <c r="AB390" t="str">
        <v>475-0086</v>
      </c>
      <c r="AC390" t="str">
        <v>愛知県半田市庚申町2丁目6番地の7</v>
      </c>
      <c r="AD390" t="str">
        <v>ﾊｲﾂこうしんA棟103号</v>
      </c>
      <c r="AE390" t="str">
        <v>個人</v>
      </c>
      <c r="AF390">
        <v>44998</v>
      </c>
      <c r="AG390">
        <v>0</v>
      </c>
      <c r="AH390">
        <v>0</v>
      </c>
      <c r="AI390" t="str">
        <v>23.4.1</v>
      </c>
      <c r="AJ390">
        <v>0</v>
      </c>
      <c r="AK390">
        <v>0</v>
      </c>
      <c r="AL390">
        <v>0</v>
      </c>
      <c r="AM390">
        <v>0</v>
      </c>
      <c r="AN390">
        <v>0</v>
      </c>
      <c r="AO390" t="str">
        <v>4/3林</v>
      </c>
      <c r="AP390">
        <v>0</v>
      </c>
    </row>
    <row r="391" spans="1:42">
      <c r="A391" t="str">
        <f>H391&amp;COUNTIF($H$2:H391,H391)</f>
        <v>本社工場製造1課2工区3班1</v>
      </c>
      <c r="B391" t="str">
        <f>F391&amp;COUNTIF($F$2:F391,F391)</f>
        <v>コーリツ 本社7</v>
      </c>
      <c r="C391" t="str">
        <v>在職中</v>
      </c>
      <c r="D391">
        <v>230309</v>
      </c>
      <c r="E391">
        <v>8210048</v>
      </c>
      <c r="F391" t="str">
        <v>コーリツ 本社</v>
      </c>
      <c r="G391" t="str">
        <v>本社工場製造1課2工区3班</v>
      </c>
      <c r="H391" t="str">
        <v>本社工場製造1課2工区3班</v>
      </c>
      <c r="I391">
        <v>0</v>
      </c>
      <c r="J391" t="str">
        <v>BUI XUAN QUYET</v>
      </c>
      <c r="K391" t="str">
        <v>ブイ　スアン　クエット</v>
      </c>
      <c r="L391" t="str">
        <v>男</v>
      </c>
      <c r="M391" t="str">
        <v>ﾍﾞﾄﾅﾑ</v>
      </c>
      <c r="N391">
        <v>34483</v>
      </c>
      <c r="O391">
        <v>29</v>
      </c>
      <c r="P391">
        <v>1400</v>
      </c>
      <c r="Q391">
        <v>0</v>
      </c>
      <c r="R391">
        <v>1990</v>
      </c>
      <c r="S391">
        <v>0</v>
      </c>
      <c r="T391">
        <v>590</v>
      </c>
      <c r="U391">
        <v>320000</v>
      </c>
      <c r="V391">
        <v>16015.999999999998</v>
      </c>
      <c r="W391" t="str">
        <v>0</v>
      </c>
      <c r="X391">
        <v>29280</v>
      </c>
      <c r="Y391">
        <v>45541</v>
      </c>
      <c r="Z391" t="str">
        <v/>
      </c>
      <c r="AA391" t="str">
        <v>技術・人文知識・国際業務</v>
      </c>
      <c r="AB391" t="str">
        <v>444-1332</v>
      </c>
      <c r="AC391" t="str">
        <v>愛知県高浜市湯山町4丁目９番地6</v>
      </c>
      <c r="AD391" t="str">
        <v>ﾋﾞﾚｯｼﾞﾊｳｽ高取2号棟103号室</v>
      </c>
      <c r="AE391" t="str">
        <v>個人</v>
      </c>
      <c r="AF391">
        <v>44993</v>
      </c>
      <c r="AG391">
        <v>0</v>
      </c>
      <c r="AH391">
        <v>0</v>
      </c>
      <c r="AI391" t="str">
        <v>23.4.1</v>
      </c>
      <c r="AJ391">
        <v>0</v>
      </c>
      <c r="AK391">
        <v>0</v>
      </c>
      <c r="AL391">
        <v>0</v>
      </c>
      <c r="AM391">
        <v>0</v>
      </c>
      <c r="AN391">
        <v>0</v>
      </c>
      <c r="AO391" t="str">
        <v>4/3林</v>
      </c>
      <c r="AP391">
        <v>0</v>
      </c>
    </row>
    <row r="392" spans="1:42">
      <c r="A392" t="str">
        <f>H392&amp;COUNTIF($H$2:H392,H392)</f>
        <v>本社工場製造1課2工区3班2</v>
      </c>
      <c r="B392" t="str">
        <f>F392&amp;COUNTIF($F$2:F392,F392)</f>
        <v>コーリツ 本社8</v>
      </c>
      <c r="C392" t="str">
        <v>退社</v>
      </c>
      <c r="D392">
        <v>230310</v>
      </c>
      <c r="E392">
        <v>8210049</v>
      </c>
      <c r="F392" t="str">
        <v>コーリツ 本社</v>
      </c>
      <c r="G392" t="str">
        <v>本社工場製造1課2工区3班</v>
      </c>
      <c r="H392" t="str">
        <v>本社工場製造1課2工区3班</v>
      </c>
      <c r="I392">
        <v>0</v>
      </c>
      <c r="J392" t="str">
        <v>VU HUU HOANG</v>
      </c>
      <c r="K392" t="str">
        <v>ヴ　フュ　ホアン</v>
      </c>
      <c r="L392" t="str">
        <v>男</v>
      </c>
      <c r="M392" t="str">
        <v>ﾍﾞﾄﾅﾑ</v>
      </c>
      <c r="N392">
        <v>33402</v>
      </c>
      <c r="O392">
        <v>32</v>
      </c>
      <c r="P392">
        <v>1400</v>
      </c>
      <c r="Q392">
        <v>0</v>
      </c>
      <c r="R392">
        <v>1990</v>
      </c>
      <c r="S392">
        <v>0</v>
      </c>
      <c r="T392">
        <v>590</v>
      </c>
      <c r="U392">
        <v>280000</v>
      </c>
      <c r="V392">
        <v>14014</v>
      </c>
      <c r="W392" t="str">
        <v>0</v>
      </c>
      <c r="X392">
        <v>25620</v>
      </c>
      <c r="Y392">
        <v>45513</v>
      </c>
      <c r="Z392" t="str">
        <v/>
      </c>
      <c r="AA392" t="str">
        <v>技術・人文知識・国際業務</v>
      </c>
      <c r="AB392" t="str">
        <v>447-0011</v>
      </c>
      <c r="AC392" t="str">
        <v>愛知県碧南市平山町3丁目16番地</v>
      </c>
      <c r="AD392" t="str">
        <v>ﾋﾞﾚｯｼﾞﾊｳｽ西端1号棟302</v>
      </c>
      <c r="AE392" t="str">
        <v>個人</v>
      </c>
      <c r="AF392">
        <v>44993</v>
      </c>
      <c r="AG392">
        <v>45240</v>
      </c>
      <c r="AH392">
        <v>0</v>
      </c>
      <c r="AI392" t="str">
        <v>23.4.1</v>
      </c>
      <c r="AJ392">
        <v>0</v>
      </c>
      <c r="AK392">
        <v>0</v>
      </c>
      <c r="AL392">
        <v>0</v>
      </c>
      <c r="AM392">
        <v>0</v>
      </c>
      <c r="AN392">
        <v>0</v>
      </c>
      <c r="AO392" t="str">
        <v>4/3林</v>
      </c>
      <c r="AP392">
        <v>0</v>
      </c>
    </row>
    <row r="393" spans="1:42">
      <c r="A393" t="str">
        <f>H393&amp;COUNTIF($H$2:H393,H393)</f>
        <v>乙川工場製造3課6工区9班7</v>
      </c>
      <c r="B393" t="str">
        <f>F393&amp;COUNTIF($F$2:F393,F393)</f>
        <v>コーリツ 乙川16</v>
      </c>
      <c r="C393" t="str">
        <v>退社</v>
      </c>
      <c r="D393">
        <v>230308</v>
      </c>
      <c r="E393">
        <v>8210051</v>
      </c>
      <c r="F393" t="str">
        <v>コーリツ 乙川</v>
      </c>
      <c r="G393" t="str">
        <v>乙川工場製造3課6工区9班</v>
      </c>
      <c r="H393" t="str">
        <v>乙川工場製造3課6工区9班</v>
      </c>
      <c r="I393">
        <v>0</v>
      </c>
      <c r="J393" t="str">
        <v>NGUYEN VAN DOAN</v>
      </c>
      <c r="K393" t="str">
        <v>グエン　ヴァン　ドアン</v>
      </c>
      <c r="L393" t="str">
        <v>男</v>
      </c>
      <c r="M393" t="str">
        <v>ﾍﾞﾄﾅﾑ</v>
      </c>
      <c r="N393">
        <v>34759</v>
      </c>
      <c r="O393">
        <v>28</v>
      </c>
      <c r="P393">
        <v>1450</v>
      </c>
      <c r="Q393">
        <v>0</v>
      </c>
      <c r="R393">
        <v>1990</v>
      </c>
      <c r="S393">
        <v>0</v>
      </c>
      <c r="T393">
        <v>540</v>
      </c>
      <c r="U393">
        <v>180000</v>
      </c>
      <c r="V393">
        <v>9009</v>
      </c>
      <c r="W393" t="str">
        <v>0</v>
      </c>
      <c r="X393">
        <v>16470</v>
      </c>
      <c r="Y393">
        <v>46709</v>
      </c>
      <c r="Z393" t="str">
        <v/>
      </c>
      <c r="AA393" t="str">
        <v>技術・人文知識・国際業務</v>
      </c>
      <c r="AB393" t="str">
        <v>475-0061</v>
      </c>
      <c r="AC393" t="str">
        <v>愛知県半田市一ノ草町201-11</v>
      </c>
      <c r="AD393" t="str">
        <v>ﾒｿﾞﾝﾊﾟｰｸｱﾍﾞﾆｭｰ101</v>
      </c>
      <c r="AE393">
        <v>44991</v>
      </c>
      <c r="AF393">
        <v>44993</v>
      </c>
      <c r="AG393">
        <v>45043</v>
      </c>
      <c r="AH393">
        <v>0</v>
      </c>
      <c r="AI393" t="str">
        <v>23.4.1</v>
      </c>
      <c r="AJ393">
        <v>0</v>
      </c>
      <c r="AK393">
        <v>0</v>
      </c>
      <c r="AL393">
        <v>0</v>
      </c>
      <c r="AM393">
        <v>0</v>
      </c>
      <c r="AN393">
        <v>0</v>
      </c>
      <c r="AO393" t="str">
        <v>3/20林</v>
      </c>
      <c r="AP393">
        <v>0</v>
      </c>
    </row>
    <row r="394" spans="1:42">
      <c r="A394" t="str">
        <f>H394&amp;COUNTIF($H$2:H394,H394)</f>
        <v>州の埼２工場製造3課５工区７班1</v>
      </c>
      <c r="B394" t="str">
        <f>F394&amp;COUNTIF($F$2:F394,F394)</f>
        <v>コーリツ 州の崎22</v>
      </c>
      <c r="C394" t="str">
        <v>退社</v>
      </c>
      <c r="D394">
        <v>220117</v>
      </c>
      <c r="E394">
        <v>8210052</v>
      </c>
      <c r="F394" t="str">
        <v>コーリツ 州の崎</v>
      </c>
      <c r="G394" t="str">
        <v>州の埼２工場　製造3課５工区７班</v>
      </c>
      <c r="H394" t="str">
        <v>州の埼２工場製造3課５工区７班</v>
      </c>
      <c r="I394">
        <v>0</v>
      </c>
      <c r="J394" t="str">
        <v>VU VAN LONG</v>
      </c>
      <c r="K394" t="str">
        <v>ブー　バン　ロン</v>
      </c>
      <c r="L394" t="str">
        <v>男</v>
      </c>
      <c r="M394" t="str">
        <v>ﾍﾞﾄﾅﾑ</v>
      </c>
      <c r="N394">
        <v>34808</v>
      </c>
      <c r="O394">
        <v>28</v>
      </c>
      <c r="P394">
        <v>1400</v>
      </c>
      <c r="Q394">
        <v>0</v>
      </c>
      <c r="R394">
        <v>1990</v>
      </c>
      <c r="S394">
        <v>0</v>
      </c>
      <c r="T394">
        <v>590</v>
      </c>
      <c r="U394">
        <v>180000</v>
      </c>
      <c r="V394">
        <v>9009</v>
      </c>
      <c r="W394" t="str">
        <v>0</v>
      </c>
      <c r="X394">
        <v>16470</v>
      </c>
      <c r="Y394">
        <v>45625</v>
      </c>
      <c r="Z394" t="str">
        <v/>
      </c>
      <c r="AA394" t="str">
        <v>技術・人文知識・国際業務</v>
      </c>
      <c r="AB394" t="str">
        <v>475-0061</v>
      </c>
      <c r="AC394" t="str">
        <v>愛知県半田市一ノ草町201-11</v>
      </c>
      <c r="AD394" t="str">
        <v>ﾒｿﾞﾝﾊﾟｰｸｱﾍﾞﾆｭｰ103</v>
      </c>
      <c r="AE394">
        <v>45002</v>
      </c>
      <c r="AF394">
        <v>45005</v>
      </c>
      <c r="AG394">
        <v>45198</v>
      </c>
      <c r="AH394">
        <v>0</v>
      </c>
      <c r="AI394" t="str">
        <v>23.4.1</v>
      </c>
      <c r="AJ394">
        <v>0</v>
      </c>
      <c r="AK394">
        <v>0</v>
      </c>
      <c r="AL394">
        <v>0</v>
      </c>
      <c r="AM394">
        <v>0</v>
      </c>
      <c r="AN394">
        <v>0</v>
      </c>
      <c r="AO394" t="str">
        <v>4/3林</v>
      </c>
      <c r="AP394">
        <v>0</v>
      </c>
    </row>
    <row r="395" spans="1:42">
      <c r="A395" t="str">
        <f>H395&amp;COUNTIF($H$2:H395,H395)</f>
        <v>亀崎工場製造5課7工区8班1</v>
      </c>
      <c r="B395" t="str">
        <f>F395&amp;COUNTIF($F$2:F395,F395)</f>
        <v>コーリツ 亀崎5</v>
      </c>
      <c r="C395" t="str">
        <v>退社</v>
      </c>
      <c r="D395">
        <v>230317</v>
      </c>
      <c r="E395">
        <v>8210053</v>
      </c>
      <c r="F395" t="str">
        <v>コーリツ 亀崎</v>
      </c>
      <c r="G395" t="str">
        <v>亀崎工場製造5課7工区8班</v>
      </c>
      <c r="H395" t="str">
        <v>亀崎工場製造5課7工区8班</v>
      </c>
      <c r="I395">
        <v>0</v>
      </c>
      <c r="J395" t="str">
        <v>NGUYEN VAN QUANG</v>
      </c>
      <c r="K395" t="str">
        <v>グエン　ヴァン　クアン</v>
      </c>
      <c r="L395" t="str">
        <v>男</v>
      </c>
      <c r="M395" t="str">
        <v>ﾍﾞﾄﾅﾑ</v>
      </c>
      <c r="N395">
        <v>34353</v>
      </c>
      <c r="O395">
        <v>29</v>
      </c>
      <c r="P395">
        <v>1400</v>
      </c>
      <c r="Q395">
        <v>0</v>
      </c>
      <c r="R395">
        <v>1990</v>
      </c>
      <c r="S395">
        <v>0</v>
      </c>
      <c r="T395">
        <v>590</v>
      </c>
      <c r="U395">
        <v>180000</v>
      </c>
      <c r="V395">
        <v>9009</v>
      </c>
      <c r="W395" t="str">
        <v>0</v>
      </c>
      <c r="X395">
        <v>16470</v>
      </c>
      <c r="Y395">
        <v>45206</v>
      </c>
      <c r="Z395" t="str">
        <v>残り期限90日!</v>
      </c>
      <c r="AA395" t="str">
        <v>技術・人文知識・国際業務</v>
      </c>
      <c r="AB395" t="str">
        <v>475-0061</v>
      </c>
      <c r="AC395" t="str">
        <v>愛知県半田市一ノ草町201-11</v>
      </c>
      <c r="AD395" t="str">
        <v>ﾒｿﾞﾝﾊﾟｰｸｱﾍﾞﾆｭｰ103</v>
      </c>
      <c r="AE395">
        <v>45009</v>
      </c>
      <c r="AF395">
        <v>45012</v>
      </c>
      <c r="AG395">
        <v>45058</v>
      </c>
      <c r="AH395">
        <v>0</v>
      </c>
      <c r="AI395" t="str">
        <v>23.4.1</v>
      </c>
      <c r="AJ395">
        <v>0</v>
      </c>
      <c r="AK395">
        <v>0</v>
      </c>
      <c r="AL395">
        <v>0</v>
      </c>
      <c r="AM395">
        <v>0</v>
      </c>
      <c r="AN395">
        <v>0</v>
      </c>
      <c r="AO395" t="str">
        <v>4/12林</v>
      </c>
      <c r="AP395">
        <v>0</v>
      </c>
    </row>
    <row r="396" spans="1:42">
      <c r="A396" t="str">
        <f>H396&amp;COUNTIF($H$2:H396,H396)</f>
        <v>本社工場製造1課1工区1班1</v>
      </c>
      <c r="B396" t="str">
        <f>F396&amp;COUNTIF($F$2:F396,F396)</f>
        <v>コーリツ 本社9</v>
      </c>
      <c r="C396" t="str">
        <v>在職中</v>
      </c>
      <c r="D396">
        <v>210305</v>
      </c>
      <c r="E396">
        <v>8210054</v>
      </c>
      <c r="F396" t="str">
        <v>コーリツ 本社</v>
      </c>
      <c r="G396" t="str">
        <v>本社工場製造1課1工区1班</v>
      </c>
      <c r="H396" t="str">
        <v>本社工場製造1課1工区1班</v>
      </c>
      <c r="I396">
        <v>0</v>
      </c>
      <c r="J396" t="str">
        <v>NGUYEN HOA HOAN</v>
      </c>
      <c r="K396" t="str">
        <v>グエン　ホア　ホアン</v>
      </c>
      <c r="L396" t="str">
        <v>男</v>
      </c>
      <c r="M396" t="str">
        <v>ﾍﾞﾄﾅﾑ</v>
      </c>
      <c r="N396">
        <v>34554</v>
      </c>
      <c r="O396">
        <v>29</v>
      </c>
      <c r="P396">
        <v>1400</v>
      </c>
      <c r="Q396" t="str">
        <v>2021/6/21~　1400⇒1500</v>
      </c>
      <c r="R396">
        <v>1990</v>
      </c>
      <c r="S396" t="str">
        <v>入社3か月後100円UP</v>
      </c>
      <c r="T396">
        <v>590</v>
      </c>
      <c r="U396">
        <v>320000</v>
      </c>
      <c r="V396">
        <v>16015.999999999998</v>
      </c>
      <c r="W396" t="str">
        <v>0</v>
      </c>
      <c r="X396">
        <v>29280</v>
      </c>
      <c r="Y396">
        <v>45329</v>
      </c>
      <c r="Z396" t="str">
        <v>残り期限90日!</v>
      </c>
      <c r="AA396" t="str">
        <v>技術・人文知識・国際業務</v>
      </c>
      <c r="AB396" t="str">
        <v>444-1303</v>
      </c>
      <c r="AC396" t="str">
        <v>愛知県高浜市小池町4丁目6番地6</v>
      </c>
      <c r="AD396" t="str">
        <v>ｺｰﾎﾟﾗｽSK102</v>
      </c>
      <c r="AE396">
        <v>44931</v>
      </c>
      <c r="AF396">
        <v>44258</v>
      </c>
      <c r="AG396">
        <v>0</v>
      </c>
      <c r="AH396">
        <v>0</v>
      </c>
      <c r="AI396">
        <v>44317</v>
      </c>
      <c r="AJ396" t="str">
        <v>グエン　ホア　ホアン</v>
      </c>
      <c r="AK396" t="str">
        <v>三菱ＵＦＪ銀行</v>
      </c>
      <c r="AL396">
        <v>235</v>
      </c>
      <c r="AM396" t="str">
        <v>中村公園前</v>
      </c>
      <c r="AN396" t="str">
        <v>181018</v>
      </c>
      <c r="AO396" t="str">
        <v>OK</v>
      </c>
      <c r="AP396" t="str">
        <v>2023/1/9～ﾌｪﾆﾃｯｸ岡山から六甲電子へ異動　2023/3/14で六甲電子退社　2023/4/3からコーリツ入社</v>
      </c>
    </row>
    <row r="397" spans="1:42">
      <c r="A397" t="str">
        <f>H397&amp;COUNTIF($H$2:H397,H397)</f>
        <v>本社工場製造1課2工区6班1</v>
      </c>
      <c r="B397" t="str">
        <f>F397&amp;COUNTIF($F$2:F397,F397)</f>
        <v>コーリツ 本社10</v>
      </c>
      <c r="C397" t="str">
        <v>退社</v>
      </c>
      <c r="D397">
        <v>230401</v>
      </c>
      <c r="E397">
        <v>8210055</v>
      </c>
      <c r="F397" t="str">
        <v>コーリツ 本社</v>
      </c>
      <c r="G397" t="str">
        <v>本社工場製造2課3工区6班</v>
      </c>
      <c r="H397" t="str">
        <v>本社工場製造1課2工区6班</v>
      </c>
      <c r="I397">
        <v>0</v>
      </c>
      <c r="J397" t="str">
        <v>田中　ヤスヒロ</v>
      </c>
      <c r="K397" t="str">
        <v>タナカ　ヤスヒロ</v>
      </c>
      <c r="L397" t="str">
        <v>男</v>
      </c>
      <c r="M397" t="str">
        <v>ﾌﾞﾗｼﾞﾙ</v>
      </c>
      <c r="N397">
        <v>36540</v>
      </c>
      <c r="O397">
        <v>23</v>
      </c>
      <c r="P397">
        <v>1400</v>
      </c>
      <c r="Q397">
        <v>0</v>
      </c>
      <c r="R397">
        <v>1990</v>
      </c>
      <c r="S397">
        <v>0</v>
      </c>
      <c r="T397">
        <v>590</v>
      </c>
      <c r="U397">
        <v>260000</v>
      </c>
      <c r="V397">
        <v>13013</v>
      </c>
      <c r="W397" t="str">
        <v>0</v>
      </c>
      <c r="X397">
        <v>23790</v>
      </c>
      <c r="Y397">
        <v>45382</v>
      </c>
      <c r="Z397" t="str">
        <v/>
      </c>
      <c r="AA397" t="str">
        <v>定住者</v>
      </c>
      <c r="AB397" t="str">
        <v>304-0812</v>
      </c>
      <c r="AC397" t="str">
        <v>茨城県下妻市田下598-3</v>
      </c>
      <c r="AD397" t="str">
        <v>CHODORI　102</v>
      </c>
      <c r="AE397" t="str">
        <v>個人</v>
      </c>
      <c r="AF397">
        <v>45026</v>
      </c>
      <c r="AG397">
        <v>45219</v>
      </c>
      <c r="AH397">
        <v>0</v>
      </c>
      <c r="AI397" t="str">
        <v>23.5.1</v>
      </c>
      <c r="AJ397">
        <v>0</v>
      </c>
      <c r="AK397">
        <v>0</v>
      </c>
      <c r="AL397">
        <v>0</v>
      </c>
      <c r="AM397">
        <v>0</v>
      </c>
      <c r="AN397">
        <v>0</v>
      </c>
      <c r="AO397" t="str">
        <v>4/13林</v>
      </c>
      <c r="AP397">
        <v>0</v>
      </c>
    </row>
    <row r="398" spans="1:42">
      <c r="A398" t="str">
        <f>H398&amp;COUNTIF($H$2:H398,H398)</f>
        <v>乙川工場製造3課6工区9班8</v>
      </c>
      <c r="B398" t="str">
        <f>F398&amp;COUNTIF($F$2:F398,F398)</f>
        <v>コーリツ 乙川17</v>
      </c>
      <c r="C398" t="str">
        <v>在職中</v>
      </c>
      <c r="D398">
        <v>210107</v>
      </c>
      <c r="E398">
        <v>8210056</v>
      </c>
      <c r="F398" t="str">
        <v>コーリツ 乙川</v>
      </c>
      <c r="G398" t="str">
        <v>乙川工場製造3課6工区9班</v>
      </c>
      <c r="H398" t="str">
        <v>乙川工場製造3課6工区9班</v>
      </c>
      <c r="I398">
        <v>0</v>
      </c>
      <c r="J398" t="str">
        <v>PHAM VAN DUNG</v>
      </c>
      <c r="K398" t="str">
        <v>ファム　ヴァン　ズン</v>
      </c>
      <c r="L398" t="str">
        <v>男</v>
      </c>
      <c r="M398" t="str">
        <v>ﾍﾞﾄﾅﾑ</v>
      </c>
      <c r="N398">
        <v>33227</v>
      </c>
      <c r="O398">
        <v>32</v>
      </c>
      <c r="P398">
        <v>1430</v>
      </c>
      <c r="Q398">
        <v>0</v>
      </c>
      <c r="R398">
        <v>2020</v>
      </c>
      <c r="S398">
        <v>0</v>
      </c>
      <c r="T398">
        <v>590</v>
      </c>
      <c r="U398">
        <v>180000</v>
      </c>
      <c r="V398">
        <v>9009</v>
      </c>
      <c r="W398" t="str">
        <v>0</v>
      </c>
      <c r="X398">
        <v>16470</v>
      </c>
      <c r="Y398">
        <v>45443</v>
      </c>
      <c r="Z398" t="str">
        <v/>
      </c>
      <c r="AA398" t="str">
        <v>技術・人文知識・国際業務</v>
      </c>
      <c r="AB398" t="str">
        <v>475-0061</v>
      </c>
      <c r="AC398" t="str">
        <v>愛知県半田市一ノ草町201-11</v>
      </c>
      <c r="AD398" t="str">
        <v>ﾒｿﾞﾝﾊﾟｰｸｱﾍﾞﾆｭｰ101</v>
      </c>
      <c r="AE398">
        <v>45073</v>
      </c>
      <c r="AF398">
        <v>45064</v>
      </c>
      <c r="AG398">
        <v>0</v>
      </c>
      <c r="AH398">
        <v>0</v>
      </c>
      <c r="AI398" t="str">
        <v>23.6.1</v>
      </c>
      <c r="AJ398">
        <v>0</v>
      </c>
      <c r="AK398">
        <v>0</v>
      </c>
      <c r="AL398">
        <v>0</v>
      </c>
      <c r="AM398">
        <v>0</v>
      </c>
      <c r="AN398">
        <v>0</v>
      </c>
      <c r="AO398" t="str">
        <v>5/29林</v>
      </c>
      <c r="AP398">
        <v>0</v>
      </c>
    </row>
    <row r="399" spans="1:42">
      <c r="A399" t="str">
        <f>H399&amp;COUNTIF($H$2:H399,H399)</f>
        <v>乙川工場製造3課5工区7班4</v>
      </c>
      <c r="B399" t="str">
        <f>F399&amp;COUNTIF($F$2:F399,F399)</f>
        <v>コーリツ 乙川18</v>
      </c>
      <c r="C399" t="str">
        <v>在職中</v>
      </c>
      <c r="D399">
        <v>230601</v>
      </c>
      <c r="E399">
        <v>8210057</v>
      </c>
      <c r="F399" t="str">
        <v>コーリツ 乙川</v>
      </c>
      <c r="G399" t="str">
        <v>乙川工場製造3課5工区7班</v>
      </c>
      <c r="H399" t="str">
        <v>乙川工場製造3課5工区7班</v>
      </c>
      <c r="I399">
        <v>0</v>
      </c>
      <c r="J399" t="str">
        <v>BUI XUAN DUONG</v>
      </c>
      <c r="K399" t="str">
        <v>ブイ　スアン　ズオン</v>
      </c>
      <c r="L399" t="str">
        <v>男</v>
      </c>
      <c r="M399" t="str">
        <v>ﾍﾞﾄﾅﾑ</v>
      </c>
      <c r="N399">
        <v>30966</v>
      </c>
      <c r="O399">
        <v>39</v>
      </c>
      <c r="P399">
        <v>1430</v>
      </c>
      <c r="Q399">
        <v>0</v>
      </c>
      <c r="R399">
        <v>2020</v>
      </c>
      <c r="S399">
        <v>0</v>
      </c>
      <c r="T399">
        <v>590</v>
      </c>
      <c r="U399">
        <v>180000</v>
      </c>
      <c r="V399">
        <v>9009</v>
      </c>
      <c r="W399" t="str">
        <v>0</v>
      </c>
      <c r="X399">
        <v>16470</v>
      </c>
      <c r="Y399">
        <v>45701</v>
      </c>
      <c r="Z399" t="str">
        <v/>
      </c>
      <c r="AA399" t="str">
        <v>技術・人文知識・国際業務</v>
      </c>
      <c r="AB399" t="str">
        <v>475-0061</v>
      </c>
      <c r="AC399" t="str">
        <v>愛知県半田市一ノ草町201-11</v>
      </c>
      <c r="AD399" t="str">
        <v>ﾒｿﾞﾝﾊﾟｰｸｱﾍﾞﾆｭｰ201</v>
      </c>
      <c r="AE399">
        <v>45077</v>
      </c>
      <c r="AF399">
        <v>45078</v>
      </c>
      <c r="AG399">
        <v>0</v>
      </c>
      <c r="AH399">
        <v>0</v>
      </c>
      <c r="AI399" t="str">
        <v>23.6.1</v>
      </c>
      <c r="AJ399">
        <v>0</v>
      </c>
      <c r="AK399">
        <v>0</v>
      </c>
      <c r="AL399">
        <v>0</v>
      </c>
      <c r="AM399">
        <v>0</v>
      </c>
      <c r="AN399">
        <v>0</v>
      </c>
      <c r="AO399" t="str">
        <v>6/2原</v>
      </c>
      <c r="AP399">
        <v>0</v>
      </c>
    </row>
    <row r="400" spans="1:42">
      <c r="A400" t="str">
        <f>H400&amp;COUNTIF($H$2:H400,H400)</f>
        <v>本社工場製造1課2工区3班3</v>
      </c>
      <c r="B400" t="str">
        <f>F400&amp;COUNTIF($F$2:F400,F400)</f>
        <v>コーリツ 本社11</v>
      </c>
      <c r="C400" t="str">
        <v>在職中</v>
      </c>
      <c r="D400">
        <v>230603</v>
      </c>
      <c r="E400">
        <v>8210058</v>
      </c>
      <c r="F400" t="str">
        <v>コーリツ 本社</v>
      </c>
      <c r="G400" t="str">
        <v>本社工場製造1課2工区3班</v>
      </c>
      <c r="H400" t="str">
        <v>本社工場製造1課2工区3班</v>
      </c>
      <c r="I400">
        <v>0</v>
      </c>
      <c r="J400" t="str">
        <v>NGUYEN VAN TUYEN</v>
      </c>
      <c r="K400" t="str">
        <v>グエン　バン　トゥエン</v>
      </c>
      <c r="L400" t="str">
        <v>男</v>
      </c>
      <c r="M400" t="str">
        <v>ﾍﾞﾄﾅﾑ</v>
      </c>
      <c r="N400">
        <v>34115</v>
      </c>
      <c r="O400">
        <v>30</v>
      </c>
      <c r="P400">
        <v>1400</v>
      </c>
      <c r="Q400">
        <v>0</v>
      </c>
      <c r="R400">
        <v>1960</v>
      </c>
      <c r="S400">
        <v>0</v>
      </c>
      <c r="T400">
        <v>560</v>
      </c>
      <c r="U400">
        <v>180000</v>
      </c>
      <c r="V400">
        <v>9009</v>
      </c>
      <c r="W400" t="str">
        <v>0</v>
      </c>
      <c r="X400">
        <v>16470</v>
      </c>
      <c r="Y400">
        <v>45513</v>
      </c>
      <c r="Z400" t="str">
        <v/>
      </c>
      <c r="AA400" t="str">
        <v>技術・人文知識・国際業務</v>
      </c>
      <c r="AB400" t="str">
        <v>448-0855</v>
      </c>
      <c r="AC400" t="str">
        <v>愛知県刈谷市大正町7丁目401-1</v>
      </c>
      <c r="AD400" t="str">
        <v>ﾆｭｰﾊﾋﾟﾈｽ201</v>
      </c>
      <c r="AE400">
        <v>45099</v>
      </c>
      <c r="AF400">
        <v>45089</v>
      </c>
      <c r="AG400">
        <v>0</v>
      </c>
      <c r="AH400">
        <v>0</v>
      </c>
      <c r="AI400" t="str">
        <v>23.6.12</v>
      </c>
      <c r="AJ400">
        <v>0</v>
      </c>
      <c r="AK400">
        <v>0</v>
      </c>
      <c r="AL400">
        <v>0</v>
      </c>
      <c r="AM400">
        <v>0</v>
      </c>
      <c r="AN400">
        <v>0</v>
      </c>
      <c r="AO400" t="str">
        <v>6/21原</v>
      </c>
      <c r="AP400">
        <v>0</v>
      </c>
    </row>
    <row r="401" spans="1:42">
      <c r="A401" t="str">
        <f>H401&amp;COUNTIF($H$2:H401,H401)</f>
        <v>本社工場製造1課1工区1班2</v>
      </c>
      <c r="B401" t="str">
        <f>F401&amp;COUNTIF($F$2:F401,F401)</f>
        <v>コーリツ 本社12</v>
      </c>
      <c r="C401" t="str">
        <v>在職中</v>
      </c>
      <c r="D401">
        <v>210609</v>
      </c>
      <c r="E401">
        <v>8210059</v>
      </c>
      <c r="F401" t="str">
        <v>コーリツ 本社</v>
      </c>
      <c r="G401" t="str">
        <v>本社工場製造1課1工区1班</v>
      </c>
      <c r="H401" t="str">
        <v>本社工場製造1課1工区1班</v>
      </c>
      <c r="I401">
        <v>0</v>
      </c>
      <c r="J401" t="str">
        <v>NGUYEN VAN TIEN</v>
      </c>
      <c r="K401" t="str">
        <v>グエン　ヴァン　ティエン</v>
      </c>
      <c r="L401" t="str">
        <v>男</v>
      </c>
      <c r="M401" t="str">
        <v>ﾍﾞﾄﾅﾑ</v>
      </c>
      <c r="N401">
        <v>34826</v>
      </c>
      <c r="O401">
        <v>28</v>
      </c>
      <c r="P401">
        <v>1400</v>
      </c>
      <c r="Q401">
        <v>0</v>
      </c>
      <c r="R401">
        <v>1960</v>
      </c>
      <c r="S401">
        <v>0</v>
      </c>
      <c r="T401">
        <v>560</v>
      </c>
      <c r="U401">
        <v>220000</v>
      </c>
      <c r="V401">
        <v>11011</v>
      </c>
      <c r="W401" t="str">
        <v>0</v>
      </c>
      <c r="X401">
        <v>20130</v>
      </c>
      <c r="Y401">
        <v>45418</v>
      </c>
      <c r="Z401" t="str">
        <v/>
      </c>
      <c r="AA401" t="str">
        <v>技術・人文知識・国際業務</v>
      </c>
      <c r="AB401" t="str">
        <v>448-0855</v>
      </c>
      <c r="AC401" t="str">
        <v>愛知県刈谷市大正町7丁目401-1</v>
      </c>
      <c r="AD401" t="str">
        <v>ﾆｭｰﾊﾋﾟﾈｽ201</v>
      </c>
      <c r="AE401">
        <v>45099</v>
      </c>
      <c r="AF401">
        <v>45103</v>
      </c>
      <c r="AG401">
        <v>0</v>
      </c>
      <c r="AH401">
        <v>0</v>
      </c>
      <c r="AI401" t="str">
        <v>23.6.26</v>
      </c>
      <c r="AJ401">
        <v>0</v>
      </c>
      <c r="AK401">
        <v>0</v>
      </c>
      <c r="AL401">
        <v>0</v>
      </c>
      <c r="AM401">
        <v>0</v>
      </c>
      <c r="AN401">
        <v>0</v>
      </c>
      <c r="AO401" t="str">
        <v>7/5林</v>
      </c>
      <c r="AP401">
        <v>0</v>
      </c>
    </row>
    <row r="402" spans="1:42">
      <c r="A402" t="str">
        <f>H402&amp;COUNTIF($H$2:H402,H402)</f>
        <v>州の崎工場製造3課5工区6班2</v>
      </c>
      <c r="B402" t="str">
        <f>F402&amp;COUNTIF($F$2:F402,F402)</f>
        <v>コーリツ 州の崎23</v>
      </c>
      <c r="C402" t="str">
        <v>在職中</v>
      </c>
      <c r="D402">
        <v>230703</v>
      </c>
      <c r="E402">
        <v>8210061</v>
      </c>
      <c r="F402" t="str">
        <v>コーリツ 州の崎</v>
      </c>
      <c r="G402" t="str">
        <v>州の崎工場製造3課5工区6班</v>
      </c>
      <c r="H402" t="str">
        <v>州の崎工場製造3課5工区6班</v>
      </c>
      <c r="I402">
        <v>0</v>
      </c>
      <c r="J402" t="str">
        <v>NGUYEN VAN ANH</v>
      </c>
      <c r="K402" t="str">
        <v>グエン　バン　アン</v>
      </c>
      <c r="L402" t="str">
        <v>男</v>
      </c>
      <c r="M402" t="str">
        <v>ﾍﾞﾄﾅﾑ</v>
      </c>
      <c r="N402">
        <v>34476</v>
      </c>
      <c r="O402">
        <v>29</v>
      </c>
      <c r="P402">
        <v>1400</v>
      </c>
      <c r="Q402">
        <v>0</v>
      </c>
      <c r="R402">
        <v>1990</v>
      </c>
      <c r="S402">
        <v>0</v>
      </c>
      <c r="T402">
        <v>590</v>
      </c>
      <c r="U402">
        <v>220000</v>
      </c>
      <c r="V402">
        <v>11011</v>
      </c>
      <c r="W402" t="str">
        <v>0</v>
      </c>
      <c r="X402">
        <v>20130</v>
      </c>
      <c r="Y402">
        <v>45359</v>
      </c>
      <c r="Z402" t="str">
        <v>残り期限90日!</v>
      </c>
      <c r="AA402" t="str">
        <v>技術・人文知識・国際業務</v>
      </c>
      <c r="AB402" t="str">
        <v>475-0061</v>
      </c>
      <c r="AC402" t="str">
        <v>愛知県半田市一ノ草町201-11</v>
      </c>
      <c r="AD402" t="str">
        <v>ﾒｿﾞﾝﾊﾟｰｸｱﾍﾞﾆｭｰ201</v>
      </c>
      <c r="AE402">
        <v>45109</v>
      </c>
      <c r="AF402">
        <v>45110</v>
      </c>
      <c r="AG402">
        <v>0</v>
      </c>
      <c r="AH402">
        <v>0</v>
      </c>
      <c r="AI402" t="str">
        <v>23.7.3</v>
      </c>
      <c r="AJ402">
        <v>0</v>
      </c>
      <c r="AK402">
        <v>0</v>
      </c>
      <c r="AL402">
        <v>0</v>
      </c>
      <c r="AM402">
        <v>0</v>
      </c>
      <c r="AN402">
        <v>0</v>
      </c>
      <c r="AO402" t="str">
        <v>7/13林</v>
      </c>
      <c r="AP402">
        <v>0</v>
      </c>
    </row>
    <row r="403" spans="1:42">
      <c r="A403" t="str">
        <f>H403&amp;COUNTIF($H$2:H403,H403)</f>
        <v>本社工場製造1課1工区1班3</v>
      </c>
      <c r="B403" t="str">
        <f>F403&amp;COUNTIF($F$2:F403,F403)</f>
        <v>コーリツ 州の崎24</v>
      </c>
      <c r="C403" t="str">
        <v>在職中</v>
      </c>
      <c r="D403">
        <v>210710</v>
      </c>
      <c r="E403">
        <v>8210062</v>
      </c>
      <c r="F403" t="str">
        <v>コーリツ 州の崎</v>
      </c>
      <c r="G403" t="str">
        <v>本社工場製造1課1工区1班</v>
      </c>
      <c r="H403" t="str">
        <v>本社工場製造1課1工区1班</v>
      </c>
      <c r="I403">
        <v>0</v>
      </c>
      <c r="J403" t="str">
        <v>NGUYEN XUAN THANG</v>
      </c>
      <c r="K403" t="str">
        <v>グエン　スワン　タン</v>
      </c>
      <c r="L403" t="str">
        <v>男</v>
      </c>
      <c r="M403" t="str">
        <v>ﾍﾞﾄﾅﾑ</v>
      </c>
      <c r="N403">
        <v>33139</v>
      </c>
      <c r="O403">
        <v>33</v>
      </c>
      <c r="P403">
        <v>1450</v>
      </c>
      <c r="Q403">
        <v>0</v>
      </c>
      <c r="R403">
        <v>1990</v>
      </c>
      <c r="S403">
        <v>0</v>
      </c>
      <c r="T403">
        <v>540</v>
      </c>
      <c r="U403">
        <v>240000</v>
      </c>
      <c r="V403">
        <v>12012</v>
      </c>
      <c r="W403" t="str">
        <v>0</v>
      </c>
      <c r="X403">
        <v>21960</v>
      </c>
      <c r="Y403">
        <v>45441</v>
      </c>
      <c r="Z403" t="str">
        <v/>
      </c>
      <c r="AA403" t="str">
        <v>技術・人文知識・国際業務</v>
      </c>
      <c r="AB403" t="str">
        <v>475-0074</v>
      </c>
      <c r="AC403" t="str">
        <v>愛知県半田市長根町３丁目１番</v>
      </c>
      <c r="AD403" t="str">
        <v>県営長根住宅1棟302号</v>
      </c>
      <c r="AE403" t="str">
        <v>個人</v>
      </c>
      <c r="AF403">
        <v>45110</v>
      </c>
      <c r="AG403">
        <v>0</v>
      </c>
      <c r="AH403">
        <v>0</v>
      </c>
      <c r="AI403" t="str">
        <v>23.7.3</v>
      </c>
      <c r="AJ403">
        <v>0</v>
      </c>
      <c r="AK403">
        <v>0</v>
      </c>
      <c r="AL403">
        <v>0</v>
      </c>
      <c r="AM403">
        <v>0</v>
      </c>
      <c r="AN403">
        <v>0</v>
      </c>
      <c r="AO403" t="str">
        <v>7/13林</v>
      </c>
      <c r="AP403">
        <v>0</v>
      </c>
    </row>
    <row r="404" spans="1:42">
      <c r="A404" t="str">
        <f>H404&amp;COUNTIF($H$2:H404,H404)</f>
        <v>本社工場製造1課1工区1班4</v>
      </c>
      <c r="B404" t="str">
        <f>F404&amp;COUNTIF($F$2:F404,F404)</f>
        <v>コーリツ 本社13</v>
      </c>
      <c r="C404" t="str">
        <v>在職中</v>
      </c>
      <c r="D404">
        <v>230702</v>
      </c>
      <c r="E404">
        <v>8210063</v>
      </c>
      <c r="F404" t="str">
        <v>コーリツ 本社</v>
      </c>
      <c r="G404" t="str">
        <v>本社工場製造1課1工区1班</v>
      </c>
      <c r="H404" t="str">
        <v>本社工場製造1課1工区1班</v>
      </c>
      <c r="I404">
        <v>0</v>
      </c>
      <c r="J404" t="str">
        <v>NGUYEN DINH TANG</v>
      </c>
      <c r="K404" t="str">
        <v>グエン　デイン　タン</v>
      </c>
      <c r="L404" t="str">
        <v>男</v>
      </c>
      <c r="M404" t="str">
        <v>ﾍﾞﾄﾅﾑ</v>
      </c>
      <c r="N404">
        <v>32063</v>
      </c>
      <c r="O404">
        <v>36</v>
      </c>
      <c r="P404">
        <v>1400</v>
      </c>
      <c r="Q404">
        <v>0</v>
      </c>
      <c r="R404">
        <v>1960</v>
      </c>
      <c r="S404">
        <v>0</v>
      </c>
      <c r="T404">
        <v>560</v>
      </c>
      <c r="U404">
        <v>220000</v>
      </c>
      <c r="V404">
        <v>11011</v>
      </c>
      <c r="W404" t="str">
        <v>0</v>
      </c>
      <c r="X404">
        <v>20130</v>
      </c>
      <c r="Y404">
        <v>45779</v>
      </c>
      <c r="Z404" t="str">
        <v/>
      </c>
      <c r="AA404" t="str">
        <v>技術・人文知識・国際業務</v>
      </c>
      <c r="AB404" t="str">
        <v>448-0832</v>
      </c>
      <c r="AC404" t="str">
        <v>愛知県刈谷市八幡町7丁目16-1</v>
      </c>
      <c r="AD404" t="str">
        <v>花水木C</v>
      </c>
      <c r="AE404">
        <v>45122</v>
      </c>
      <c r="AF404">
        <v>45110</v>
      </c>
      <c r="AG404">
        <v>0</v>
      </c>
      <c r="AH404">
        <v>0</v>
      </c>
      <c r="AI404" t="str">
        <v>23.7.3</v>
      </c>
      <c r="AJ404">
        <v>0</v>
      </c>
      <c r="AK404">
        <v>0</v>
      </c>
      <c r="AL404">
        <v>0</v>
      </c>
      <c r="AM404">
        <v>0</v>
      </c>
      <c r="AN404">
        <v>0</v>
      </c>
      <c r="AO404" t="str">
        <v>7/13林</v>
      </c>
      <c r="AP404">
        <v>0</v>
      </c>
    </row>
    <row r="405" spans="1:42">
      <c r="A405" t="str">
        <f>H405&amp;COUNTIF($H$2:H405,H405)</f>
        <v>069</v>
      </c>
      <c r="B405" t="str">
        <f>F405&amp;COUNTIF($F$2:F405,F405)</f>
        <v>コーリツ 亀崎6</v>
      </c>
      <c r="C405" t="str">
        <v>退社</v>
      </c>
      <c r="D405">
        <v>230711</v>
      </c>
      <c r="E405">
        <v>8210064</v>
      </c>
      <c r="F405" t="str">
        <v>コーリツ 亀崎</v>
      </c>
      <c r="G405">
        <v>0</v>
      </c>
      <c r="H405">
        <v>0</v>
      </c>
      <c r="I405">
        <v>0</v>
      </c>
      <c r="J405" t="str">
        <v>HO SY CUONG</v>
      </c>
      <c r="K405" t="str">
        <v>ホー　シー　クオン</v>
      </c>
      <c r="L405" t="str">
        <v>男</v>
      </c>
      <c r="M405" t="str">
        <v>ﾍﾞﾄﾅﾑ</v>
      </c>
      <c r="N405">
        <v>34375</v>
      </c>
      <c r="O405">
        <v>29</v>
      </c>
      <c r="P405">
        <v>1400</v>
      </c>
      <c r="Q405">
        <v>0</v>
      </c>
      <c r="R405">
        <v>1990</v>
      </c>
      <c r="S405">
        <v>0</v>
      </c>
      <c r="T405">
        <v>590</v>
      </c>
      <c r="U405">
        <v>0</v>
      </c>
      <c r="V405">
        <v>0</v>
      </c>
      <c r="W405" t="str">
        <v>0</v>
      </c>
      <c r="X405">
        <v>0</v>
      </c>
      <c r="Y405">
        <v>45620</v>
      </c>
      <c r="Z405" t="str">
        <v/>
      </c>
      <c r="AA405" t="str">
        <v>技術・人文知識・国際業務</v>
      </c>
      <c r="AB405" t="str">
        <v>475-0061</v>
      </c>
      <c r="AC405" t="str">
        <v>愛知県半田市一ノ草町201-11</v>
      </c>
      <c r="AD405" t="str">
        <v>ﾒｿﾞﾝﾊﾟｰｸｱﾍﾞﾆｭｰ103</v>
      </c>
      <c r="AE405">
        <v>45131</v>
      </c>
      <c r="AF405">
        <v>45133</v>
      </c>
      <c r="AG405">
        <v>45149</v>
      </c>
      <c r="AH405">
        <v>0</v>
      </c>
      <c r="AI405">
        <v>0</v>
      </c>
      <c r="AJ405">
        <v>0</v>
      </c>
      <c r="AK405">
        <v>0</v>
      </c>
      <c r="AL405">
        <v>0</v>
      </c>
      <c r="AM405">
        <v>0</v>
      </c>
      <c r="AN405">
        <v>0</v>
      </c>
      <c r="AO405">
        <v>0</v>
      </c>
      <c r="AP405">
        <v>0</v>
      </c>
    </row>
    <row r="406" spans="1:42">
      <c r="A406" t="str">
        <f>H406&amp;COUNTIF($H$2:H406,H406)</f>
        <v>070</v>
      </c>
      <c r="B406" t="str">
        <f>F406&amp;COUNTIF($F$2:F406,F406)</f>
        <v>コーリツ 州の崎25</v>
      </c>
      <c r="C406" t="str">
        <v>退社</v>
      </c>
      <c r="D406">
        <v>230712</v>
      </c>
      <c r="E406">
        <v>8210065</v>
      </c>
      <c r="F406" t="str">
        <v>コーリツ 州の崎</v>
      </c>
      <c r="G406">
        <v>0</v>
      </c>
      <c r="H406">
        <v>0</v>
      </c>
      <c r="I406">
        <v>0</v>
      </c>
      <c r="J406" t="str">
        <v>PHAN VAN PHI</v>
      </c>
      <c r="K406" t="str">
        <v>ファン　ヴァン　フィ</v>
      </c>
      <c r="L406" t="str">
        <v>男</v>
      </c>
      <c r="M406" t="str">
        <v>ﾍﾞﾄﾅﾑ</v>
      </c>
      <c r="N406">
        <v>34848</v>
      </c>
      <c r="O406">
        <v>28</v>
      </c>
      <c r="P406">
        <v>1400</v>
      </c>
      <c r="Q406">
        <v>0</v>
      </c>
      <c r="R406">
        <v>1990</v>
      </c>
      <c r="S406">
        <v>0</v>
      </c>
      <c r="T406">
        <v>590</v>
      </c>
      <c r="U406">
        <v>220000</v>
      </c>
      <c r="V406">
        <v>11011</v>
      </c>
      <c r="W406" t="str">
        <v>0</v>
      </c>
      <c r="X406">
        <v>20130</v>
      </c>
      <c r="Y406">
        <v>45795</v>
      </c>
      <c r="Z406" t="str">
        <v/>
      </c>
      <c r="AA406" t="str">
        <v>技術・人文知識・国際業務</v>
      </c>
      <c r="AB406" t="str">
        <v>475-0061</v>
      </c>
      <c r="AC406" t="str">
        <v>愛知県半田市一ノ草町201-11</v>
      </c>
      <c r="AD406" t="str">
        <v>ﾒｿﾞﾝﾊﾟｰｸｱﾍﾞﾆｭｰ201</v>
      </c>
      <c r="AE406">
        <v>45131</v>
      </c>
      <c r="AF406">
        <v>45133</v>
      </c>
      <c r="AG406">
        <v>45219</v>
      </c>
      <c r="AH406">
        <v>0</v>
      </c>
      <c r="AI406" t="str">
        <v>23.7.26</v>
      </c>
      <c r="AJ406">
        <v>0</v>
      </c>
      <c r="AK406">
        <v>0</v>
      </c>
      <c r="AL406">
        <v>0</v>
      </c>
      <c r="AM406">
        <v>0</v>
      </c>
      <c r="AN406">
        <v>0</v>
      </c>
      <c r="AO406" t="str">
        <v>8/9林</v>
      </c>
      <c r="AP406">
        <v>0</v>
      </c>
    </row>
    <row r="407" spans="1:42">
      <c r="A407" t="str">
        <f>H407&amp;COUNTIF($H$2:H407,H407)</f>
        <v>本社工場製造1課1工区1班5</v>
      </c>
      <c r="B407" t="str">
        <f>F407&amp;COUNTIF($F$2:F407,F407)</f>
        <v>コーリツ 本社14</v>
      </c>
      <c r="C407" t="str">
        <v>在職中</v>
      </c>
      <c r="D407">
        <v>220308</v>
      </c>
      <c r="E407">
        <v>8210066</v>
      </c>
      <c r="F407" t="str">
        <v>コーリツ 本社</v>
      </c>
      <c r="G407" t="str">
        <v>本社工場製造1課1工区1班</v>
      </c>
      <c r="H407" t="str">
        <v>本社工場製造1課1工区1班</v>
      </c>
      <c r="I407">
        <v>0</v>
      </c>
      <c r="J407" t="str">
        <v>NGUYEN KHAC THIEN</v>
      </c>
      <c r="K407" t="str">
        <v>グエン　カック　ティエン</v>
      </c>
      <c r="L407" t="str">
        <v>男</v>
      </c>
      <c r="M407" t="str">
        <v>ﾍﾞﾄﾅﾑ</v>
      </c>
      <c r="N407">
        <v>32237</v>
      </c>
      <c r="O407">
        <v>35</v>
      </c>
      <c r="P407">
        <v>1450</v>
      </c>
      <c r="Q407" t="str">
        <v>入社3か月後50円UP(6/21~1400</v>
      </c>
      <c r="R407">
        <v>1960</v>
      </c>
      <c r="S407">
        <v>0</v>
      </c>
      <c r="T407">
        <v>510</v>
      </c>
      <c r="U407">
        <v>260000</v>
      </c>
      <c r="V407">
        <v>13013</v>
      </c>
      <c r="W407" t="str">
        <v>0</v>
      </c>
      <c r="X407">
        <v>23790</v>
      </c>
      <c r="Y407">
        <v>45318</v>
      </c>
      <c r="Z407" t="str">
        <v>残り期限90日!</v>
      </c>
      <c r="AA407" t="str">
        <v>技術・人文知識・国際業務</v>
      </c>
      <c r="AB407" t="str">
        <v>448-0832</v>
      </c>
      <c r="AC407" t="str">
        <v>愛知県刈谷市八幡町7丁目16-1</v>
      </c>
      <c r="AD407" t="str">
        <v>花水木C</v>
      </c>
      <c r="AE407">
        <v>45044</v>
      </c>
      <c r="AF407">
        <v>44623</v>
      </c>
      <c r="AG407">
        <v>0</v>
      </c>
      <c r="AH407">
        <v>0</v>
      </c>
      <c r="AI407">
        <v>22.05</v>
      </c>
      <c r="AJ407" t="str">
        <v>グエン　カック　ティエン</v>
      </c>
      <c r="AK407" t="str">
        <v>ゆうちょ銀行</v>
      </c>
      <c r="AL407">
        <v>208</v>
      </c>
      <c r="AM407" t="str">
        <v>二〇八</v>
      </c>
      <c r="AN407" t="str">
        <v>2557755</v>
      </c>
      <c r="AO407" t="str">
        <v>OK</v>
      </c>
      <c r="AP407" t="str">
        <v>新日本ホイール 2023/4/21退社　加藤木材工業本社に移動　2023/7/31～コーリツ本社へ異動</v>
      </c>
    </row>
    <row r="408" spans="1:42">
      <c r="A408" t="str">
        <f>H408&amp;COUNTIF($H$2:H408,H408)</f>
        <v>州の崎第2工場製造3課5工区6班1</v>
      </c>
      <c r="B408" t="str">
        <f>F408&amp;COUNTIF($F$2:F408,F408)</f>
        <v>コーリツ 州の崎26</v>
      </c>
      <c r="C408" t="str">
        <v>在職中</v>
      </c>
      <c r="D408">
        <v>210301</v>
      </c>
      <c r="E408">
        <v>8210067</v>
      </c>
      <c r="F408" t="str">
        <v>コーリツ 州の崎</v>
      </c>
      <c r="G408" t="str">
        <v>州の崎第2工場製造3課5工区6班</v>
      </c>
      <c r="H408" t="str">
        <v>州の崎第2工場製造3課5工区6班</v>
      </c>
      <c r="I408">
        <v>0</v>
      </c>
      <c r="J408" t="str">
        <v>BUI VAN DUY</v>
      </c>
      <c r="K408" t="str">
        <v>ブイ　ヴァン　ズイ</v>
      </c>
      <c r="L408" t="str">
        <v>男</v>
      </c>
      <c r="M408" t="str">
        <v>ﾍﾞﾄﾅﾑ</v>
      </c>
      <c r="N408">
        <v>34922</v>
      </c>
      <c r="O408">
        <v>28</v>
      </c>
      <c r="P408">
        <v>1400</v>
      </c>
      <c r="Q408" t="str">
        <v>6/16~ \1200⇒\1250 　　9/21~1350円へ</v>
      </c>
      <c r="R408">
        <v>1960</v>
      </c>
      <c r="S408">
        <v>0</v>
      </c>
      <c r="T408">
        <v>560</v>
      </c>
      <c r="U408">
        <v>220000</v>
      </c>
      <c r="V408">
        <v>11011</v>
      </c>
      <c r="W408" t="str">
        <v>0</v>
      </c>
      <c r="X408">
        <v>20130</v>
      </c>
      <c r="Y408">
        <v>45527</v>
      </c>
      <c r="Z408" t="str">
        <v/>
      </c>
      <c r="AA408" t="str">
        <v>技術・人文知識・国際業務</v>
      </c>
      <c r="AB408" t="str">
        <v>475-0074</v>
      </c>
      <c r="AC408" t="str">
        <v>愛知県半田市長根町３丁目１番　</v>
      </c>
      <c r="AD408" t="str">
        <v>県営長根住宅12棟304号</v>
      </c>
      <c r="AE408" t="str">
        <v>個人</v>
      </c>
      <c r="AF408">
        <v>44256</v>
      </c>
      <c r="AG408">
        <v>0</v>
      </c>
      <c r="AH408">
        <v>0</v>
      </c>
      <c r="AI408">
        <v>44287</v>
      </c>
      <c r="AJ408" t="str">
        <v>ブイ　ヴァン　ズイ</v>
      </c>
      <c r="AK408" t="str">
        <v>ゆうちょ銀行</v>
      </c>
      <c r="AL408">
        <v>468</v>
      </c>
      <c r="AM408" t="str">
        <v>四六八</v>
      </c>
      <c r="AN408" t="str">
        <v>2424132</v>
      </c>
      <c r="AO408" t="str">
        <v>OK</v>
      </c>
      <c r="AP408" t="str">
        <v>20221/3/1～2023/7/28まで三幸技研　2023/8/1～コーリツ州の崎へ異動</v>
      </c>
    </row>
    <row r="409" spans="1:42">
      <c r="A409" t="str">
        <f>H409&amp;COUNTIF($H$2:H409,H409)</f>
        <v>本社工場製造1課1工区1班6</v>
      </c>
      <c r="B409" t="str">
        <f>F409&amp;COUNTIF($F$2:F409,F409)</f>
        <v>コーリツ 本社15</v>
      </c>
      <c r="C409" t="str">
        <v>在職中</v>
      </c>
      <c r="D409">
        <v>230801</v>
      </c>
      <c r="E409">
        <v>8210068</v>
      </c>
      <c r="F409" t="str">
        <v>コーリツ 本社</v>
      </c>
      <c r="G409" t="str">
        <v>本社工場製造1課1工区1班</v>
      </c>
      <c r="H409" t="str">
        <v>本社工場製造1課1工区1班</v>
      </c>
      <c r="I409">
        <v>0</v>
      </c>
      <c r="J409" t="str">
        <v>NGUYEN TIEN DAT</v>
      </c>
      <c r="K409" t="str">
        <v>グエン　ティエン　ダット</v>
      </c>
      <c r="L409" t="str">
        <v>男</v>
      </c>
      <c r="M409" t="str">
        <v>ﾍﾞﾄﾅﾑ</v>
      </c>
      <c r="N409">
        <v>35830</v>
      </c>
      <c r="O409">
        <v>25</v>
      </c>
      <c r="P409">
        <v>1400</v>
      </c>
      <c r="Q409">
        <v>0</v>
      </c>
      <c r="R409">
        <v>1960</v>
      </c>
      <c r="S409">
        <v>0</v>
      </c>
      <c r="T409">
        <v>560</v>
      </c>
      <c r="U409">
        <v>200000</v>
      </c>
      <c r="V409">
        <v>10010</v>
      </c>
      <c r="W409" t="str">
        <v>0</v>
      </c>
      <c r="X409">
        <v>18300</v>
      </c>
      <c r="Y409">
        <v>45382</v>
      </c>
      <c r="Z409" t="str">
        <v/>
      </c>
      <c r="AA409" t="str">
        <v>技術・人文知識・国際業務</v>
      </c>
      <c r="AB409" t="str">
        <v>444-1305</v>
      </c>
      <c r="AC409" t="str">
        <v>愛知県高浜市神明町1丁目2-1</v>
      </c>
      <c r="AD409" t="str">
        <v>古橋ﾏﾝｼｮﾝ101</v>
      </c>
      <c r="AE409">
        <v>45140</v>
      </c>
      <c r="AF409">
        <v>45139</v>
      </c>
      <c r="AG409">
        <v>0</v>
      </c>
      <c r="AH409">
        <v>0</v>
      </c>
      <c r="AI409" t="str">
        <v>23.8.1</v>
      </c>
      <c r="AJ409">
        <v>0</v>
      </c>
      <c r="AK409">
        <v>0</v>
      </c>
      <c r="AL409">
        <v>0</v>
      </c>
      <c r="AM409">
        <v>0</v>
      </c>
      <c r="AN409">
        <v>0</v>
      </c>
      <c r="AO409" t="str">
        <v>8/10林</v>
      </c>
      <c r="AP409">
        <v>0</v>
      </c>
    </row>
    <row r="410" spans="1:42">
      <c r="A410" t="str">
        <f>H410&amp;COUNTIF($H$2:H410,H410)</f>
        <v>本社工場製造1課1工区1班7</v>
      </c>
      <c r="B410" t="str">
        <f>F410&amp;COUNTIF($F$2:F410,F410)</f>
        <v>コーリツ 本社16</v>
      </c>
      <c r="C410" t="str">
        <v>在職中</v>
      </c>
      <c r="D410">
        <v>230802</v>
      </c>
      <c r="E410">
        <v>8210069</v>
      </c>
      <c r="F410" t="str">
        <v>コーリツ 本社</v>
      </c>
      <c r="G410" t="str">
        <v>本社工場製造1課1工区1班</v>
      </c>
      <c r="H410" t="str">
        <v>本社工場製造1課1工区1班</v>
      </c>
      <c r="I410">
        <v>0</v>
      </c>
      <c r="J410" t="str">
        <v>LE NHI</v>
      </c>
      <c r="K410" t="str">
        <v>レー　ニー</v>
      </c>
      <c r="L410" t="str">
        <v>男</v>
      </c>
      <c r="M410" t="str">
        <v>ﾍﾞﾄﾅﾑ</v>
      </c>
      <c r="N410">
        <v>35119</v>
      </c>
      <c r="O410">
        <v>27</v>
      </c>
      <c r="P410">
        <v>1400</v>
      </c>
      <c r="Q410">
        <v>0</v>
      </c>
      <c r="R410">
        <v>1960</v>
      </c>
      <c r="S410">
        <v>0</v>
      </c>
      <c r="T410">
        <v>560</v>
      </c>
      <c r="U410">
        <v>200000</v>
      </c>
      <c r="V410">
        <v>10010</v>
      </c>
      <c r="W410" t="str">
        <v>0</v>
      </c>
      <c r="X410">
        <v>18300</v>
      </c>
      <c r="Y410">
        <v>46119</v>
      </c>
      <c r="Z410" t="str">
        <v/>
      </c>
      <c r="AA410" t="str">
        <v>技術・人文知識・国際業務</v>
      </c>
      <c r="AB410" t="str">
        <v>444-1305</v>
      </c>
      <c r="AC410" t="str">
        <v>愛知県高浜市神明町1丁目2-1</v>
      </c>
      <c r="AD410" t="str">
        <v>古橋ﾏﾝｼｮﾝ101</v>
      </c>
      <c r="AE410">
        <v>45140</v>
      </c>
      <c r="AF410">
        <v>45139</v>
      </c>
      <c r="AG410">
        <v>0</v>
      </c>
      <c r="AH410">
        <v>0</v>
      </c>
      <c r="AI410" t="str">
        <v>23.8.1</v>
      </c>
      <c r="AJ410">
        <v>0</v>
      </c>
      <c r="AK410">
        <v>0</v>
      </c>
      <c r="AL410">
        <v>0</v>
      </c>
      <c r="AM410">
        <v>0</v>
      </c>
      <c r="AN410">
        <v>0</v>
      </c>
      <c r="AO410" t="str">
        <v>8/10林</v>
      </c>
      <c r="AP410">
        <v>0</v>
      </c>
    </row>
    <row r="411" spans="1:42">
      <c r="A411" t="str">
        <f>H411&amp;COUNTIF($H$2:H411,H411)</f>
        <v>本社工場製造1課1工区1班8</v>
      </c>
      <c r="B411" t="str">
        <f>F411&amp;COUNTIF($F$2:F411,F411)</f>
        <v>コーリツ 本社17</v>
      </c>
      <c r="C411" t="str">
        <v>在職中</v>
      </c>
      <c r="D411">
        <v>230817</v>
      </c>
      <c r="E411">
        <v>8210070</v>
      </c>
      <c r="F411" t="str">
        <v>コーリツ 本社</v>
      </c>
      <c r="G411" t="str">
        <v>本社工場製造1課1工区1班</v>
      </c>
      <c r="H411" t="str">
        <v>本社工場製造1課1工区1班</v>
      </c>
      <c r="I411">
        <v>0</v>
      </c>
      <c r="J411" t="str">
        <v>NGUYEN VAN MINH</v>
      </c>
      <c r="K411" t="str">
        <v>グエン　ヴァン　ミン</v>
      </c>
      <c r="L411" t="str">
        <v>男</v>
      </c>
      <c r="M411" t="str">
        <v>ﾍﾞﾄﾅﾑ</v>
      </c>
      <c r="N411">
        <v>35362</v>
      </c>
      <c r="O411">
        <v>27</v>
      </c>
      <c r="P411">
        <v>1400</v>
      </c>
      <c r="Q411">
        <v>0</v>
      </c>
      <c r="R411">
        <v>1960</v>
      </c>
      <c r="S411">
        <v>0</v>
      </c>
      <c r="T411">
        <v>560</v>
      </c>
      <c r="U411">
        <v>200000</v>
      </c>
      <c r="V411">
        <v>10010</v>
      </c>
      <c r="W411" t="str">
        <v>0</v>
      </c>
      <c r="X411">
        <v>18300</v>
      </c>
      <c r="Y411">
        <v>45316</v>
      </c>
      <c r="Z411" t="str">
        <v>残り期限90日!</v>
      </c>
      <c r="AA411" t="str">
        <v>技術・人文知識・国際業務</v>
      </c>
      <c r="AB411" t="str">
        <v>444-1305</v>
      </c>
      <c r="AC411" t="str">
        <v>愛知県高浜市神明町1丁目2-1</v>
      </c>
      <c r="AD411" t="str">
        <v>古橋ﾏﾝｼｮﾝ101</v>
      </c>
      <c r="AE411">
        <v>45140</v>
      </c>
      <c r="AF411">
        <v>45145</v>
      </c>
      <c r="AG411">
        <v>0</v>
      </c>
      <c r="AH411">
        <v>0</v>
      </c>
      <c r="AI411" t="str">
        <v>23.8.7</v>
      </c>
      <c r="AJ411">
        <v>0</v>
      </c>
      <c r="AK411">
        <v>0</v>
      </c>
      <c r="AL411">
        <v>0</v>
      </c>
      <c r="AM411">
        <v>0</v>
      </c>
      <c r="AN411">
        <v>0</v>
      </c>
      <c r="AO411" t="str">
        <v>8/23林</v>
      </c>
      <c r="AP411">
        <v>0</v>
      </c>
    </row>
    <row r="412" spans="1:42">
      <c r="A412" t="str">
        <f>H412&amp;COUNTIF($H$2:H412,H412)</f>
        <v>本社工場製造1課1工区1班9</v>
      </c>
      <c r="B412" t="str">
        <f>F412&amp;COUNTIF($F$2:F412,F412)</f>
        <v>コーリツ 本社18</v>
      </c>
      <c r="C412" t="str">
        <v>退社</v>
      </c>
      <c r="D412">
        <v>230819</v>
      </c>
      <c r="E412">
        <v>8210071</v>
      </c>
      <c r="F412" t="str">
        <v>コーリツ 本社</v>
      </c>
      <c r="G412" t="str">
        <v>本社工場製造1課1工区1班</v>
      </c>
      <c r="H412" t="str">
        <v>本社工場製造1課1工区1班</v>
      </c>
      <c r="I412">
        <v>0</v>
      </c>
      <c r="J412" t="str">
        <v>NGUYEN VAN HUNG</v>
      </c>
      <c r="K412" t="str">
        <v>グエン　ヴァン　フオン</v>
      </c>
      <c r="L412" t="str">
        <v>男</v>
      </c>
      <c r="M412" t="str">
        <v>ﾍﾞﾄﾅﾑ</v>
      </c>
      <c r="N412">
        <v>33046</v>
      </c>
      <c r="O412">
        <v>33</v>
      </c>
      <c r="P412">
        <v>1400</v>
      </c>
      <c r="Q412">
        <v>0</v>
      </c>
      <c r="R412">
        <v>1960</v>
      </c>
      <c r="S412">
        <v>0</v>
      </c>
      <c r="T412">
        <v>560</v>
      </c>
      <c r="U412">
        <v>200000</v>
      </c>
      <c r="V412">
        <v>10010</v>
      </c>
      <c r="W412" t="str">
        <v>0</v>
      </c>
      <c r="X412">
        <v>18300</v>
      </c>
      <c r="Y412">
        <v>45436</v>
      </c>
      <c r="Z412" t="str">
        <v/>
      </c>
      <c r="AA412" t="str">
        <v>技術・人文知識・国際業務</v>
      </c>
      <c r="AB412" t="str">
        <v>474-0071</v>
      </c>
      <c r="AC412" t="str">
        <v>愛知県大府市梶田町3-143-2</v>
      </c>
      <c r="AD412" t="str">
        <v>県営梶田町住宅6棟304</v>
      </c>
      <c r="AE412" t="str">
        <v>個人</v>
      </c>
      <c r="AF412">
        <v>45159</v>
      </c>
      <c r="AG412">
        <v>45258</v>
      </c>
      <c r="AH412">
        <v>0</v>
      </c>
      <c r="AI412" t="str">
        <v>23.8.21</v>
      </c>
      <c r="AJ412">
        <v>0</v>
      </c>
      <c r="AK412">
        <v>0</v>
      </c>
      <c r="AL412">
        <v>0</v>
      </c>
      <c r="AM412">
        <v>0</v>
      </c>
      <c r="AN412">
        <v>0</v>
      </c>
      <c r="AO412" t="str">
        <v>8/31林</v>
      </c>
      <c r="AP412">
        <v>0</v>
      </c>
    </row>
    <row r="413" spans="1:42">
      <c r="A413" t="str">
        <f>H413&amp;COUNTIF($H$2:H413,H413)</f>
        <v>乙川工場製造3課5工区7班5</v>
      </c>
      <c r="B413" t="str">
        <f>F413&amp;COUNTIF($F$2:F413,F413)</f>
        <v>コーリツ 乙川19</v>
      </c>
      <c r="C413" t="str">
        <v>在職中</v>
      </c>
      <c r="D413">
        <v>230818</v>
      </c>
      <c r="E413">
        <v>8210072</v>
      </c>
      <c r="F413" t="str">
        <v>コーリツ 乙川</v>
      </c>
      <c r="G413" t="str">
        <v>乙川工場製造3課5工区7班</v>
      </c>
      <c r="H413" t="str">
        <v>乙川工場製造3課5工区7班</v>
      </c>
      <c r="I413">
        <v>0</v>
      </c>
      <c r="J413" t="str">
        <v>TRAN VAN THAI</v>
      </c>
      <c r="K413" t="str">
        <v>チャン　ヴァン　タイ</v>
      </c>
      <c r="L413" t="str">
        <v>男</v>
      </c>
      <c r="M413" t="str">
        <v>ﾍﾞﾄﾅﾑ</v>
      </c>
      <c r="N413">
        <v>33188</v>
      </c>
      <c r="O413">
        <v>33</v>
      </c>
      <c r="P413">
        <v>1400</v>
      </c>
      <c r="Q413">
        <v>0</v>
      </c>
      <c r="R413">
        <v>2050</v>
      </c>
      <c r="S413">
        <v>0</v>
      </c>
      <c r="T413">
        <v>650</v>
      </c>
      <c r="U413">
        <v>200000</v>
      </c>
      <c r="V413">
        <v>10010</v>
      </c>
      <c r="W413" t="str">
        <v>0</v>
      </c>
      <c r="X413">
        <v>18300</v>
      </c>
      <c r="Y413">
        <v>45466</v>
      </c>
      <c r="Z413" t="str">
        <v/>
      </c>
      <c r="AA413" t="str">
        <v>技術・人文知識・国際業務</v>
      </c>
      <c r="AB413" t="str">
        <v>475-0061</v>
      </c>
      <c r="AC413" t="str">
        <v>愛知県半田市一ノ草町201-11</v>
      </c>
      <c r="AD413" t="str">
        <v>ﾒｿﾞﾝﾊﾟｰｸｱﾍﾞﾆｭｰ101</v>
      </c>
      <c r="AE413">
        <v>45152</v>
      </c>
      <c r="AF413">
        <v>45159</v>
      </c>
      <c r="AG413">
        <v>0</v>
      </c>
      <c r="AH413">
        <v>0</v>
      </c>
      <c r="AI413" t="str">
        <v>23.8.21</v>
      </c>
      <c r="AJ413">
        <v>0</v>
      </c>
      <c r="AK413">
        <v>0</v>
      </c>
      <c r="AL413">
        <v>0</v>
      </c>
      <c r="AM413">
        <v>0</v>
      </c>
      <c r="AN413">
        <v>0</v>
      </c>
      <c r="AO413" t="str">
        <v>8/31林</v>
      </c>
      <c r="AP413">
        <v>0</v>
      </c>
    </row>
    <row r="414" spans="1:42">
      <c r="A414" t="str">
        <f>H414&amp;COUNTIF($H$2:H414,H414)</f>
        <v>亀崎工場製造5課7工区9班3</v>
      </c>
      <c r="B414" t="str">
        <f>F414&amp;COUNTIF($F$2:F414,F414)</f>
        <v>コーリツ 亀崎7</v>
      </c>
      <c r="C414" t="str">
        <v>在職中</v>
      </c>
      <c r="D414">
        <v>230820</v>
      </c>
      <c r="E414">
        <v>8210073</v>
      </c>
      <c r="F414" t="str">
        <v>コーリツ 亀崎</v>
      </c>
      <c r="G414" t="str">
        <v>亀崎工場製造5課7工区9班</v>
      </c>
      <c r="H414" t="str">
        <v>亀崎工場製造5課7工区9班</v>
      </c>
      <c r="I414">
        <v>0</v>
      </c>
      <c r="J414" t="str">
        <v>LY VAN DUC</v>
      </c>
      <c r="K414" t="str">
        <v>リー　バン　ドク</v>
      </c>
      <c r="L414" t="str">
        <v>男</v>
      </c>
      <c r="M414" t="str">
        <v>ﾍﾞﾄﾅﾑ</v>
      </c>
      <c r="N414">
        <v>32587</v>
      </c>
      <c r="O414">
        <v>34</v>
      </c>
      <c r="P414">
        <v>1400</v>
      </c>
      <c r="Q414">
        <v>0</v>
      </c>
      <c r="R414">
        <v>1960</v>
      </c>
      <c r="S414">
        <v>0</v>
      </c>
      <c r="T414">
        <v>560</v>
      </c>
      <c r="U414">
        <v>200000</v>
      </c>
      <c r="V414">
        <v>10010</v>
      </c>
      <c r="W414" t="str">
        <v>0</v>
      </c>
      <c r="X414">
        <v>18300</v>
      </c>
      <c r="Y414">
        <v>45979</v>
      </c>
      <c r="Z414" t="str">
        <v/>
      </c>
      <c r="AA414" t="str">
        <v>技術・人文知識・国際業務</v>
      </c>
      <c r="AB414" t="str">
        <v>474-0073</v>
      </c>
      <c r="AC414" t="str">
        <v>愛知県大府市東新町2-170</v>
      </c>
      <c r="AD414" t="str">
        <v>ｴﾝﾄﾋﾟｱMW401</v>
      </c>
      <c r="AE414" t="str">
        <v>個人</v>
      </c>
      <c r="AF414">
        <v>45159</v>
      </c>
      <c r="AG414">
        <v>0</v>
      </c>
      <c r="AH414">
        <v>0</v>
      </c>
      <c r="AI414" t="str">
        <v>23.8.21</v>
      </c>
      <c r="AJ414">
        <v>0</v>
      </c>
      <c r="AK414">
        <v>0</v>
      </c>
      <c r="AL414">
        <v>0</v>
      </c>
      <c r="AM414">
        <v>0</v>
      </c>
      <c r="AN414">
        <v>0</v>
      </c>
      <c r="AO414" t="str">
        <v>8/31林</v>
      </c>
      <c r="AP414">
        <v>0</v>
      </c>
    </row>
    <row r="415" spans="1:42">
      <c r="A415" t="str">
        <f>H415&amp;COUNTIF($H$2:H415,H415)</f>
        <v>亀崎工場製造5課7工区9班4</v>
      </c>
      <c r="B415" t="str">
        <f>F415&amp;COUNTIF($F$2:F415,F415)</f>
        <v>コーリツ 亀崎8</v>
      </c>
      <c r="C415" t="str">
        <v>在職中</v>
      </c>
      <c r="D415">
        <v>230906</v>
      </c>
      <c r="E415">
        <v>8210074</v>
      </c>
      <c r="F415" t="str">
        <v>コーリツ 亀崎</v>
      </c>
      <c r="G415" t="str">
        <v>亀崎工場製造5課7工区9班</v>
      </c>
      <c r="H415" t="str">
        <v>亀崎工場製造5課7工区9班</v>
      </c>
      <c r="I415">
        <v>0</v>
      </c>
      <c r="J415" t="str">
        <v>NGUYEN DUC CHUNG</v>
      </c>
      <c r="K415" t="str">
        <v>グエン　ドゥック　チュン</v>
      </c>
      <c r="L415" t="str">
        <v>男</v>
      </c>
      <c r="M415" t="str">
        <v>ﾍﾞﾄﾅﾑ</v>
      </c>
      <c r="N415">
        <v>34237</v>
      </c>
      <c r="O415">
        <v>30</v>
      </c>
      <c r="P415">
        <v>1400</v>
      </c>
      <c r="Q415">
        <v>0</v>
      </c>
      <c r="R415">
        <v>1960</v>
      </c>
      <c r="S415">
        <v>0</v>
      </c>
      <c r="T415">
        <v>560</v>
      </c>
      <c r="U415">
        <v>240000</v>
      </c>
      <c r="V415">
        <v>12012</v>
      </c>
      <c r="W415" t="str">
        <v>0</v>
      </c>
      <c r="X415">
        <v>21960</v>
      </c>
      <c r="Y415">
        <v>46915</v>
      </c>
      <c r="Z415" t="str">
        <v/>
      </c>
      <c r="AA415" t="str">
        <v>技術・人文知識・国際業務</v>
      </c>
      <c r="AB415" t="str">
        <v>448-0813</v>
      </c>
      <c r="AC415" t="str">
        <v>愛知県刈谷市小垣江町石ノ戸86-3</v>
      </c>
      <c r="AD415" t="str">
        <v>ｳﾞｨﾗｺｰﾄ田園403</v>
      </c>
      <c r="AE415">
        <v>0</v>
      </c>
      <c r="AF415">
        <v>45180</v>
      </c>
      <c r="AG415">
        <v>0</v>
      </c>
      <c r="AH415">
        <v>0</v>
      </c>
      <c r="AI415" t="str">
        <v>23.9.11</v>
      </c>
      <c r="AJ415">
        <v>0</v>
      </c>
      <c r="AK415">
        <v>0</v>
      </c>
      <c r="AL415">
        <v>0</v>
      </c>
      <c r="AM415">
        <v>0</v>
      </c>
      <c r="AN415">
        <v>0</v>
      </c>
      <c r="AO415" t="str">
        <v>9/20林</v>
      </c>
      <c r="AP415">
        <v>0</v>
      </c>
    </row>
    <row r="416" spans="1:42">
      <c r="A416" t="str">
        <f>H416&amp;COUNTIF($H$2:H416,H416)</f>
        <v>本社工場製造1課2工区2班4</v>
      </c>
      <c r="B416" t="str">
        <f>F416&amp;COUNTIF($F$2:F416,F416)</f>
        <v>コーリツ 本社19</v>
      </c>
      <c r="C416" t="str">
        <v>在職中</v>
      </c>
      <c r="D416">
        <v>230905</v>
      </c>
      <c r="E416">
        <v>8210075</v>
      </c>
      <c r="F416" t="str">
        <v>コーリツ 本社</v>
      </c>
      <c r="G416" t="str">
        <v>本社工場製造1課2工区2班</v>
      </c>
      <c r="H416" t="str">
        <v>本社工場製造1課2工区2班</v>
      </c>
      <c r="I416">
        <v>0</v>
      </c>
      <c r="J416" t="str">
        <v>PHAM DUC KHAC</v>
      </c>
      <c r="K416" t="str">
        <v>ファム　ドゥック　カック</v>
      </c>
      <c r="L416" t="str">
        <v>男</v>
      </c>
      <c r="M416" t="str">
        <v>ﾍﾞﾄﾅﾑ</v>
      </c>
      <c r="N416">
        <v>32065</v>
      </c>
      <c r="O416">
        <v>36</v>
      </c>
      <c r="P416">
        <v>1400</v>
      </c>
      <c r="Q416">
        <v>0</v>
      </c>
      <c r="R416">
        <v>1960</v>
      </c>
      <c r="S416">
        <v>0</v>
      </c>
      <c r="T416">
        <v>560</v>
      </c>
      <c r="U416">
        <v>240000</v>
      </c>
      <c r="V416">
        <v>12012</v>
      </c>
      <c r="W416" t="str">
        <v>0</v>
      </c>
      <c r="X416">
        <v>21960</v>
      </c>
      <c r="Y416">
        <v>45463</v>
      </c>
      <c r="Z416" t="str">
        <v/>
      </c>
      <c r="AA416" t="str">
        <v>技術・人文知識・国際業務</v>
      </c>
      <c r="AB416" t="str">
        <v>448-0813</v>
      </c>
      <c r="AC416" t="str">
        <v>愛知県刈谷市小垣江町石ノ戸86-3</v>
      </c>
      <c r="AD416" t="str">
        <v>ｳﾞｨﾗｺｰﾄ田園403</v>
      </c>
      <c r="AE416">
        <v>0</v>
      </c>
      <c r="AF416">
        <v>45180</v>
      </c>
      <c r="AG416">
        <v>0</v>
      </c>
      <c r="AH416">
        <v>0</v>
      </c>
      <c r="AI416" t="str">
        <v>23.9.11</v>
      </c>
      <c r="AJ416">
        <v>0</v>
      </c>
      <c r="AK416">
        <v>0</v>
      </c>
      <c r="AL416">
        <v>0</v>
      </c>
      <c r="AM416">
        <v>0</v>
      </c>
      <c r="AN416">
        <v>0</v>
      </c>
      <c r="AO416" t="str">
        <v>9/20林</v>
      </c>
      <c r="AP416">
        <v>0</v>
      </c>
    </row>
    <row r="417" spans="1:42">
      <c r="A417" t="str">
        <f>H417&amp;COUNTIF($H$2:H417,H417)</f>
        <v>乙川工場製造3課5工区7班6</v>
      </c>
      <c r="B417" t="str">
        <f>F417&amp;COUNTIF($F$2:F417,F417)</f>
        <v>コーリツ 州の崎27</v>
      </c>
      <c r="C417" t="str">
        <v>在職中</v>
      </c>
      <c r="D417">
        <v>230907</v>
      </c>
      <c r="E417">
        <v>8210076</v>
      </c>
      <c r="F417" t="str">
        <v>コーリツ 州の崎</v>
      </c>
      <c r="G417" t="str">
        <v>乙川工場製造3課5工区7班</v>
      </c>
      <c r="H417" t="str">
        <v>乙川工場製造3課5工区7班</v>
      </c>
      <c r="I417">
        <v>0</v>
      </c>
      <c r="J417" t="str">
        <v>NGUYEN TIEN THUONG</v>
      </c>
      <c r="K417" t="str">
        <v>グエン　ティエン　トゥオン</v>
      </c>
      <c r="L417" t="str">
        <v>男</v>
      </c>
      <c r="M417" t="str">
        <v>ﾍﾞﾄﾅﾑ</v>
      </c>
      <c r="N417">
        <v>35182</v>
      </c>
      <c r="O417">
        <v>27</v>
      </c>
      <c r="P417">
        <v>1400</v>
      </c>
      <c r="Q417">
        <v>0</v>
      </c>
      <c r="R417">
        <v>1960</v>
      </c>
      <c r="S417">
        <v>0</v>
      </c>
      <c r="T417">
        <v>560</v>
      </c>
      <c r="U417">
        <v>240000</v>
      </c>
      <c r="V417">
        <v>12012</v>
      </c>
      <c r="W417" t="str">
        <v>0</v>
      </c>
      <c r="X417">
        <v>21960</v>
      </c>
      <c r="Y417">
        <v>45373</v>
      </c>
      <c r="Z417" t="str">
        <v/>
      </c>
      <c r="AA417" t="str">
        <v>技術・人文知識・国際業務</v>
      </c>
      <c r="AB417" t="str">
        <v>475-0006</v>
      </c>
      <c r="AC417" t="str">
        <v>愛知県半田市南大矢知町4丁目205番地2</v>
      </c>
      <c r="AD417" t="str">
        <v>ﾒｿﾞﾝﾄﾞﾗﾊﾟﾝⅡ203</v>
      </c>
      <c r="AE417">
        <v>45180</v>
      </c>
      <c r="AF417">
        <v>45180</v>
      </c>
      <c r="AG417">
        <v>0</v>
      </c>
      <c r="AH417">
        <v>0</v>
      </c>
      <c r="AI417" t="str">
        <v>23.9.11</v>
      </c>
      <c r="AJ417">
        <v>0</v>
      </c>
      <c r="AK417">
        <v>0</v>
      </c>
      <c r="AL417">
        <v>0</v>
      </c>
      <c r="AM417">
        <v>0</v>
      </c>
      <c r="AN417">
        <v>0</v>
      </c>
      <c r="AO417" t="str">
        <v>9/20林</v>
      </c>
      <c r="AP417">
        <v>0</v>
      </c>
    </row>
    <row r="418" spans="1:42">
      <c r="A418" t="str">
        <f>H418&amp;COUNTIF($H$2:H418,H418)</f>
        <v>州の崎工場製造3課5工区6班3</v>
      </c>
      <c r="B418" t="str">
        <f>F418&amp;COUNTIF($F$2:F418,F418)</f>
        <v>コーリツ 州の崎28</v>
      </c>
      <c r="C418" t="str">
        <v>在職中</v>
      </c>
      <c r="D418">
        <v>230916</v>
      </c>
      <c r="E418">
        <v>8210077</v>
      </c>
      <c r="F418" t="str">
        <v>コーリツ 州の崎</v>
      </c>
      <c r="G418" t="str">
        <v>州の崎工場製造3課5工区6班</v>
      </c>
      <c r="H418" t="str">
        <v>州の崎工場製造3課5工区6班</v>
      </c>
      <c r="I418">
        <v>0</v>
      </c>
      <c r="J418" t="str">
        <v>HOANG TRONG NGHIA</v>
      </c>
      <c r="K418" t="str">
        <v>ホアン　チョン　ギア</v>
      </c>
      <c r="L418" t="str">
        <v>男</v>
      </c>
      <c r="M418" t="str">
        <v>ﾍﾞﾄﾅﾑ</v>
      </c>
      <c r="N418">
        <v>36369</v>
      </c>
      <c r="O418">
        <v>24</v>
      </c>
      <c r="P418">
        <v>1400</v>
      </c>
      <c r="Q418">
        <v>0</v>
      </c>
      <c r="R418">
        <v>1960</v>
      </c>
      <c r="S418">
        <v>0</v>
      </c>
      <c r="T418">
        <v>560</v>
      </c>
      <c r="U418">
        <v>240000</v>
      </c>
      <c r="V418">
        <v>12012</v>
      </c>
      <c r="W418" t="str">
        <v>0</v>
      </c>
      <c r="X418">
        <v>21960</v>
      </c>
      <c r="Y418">
        <v>45407</v>
      </c>
      <c r="Z418" t="str">
        <v/>
      </c>
      <c r="AA418" t="str">
        <v>技術・人文知識・国際業務</v>
      </c>
      <c r="AB418" t="str">
        <v>475-0061</v>
      </c>
      <c r="AC418" t="str">
        <v>愛知県半田市一ノ草町201-11</v>
      </c>
      <c r="AD418" t="str">
        <v>ﾒｿﾞﾝﾊﾟｰｸｱﾍﾞﾆｭｰ103</v>
      </c>
      <c r="AE418">
        <v>45187</v>
      </c>
      <c r="AF418">
        <v>45194</v>
      </c>
      <c r="AG418">
        <v>0</v>
      </c>
      <c r="AH418">
        <v>0</v>
      </c>
      <c r="AI418" t="str">
        <v>23.9.25</v>
      </c>
      <c r="AJ418">
        <v>0</v>
      </c>
      <c r="AK418">
        <v>0</v>
      </c>
      <c r="AL418">
        <v>0</v>
      </c>
      <c r="AM418">
        <v>0</v>
      </c>
      <c r="AN418">
        <v>0</v>
      </c>
      <c r="AO418" t="str">
        <v>10/13林</v>
      </c>
      <c r="AP418">
        <v>0</v>
      </c>
    </row>
    <row r="419" spans="1:42">
      <c r="A419" t="str">
        <f>H419&amp;COUNTIF($H$2:H419,H419)</f>
        <v>本社工場製造1課2工区2班5</v>
      </c>
      <c r="B419" t="str">
        <f>F419&amp;COUNTIF($F$2:F419,F419)</f>
        <v>コーリツ 州の崎29</v>
      </c>
      <c r="C419" t="str">
        <v>在職中</v>
      </c>
      <c r="D419">
        <v>231002</v>
      </c>
      <c r="E419">
        <v>8210078</v>
      </c>
      <c r="F419" t="str">
        <v>コーリツ 州の崎</v>
      </c>
      <c r="G419" t="str">
        <v>本社工場製造1課2工区2班</v>
      </c>
      <c r="H419" t="str">
        <v>本社工場製造1課2工区2班</v>
      </c>
      <c r="I419">
        <v>0</v>
      </c>
      <c r="J419" t="str">
        <v>DINH TRONG DUONG</v>
      </c>
      <c r="K419" t="str">
        <v>デイン　チオン　ヅオン</v>
      </c>
      <c r="L419" t="str">
        <v>男</v>
      </c>
      <c r="M419" t="str">
        <v>ﾍﾞﾄﾅﾑ</v>
      </c>
      <c r="N419">
        <v>35078</v>
      </c>
      <c r="O419">
        <v>27</v>
      </c>
      <c r="P419">
        <v>1400</v>
      </c>
      <c r="Q419">
        <v>0</v>
      </c>
      <c r="R419">
        <v>1960</v>
      </c>
      <c r="S419">
        <v>0</v>
      </c>
      <c r="T419">
        <v>560</v>
      </c>
      <c r="U419">
        <v>240000</v>
      </c>
      <c r="V419">
        <v>12012</v>
      </c>
      <c r="W419" t="str">
        <v>0</v>
      </c>
      <c r="X419">
        <v>21960</v>
      </c>
      <c r="Y419">
        <v>45575</v>
      </c>
      <c r="Z419" t="str">
        <v/>
      </c>
      <c r="AA419" t="str">
        <v>技術・人文知識・国際業務</v>
      </c>
      <c r="AB419" t="str">
        <v>475-0061</v>
      </c>
      <c r="AC419" t="str">
        <v>愛知県半田市一ノ草町201-11</v>
      </c>
      <c r="AD419" t="str">
        <v>ﾒｿﾞﾝﾊﾟｰｸｱﾍﾞﾆｭｰ103</v>
      </c>
      <c r="AE419">
        <v>0</v>
      </c>
      <c r="AF419">
        <v>45215</v>
      </c>
      <c r="AG419">
        <v>0</v>
      </c>
      <c r="AH419">
        <v>0</v>
      </c>
      <c r="AI419" t="str">
        <v>23.10.16</v>
      </c>
      <c r="AJ419">
        <v>0</v>
      </c>
      <c r="AK419">
        <v>0</v>
      </c>
      <c r="AL419">
        <v>0</v>
      </c>
      <c r="AM419">
        <v>0</v>
      </c>
      <c r="AN419">
        <v>0</v>
      </c>
      <c r="AO419" t="str">
        <v>10/30林</v>
      </c>
      <c r="AP419">
        <v>0</v>
      </c>
    </row>
    <row r="420" spans="1:42">
      <c r="A420" t="str">
        <f>H420&amp;COUNTIF($H$2:H420,H420)</f>
        <v>071</v>
      </c>
      <c r="B420" t="str">
        <f>F420&amp;COUNTIF($F$2:F420,F420)</f>
        <v>コーリツ 州の崎30</v>
      </c>
      <c r="C420" t="str">
        <v>退社</v>
      </c>
      <c r="D420">
        <v>231003</v>
      </c>
      <c r="E420">
        <v>8210079</v>
      </c>
      <c r="F420" t="str">
        <v>コーリツ 州の崎</v>
      </c>
      <c r="G420">
        <v>0</v>
      </c>
      <c r="H420">
        <v>0</v>
      </c>
      <c r="I420">
        <v>0</v>
      </c>
      <c r="J420" t="str">
        <v>NGUYEN QUOC CUONG</v>
      </c>
      <c r="K420" t="str">
        <v>グエン　クオック　クオン</v>
      </c>
      <c r="L420" t="str">
        <v>男</v>
      </c>
      <c r="M420" t="str">
        <v>ﾍﾞﾄﾅﾑ</v>
      </c>
      <c r="N420">
        <v>36039</v>
      </c>
      <c r="O420">
        <v>25</v>
      </c>
      <c r="P420">
        <v>1400</v>
      </c>
      <c r="Q420">
        <v>0</v>
      </c>
      <c r="R420">
        <v>1990</v>
      </c>
      <c r="S420">
        <v>0</v>
      </c>
      <c r="T420">
        <v>590</v>
      </c>
      <c r="U420">
        <v>0</v>
      </c>
      <c r="V420">
        <v>0</v>
      </c>
      <c r="W420" t="str">
        <v>0</v>
      </c>
      <c r="X420">
        <v>0</v>
      </c>
      <c r="Y420">
        <v>45575</v>
      </c>
      <c r="Z420" t="str">
        <v/>
      </c>
      <c r="AA420" t="str">
        <v>技術・人文知識・国際業務</v>
      </c>
      <c r="AB420" t="str">
        <v>475-0061</v>
      </c>
      <c r="AC420" t="str">
        <v>愛知県半田市一ノ草町201-11</v>
      </c>
      <c r="AD420" t="str">
        <v>ﾒｿﾞﾝﾊﾟｰｸｱﾍﾞﾆｭｰ103</v>
      </c>
      <c r="AE420">
        <v>0</v>
      </c>
      <c r="AF420">
        <v>45215</v>
      </c>
      <c r="AG420">
        <v>45219</v>
      </c>
      <c r="AH420">
        <v>0</v>
      </c>
      <c r="AI420">
        <v>0</v>
      </c>
      <c r="AJ420">
        <v>0</v>
      </c>
      <c r="AK420">
        <v>0</v>
      </c>
      <c r="AL420">
        <v>0</v>
      </c>
      <c r="AM420">
        <v>0</v>
      </c>
      <c r="AN420">
        <v>0</v>
      </c>
      <c r="AO420">
        <v>0</v>
      </c>
      <c r="AP420">
        <v>0</v>
      </c>
    </row>
    <row r="421" spans="1:42">
      <c r="A421" t="str">
        <f>H421&amp;COUNTIF($H$2:H421,H421)</f>
        <v>乙川工場製造3課6工区9班9</v>
      </c>
      <c r="B421" t="str">
        <f>F421&amp;COUNTIF($F$2:F421,F421)</f>
        <v>コーリツ 乙川20</v>
      </c>
      <c r="C421" t="str">
        <v>在職中</v>
      </c>
      <c r="D421">
        <v>231008</v>
      </c>
      <c r="E421">
        <v>8210080</v>
      </c>
      <c r="F421" t="str">
        <v>コーリツ 乙川</v>
      </c>
      <c r="G421" t="str">
        <v>乙川工場製造3課6工区9班</v>
      </c>
      <c r="H421" t="str">
        <v>乙川工場製造3課6工区9班</v>
      </c>
      <c r="I421">
        <v>0</v>
      </c>
      <c r="J421" t="str">
        <v>TRAN VAN QUANG</v>
      </c>
      <c r="K421" t="str">
        <v>チャン　ヴァン　クアン</v>
      </c>
      <c r="L421" t="str">
        <v>男</v>
      </c>
      <c r="M421" t="str">
        <v>ﾍﾞﾄﾅﾑ</v>
      </c>
      <c r="N421">
        <v>33460</v>
      </c>
      <c r="O421">
        <v>32</v>
      </c>
      <c r="P421">
        <v>1400</v>
      </c>
      <c r="Q421">
        <v>0</v>
      </c>
      <c r="R421">
        <v>1990</v>
      </c>
      <c r="S421">
        <v>0</v>
      </c>
      <c r="T421">
        <v>590</v>
      </c>
      <c r="U421">
        <v>240000</v>
      </c>
      <c r="V421">
        <v>12012</v>
      </c>
      <c r="W421" t="str">
        <v>0</v>
      </c>
      <c r="X421">
        <v>21960</v>
      </c>
      <c r="Y421">
        <v>45325</v>
      </c>
      <c r="Z421" t="str">
        <v>残り期限90日!</v>
      </c>
      <c r="AA421" t="str">
        <v>技術・人文知識・国際業務</v>
      </c>
      <c r="AB421" t="str">
        <v>444-0311</v>
      </c>
      <c r="AC421" t="str">
        <v>愛知県西尾市新在家町下屋下20-5</v>
      </c>
      <c r="AD421" t="str">
        <v>ﾋﾞﾚｯｼﾞﾊｳｽ新在家4-104</v>
      </c>
      <c r="AE421" t="str">
        <v>個人</v>
      </c>
      <c r="AF421">
        <v>45223</v>
      </c>
      <c r="AG421">
        <v>0</v>
      </c>
      <c r="AH421">
        <v>0</v>
      </c>
      <c r="AI421" t="str">
        <v>23.10.24</v>
      </c>
      <c r="AJ421">
        <v>0</v>
      </c>
      <c r="AK421">
        <v>0</v>
      </c>
      <c r="AL421">
        <v>0</v>
      </c>
      <c r="AM421">
        <v>0</v>
      </c>
      <c r="AN421">
        <v>0</v>
      </c>
      <c r="AO421" t="str">
        <v>11/7林</v>
      </c>
      <c r="AP421">
        <v>0</v>
      </c>
    </row>
    <row r="422" spans="1:42">
      <c r="A422" t="str">
        <f>H422&amp;COUNTIF($H$2:H422,H422)</f>
        <v>乙川工場製造3課6工区9班10</v>
      </c>
      <c r="B422" t="str">
        <f>F422&amp;COUNTIF($F$2:F422,F422)</f>
        <v>コーリツ 乙川21</v>
      </c>
      <c r="C422" t="str">
        <v>在職中</v>
      </c>
      <c r="D422">
        <v>231010</v>
      </c>
      <c r="E422">
        <v>8210081</v>
      </c>
      <c r="F422" t="str">
        <v>コーリツ 乙川</v>
      </c>
      <c r="G422" t="str">
        <v>乙川工場製造3課6工区9班</v>
      </c>
      <c r="H422" t="str">
        <v>乙川工場製造3課6工区9班</v>
      </c>
      <c r="I422">
        <v>0</v>
      </c>
      <c r="J422" t="str">
        <v>NGO VAN LINH</v>
      </c>
      <c r="K422" t="str">
        <v>ゴー　バン　リン</v>
      </c>
      <c r="L422" t="str">
        <v>男</v>
      </c>
      <c r="M422" t="str">
        <v>ﾍﾞﾄﾅﾑ</v>
      </c>
      <c r="N422">
        <v>35727</v>
      </c>
      <c r="O422">
        <v>26</v>
      </c>
      <c r="P422">
        <v>1400</v>
      </c>
      <c r="Q422">
        <v>0</v>
      </c>
      <c r="R422">
        <v>1960</v>
      </c>
      <c r="S422">
        <v>0</v>
      </c>
      <c r="T422">
        <v>560</v>
      </c>
      <c r="U422">
        <v>240000</v>
      </c>
      <c r="V422">
        <v>12012</v>
      </c>
      <c r="W422" t="str">
        <v>0</v>
      </c>
      <c r="X422">
        <v>21960</v>
      </c>
      <c r="Y422">
        <v>45536</v>
      </c>
      <c r="Z422" t="str">
        <v/>
      </c>
      <c r="AA422" t="str">
        <v>技術・人文知識・国際業務</v>
      </c>
      <c r="AB422" t="str">
        <v>475-0048</v>
      </c>
      <c r="AC422" t="str">
        <v>愛知県半田市乙川稗田町116</v>
      </c>
      <c r="AD422" t="str">
        <v>NOVA PLUS 301</v>
      </c>
      <c r="AE422">
        <v>0</v>
      </c>
      <c r="AF422">
        <v>45225</v>
      </c>
      <c r="AG422">
        <v>0</v>
      </c>
      <c r="AH422">
        <v>0</v>
      </c>
      <c r="AI422" t="str">
        <v>23.10.26</v>
      </c>
      <c r="AJ422">
        <v>0</v>
      </c>
      <c r="AK422">
        <v>0</v>
      </c>
      <c r="AL422">
        <v>0</v>
      </c>
      <c r="AM422">
        <v>0</v>
      </c>
      <c r="AN422">
        <v>0</v>
      </c>
      <c r="AO422" t="str">
        <v>11/9林</v>
      </c>
      <c r="AP422">
        <v>0</v>
      </c>
    </row>
    <row r="423" spans="1:42">
      <c r="A423" t="str">
        <f>H423&amp;COUNTIF($H$2:H423,H423)</f>
        <v>州の崎工場製造2課2工区3班2</v>
      </c>
      <c r="B423" t="str">
        <f>F423&amp;COUNTIF($F$2:F423,F423)</f>
        <v>コーリツ 州の崎31</v>
      </c>
      <c r="C423" t="str">
        <v>在職中</v>
      </c>
      <c r="D423">
        <v>231011</v>
      </c>
      <c r="E423">
        <v>8210082</v>
      </c>
      <c r="F423" t="str">
        <v>コーリツ 州の崎</v>
      </c>
      <c r="G423" t="str">
        <v>州の埼工場製造2課2工区3班</v>
      </c>
      <c r="H423" t="str">
        <v>州の崎工場製造2課2工区3班</v>
      </c>
      <c r="I423">
        <v>0</v>
      </c>
      <c r="J423" t="str">
        <v>PHAM VAN DONG</v>
      </c>
      <c r="K423" t="str">
        <v>ファム　バン　ドン</v>
      </c>
      <c r="L423" t="str">
        <v>男</v>
      </c>
      <c r="M423" t="str">
        <v>ﾍﾞﾄﾅﾑ</v>
      </c>
      <c r="N423">
        <v>31659</v>
      </c>
      <c r="O423">
        <v>37</v>
      </c>
      <c r="P423">
        <v>1400</v>
      </c>
      <c r="Q423">
        <v>0</v>
      </c>
      <c r="R423">
        <v>1960</v>
      </c>
      <c r="S423">
        <v>0</v>
      </c>
      <c r="T423">
        <v>560</v>
      </c>
      <c r="U423">
        <v>240000</v>
      </c>
      <c r="V423">
        <v>12012</v>
      </c>
      <c r="W423" t="str">
        <v>0</v>
      </c>
      <c r="X423">
        <v>21960</v>
      </c>
      <c r="Y423">
        <v>45548</v>
      </c>
      <c r="Z423" t="str">
        <v/>
      </c>
      <c r="AA423" t="str">
        <v>技術・人文知識・国際業務</v>
      </c>
      <c r="AB423" t="str">
        <v>475-0048</v>
      </c>
      <c r="AC423" t="str">
        <v>愛知県半田市乙川稗田町116</v>
      </c>
      <c r="AD423" t="str">
        <v>NOVA PLUS 301</v>
      </c>
      <c r="AE423">
        <v>0</v>
      </c>
      <c r="AF423">
        <v>45229</v>
      </c>
      <c r="AG423">
        <v>0</v>
      </c>
      <c r="AH423">
        <v>0</v>
      </c>
      <c r="AI423" t="str">
        <v>23.10.30</v>
      </c>
      <c r="AJ423">
        <v>0</v>
      </c>
      <c r="AK423">
        <v>0</v>
      </c>
      <c r="AL423">
        <v>0</v>
      </c>
      <c r="AM423">
        <v>0</v>
      </c>
      <c r="AN423">
        <v>0</v>
      </c>
      <c r="AO423" t="str">
        <v>11/7林</v>
      </c>
      <c r="AP423">
        <v>0</v>
      </c>
    </row>
    <row r="424" spans="1:42">
      <c r="A424" t="str">
        <f>H424&amp;COUNTIF($H$2:H424,H424)</f>
        <v>072</v>
      </c>
      <c r="B424" t="str">
        <f>F424&amp;COUNTIF($F$2:F424,F424)</f>
        <v>コーリツ 本社20</v>
      </c>
      <c r="C424" t="str">
        <v>在職中</v>
      </c>
      <c r="D424">
        <v>210210</v>
      </c>
      <c r="E424">
        <v>8210083</v>
      </c>
      <c r="F424" t="str">
        <v>コーリツ 本社</v>
      </c>
      <c r="G424">
        <v>0</v>
      </c>
      <c r="H424">
        <v>0</v>
      </c>
      <c r="I424">
        <v>0</v>
      </c>
      <c r="J424" t="str">
        <v>HA MANH QUAN</v>
      </c>
      <c r="K424" t="str">
        <v>ハー　マイン　クアン</v>
      </c>
      <c r="L424" t="str">
        <v>男</v>
      </c>
      <c r="M424" t="str">
        <v>ﾍﾞﾄﾅﾑ</v>
      </c>
      <c r="N424">
        <v>34707</v>
      </c>
      <c r="O424">
        <v>28</v>
      </c>
      <c r="P424">
        <v>1350</v>
      </c>
      <c r="Q424" t="str">
        <v>6/16~ \1200⇒\1250</v>
      </c>
      <c r="R424">
        <v>1750</v>
      </c>
      <c r="S424">
        <v>0</v>
      </c>
      <c r="T424">
        <v>400</v>
      </c>
      <c r="U424">
        <v>280000</v>
      </c>
      <c r="V424">
        <v>14014</v>
      </c>
      <c r="W424" t="str">
        <v>0</v>
      </c>
      <c r="X424">
        <v>25620</v>
      </c>
      <c r="Y424">
        <v>45305</v>
      </c>
      <c r="Z424" t="str">
        <v>残り期限90日!</v>
      </c>
      <c r="AA424" t="str">
        <v>技術・人文知識・国際業務</v>
      </c>
      <c r="AB424" t="str">
        <v>474-0057</v>
      </c>
      <c r="AC424" t="str">
        <v>愛知県大府市共和町2-18-8</v>
      </c>
      <c r="AD424" t="str">
        <v>共和ﾌﾟﾗｻﾞﾋﾞﾙ1号館203</v>
      </c>
      <c r="AE424">
        <v>44440</v>
      </c>
      <c r="AF424">
        <v>44251</v>
      </c>
      <c r="AG424">
        <v>0</v>
      </c>
      <c r="AH424">
        <v>0</v>
      </c>
      <c r="AI424">
        <v>44317</v>
      </c>
      <c r="AJ424" t="str">
        <v>ハー　マイン　クアン</v>
      </c>
      <c r="AK424" t="str">
        <v>ゆうちょ銀行</v>
      </c>
      <c r="AL424">
        <v>868</v>
      </c>
      <c r="AM424" t="str">
        <v>八六八</v>
      </c>
      <c r="AN424" t="str">
        <v>2297646</v>
      </c>
      <c r="AO424" t="str">
        <v>OK</v>
      </c>
      <c r="AP424" t="str">
        <v>2021/8/31高雄工業本社退社⇒2021/9/2～2023/11/10三幸技研⇒2023/11/13～コーリツに異動</v>
      </c>
    </row>
    <row r="425" spans="1:42">
      <c r="A425" t="str">
        <f>H425&amp;COUNTIF($H$2:H425,H425)</f>
        <v>073</v>
      </c>
      <c r="B425" t="str">
        <f>F425&amp;COUNTIF($F$2:F425,F425)</f>
        <v>コーリツ 本社21</v>
      </c>
      <c r="C425" t="str">
        <v>在職中</v>
      </c>
      <c r="D425">
        <v>231112</v>
      </c>
      <c r="E425">
        <v>8210084</v>
      </c>
      <c r="F425" t="str">
        <v>コーリツ 本社</v>
      </c>
      <c r="G425">
        <v>0</v>
      </c>
      <c r="H425">
        <v>0</v>
      </c>
      <c r="I425">
        <v>0</v>
      </c>
      <c r="J425" t="str">
        <v>NGUYEN VAN TRINH</v>
      </c>
      <c r="K425" t="str">
        <v>グエン　ヴァン　チン</v>
      </c>
      <c r="L425" t="str">
        <v>男</v>
      </c>
      <c r="M425" t="str">
        <v>ﾍﾞﾄﾅﾑ</v>
      </c>
      <c r="N425">
        <v>33293</v>
      </c>
      <c r="O425">
        <v>32</v>
      </c>
      <c r="P425">
        <v>1400</v>
      </c>
      <c r="Q425">
        <v>0</v>
      </c>
      <c r="R425">
        <v>1960</v>
      </c>
      <c r="S425">
        <v>0</v>
      </c>
      <c r="T425">
        <v>560</v>
      </c>
      <c r="U425">
        <v>240000</v>
      </c>
      <c r="V425">
        <v>12012</v>
      </c>
      <c r="W425" t="str">
        <v>0</v>
      </c>
      <c r="X425">
        <v>21960</v>
      </c>
      <c r="Y425">
        <v>45437</v>
      </c>
      <c r="Z425" t="str">
        <v/>
      </c>
      <c r="AA425" t="str">
        <v>技術・人文知識・国際業務</v>
      </c>
      <c r="AB425" t="str">
        <v>448-0813</v>
      </c>
      <c r="AC425" t="str">
        <v>愛知県刈谷市小垣江町石ノ戸86-3</v>
      </c>
      <c r="AD425" t="str">
        <v>ｳﾞｨﾗｺｰﾄ田園403</v>
      </c>
      <c r="AE425">
        <v>0</v>
      </c>
      <c r="AF425">
        <v>45243</v>
      </c>
      <c r="AG425">
        <v>0</v>
      </c>
      <c r="AH425">
        <v>0</v>
      </c>
      <c r="AI425" t="str">
        <v>23.11.13</v>
      </c>
      <c r="AJ425">
        <v>0</v>
      </c>
      <c r="AK425">
        <v>0</v>
      </c>
      <c r="AL425">
        <v>0</v>
      </c>
      <c r="AM425">
        <v>0</v>
      </c>
      <c r="AN425">
        <v>0</v>
      </c>
      <c r="AO425" t="str">
        <v>11/30林</v>
      </c>
      <c r="AP425">
        <v>0</v>
      </c>
    </row>
    <row r="426" spans="1:42">
      <c r="A426" t="str">
        <f>H426&amp;COUNTIF($H$2:H426,H426)</f>
        <v>074</v>
      </c>
      <c r="B426" t="str">
        <f>F426&amp;COUNTIF($F$2:F426,F426)</f>
        <v>コーリツ 州の崎32</v>
      </c>
      <c r="C426" t="str">
        <v>在職中</v>
      </c>
      <c r="D426">
        <v>231113</v>
      </c>
      <c r="E426">
        <v>8210085</v>
      </c>
      <c r="F426" t="str">
        <v>コーリツ 州の崎</v>
      </c>
      <c r="G426">
        <v>0</v>
      </c>
      <c r="H426">
        <v>0</v>
      </c>
      <c r="I426">
        <v>0</v>
      </c>
      <c r="J426" t="str">
        <v>BUI NGOC SY</v>
      </c>
      <c r="K426" t="str">
        <v>ブイ　ゴック　シー</v>
      </c>
      <c r="L426" t="str">
        <v>男</v>
      </c>
      <c r="M426" t="str">
        <v>ﾍﾞﾄﾅﾑ</v>
      </c>
      <c r="N426">
        <v>35781</v>
      </c>
      <c r="O426">
        <v>25</v>
      </c>
      <c r="P426">
        <v>1400</v>
      </c>
      <c r="Q426">
        <v>0</v>
      </c>
      <c r="R426">
        <v>1960</v>
      </c>
      <c r="S426">
        <v>0</v>
      </c>
      <c r="T426">
        <v>560</v>
      </c>
      <c r="U426">
        <v>240000</v>
      </c>
      <c r="V426">
        <v>12012</v>
      </c>
      <c r="W426" t="str">
        <v>0</v>
      </c>
      <c r="X426">
        <v>21960</v>
      </c>
      <c r="Y426">
        <v>45463</v>
      </c>
      <c r="Z426" t="str">
        <v/>
      </c>
      <c r="AA426" t="str">
        <v>技術・人文知識・国際業務</v>
      </c>
      <c r="AB426" t="str">
        <v>475-0024</v>
      </c>
      <c r="AC426" t="str">
        <v>愛知県半田市 亀崎高根町2丁目20-7</v>
      </c>
      <c r="AD426" t="str">
        <v>ﾋﾞﾚｯｼﾞﾊｳｽ亀崎2号棟301</v>
      </c>
      <c r="AE426">
        <v>0</v>
      </c>
      <c r="AF426">
        <v>45250</v>
      </c>
      <c r="AG426">
        <v>0</v>
      </c>
      <c r="AH426">
        <v>0</v>
      </c>
      <c r="AI426" t="str">
        <v>23.11.20</v>
      </c>
      <c r="AJ426">
        <v>0</v>
      </c>
      <c r="AK426">
        <v>0</v>
      </c>
      <c r="AL426">
        <v>0</v>
      </c>
      <c r="AM426">
        <v>0</v>
      </c>
      <c r="AN426">
        <v>0</v>
      </c>
      <c r="AO426" t="str">
        <v>11/30林</v>
      </c>
      <c r="AP426">
        <v>0</v>
      </c>
    </row>
    <row r="427" spans="1:42">
      <c r="A427" t="str">
        <f>H427&amp;COUNTIF($H$2:H427,H427)</f>
        <v>第7工場1</v>
      </c>
      <c r="B427" t="str">
        <f>F427&amp;COUNTIF($F$2:F427,F427)</f>
        <v>オーツカ1</v>
      </c>
      <c r="C427" t="str">
        <v>在職中</v>
      </c>
      <c r="D427">
        <v>201002</v>
      </c>
      <c r="E427">
        <v>9330002</v>
      </c>
      <c r="F427" t="str">
        <v>オーツカ</v>
      </c>
      <c r="G427" t="str">
        <v>製造部関ヶ原第三製造課</v>
      </c>
      <c r="H427" t="str">
        <v>第7工場</v>
      </c>
      <c r="I427" t="str">
        <v>ラインオペレーター</v>
      </c>
      <c r="J427" t="str">
        <v>安慶名　エジソン</v>
      </c>
      <c r="K427" t="str">
        <v>アゲナ　エジソン</v>
      </c>
      <c r="L427" t="str">
        <v>男</v>
      </c>
      <c r="M427" t="str">
        <v>ﾌﾞﾗｼﾞﾙ</v>
      </c>
      <c r="N427">
        <v>24193</v>
      </c>
      <c r="O427">
        <v>57</v>
      </c>
      <c r="P427">
        <v>1400</v>
      </c>
      <c r="Q427" t="str">
        <v>2021/7/21　1300⇒1350</v>
      </c>
      <c r="R427">
        <v>1872</v>
      </c>
      <c r="S427">
        <v>0</v>
      </c>
      <c r="T427">
        <v>472</v>
      </c>
      <c r="U427">
        <v>340000</v>
      </c>
      <c r="V427">
        <v>17017</v>
      </c>
      <c r="W427">
        <v>3093.9999999999964</v>
      </c>
      <c r="X427">
        <v>31110</v>
      </c>
      <c r="Y427" t="str">
        <v>永住者</v>
      </c>
      <c r="Z427" t="str">
        <v/>
      </c>
      <c r="AA427" t="str">
        <v>永住者</v>
      </c>
      <c r="AB427" t="str">
        <v>503-0034</v>
      </c>
      <c r="AC427" t="str">
        <v>岐阜県大垣市荒尾町1510</v>
      </c>
      <c r="AD427" t="str">
        <v>ｼﾃｨｺｰﾌﾟUSA1 402</v>
      </c>
      <c r="AE427" t="str">
        <v>個人</v>
      </c>
      <c r="AF427">
        <v>44130</v>
      </c>
      <c r="AG427">
        <v>0</v>
      </c>
      <c r="AH427">
        <v>0</v>
      </c>
      <c r="AI427">
        <v>44166</v>
      </c>
      <c r="AJ427" t="str">
        <v>アグエナ　エデイソン</v>
      </c>
      <c r="AK427" t="str">
        <v>大垣共立銀行</v>
      </c>
      <c r="AL427">
        <v>0</v>
      </c>
      <c r="AM427" t="str">
        <v>荒尾出張所</v>
      </c>
      <c r="AN427" t="str">
        <v>120991</v>
      </c>
      <c r="AO427" t="str">
        <v>OK</v>
      </c>
      <c r="AP427">
        <v>0</v>
      </c>
    </row>
    <row r="428" spans="1:42">
      <c r="A428" t="str">
        <f>H428&amp;COUNTIF($H$2:H428,H428)</f>
        <v>075</v>
      </c>
      <c r="B428" t="str">
        <f>F428&amp;COUNTIF($F$2:F428,F428)</f>
        <v>ピーエムアイ8</v>
      </c>
      <c r="C428" t="str">
        <v>退社</v>
      </c>
      <c r="D428">
        <v>200805</v>
      </c>
      <c r="E428">
        <v>0</v>
      </c>
      <c r="F428" t="str">
        <v>ピーエムアイ</v>
      </c>
      <c r="G428">
        <v>0</v>
      </c>
      <c r="H428">
        <v>0</v>
      </c>
      <c r="I428">
        <v>0</v>
      </c>
      <c r="J428" t="str">
        <v>VI THI HUE</v>
      </c>
      <c r="K428" t="str">
        <v>ヴィ　ティ　フェ</v>
      </c>
      <c r="L428" t="str">
        <v>女</v>
      </c>
      <c r="M428" t="str">
        <v>ﾍﾞﾄﾅﾑ</v>
      </c>
      <c r="N428">
        <v>34359</v>
      </c>
      <c r="O428">
        <v>29</v>
      </c>
      <c r="P428">
        <v>1300</v>
      </c>
      <c r="Q428" t="str">
        <v>2020/11/21 1200⇒1250　2021/2/21　1250⇒1300</v>
      </c>
      <c r="R428">
        <v>1750</v>
      </c>
      <c r="S428">
        <v>0</v>
      </c>
      <c r="T428">
        <v>450</v>
      </c>
      <c r="U428">
        <v>0</v>
      </c>
      <c r="V428" t="str">
        <v/>
      </c>
      <c r="W428" t="str">
        <v>0</v>
      </c>
      <c r="X428" t="str">
        <v/>
      </c>
      <c r="Y428">
        <v>44697</v>
      </c>
      <c r="Z428" t="str">
        <v>残り期限90日!</v>
      </c>
      <c r="AA428" t="str">
        <v>技術・人文知識・国際業務</v>
      </c>
      <c r="AB428" t="str">
        <v>471-0805</v>
      </c>
      <c r="AC428" t="str">
        <v>愛知県豊田市美里2‐6‐9</v>
      </c>
      <c r="AD428" t="str">
        <v>ﾚｼﾞｪﾝﾄﾞK204</v>
      </c>
      <c r="AE428">
        <v>44060</v>
      </c>
      <c r="AF428">
        <v>44061</v>
      </c>
      <c r="AG428">
        <v>44317</v>
      </c>
      <c r="AH428">
        <v>0</v>
      </c>
      <c r="AI428" t="str">
        <v>OK</v>
      </c>
      <c r="AJ428" t="str">
        <v>ファム　デイン　トウン</v>
      </c>
      <c r="AK428" t="str">
        <v>ゆうちょ銀行</v>
      </c>
      <c r="AL428">
        <v>98</v>
      </c>
      <c r="AM428" t="str">
        <v>〇九八</v>
      </c>
      <c r="AN428" t="str">
        <v>1285143</v>
      </c>
      <c r="AO428">
        <v>0</v>
      </c>
      <c r="AP428">
        <v>0</v>
      </c>
    </row>
    <row r="429" spans="1:42">
      <c r="A429" t="str">
        <f>H429&amp;COUNTIF($H$2:H429,H429)</f>
        <v>076</v>
      </c>
      <c r="B429" t="str">
        <f>F429&amp;COUNTIF($F$2:F429,F429)</f>
        <v>ピーエムアイ9</v>
      </c>
      <c r="C429" t="str">
        <v>退社</v>
      </c>
      <c r="D429">
        <v>200801</v>
      </c>
      <c r="E429">
        <v>0</v>
      </c>
      <c r="F429" t="str">
        <v>ピーエムアイ</v>
      </c>
      <c r="G429">
        <v>0</v>
      </c>
      <c r="H429">
        <v>0</v>
      </c>
      <c r="I429">
        <v>0</v>
      </c>
      <c r="J429" t="str">
        <v>NGUYEN QUANG THANG</v>
      </c>
      <c r="K429" t="str">
        <v>グエン　クアン　タン</v>
      </c>
      <c r="L429" t="str">
        <v>男</v>
      </c>
      <c r="M429" t="str">
        <v>ﾍﾞﾄﾅﾑ</v>
      </c>
      <c r="N429">
        <v>32431</v>
      </c>
      <c r="O429">
        <v>35</v>
      </c>
      <c r="P429">
        <v>1250</v>
      </c>
      <c r="Q429" t="str">
        <v>2020/11/21 1200⇒1250　2021/2/21　1250⇒1300</v>
      </c>
      <c r="R429">
        <v>1750</v>
      </c>
      <c r="S429" t="str">
        <v>2021/2/21~　1750⇒1800</v>
      </c>
      <c r="T429">
        <v>500</v>
      </c>
      <c r="U429">
        <v>0</v>
      </c>
      <c r="V429" t="str">
        <v/>
      </c>
      <c r="W429" t="str">
        <v>0</v>
      </c>
      <c r="X429" t="str">
        <v/>
      </c>
      <c r="Y429">
        <v>44848</v>
      </c>
      <c r="Z429" t="str">
        <v>残り期限90日!</v>
      </c>
      <c r="AA429" t="str">
        <v>技術・人文知識・国際業務</v>
      </c>
      <c r="AB429" t="str">
        <v>471-0805</v>
      </c>
      <c r="AC429" t="str">
        <v>愛知県豊田市美里2‐6‐9</v>
      </c>
      <c r="AD429" t="str">
        <v>ﾚｼﾞｪﾝﾄﾞK301</v>
      </c>
      <c r="AE429">
        <v>44060</v>
      </c>
      <c r="AF429">
        <v>44064</v>
      </c>
      <c r="AG429">
        <v>44286</v>
      </c>
      <c r="AH429">
        <v>44289</v>
      </c>
      <c r="AI429" t="str">
        <v>OK</v>
      </c>
      <c r="AJ429" t="str">
        <v>ファム　ヴァン　ヒエウ</v>
      </c>
      <c r="AK429" t="str">
        <v>ゆうちょ銀行</v>
      </c>
      <c r="AL429">
        <v>408</v>
      </c>
      <c r="AM429" t="str">
        <v>四〇八</v>
      </c>
      <c r="AN429" t="str">
        <v>3267821</v>
      </c>
      <c r="AO429">
        <v>0</v>
      </c>
      <c r="AP429">
        <v>0</v>
      </c>
    </row>
    <row r="430" spans="1:42">
      <c r="A430" t="str">
        <f>H430&amp;COUNTIF($H$2:H430,H430)</f>
        <v>077</v>
      </c>
      <c r="B430" t="str">
        <f>F430&amp;COUNTIF($F$2:F430,F430)</f>
        <v>ピーエムアイ10</v>
      </c>
      <c r="C430" t="str">
        <v>退社</v>
      </c>
      <c r="D430">
        <v>200802</v>
      </c>
      <c r="E430">
        <v>0</v>
      </c>
      <c r="F430" t="str">
        <v>ピーエムアイ</v>
      </c>
      <c r="G430">
        <v>0</v>
      </c>
      <c r="H430">
        <v>0</v>
      </c>
      <c r="I430">
        <v>0</v>
      </c>
      <c r="J430" t="str">
        <v>NGUYEN HUY HOANG</v>
      </c>
      <c r="K430" t="str">
        <v>グエン　フイ　ホアン</v>
      </c>
      <c r="L430" t="str">
        <v>男</v>
      </c>
      <c r="M430" t="str">
        <v>ﾍﾞﾄﾅﾑ</v>
      </c>
      <c r="N430">
        <v>34212</v>
      </c>
      <c r="O430">
        <v>30</v>
      </c>
      <c r="P430">
        <v>1200</v>
      </c>
      <c r="Q430">
        <v>0</v>
      </c>
      <c r="R430">
        <v>1750</v>
      </c>
      <c r="S430" t="str">
        <v>550</v>
      </c>
      <c r="T430">
        <v>550</v>
      </c>
      <c r="U430">
        <v>0</v>
      </c>
      <c r="V430" t="str">
        <v/>
      </c>
      <c r="W430" t="str">
        <v>0</v>
      </c>
      <c r="X430" t="str">
        <v/>
      </c>
      <c r="Y430">
        <v>44332</v>
      </c>
      <c r="Z430" t="str">
        <v>残り期限90日!</v>
      </c>
      <c r="AA430" t="str">
        <v>技術・人文知識・国際業務</v>
      </c>
      <c r="AB430">
        <v>0</v>
      </c>
      <c r="AC430" t="str">
        <v>愛知県豊田市美里2‐6‐9</v>
      </c>
      <c r="AD430" t="str">
        <v>ﾚｼﾞｪﾝﾄﾞK301</v>
      </c>
      <c r="AE430">
        <v>44062</v>
      </c>
      <c r="AF430">
        <v>44064</v>
      </c>
      <c r="AG430">
        <v>44092</v>
      </c>
      <c r="AH430">
        <v>44093</v>
      </c>
      <c r="AI430">
        <v>0</v>
      </c>
      <c r="AJ430" t="str">
        <v>ファム　デイン　トウン</v>
      </c>
      <c r="AK430" t="str">
        <v>ゆうちょ銀行</v>
      </c>
      <c r="AL430">
        <v>98</v>
      </c>
      <c r="AM430" t="str">
        <v>〇九八</v>
      </c>
      <c r="AN430" t="str">
        <v>1285143</v>
      </c>
      <c r="AO430">
        <v>0</v>
      </c>
      <c r="AP430">
        <v>0</v>
      </c>
    </row>
    <row r="431" spans="1:42">
      <c r="A431" t="str">
        <f>H431&amp;COUNTIF($H$2:H431,H431)</f>
        <v>078</v>
      </c>
      <c r="B431" t="str">
        <f>F431&amp;COUNTIF($F$2:F431,F431)</f>
        <v>ピーエムアイ11</v>
      </c>
      <c r="C431" t="str">
        <v>退社</v>
      </c>
      <c r="D431">
        <v>200804</v>
      </c>
      <c r="E431">
        <v>0</v>
      </c>
      <c r="F431" t="str">
        <v>ピーエムアイ</v>
      </c>
      <c r="G431">
        <v>0</v>
      </c>
      <c r="H431">
        <v>0</v>
      </c>
      <c r="I431">
        <v>0</v>
      </c>
      <c r="J431" t="str">
        <v>DANG ANH DUNG</v>
      </c>
      <c r="K431" t="str">
        <v>ダン　アン　ズン</v>
      </c>
      <c r="L431" t="str">
        <v>男</v>
      </c>
      <c r="M431" t="str">
        <v>ﾍﾞﾄﾅﾑ</v>
      </c>
      <c r="N431">
        <v>33172</v>
      </c>
      <c r="O431">
        <v>33</v>
      </c>
      <c r="P431">
        <v>1300</v>
      </c>
      <c r="Q431" t="str">
        <v>2020/11/21 1200⇒1250　2021/2/21　1250⇒1300</v>
      </c>
      <c r="R431">
        <v>1750</v>
      </c>
      <c r="S431" t="str">
        <v>2021/2/21~　1750⇒1800</v>
      </c>
      <c r="T431">
        <v>450</v>
      </c>
      <c r="U431">
        <v>0</v>
      </c>
      <c r="V431" t="str">
        <v/>
      </c>
      <c r="W431" t="str">
        <v>0</v>
      </c>
      <c r="X431" t="str">
        <v/>
      </c>
      <c r="Y431">
        <v>44528</v>
      </c>
      <c r="Z431" t="str">
        <v>残り期限90日!</v>
      </c>
      <c r="AA431" t="str">
        <v>技術・人文知識・国際業務</v>
      </c>
      <c r="AB431" t="str">
        <v>471-0805</v>
      </c>
      <c r="AC431" t="str">
        <v>愛知県豊田市美里2‐6‐9</v>
      </c>
      <c r="AD431" t="str">
        <v>ﾚｼﾞｪﾝﾄﾞK204</v>
      </c>
      <c r="AE431">
        <v>44060</v>
      </c>
      <c r="AF431">
        <v>44064</v>
      </c>
      <c r="AG431">
        <v>44317</v>
      </c>
      <c r="AH431">
        <v>0</v>
      </c>
      <c r="AI431" t="str">
        <v>OK</v>
      </c>
      <c r="AJ431" t="str">
        <v>ファム　ヴァン　ヒエウ</v>
      </c>
      <c r="AK431" t="str">
        <v>ゆうちょ銀行</v>
      </c>
      <c r="AL431">
        <v>408</v>
      </c>
      <c r="AM431" t="str">
        <v>四〇八</v>
      </c>
      <c r="AN431" t="str">
        <v>3267821</v>
      </c>
      <c r="AO431">
        <v>0</v>
      </c>
      <c r="AP431">
        <v>0</v>
      </c>
    </row>
    <row r="432" spans="1:42">
      <c r="A432" t="str">
        <f>H432&amp;COUNTIF($H$2:H432,H432)</f>
        <v>079</v>
      </c>
      <c r="B432" t="str">
        <f>F432&amp;COUNTIF($F$2:F432,F432)</f>
        <v>ピーエムアイ12</v>
      </c>
      <c r="C432" t="str">
        <v>退社</v>
      </c>
      <c r="D432">
        <v>200902</v>
      </c>
      <c r="E432">
        <v>0</v>
      </c>
      <c r="F432" t="str">
        <v>ピーエムアイ</v>
      </c>
      <c r="G432">
        <v>0</v>
      </c>
      <c r="H432">
        <v>0</v>
      </c>
      <c r="I432">
        <v>0</v>
      </c>
      <c r="J432" t="str">
        <v>TRINH VAN HIEP</v>
      </c>
      <c r="K432" t="str">
        <v>チン　ヴァン　ヒエップ</v>
      </c>
      <c r="L432" t="str">
        <v>男</v>
      </c>
      <c r="M432" t="str">
        <v>ﾍﾞﾄﾅﾑ</v>
      </c>
      <c r="N432">
        <v>33125</v>
      </c>
      <c r="O432">
        <v>33</v>
      </c>
      <c r="P432">
        <v>1350</v>
      </c>
      <c r="Q432" t="str">
        <v>2020/12/21 1200⇒1250　2021/3/21　1250→1300</v>
      </c>
      <c r="R432">
        <v>1800</v>
      </c>
      <c r="S432" t="str">
        <v>2021/2/21~　1750⇒1800</v>
      </c>
      <c r="T432">
        <v>450</v>
      </c>
      <c r="U432">
        <v>0</v>
      </c>
      <c r="V432" t="str">
        <v/>
      </c>
      <c r="W432" t="str">
        <v>0</v>
      </c>
      <c r="X432" t="str">
        <v/>
      </c>
      <c r="Y432">
        <v>450</v>
      </c>
      <c r="Z432" t="str">
        <v>残り期限90日!</v>
      </c>
      <c r="AA432" t="str">
        <v>技術・人文知識・国際業務</v>
      </c>
      <c r="AB432" t="str">
        <v>471-0805</v>
      </c>
      <c r="AC432" t="str">
        <v>愛知県豊田市美里2‐6‐9</v>
      </c>
      <c r="AD432" t="str">
        <v>ﾚｼﾞｪﾝﾄﾞK301</v>
      </c>
      <c r="AE432">
        <v>44094</v>
      </c>
      <c r="AF432">
        <v>44095</v>
      </c>
      <c r="AG432">
        <v>44540</v>
      </c>
      <c r="AH432">
        <v>0</v>
      </c>
      <c r="AI432">
        <v>44166</v>
      </c>
      <c r="AJ432" t="str">
        <v>ファム　デイン　トウン</v>
      </c>
      <c r="AK432" t="str">
        <v>ゆうちょ銀行</v>
      </c>
      <c r="AL432">
        <v>98</v>
      </c>
      <c r="AM432" t="str">
        <v>〇九八</v>
      </c>
      <c r="AN432" t="str">
        <v>1285143</v>
      </c>
      <c r="AO432">
        <v>0</v>
      </c>
      <c r="AP432">
        <v>0</v>
      </c>
    </row>
    <row r="433" spans="1:42">
      <c r="A433" t="str">
        <f>H433&amp;COUNTIF($H$2:H433,H433)</f>
        <v>080</v>
      </c>
      <c r="B433" t="str">
        <f>F433&amp;COUNTIF($F$2:F433,F433)</f>
        <v>オーツカ2</v>
      </c>
      <c r="C433" t="str">
        <v>退社</v>
      </c>
      <c r="D433">
        <v>201003</v>
      </c>
      <c r="E433">
        <v>0</v>
      </c>
      <c r="F433" t="str">
        <v>オーツカ</v>
      </c>
      <c r="G433">
        <v>0</v>
      </c>
      <c r="H433">
        <v>0</v>
      </c>
      <c r="I433">
        <v>0</v>
      </c>
      <c r="J433" t="str">
        <v>ヌクイ　アキラ</v>
      </c>
      <c r="K433" t="str">
        <v>ヌクイ　アキラ</v>
      </c>
      <c r="L433" t="str">
        <v>男</v>
      </c>
      <c r="M433" t="str">
        <v>ﾌﾞﾗｼﾞﾙ</v>
      </c>
      <c r="N433">
        <v>26893</v>
      </c>
      <c r="O433">
        <v>50</v>
      </c>
      <c r="P433">
        <v>1350</v>
      </c>
      <c r="Q433">
        <v>0</v>
      </c>
      <c r="R433">
        <v>1872</v>
      </c>
      <c r="S433">
        <v>0</v>
      </c>
      <c r="T433">
        <v>522</v>
      </c>
      <c r="U433">
        <v>0</v>
      </c>
      <c r="V433" t="str">
        <v/>
      </c>
      <c r="W433" t="str">
        <v/>
      </c>
      <c r="X433" t="str">
        <v/>
      </c>
      <c r="Y433" t="str">
        <v>永住者</v>
      </c>
      <c r="Z433" t="str">
        <v/>
      </c>
      <c r="AA433" t="str">
        <v>永住者</v>
      </c>
      <c r="AB433" t="str">
        <v>503-0936</v>
      </c>
      <c r="AC433" t="str">
        <v>岐阜県大垣市内原1-468</v>
      </c>
      <c r="AD433" t="str">
        <v>4F-2</v>
      </c>
      <c r="AE433">
        <v>0</v>
      </c>
      <c r="AF433">
        <v>44130</v>
      </c>
      <c r="AG433">
        <v>44469</v>
      </c>
      <c r="AH433">
        <v>0</v>
      </c>
      <c r="AI433" t="str">
        <v>OK</v>
      </c>
      <c r="AJ433" t="str">
        <v>ファム　ヴァン　ヒエウ</v>
      </c>
      <c r="AK433" t="str">
        <v>ゆうちょ銀行</v>
      </c>
      <c r="AL433">
        <v>408</v>
      </c>
      <c r="AM433" t="str">
        <v>四〇八</v>
      </c>
      <c r="AN433" t="str">
        <v>3267821</v>
      </c>
      <c r="AO433">
        <v>0</v>
      </c>
      <c r="AP433">
        <v>0</v>
      </c>
    </row>
    <row r="434" spans="1:42">
      <c r="A434" t="str">
        <f>H434&amp;COUNTIF($H$2:H434,H434)</f>
        <v>081</v>
      </c>
      <c r="B434" t="str">
        <f>F434&amp;COUNTIF($F$2:F434,F434)</f>
        <v>高雄工業 本社30</v>
      </c>
      <c r="C434" t="str">
        <v>退社</v>
      </c>
      <c r="D434">
        <v>201101</v>
      </c>
      <c r="E434">
        <v>0</v>
      </c>
      <c r="F434" t="str">
        <v>高雄工業 本社</v>
      </c>
      <c r="G434">
        <v>0</v>
      </c>
      <c r="H434">
        <v>0</v>
      </c>
      <c r="I434">
        <v>0</v>
      </c>
      <c r="J434" t="str">
        <v>加藤　佑樹</v>
      </c>
      <c r="K434" t="str">
        <v>カトウ　ユウキ</v>
      </c>
      <c r="L434" t="str">
        <v>男</v>
      </c>
      <c r="M434" t="str">
        <v>日本</v>
      </c>
      <c r="N434">
        <v>30431</v>
      </c>
      <c r="O434">
        <v>40</v>
      </c>
      <c r="P434">
        <v>1200</v>
      </c>
      <c r="Q434" t="str">
        <v>入社3か月後50円UP</v>
      </c>
      <c r="R434">
        <v>1700</v>
      </c>
      <c r="S434" t="str">
        <v>500</v>
      </c>
      <c r="T434">
        <v>500</v>
      </c>
      <c r="U434">
        <v>0</v>
      </c>
      <c r="V434" t="str">
        <v/>
      </c>
      <c r="W434" t="str">
        <v/>
      </c>
      <c r="X434" t="str">
        <v/>
      </c>
      <c r="Y434" t="str">
        <v>　</v>
      </c>
      <c r="Z434">
        <v>0</v>
      </c>
      <c r="AA434">
        <v>0</v>
      </c>
      <c r="AB434">
        <v>0</v>
      </c>
      <c r="AC434" t="str">
        <v>三重県桑名郡木曽岬町見入流作5</v>
      </c>
      <c r="AD434">
        <v>0</v>
      </c>
      <c r="AE434">
        <v>0</v>
      </c>
      <c r="AF434">
        <v>44144</v>
      </c>
      <c r="AG434">
        <v>44211</v>
      </c>
      <c r="AH434">
        <v>0</v>
      </c>
      <c r="AI434" t="str">
        <v>1/1予定</v>
      </c>
      <c r="AJ434" t="str">
        <v>ファム　デイン　トウン</v>
      </c>
      <c r="AK434" t="str">
        <v>ゆうちょ銀行</v>
      </c>
      <c r="AL434">
        <v>98</v>
      </c>
      <c r="AM434" t="str">
        <v>〇九八</v>
      </c>
      <c r="AN434" t="str">
        <v>1285143</v>
      </c>
      <c r="AO434">
        <v>0</v>
      </c>
      <c r="AP434">
        <v>0</v>
      </c>
    </row>
    <row r="435" spans="1:42">
      <c r="A435" t="str">
        <f>H435&amp;COUNTIF($H$2:H435,H435)</f>
        <v>082</v>
      </c>
      <c r="B435" t="str">
        <f>F435&amp;COUNTIF($F$2:F435,F435)</f>
        <v>高雄工業 海南第一29</v>
      </c>
      <c r="C435" t="str">
        <v>退社</v>
      </c>
      <c r="D435">
        <v>201102</v>
      </c>
      <c r="E435">
        <v>0</v>
      </c>
      <c r="F435" t="str">
        <v>高雄工業 海南第一</v>
      </c>
      <c r="G435">
        <v>0</v>
      </c>
      <c r="H435">
        <v>0</v>
      </c>
      <c r="I435">
        <v>0</v>
      </c>
      <c r="J435" t="str">
        <v>エガミ　アンドレ</v>
      </c>
      <c r="K435" t="str">
        <v>エガミ　アンドレ</v>
      </c>
      <c r="L435" t="str">
        <v>男</v>
      </c>
      <c r="M435" t="str">
        <v>ﾌﾞﾗｼﾞﾙ</v>
      </c>
      <c r="N435">
        <v>29783</v>
      </c>
      <c r="O435">
        <v>42</v>
      </c>
      <c r="P435">
        <v>1300</v>
      </c>
      <c r="Q435">
        <v>0</v>
      </c>
      <c r="R435">
        <v>1650</v>
      </c>
      <c r="S435">
        <v>0</v>
      </c>
      <c r="T435">
        <v>350</v>
      </c>
      <c r="U435">
        <v>0</v>
      </c>
      <c r="V435" t="str">
        <v/>
      </c>
      <c r="W435" t="str">
        <v/>
      </c>
      <c r="X435" t="str">
        <v/>
      </c>
      <c r="Y435" t="str">
        <v>定住者</v>
      </c>
      <c r="Z435" t="str">
        <v/>
      </c>
      <c r="AA435" t="str">
        <v>定住者</v>
      </c>
      <c r="AB435" t="str">
        <v>498-0031</v>
      </c>
      <c r="AC435" t="str">
        <v>愛知県弥富市平島町中新田194-１</v>
      </c>
      <c r="AD435" t="str">
        <v>ｺﾝﾂｪﾙﾊｳｽⅡC棟203</v>
      </c>
      <c r="AE435">
        <v>44144</v>
      </c>
      <c r="AF435">
        <v>44146</v>
      </c>
      <c r="AG435">
        <v>44316</v>
      </c>
      <c r="AH435">
        <v>44317</v>
      </c>
      <c r="AI435">
        <v>44197</v>
      </c>
      <c r="AJ435" t="str">
        <v>ファム　ヴァン　ヒエウ</v>
      </c>
      <c r="AK435" t="str">
        <v>ゆうちょ銀行</v>
      </c>
      <c r="AL435">
        <v>408</v>
      </c>
      <c r="AM435" t="str">
        <v>四〇八</v>
      </c>
      <c r="AN435" t="str">
        <v>3267821</v>
      </c>
      <c r="AO435">
        <v>0</v>
      </c>
      <c r="AP435">
        <v>0</v>
      </c>
    </row>
    <row r="436" spans="1:42">
      <c r="A436" t="str">
        <f>H436&amp;COUNTIF($H$2:H436,H436)</f>
        <v>083</v>
      </c>
      <c r="B436" t="str">
        <f>F436&amp;COUNTIF($F$2:F436,F436)</f>
        <v>高雄工業 海南第一30</v>
      </c>
      <c r="C436" t="str">
        <v>退社</v>
      </c>
      <c r="D436">
        <v>201103</v>
      </c>
      <c r="E436">
        <v>0</v>
      </c>
      <c r="F436" t="str">
        <v>高雄工業 海南第一</v>
      </c>
      <c r="G436">
        <v>0</v>
      </c>
      <c r="H436">
        <v>0</v>
      </c>
      <c r="I436">
        <v>0</v>
      </c>
      <c r="J436" t="str">
        <v>LUONG KHAC SINH</v>
      </c>
      <c r="K436" t="str">
        <v>ルウン　カック　シン</v>
      </c>
      <c r="L436" t="str">
        <v>男</v>
      </c>
      <c r="M436" t="str">
        <v>ﾍﾞﾄﾅﾑ</v>
      </c>
      <c r="N436">
        <v>30103</v>
      </c>
      <c r="O436">
        <v>41</v>
      </c>
      <c r="P436">
        <v>1200</v>
      </c>
      <c r="Q436">
        <v>0</v>
      </c>
      <c r="R436">
        <v>1600</v>
      </c>
      <c r="S436" t="str">
        <v>400</v>
      </c>
      <c r="T436">
        <v>400</v>
      </c>
      <c r="U436">
        <v>0</v>
      </c>
      <c r="V436" t="str">
        <v/>
      </c>
      <c r="W436" t="str">
        <v/>
      </c>
      <c r="X436" t="str">
        <v/>
      </c>
      <c r="Y436">
        <v>45014</v>
      </c>
      <c r="Z436" t="str">
        <v>残り期限90日!</v>
      </c>
      <c r="AA436" t="str">
        <v>技術・人文知識・国際業務</v>
      </c>
      <c r="AB436">
        <v>0</v>
      </c>
      <c r="AC436" t="str">
        <v>愛知県海部郡蟹江町城1-198</v>
      </c>
      <c r="AD436" t="str">
        <v>ﾒｿﾞﾝｶｰｽﾙ101</v>
      </c>
      <c r="AE436">
        <v>0</v>
      </c>
      <c r="AF436">
        <v>44151</v>
      </c>
      <c r="AG436">
        <v>44164</v>
      </c>
      <c r="AH436">
        <v>0</v>
      </c>
      <c r="AI436" t="str">
        <v>1/1予定</v>
      </c>
      <c r="AJ436" t="str">
        <v>ファム　デイン　トウン</v>
      </c>
      <c r="AK436" t="str">
        <v>ゆうちょ銀行</v>
      </c>
      <c r="AL436">
        <v>98</v>
      </c>
      <c r="AM436" t="str">
        <v>〇九八</v>
      </c>
      <c r="AN436" t="str">
        <v>1285143</v>
      </c>
      <c r="AO436">
        <v>0</v>
      </c>
      <c r="AP436">
        <v>0</v>
      </c>
    </row>
    <row r="437" spans="1:42">
      <c r="A437" t="str">
        <f>H437&amp;COUNTIF($H$2:H437,H437)</f>
        <v>旋盤ライン1</v>
      </c>
      <c r="B437" t="str">
        <f>F437&amp;COUNTIF($F$2:F437,F437)</f>
        <v>川原鉄工所1</v>
      </c>
      <c r="C437" t="str">
        <v>退社</v>
      </c>
      <c r="D437">
        <v>201104</v>
      </c>
      <c r="E437">
        <v>0</v>
      </c>
      <c r="F437" t="str">
        <v>川原鉄工所</v>
      </c>
      <c r="G437" t="str">
        <v>製造部</v>
      </c>
      <c r="H437" t="str">
        <v>旋盤ライン</v>
      </c>
      <c r="I437" t="str">
        <v>ATミッション部品をはじめとする、各種自動車部品の製造</v>
      </c>
      <c r="J437" t="str">
        <v>NGUYEN VAN SON</v>
      </c>
      <c r="K437" t="str">
        <v>グエン　ヴァン　ソン</v>
      </c>
      <c r="L437" t="str">
        <v>男</v>
      </c>
      <c r="M437" t="str">
        <v>ﾍﾞﾄﾅﾑ</v>
      </c>
      <c r="N437">
        <v>34711</v>
      </c>
      <c r="O437">
        <v>28</v>
      </c>
      <c r="P437">
        <v>1200</v>
      </c>
      <c r="Q437" t="str">
        <v>入社3か月後50円UP</v>
      </c>
      <c r="R437">
        <v>1600</v>
      </c>
      <c r="S437" t="str">
        <v>400</v>
      </c>
      <c r="T437">
        <v>400</v>
      </c>
      <c r="U437">
        <v>0</v>
      </c>
      <c r="V437" t="str">
        <v/>
      </c>
      <c r="W437" t="str">
        <v>0</v>
      </c>
      <c r="X437" t="str">
        <v/>
      </c>
      <c r="Y437">
        <v>44370</v>
      </c>
      <c r="Z437" t="str">
        <v>残り期限90日!</v>
      </c>
      <c r="AA437" t="str">
        <v>技術・人文知識・国際業務</v>
      </c>
      <c r="AB437">
        <v>0</v>
      </c>
      <c r="AC437" t="str">
        <v>愛知県名古屋市港区大手町2丁目31</v>
      </c>
      <c r="AD437" t="str">
        <v>ﾀﾞｲｺｰﾏﾝｼｮﾝ302</v>
      </c>
      <c r="AE437">
        <v>44152</v>
      </c>
      <c r="AF437">
        <v>44153</v>
      </c>
      <c r="AG437">
        <v>44175</v>
      </c>
      <c r="AH437">
        <v>44206</v>
      </c>
      <c r="AI437" t="str">
        <v>注意</v>
      </c>
      <c r="AJ437">
        <v>0</v>
      </c>
      <c r="AK437">
        <v>0</v>
      </c>
      <c r="AL437">
        <v>0</v>
      </c>
      <c r="AM437">
        <v>0</v>
      </c>
      <c r="AN437" t="str">
        <v>3267821</v>
      </c>
      <c r="AO437">
        <v>0</v>
      </c>
      <c r="AP437">
        <v>0</v>
      </c>
    </row>
    <row r="438" spans="1:42">
      <c r="A438" t="str">
        <f>H438&amp;COUNTIF($H$2:H438,H438)</f>
        <v>旋盤ライン2</v>
      </c>
      <c r="B438" t="str">
        <f>F438&amp;COUNTIF($F$2:F438,F438)</f>
        <v>川原鉄工所2</v>
      </c>
      <c r="C438" t="str">
        <v>退社</v>
      </c>
      <c r="D438">
        <v>201105</v>
      </c>
      <c r="E438">
        <v>0</v>
      </c>
      <c r="F438" t="str">
        <v>川原鉄工所</v>
      </c>
      <c r="G438" t="str">
        <v>製造部</v>
      </c>
      <c r="H438" t="str">
        <v>旋盤ライン</v>
      </c>
      <c r="I438" t="str">
        <v>ATミッション部品をはじめとする、各種自動車部品の製造</v>
      </c>
      <c r="J438" t="str">
        <v>BUI VAN LUAN</v>
      </c>
      <c r="K438" t="str">
        <v>ブイ　ヴァン　ルアン</v>
      </c>
      <c r="L438" t="str">
        <v>男</v>
      </c>
      <c r="M438" t="str">
        <v>ﾍﾞﾄﾅﾑ</v>
      </c>
      <c r="N438">
        <v>33794</v>
      </c>
      <c r="O438">
        <v>31</v>
      </c>
      <c r="P438">
        <v>1250</v>
      </c>
      <c r="Q438">
        <v>0</v>
      </c>
      <c r="R438">
        <v>1650</v>
      </c>
      <c r="S438" t="str">
        <v>9/21　1600円→1650円</v>
      </c>
      <c r="T438">
        <v>400</v>
      </c>
      <c r="U438">
        <v>0</v>
      </c>
      <c r="V438" t="str">
        <v/>
      </c>
      <c r="W438" t="str">
        <v>0</v>
      </c>
      <c r="X438" t="str">
        <v/>
      </c>
      <c r="Y438">
        <v>45197</v>
      </c>
      <c r="Z438" t="str">
        <v>残り期限90日!</v>
      </c>
      <c r="AA438" t="str">
        <v>技術・人文知識・国際業務</v>
      </c>
      <c r="AB438" t="str">
        <v>455-0832</v>
      </c>
      <c r="AC438" t="str">
        <v>愛知県名古屋市港区宝神2-1107</v>
      </c>
      <c r="AD438" t="str">
        <v>第18和興ﾏﾝｼｮﾝ北館202</v>
      </c>
      <c r="AE438">
        <v>44153</v>
      </c>
      <c r="AF438">
        <v>44154</v>
      </c>
      <c r="AG438">
        <v>44464</v>
      </c>
      <c r="AH438">
        <v>44464</v>
      </c>
      <c r="AI438">
        <v>44197</v>
      </c>
      <c r="AJ438">
        <v>0</v>
      </c>
      <c r="AK438">
        <v>0</v>
      </c>
      <c r="AL438">
        <v>0</v>
      </c>
      <c r="AM438">
        <v>0</v>
      </c>
      <c r="AN438" t="str">
        <v>1285143</v>
      </c>
      <c r="AO438">
        <v>0</v>
      </c>
      <c r="AP438">
        <v>0</v>
      </c>
    </row>
    <row r="439" spans="1:42">
      <c r="A439" t="str">
        <f>H439&amp;COUNTIF($H$2:H439,H439)</f>
        <v>084</v>
      </c>
      <c r="B439" t="str">
        <f>F439&amp;COUNTIF($F$2:F439,F439)</f>
        <v>オーツカ3</v>
      </c>
      <c r="C439" t="str">
        <v>退社</v>
      </c>
      <c r="D439">
        <v>201203</v>
      </c>
      <c r="E439">
        <v>0</v>
      </c>
      <c r="F439" t="str">
        <v>オーツカ</v>
      </c>
      <c r="G439">
        <v>0</v>
      </c>
      <c r="H439">
        <v>0</v>
      </c>
      <c r="I439">
        <v>0</v>
      </c>
      <c r="J439" t="str">
        <v>アレックス　フェルナンド</v>
      </c>
      <c r="K439" t="str">
        <v>アレックス　フェルナンド</v>
      </c>
      <c r="L439" t="str">
        <v>男</v>
      </c>
      <c r="M439" t="str">
        <v>ﾌﾞﾗｼﾞﾙ</v>
      </c>
      <c r="N439">
        <v>27276</v>
      </c>
      <c r="O439">
        <v>49</v>
      </c>
      <c r="P439">
        <v>1300</v>
      </c>
      <c r="Q439">
        <v>0</v>
      </c>
      <c r="R439">
        <v>1872</v>
      </c>
      <c r="S439" t="str">
        <v>572</v>
      </c>
      <c r="T439">
        <v>572</v>
      </c>
      <c r="U439">
        <v>0</v>
      </c>
      <c r="V439" t="str">
        <v/>
      </c>
      <c r="W439" t="str">
        <v/>
      </c>
      <c r="X439" t="str">
        <v/>
      </c>
      <c r="Y439">
        <v>45436</v>
      </c>
      <c r="Z439" t="str">
        <v/>
      </c>
      <c r="AA439" t="str">
        <v>定住者</v>
      </c>
      <c r="AB439" t="str">
        <v>503-0993</v>
      </c>
      <c r="AC439" t="str">
        <v>岐阜県大垣市荒川町303番地1</v>
      </c>
      <c r="AD439" t="str">
        <v>ﾒｿﾞﾝT&amp;T202</v>
      </c>
      <c r="AE439">
        <v>0</v>
      </c>
      <c r="AF439">
        <v>44166</v>
      </c>
      <c r="AG439">
        <v>44424</v>
      </c>
      <c r="AH439">
        <v>0</v>
      </c>
      <c r="AI439">
        <v>44228</v>
      </c>
      <c r="AJ439" t="str">
        <v>ファム　ヴァン　ヒエウ</v>
      </c>
      <c r="AK439" t="str">
        <v>ゆうちょ銀行</v>
      </c>
      <c r="AL439">
        <v>408</v>
      </c>
      <c r="AM439" t="str">
        <v>四〇八</v>
      </c>
      <c r="AN439" t="str">
        <v>3267821</v>
      </c>
      <c r="AO439">
        <v>0</v>
      </c>
      <c r="AP439">
        <v>0</v>
      </c>
    </row>
    <row r="440" spans="1:42">
      <c r="A440" t="str">
        <f>H440&amp;COUNTIF($H$2:H440,H440)</f>
        <v>旋盤ライン3</v>
      </c>
      <c r="B440" t="str">
        <f>F440&amp;COUNTIF($F$2:F440,F440)</f>
        <v>川原鉄工所3</v>
      </c>
      <c r="C440" t="str">
        <v>在職中</v>
      </c>
      <c r="D440">
        <v>201204</v>
      </c>
      <c r="E440">
        <v>0</v>
      </c>
      <c r="F440" t="str">
        <v>川原鉄工所</v>
      </c>
      <c r="G440" t="str">
        <v>製造部</v>
      </c>
      <c r="H440" t="str">
        <v>旋盤ライン</v>
      </c>
      <c r="I440" t="str">
        <v>ATミッション部品をはじめとする、各種自動車部品の製造</v>
      </c>
      <c r="J440" t="str">
        <v>VU NGOC TAN</v>
      </c>
      <c r="K440" t="str">
        <v>ヴー　ゴック　タン</v>
      </c>
      <c r="L440" t="str">
        <v>男</v>
      </c>
      <c r="M440" t="str">
        <v>ﾍﾞﾄﾅﾑ</v>
      </c>
      <c r="N440">
        <v>33003</v>
      </c>
      <c r="O440">
        <v>33</v>
      </c>
      <c r="P440">
        <v>1300</v>
      </c>
      <c r="Q440">
        <v>0.5</v>
      </c>
      <c r="R440">
        <v>1650</v>
      </c>
      <c r="S440" t="str">
        <v>9/21　1600円→1650円</v>
      </c>
      <c r="T440">
        <v>350</v>
      </c>
      <c r="U440">
        <v>300000</v>
      </c>
      <c r="V440">
        <v>15014.999999999998</v>
      </c>
      <c r="W440" t="str">
        <v>0</v>
      </c>
      <c r="X440">
        <v>27450</v>
      </c>
      <c r="Y440">
        <v>45312</v>
      </c>
      <c r="Z440" t="str">
        <v>残り期限90日!</v>
      </c>
      <c r="AA440" t="str">
        <v>技術・人文知識・国際業務</v>
      </c>
      <c r="AB440" t="str">
        <v>455-0068</v>
      </c>
      <c r="AC440" t="str">
        <v>愛知県名古屋市港区土古町2丁目23番地</v>
      </c>
      <c r="AD440" t="str">
        <v>新土古荘1棟202号</v>
      </c>
      <c r="AE440" t="str">
        <v>個人</v>
      </c>
      <c r="AF440">
        <v>44166</v>
      </c>
      <c r="AG440">
        <v>0</v>
      </c>
      <c r="AH440">
        <v>0</v>
      </c>
      <c r="AI440">
        <v>44228</v>
      </c>
      <c r="AJ440" t="str">
        <v>ヴ　ゴック　タン</v>
      </c>
      <c r="AK440" t="str">
        <v>ゆうちょ銀行</v>
      </c>
      <c r="AL440">
        <v>728</v>
      </c>
      <c r="AM440" t="str">
        <v>七二八</v>
      </c>
      <c r="AN440" t="str">
        <v>2550125</v>
      </c>
      <c r="AO440" t="str">
        <v>OK</v>
      </c>
      <c r="AP440">
        <v>0</v>
      </c>
    </row>
    <row r="441" spans="1:42">
      <c r="A441" t="str">
        <f>H441&amp;COUNTIF($H$2:H441,H441)</f>
        <v>旋盤ライン4</v>
      </c>
      <c r="B441" t="str">
        <f>F441&amp;COUNTIF($F$2:F441,F441)</f>
        <v>川原鉄工所4</v>
      </c>
      <c r="C441" t="str">
        <v>退社</v>
      </c>
      <c r="D441">
        <v>201201</v>
      </c>
      <c r="E441">
        <v>0</v>
      </c>
      <c r="F441" t="str">
        <v>川原鉄工所</v>
      </c>
      <c r="G441" t="str">
        <v>製造部</v>
      </c>
      <c r="H441" t="str">
        <v>旋盤ライン</v>
      </c>
      <c r="I441" t="str">
        <v>ATミッション部品をはじめとする、各種自動車部品の製造</v>
      </c>
      <c r="J441" t="str">
        <v>近藤　満博</v>
      </c>
      <c r="K441" t="str">
        <v>コンドウ　ミツヒロ</v>
      </c>
      <c r="L441" t="str">
        <v>男</v>
      </c>
      <c r="M441" t="str">
        <v>日本</v>
      </c>
      <c r="N441">
        <v>25491</v>
      </c>
      <c r="O441">
        <v>54</v>
      </c>
      <c r="P441">
        <v>1200</v>
      </c>
      <c r="Q441" t="str">
        <v>入社3か月後50円UP(予定)</v>
      </c>
      <c r="R441">
        <v>1650</v>
      </c>
      <c r="S441">
        <v>0</v>
      </c>
      <c r="T441">
        <v>450</v>
      </c>
      <c r="U441">
        <v>0</v>
      </c>
      <c r="V441" t="str">
        <v/>
      </c>
      <c r="W441" t="str">
        <v/>
      </c>
      <c r="X441" t="str">
        <v/>
      </c>
      <c r="Y441">
        <v>450</v>
      </c>
      <c r="Z441" t="str">
        <v>残り期限90日!</v>
      </c>
      <c r="AA441">
        <v>0</v>
      </c>
      <c r="AB441" t="str">
        <v>498-0017</v>
      </c>
      <c r="AC441" t="str">
        <v>愛知県名古屋市港区油屋3-28-3</v>
      </c>
      <c r="AD441" t="str">
        <v>ｴｽﾎﾟｱｸｲﾝｽﾞｺｰﾄ20Ｃ</v>
      </c>
      <c r="AE441">
        <v>44165</v>
      </c>
      <c r="AF441">
        <v>44166</v>
      </c>
      <c r="AG441">
        <v>44573</v>
      </c>
      <c r="AH441">
        <v>0</v>
      </c>
      <c r="AI441">
        <v>44287</v>
      </c>
      <c r="AJ441">
        <v>0</v>
      </c>
      <c r="AK441">
        <v>0</v>
      </c>
      <c r="AL441">
        <v>0</v>
      </c>
      <c r="AM441">
        <v>0</v>
      </c>
      <c r="AN441" t="str">
        <v>1285143</v>
      </c>
      <c r="AO441">
        <v>0</v>
      </c>
      <c r="AP441">
        <v>0</v>
      </c>
    </row>
    <row r="442" spans="1:42">
      <c r="A442" t="str">
        <f>H442&amp;COUNTIF($H$2:H442,H442)</f>
        <v>085</v>
      </c>
      <c r="B442" t="str">
        <f>F442&amp;COUNTIF($F$2:F442,F442)</f>
        <v>名古屋1</v>
      </c>
      <c r="C442" t="str">
        <v>退社</v>
      </c>
      <c r="D442">
        <v>5</v>
      </c>
      <c r="E442">
        <v>0</v>
      </c>
      <c r="F442" t="str">
        <v>名古屋</v>
      </c>
      <c r="G442">
        <v>0</v>
      </c>
      <c r="H442">
        <v>0</v>
      </c>
      <c r="I442">
        <v>0</v>
      </c>
      <c r="J442" t="str">
        <v>冨岡　一也</v>
      </c>
      <c r="K442" t="str">
        <v>トミオカ　カズヤ</v>
      </c>
      <c r="L442" t="str">
        <v>男</v>
      </c>
      <c r="M442" t="str">
        <v>日本</v>
      </c>
      <c r="N442">
        <v>20743</v>
      </c>
      <c r="O442">
        <v>67</v>
      </c>
      <c r="P442">
        <v>0</v>
      </c>
      <c r="Q442">
        <v>0</v>
      </c>
      <c r="R442">
        <v>0</v>
      </c>
      <c r="S442">
        <v>0</v>
      </c>
      <c r="T442">
        <v>0</v>
      </c>
      <c r="U442">
        <v>0</v>
      </c>
      <c r="V442" t="str">
        <v/>
      </c>
      <c r="W442" t="str">
        <v/>
      </c>
      <c r="X442" t="str">
        <v/>
      </c>
      <c r="Y442">
        <v>0</v>
      </c>
      <c r="Z442" t="str">
        <v/>
      </c>
      <c r="AA442">
        <v>0</v>
      </c>
      <c r="AB442" t="str">
        <v>448-0844</v>
      </c>
      <c r="AC442" t="str">
        <v>愛知県刈谷市広小路2丁目10番地ﾓｱｸﾞﾚｰｽ刈谷市駅前301号</v>
      </c>
      <c r="AD442" t="str">
        <v>44166</v>
      </c>
      <c r="AE442">
        <v>44166</v>
      </c>
      <c r="AF442">
        <v>44166</v>
      </c>
      <c r="AG442">
        <v>44377</v>
      </c>
      <c r="AH442">
        <v>0</v>
      </c>
      <c r="AI442">
        <v>0</v>
      </c>
      <c r="AJ442" t="str">
        <v>ファム　ヴァン　ヒエウ</v>
      </c>
      <c r="AK442" t="str">
        <v>ゆうちょ銀行</v>
      </c>
      <c r="AL442">
        <v>408</v>
      </c>
      <c r="AM442" t="str">
        <v>四〇八</v>
      </c>
      <c r="AN442" t="str">
        <v>3267821</v>
      </c>
      <c r="AO442">
        <v>0</v>
      </c>
      <c r="AP442">
        <v>0</v>
      </c>
    </row>
    <row r="443" spans="1:42">
      <c r="A443" t="str">
        <f>H443&amp;COUNTIF($H$2:H443,H443)</f>
        <v>086</v>
      </c>
      <c r="B443" t="str">
        <f>F443&amp;COUNTIF($F$2:F443,F443)</f>
        <v>高雄工業 海南第一31</v>
      </c>
      <c r="C443" t="str">
        <v>退社</v>
      </c>
      <c r="D443">
        <v>201205</v>
      </c>
      <c r="E443">
        <v>0</v>
      </c>
      <c r="F443" t="str">
        <v>高雄工業 海南第一</v>
      </c>
      <c r="G443">
        <v>0</v>
      </c>
      <c r="H443">
        <v>0</v>
      </c>
      <c r="I443">
        <v>0</v>
      </c>
      <c r="J443" t="str">
        <v>NGUYEN PHI THAO</v>
      </c>
      <c r="K443" t="str">
        <v>グエン　フィ　タオ</v>
      </c>
      <c r="L443" t="str">
        <v>男</v>
      </c>
      <c r="M443" t="str">
        <v>ﾍﾞﾄﾅﾑ</v>
      </c>
      <c r="N443">
        <v>34020</v>
      </c>
      <c r="O443">
        <v>30</v>
      </c>
      <c r="P443">
        <v>1250</v>
      </c>
      <c r="Q443">
        <v>0</v>
      </c>
      <c r="R443">
        <v>1600</v>
      </c>
      <c r="S443">
        <v>0</v>
      </c>
      <c r="T443">
        <v>350</v>
      </c>
      <c r="U443">
        <v>0</v>
      </c>
      <c r="V443" t="str">
        <v/>
      </c>
      <c r="W443" t="str">
        <v>0</v>
      </c>
      <c r="X443" t="str">
        <v/>
      </c>
      <c r="Y443">
        <v>44734</v>
      </c>
      <c r="Z443" t="str">
        <v>残り期限90日!</v>
      </c>
      <c r="AA443" t="str">
        <v>技術・人文知識・国際業務</v>
      </c>
      <c r="AB443" t="str">
        <v>498-0021</v>
      </c>
      <c r="AC443" t="str">
        <v>愛知県弥富市鯏浦町浦六1-1</v>
      </c>
      <c r="AD443" t="str">
        <v>ｸﾞﾘｰﾝﾊｲﾂA棟201</v>
      </c>
      <c r="AE443">
        <v>44166</v>
      </c>
      <c r="AF443">
        <v>44167</v>
      </c>
      <c r="AG443">
        <v>44463</v>
      </c>
      <c r="AH443">
        <v>44464</v>
      </c>
      <c r="AI443">
        <v>44197</v>
      </c>
      <c r="AJ443" t="str">
        <v>ファム　デイン　トウン</v>
      </c>
      <c r="AK443" t="str">
        <v>ゆうちょ銀行</v>
      </c>
      <c r="AL443">
        <v>98</v>
      </c>
      <c r="AM443" t="str">
        <v>〇九八</v>
      </c>
      <c r="AN443" t="str">
        <v>1285143</v>
      </c>
      <c r="AO443">
        <v>0</v>
      </c>
      <c r="AP443">
        <v>0</v>
      </c>
    </row>
    <row r="444" spans="1:42">
      <c r="A444" t="str">
        <f>H444&amp;COUNTIF($H$2:H444,H444)</f>
        <v>旋盤ライン5</v>
      </c>
      <c r="B444" t="str">
        <f>F444&amp;COUNTIF($F$2:F444,F444)</f>
        <v>川原鉄工所5</v>
      </c>
      <c r="C444" t="str">
        <v>退社</v>
      </c>
      <c r="D444">
        <v>201209</v>
      </c>
      <c r="E444">
        <v>0</v>
      </c>
      <c r="F444" t="str">
        <v>川原鉄工所</v>
      </c>
      <c r="G444" t="str">
        <v>製造部</v>
      </c>
      <c r="H444" t="str">
        <v>旋盤ライン</v>
      </c>
      <c r="I444" t="str">
        <v>ATミッション部品をはじめとする、各種自動車部品の製造</v>
      </c>
      <c r="J444" t="str">
        <v>HOANG VAN TUC</v>
      </c>
      <c r="K444" t="str">
        <v>ホアン ヴァン トック</v>
      </c>
      <c r="L444" t="str">
        <v>男</v>
      </c>
      <c r="M444" t="str">
        <v>ﾍﾞﾄﾅﾑ</v>
      </c>
      <c r="N444">
        <v>34529</v>
      </c>
      <c r="O444">
        <v>29</v>
      </c>
      <c r="P444">
        <v>1200</v>
      </c>
      <c r="Q444">
        <v>0</v>
      </c>
      <c r="R444">
        <v>1600</v>
      </c>
      <c r="S444" t="str">
        <v>400</v>
      </c>
      <c r="T444">
        <v>400</v>
      </c>
      <c r="U444">
        <v>0</v>
      </c>
      <c r="V444" t="str">
        <v/>
      </c>
      <c r="W444" t="str">
        <v>0</v>
      </c>
      <c r="X444" t="str">
        <v/>
      </c>
      <c r="Y444">
        <v>44518</v>
      </c>
      <c r="Z444" t="str">
        <v>残り期限90日!</v>
      </c>
      <c r="AA444" t="str">
        <v>技術・人文知識・国際業務</v>
      </c>
      <c r="AB444">
        <v>0</v>
      </c>
      <c r="AC444" t="str">
        <v>愛知県名古屋市港区大手町2丁目31</v>
      </c>
      <c r="AD444" t="str">
        <v>ﾀﾞｲｺｰﾏﾝｼｮﾝ302</v>
      </c>
      <c r="AE444">
        <v>44175</v>
      </c>
      <c r="AF444">
        <v>44175</v>
      </c>
      <c r="AG444">
        <v>44187</v>
      </c>
      <c r="AH444">
        <v>44219</v>
      </c>
      <c r="AI444">
        <v>0</v>
      </c>
      <c r="AJ444">
        <v>0</v>
      </c>
      <c r="AK444">
        <v>0</v>
      </c>
      <c r="AL444">
        <v>0</v>
      </c>
      <c r="AM444">
        <v>0</v>
      </c>
      <c r="AN444" t="str">
        <v>3267821</v>
      </c>
      <c r="AO444">
        <v>0</v>
      </c>
      <c r="AP444">
        <v>0</v>
      </c>
    </row>
    <row r="445" spans="1:42">
      <c r="A445" t="str">
        <f>H445&amp;COUNTIF($H$2:H445,H445)</f>
        <v>087</v>
      </c>
      <c r="B445" t="str">
        <f>F445&amp;COUNTIF($F$2:F445,F445)</f>
        <v>高雄工業 本社31</v>
      </c>
      <c r="C445" t="str">
        <v>退社</v>
      </c>
      <c r="D445">
        <v>201210</v>
      </c>
      <c r="E445">
        <v>0</v>
      </c>
      <c r="F445" t="str">
        <v>高雄工業 本社</v>
      </c>
      <c r="G445">
        <v>0</v>
      </c>
      <c r="H445">
        <v>0</v>
      </c>
      <c r="I445">
        <v>0</v>
      </c>
      <c r="J445" t="str">
        <v>鈴木 マルシオ</v>
      </c>
      <c r="K445" t="str">
        <v>スズキ　マルシオ</v>
      </c>
      <c r="L445" t="str">
        <v>男</v>
      </c>
      <c r="M445" t="str">
        <v>ﾌﾞﾗｼﾞﾙ</v>
      </c>
      <c r="N445">
        <v>25114</v>
      </c>
      <c r="O445">
        <v>55</v>
      </c>
      <c r="P445">
        <v>1200</v>
      </c>
      <c r="Q445">
        <v>0</v>
      </c>
      <c r="R445">
        <v>1650</v>
      </c>
      <c r="S445" t="str">
        <v>450</v>
      </c>
      <c r="T445">
        <v>450</v>
      </c>
      <c r="U445">
        <v>0</v>
      </c>
      <c r="V445" t="str">
        <v/>
      </c>
      <c r="W445" t="str">
        <v/>
      </c>
      <c r="X445" t="str">
        <v/>
      </c>
      <c r="Y445">
        <v>45322</v>
      </c>
      <c r="Z445" t="str">
        <v>残り期限90日!</v>
      </c>
      <c r="AA445" t="str">
        <v>永住者</v>
      </c>
      <c r="AB445">
        <v>0</v>
      </c>
      <c r="AC445" t="str">
        <v>愛知県名古屋市港区九番町1-1-1</v>
      </c>
      <c r="AD445" t="str">
        <v>九番団地1棟611</v>
      </c>
      <c r="AE445">
        <v>0</v>
      </c>
      <c r="AF445">
        <v>44179</v>
      </c>
      <c r="AG445">
        <v>44180</v>
      </c>
      <c r="AH445">
        <v>0</v>
      </c>
      <c r="AI445" t="str">
        <v>12/14予定</v>
      </c>
      <c r="AJ445" t="str">
        <v>ファム　デイン　トウン</v>
      </c>
      <c r="AK445" t="str">
        <v>ゆうちょ銀行</v>
      </c>
      <c r="AL445">
        <v>98</v>
      </c>
      <c r="AM445" t="str">
        <v>〇九八</v>
      </c>
      <c r="AN445" t="str">
        <v>1285143</v>
      </c>
      <c r="AO445">
        <v>0</v>
      </c>
      <c r="AP445">
        <v>0</v>
      </c>
    </row>
    <row r="446" spans="1:42">
      <c r="A446" t="str">
        <f>H446&amp;COUNTIF($H$2:H446,H446)</f>
        <v>088</v>
      </c>
      <c r="B446" t="str">
        <f>F446&amp;COUNTIF($F$2:F446,F446)</f>
        <v>高雄工業 海南第一32</v>
      </c>
      <c r="C446" t="str">
        <v>退社</v>
      </c>
      <c r="D446">
        <v>201206</v>
      </c>
      <c r="E446">
        <v>0</v>
      </c>
      <c r="F446" t="str">
        <v>高雄工業 海南第一</v>
      </c>
      <c r="G446">
        <v>0</v>
      </c>
      <c r="H446">
        <v>0</v>
      </c>
      <c r="I446">
        <v>0</v>
      </c>
      <c r="J446" t="str">
        <v>DINH TAN LEN</v>
      </c>
      <c r="K446" t="str">
        <v>ディン　タン　レン</v>
      </c>
      <c r="L446" t="str">
        <v>男</v>
      </c>
      <c r="M446" t="str">
        <v>ﾍﾞﾄﾅﾑ</v>
      </c>
      <c r="N446">
        <v>34801</v>
      </c>
      <c r="O446">
        <v>28</v>
      </c>
      <c r="P446">
        <v>1250</v>
      </c>
      <c r="Q446">
        <v>0</v>
      </c>
      <c r="R446">
        <v>1600</v>
      </c>
      <c r="S446">
        <v>0</v>
      </c>
      <c r="T446">
        <v>350</v>
      </c>
      <c r="U446">
        <v>0</v>
      </c>
      <c r="V446" t="str">
        <v/>
      </c>
      <c r="W446" t="str">
        <v>0</v>
      </c>
      <c r="X446" t="str">
        <v/>
      </c>
      <c r="Y446">
        <v>45162</v>
      </c>
      <c r="Z446" t="str">
        <v>残り期限90日!</v>
      </c>
      <c r="AA446" t="str">
        <v>技術・人文知識・国際業務</v>
      </c>
      <c r="AB446" t="str">
        <v>498-0021</v>
      </c>
      <c r="AC446" t="str">
        <v>愛知県弥富市鯏浦町浦六1-1</v>
      </c>
      <c r="AD446" t="str">
        <v>ｸﾞﾘｰﾝﾊｲﾂA棟201</v>
      </c>
      <c r="AE446">
        <v>44186</v>
      </c>
      <c r="AF446">
        <v>44187</v>
      </c>
      <c r="AG446">
        <v>44456</v>
      </c>
      <c r="AH446">
        <v>44456</v>
      </c>
      <c r="AI446">
        <v>44228</v>
      </c>
      <c r="AJ446" t="str">
        <v>ファム　ヴァン　ヒエウ</v>
      </c>
      <c r="AK446" t="str">
        <v>ゆうちょ銀行</v>
      </c>
      <c r="AL446">
        <v>408</v>
      </c>
      <c r="AM446" t="str">
        <v>四〇八</v>
      </c>
      <c r="AN446" t="str">
        <v>3267821</v>
      </c>
      <c r="AO446">
        <v>0</v>
      </c>
      <c r="AP446">
        <v>0</v>
      </c>
    </row>
    <row r="447" spans="1:42">
      <c r="A447" t="str">
        <f>H447&amp;COUNTIF($H$2:H447,H447)</f>
        <v>089</v>
      </c>
      <c r="B447" t="str">
        <f>F447&amp;COUNTIF($F$2:F447,F447)</f>
        <v>高雄工業 岡山109</v>
      </c>
      <c r="C447" t="str">
        <v>退社</v>
      </c>
      <c r="D447">
        <v>210103</v>
      </c>
      <c r="E447">
        <v>0</v>
      </c>
      <c r="F447" t="str">
        <v>高雄工業 岡山</v>
      </c>
      <c r="G447">
        <v>0</v>
      </c>
      <c r="H447">
        <v>0</v>
      </c>
      <c r="I447">
        <v>0</v>
      </c>
      <c r="J447" t="str">
        <v>TRAN XUAN THE</v>
      </c>
      <c r="K447" t="str">
        <v>ツアン　ヅアン　テェ</v>
      </c>
      <c r="L447" t="str">
        <v>男</v>
      </c>
      <c r="M447" t="str">
        <v>ﾍﾞﾄﾅﾑ</v>
      </c>
      <c r="N447">
        <v>33850</v>
      </c>
      <c r="O447">
        <v>31</v>
      </c>
      <c r="P447">
        <v>1250</v>
      </c>
      <c r="Q447">
        <v>0</v>
      </c>
      <c r="R447">
        <v>1750</v>
      </c>
      <c r="S447">
        <v>0</v>
      </c>
      <c r="T447">
        <v>500</v>
      </c>
      <c r="U447">
        <v>0</v>
      </c>
      <c r="V447" t="str">
        <v/>
      </c>
      <c r="W447" t="str">
        <v>0</v>
      </c>
      <c r="X447" t="str">
        <v/>
      </c>
      <c r="Y447">
        <v>45178</v>
      </c>
      <c r="Z447" t="str">
        <v>残り期限90日!</v>
      </c>
      <c r="AA447" t="str">
        <v>技術・人文知識・国際業務</v>
      </c>
      <c r="AB447" t="str">
        <v>709-2107</v>
      </c>
      <c r="AC447" t="str">
        <v>岡山県岡山市北区御津矢原312-2</v>
      </c>
      <c r="AD447" t="str">
        <v>中須賀ｺｰﾎﾟⅠ-102</v>
      </c>
      <c r="AE447">
        <v>44443</v>
      </c>
      <c r="AF447">
        <v>44201</v>
      </c>
      <c r="AG447">
        <v>44499</v>
      </c>
      <c r="AH447">
        <v>0</v>
      </c>
      <c r="AI447">
        <v>44256</v>
      </c>
      <c r="AJ447" t="str">
        <v>ファム　ヴァン　ヒエウ</v>
      </c>
      <c r="AK447" t="str">
        <v>ゆうちょ銀行</v>
      </c>
      <c r="AL447">
        <v>408</v>
      </c>
      <c r="AM447" t="str">
        <v>四〇八</v>
      </c>
      <c r="AN447" t="str">
        <v>3267821</v>
      </c>
      <c r="AO447">
        <v>0</v>
      </c>
      <c r="AP447">
        <v>0</v>
      </c>
    </row>
    <row r="448" spans="1:42">
      <c r="A448" t="str">
        <f>H448&amp;COUNTIF($H$2:H448,H448)</f>
        <v>090</v>
      </c>
      <c r="B448" t="str">
        <f>F448&amp;COUNTIF($F$2:F448,F448)</f>
        <v>高雄工業 海南第一33</v>
      </c>
      <c r="C448" t="str">
        <v>退社</v>
      </c>
      <c r="D448">
        <v>210104</v>
      </c>
      <c r="E448">
        <v>0</v>
      </c>
      <c r="F448" t="str">
        <v>高雄工業 海南第一</v>
      </c>
      <c r="G448">
        <v>0</v>
      </c>
      <c r="H448">
        <v>0</v>
      </c>
      <c r="I448">
        <v>0</v>
      </c>
      <c r="J448" t="str">
        <v>米須　ジョン</v>
      </c>
      <c r="K448" t="str">
        <v>コメス　ジョン</v>
      </c>
      <c r="L448" t="str">
        <v>男</v>
      </c>
      <c r="M448" t="str">
        <v>ﾌﾞﾗｼﾞﾙ</v>
      </c>
      <c r="N448">
        <v>23635</v>
      </c>
      <c r="O448">
        <v>59</v>
      </c>
      <c r="P448">
        <v>1300</v>
      </c>
      <c r="Q448" t="str">
        <v>3か月後継続なら時給見直</v>
      </c>
      <c r="R448">
        <v>1650</v>
      </c>
      <c r="S448">
        <v>0</v>
      </c>
      <c r="T448">
        <v>350</v>
      </c>
      <c r="U448">
        <v>0</v>
      </c>
      <c r="V448" t="str">
        <v/>
      </c>
      <c r="W448" t="str">
        <v/>
      </c>
      <c r="X448" t="str">
        <v/>
      </c>
      <c r="Y448">
        <v>45873</v>
      </c>
      <c r="Z448" t="str">
        <v/>
      </c>
      <c r="AA448" t="str">
        <v>日本人の配偶者</v>
      </c>
      <c r="AB448" t="str">
        <v>498-0031</v>
      </c>
      <c r="AC448" t="str">
        <v>愛知県弥富市平島町中新田194-1</v>
      </c>
      <c r="AD448" t="str">
        <v>ｺﾝﾂｪﾙﾊｳｽⅡD棟202号</v>
      </c>
      <c r="AE448">
        <v>44194</v>
      </c>
      <c r="AF448">
        <v>44201</v>
      </c>
      <c r="AG448">
        <v>44274</v>
      </c>
      <c r="AH448">
        <v>44276</v>
      </c>
      <c r="AI448">
        <v>44287</v>
      </c>
      <c r="AJ448" t="str">
        <v>ファム　デイン　トウン</v>
      </c>
      <c r="AK448" t="str">
        <v>ゆうちょ銀行</v>
      </c>
      <c r="AL448">
        <v>98</v>
      </c>
      <c r="AM448" t="str">
        <v>〇九八</v>
      </c>
      <c r="AN448" t="str">
        <v>1285143</v>
      </c>
      <c r="AO448">
        <v>0</v>
      </c>
      <c r="AP448">
        <v>0</v>
      </c>
    </row>
    <row r="449" spans="1:42">
      <c r="A449" t="str">
        <f>H449&amp;COUNTIF($H$2:H449,H449)</f>
        <v>091</v>
      </c>
      <c r="B449" t="str">
        <f>F449&amp;COUNTIF($F$2:F449,F449)</f>
        <v>高雄工業 本社32</v>
      </c>
      <c r="C449" t="str">
        <v>退社</v>
      </c>
      <c r="D449">
        <v>210101</v>
      </c>
      <c r="E449">
        <v>0</v>
      </c>
      <c r="F449" t="str">
        <v>高雄工業 本社</v>
      </c>
      <c r="G449">
        <v>0</v>
      </c>
      <c r="H449">
        <v>0</v>
      </c>
      <c r="I449">
        <v>0</v>
      </c>
      <c r="J449" t="str">
        <v>DAO HOANG ANH</v>
      </c>
      <c r="K449" t="str">
        <v>ダオ　ホアン　アン</v>
      </c>
      <c r="L449" t="str">
        <v>男</v>
      </c>
      <c r="M449" t="str">
        <v>ﾍﾞﾄﾅﾑ</v>
      </c>
      <c r="N449">
        <v>34673</v>
      </c>
      <c r="O449">
        <v>29</v>
      </c>
      <c r="P449">
        <v>1300</v>
      </c>
      <c r="Q449">
        <v>0</v>
      </c>
      <c r="R449">
        <v>1600</v>
      </c>
      <c r="S449">
        <v>0</v>
      </c>
      <c r="T449">
        <v>300</v>
      </c>
      <c r="U449">
        <v>0</v>
      </c>
      <c r="V449" t="str">
        <v/>
      </c>
      <c r="W449" t="str">
        <v>0</v>
      </c>
      <c r="X449" t="str">
        <v/>
      </c>
      <c r="Y449">
        <v>45157</v>
      </c>
      <c r="Z449" t="str">
        <v>残り期限90日!</v>
      </c>
      <c r="AA449" t="str">
        <v>技術・人文知識・国際業務</v>
      </c>
      <c r="AB449" t="str">
        <v>498-0031</v>
      </c>
      <c r="AC449" t="str">
        <v>愛知県弥富市平島町北広畑10-1</v>
      </c>
      <c r="AD449" t="str">
        <v>ﾚﾌﾞﾗﾝｶﾐｰﾘｱA棟201</v>
      </c>
      <c r="AE449">
        <v>44193</v>
      </c>
      <c r="AF449">
        <v>44201</v>
      </c>
      <c r="AG449">
        <v>44415</v>
      </c>
      <c r="AH449">
        <v>0</v>
      </c>
      <c r="AI449">
        <v>44256</v>
      </c>
      <c r="AJ449" t="str">
        <v>ファム　デイン　トウン</v>
      </c>
      <c r="AK449" t="str">
        <v>ゆうちょ銀行</v>
      </c>
      <c r="AL449">
        <v>98</v>
      </c>
      <c r="AM449" t="str">
        <v>〇九八</v>
      </c>
      <c r="AN449" t="str">
        <v>1285143</v>
      </c>
      <c r="AO449">
        <v>0</v>
      </c>
      <c r="AP449">
        <v>0</v>
      </c>
    </row>
    <row r="450" spans="1:42">
      <c r="A450" t="str">
        <f>H450&amp;COUNTIF($H$2:H450,H450)</f>
        <v>旋盤ライン6</v>
      </c>
      <c r="B450" t="str">
        <f>F450&amp;COUNTIF($F$2:F450,F450)</f>
        <v>川原鉄工所6</v>
      </c>
      <c r="C450" t="str">
        <v>退社</v>
      </c>
      <c r="D450">
        <v>210105</v>
      </c>
      <c r="E450">
        <v>0</v>
      </c>
      <c r="F450" t="str">
        <v>川原鉄工所</v>
      </c>
      <c r="G450" t="str">
        <v>製造部</v>
      </c>
      <c r="H450" t="str">
        <v>旋盤ライン</v>
      </c>
      <c r="I450" t="str">
        <v>ATミッション部品をはじめとする、各種自動車部品の製造</v>
      </c>
      <c r="J450" t="str">
        <v>PHAM CONG HA</v>
      </c>
      <c r="K450" t="str">
        <v>ファム　コン　ハー</v>
      </c>
      <c r="L450" t="str">
        <v>男</v>
      </c>
      <c r="M450" t="str">
        <v>ﾍﾞﾄﾅﾑ</v>
      </c>
      <c r="N450">
        <v>35053</v>
      </c>
      <c r="O450">
        <v>27</v>
      </c>
      <c r="P450">
        <v>1250</v>
      </c>
      <c r="Q450">
        <v>0</v>
      </c>
      <c r="R450">
        <v>1600</v>
      </c>
      <c r="S450">
        <v>0</v>
      </c>
      <c r="T450">
        <v>350</v>
      </c>
      <c r="U450">
        <v>0</v>
      </c>
      <c r="V450" t="str">
        <v/>
      </c>
      <c r="W450" t="str">
        <v>0</v>
      </c>
      <c r="X450" t="str">
        <v/>
      </c>
      <c r="Y450">
        <v>44990</v>
      </c>
      <c r="Z450" t="str">
        <v>残り期限90日!</v>
      </c>
      <c r="AA450" t="str">
        <v>技術・人文知識・国際業務</v>
      </c>
      <c r="AB450" t="str">
        <v>455-0046</v>
      </c>
      <c r="AC450" t="str">
        <v>愛知県名古屋市港区大手町2丁目31</v>
      </c>
      <c r="AD450" t="str">
        <v>ﾀﾞｲｺｰﾏﾝｼｮﾝ302</v>
      </c>
      <c r="AE450">
        <v>44201</v>
      </c>
      <c r="AF450">
        <v>44202</v>
      </c>
      <c r="AG450">
        <v>44309</v>
      </c>
      <c r="AH450">
        <v>0</v>
      </c>
      <c r="AI450">
        <v>44256</v>
      </c>
      <c r="AJ450">
        <v>0</v>
      </c>
      <c r="AK450">
        <v>0</v>
      </c>
      <c r="AL450">
        <v>0</v>
      </c>
      <c r="AM450">
        <v>0</v>
      </c>
      <c r="AN450" t="str">
        <v>3267821</v>
      </c>
      <c r="AO450">
        <v>0</v>
      </c>
      <c r="AP450">
        <v>0</v>
      </c>
    </row>
    <row r="451" spans="1:42">
      <c r="A451" t="str">
        <f>H451&amp;COUNTIF($H$2:H451,H451)</f>
        <v>092</v>
      </c>
      <c r="B451" t="str">
        <f>F451&amp;COUNTIF($F$2:F451,F451)</f>
        <v>高雄工業 静岡77</v>
      </c>
      <c r="C451" t="str">
        <v>退社</v>
      </c>
      <c r="D451">
        <v>210111</v>
      </c>
      <c r="E451">
        <v>0</v>
      </c>
      <c r="F451" t="str">
        <v>高雄工業 静岡</v>
      </c>
      <c r="G451">
        <v>0</v>
      </c>
      <c r="H451">
        <v>0</v>
      </c>
      <c r="I451">
        <v>0</v>
      </c>
      <c r="J451" t="str">
        <v>LUU THANH DAT</v>
      </c>
      <c r="K451" t="str">
        <v>リュ　タン　ダット</v>
      </c>
      <c r="L451" t="str">
        <v>男</v>
      </c>
      <c r="M451" t="str">
        <v>ﾍﾞﾄﾅﾑ</v>
      </c>
      <c r="N451">
        <v>35358</v>
      </c>
      <c r="O451">
        <v>27</v>
      </c>
      <c r="P451">
        <v>1200</v>
      </c>
      <c r="Q451">
        <v>0</v>
      </c>
      <c r="R451">
        <v>1600</v>
      </c>
      <c r="S451">
        <v>0</v>
      </c>
      <c r="T451">
        <v>400</v>
      </c>
      <c r="U451">
        <v>0</v>
      </c>
      <c r="V451" t="str">
        <v/>
      </c>
      <c r="W451" t="str">
        <v>0</v>
      </c>
      <c r="X451" t="str">
        <v/>
      </c>
      <c r="Y451">
        <v>45267</v>
      </c>
      <c r="Z451" t="str">
        <v>残り期限90日!</v>
      </c>
      <c r="AA451" t="str">
        <v>技術・人文知識・国際業務</v>
      </c>
      <c r="AB451" t="str">
        <v>437-0016</v>
      </c>
      <c r="AC451" t="str">
        <v>静岡県袋井市葵町2丁目5番地1</v>
      </c>
      <c r="AD451" t="str">
        <v>ｼｬﾝﾄﾞﾌﾙｰﾙ103</v>
      </c>
      <c r="AE451">
        <v>44202</v>
      </c>
      <c r="AF451">
        <v>44207</v>
      </c>
      <c r="AG451">
        <v>44295</v>
      </c>
      <c r="AH451">
        <v>44296</v>
      </c>
      <c r="AI451">
        <v>44256</v>
      </c>
      <c r="AJ451" t="str">
        <v>ファム　デイン　トウン</v>
      </c>
      <c r="AK451" t="str">
        <v>ゆうちょ銀行</v>
      </c>
      <c r="AL451">
        <v>98</v>
      </c>
      <c r="AM451" t="str">
        <v>〇九八</v>
      </c>
      <c r="AN451" t="str">
        <v>1285143</v>
      </c>
      <c r="AO451">
        <v>0</v>
      </c>
      <c r="AP451">
        <v>0</v>
      </c>
    </row>
    <row r="452" spans="1:42">
      <c r="A452" t="str">
        <f>H452&amp;COUNTIF($H$2:H452,H452)</f>
        <v>093</v>
      </c>
      <c r="B452" t="str">
        <f>F452&amp;COUNTIF($F$2:F452,F452)</f>
        <v>高雄工業 静岡78</v>
      </c>
      <c r="C452" t="str">
        <v>退社</v>
      </c>
      <c r="D452">
        <v>210115</v>
      </c>
      <c r="E452">
        <v>0</v>
      </c>
      <c r="F452" t="str">
        <v>高雄工業 静岡</v>
      </c>
      <c r="G452">
        <v>0</v>
      </c>
      <c r="H452">
        <v>0</v>
      </c>
      <c r="I452">
        <v>0</v>
      </c>
      <c r="J452" t="str">
        <v>武藤　ジュニオル　カズミ</v>
      </c>
      <c r="K452" t="str">
        <v>ムトウ　ジュニオル　カズミ</v>
      </c>
      <c r="L452" t="str">
        <v>男</v>
      </c>
      <c r="M452" t="str">
        <v>ﾌﾞﾗｼﾞﾙ</v>
      </c>
      <c r="N452">
        <v>22373</v>
      </c>
      <c r="O452">
        <v>62</v>
      </c>
      <c r="P452">
        <v>1250</v>
      </c>
      <c r="Q452">
        <v>0</v>
      </c>
      <c r="R452">
        <v>1650</v>
      </c>
      <c r="S452" t="str">
        <v>400</v>
      </c>
      <c r="T452">
        <v>400</v>
      </c>
      <c r="U452">
        <v>0</v>
      </c>
      <c r="V452" t="str">
        <v/>
      </c>
      <c r="W452" t="str">
        <v/>
      </c>
      <c r="X452" t="str">
        <v/>
      </c>
      <c r="Y452">
        <v>45277</v>
      </c>
      <c r="Z452" t="str">
        <v>残り期限90日!</v>
      </c>
      <c r="AA452" t="str">
        <v>日本人の配偶者</v>
      </c>
      <c r="AB452" t="str">
        <v>437-0066</v>
      </c>
      <c r="AC452" t="str">
        <v>静岡県袋井市山科3388-1</v>
      </c>
      <c r="AD452" t="str">
        <v>鶴松203</v>
      </c>
      <c r="AE452">
        <v>44204</v>
      </c>
      <c r="AF452">
        <v>44207</v>
      </c>
      <c r="AG452">
        <v>44252</v>
      </c>
      <c r="AH452">
        <v>44254</v>
      </c>
      <c r="AI452">
        <v>44207</v>
      </c>
      <c r="AJ452" t="str">
        <v>ファム　ヴァン　ヒエウ</v>
      </c>
      <c r="AK452" t="str">
        <v>ゆうちょ銀行</v>
      </c>
      <c r="AL452">
        <v>408</v>
      </c>
      <c r="AM452" t="str">
        <v>四〇八</v>
      </c>
      <c r="AN452" t="str">
        <v>3267821</v>
      </c>
      <c r="AO452">
        <v>0</v>
      </c>
      <c r="AP452">
        <v>0</v>
      </c>
    </row>
    <row r="453" spans="1:42">
      <c r="A453" t="str">
        <f>H453&amp;COUNTIF($H$2:H453,H453)</f>
        <v>旋盤ライン7</v>
      </c>
      <c r="B453" t="str">
        <f>F453&amp;COUNTIF($F$2:F453,F453)</f>
        <v>川原鉄工所7</v>
      </c>
      <c r="C453" t="str">
        <v>在職中</v>
      </c>
      <c r="D453">
        <v>210116</v>
      </c>
      <c r="E453">
        <v>0</v>
      </c>
      <c r="F453" t="str">
        <v>川原鉄工所</v>
      </c>
      <c r="G453" t="str">
        <v>製造部</v>
      </c>
      <c r="H453" t="str">
        <v>旋盤ライン</v>
      </c>
      <c r="I453" t="str">
        <v>ATミッション部品をはじめとする、各種自動車部品の製造</v>
      </c>
      <c r="J453" t="str">
        <v>平野　チョウシロウ</v>
      </c>
      <c r="K453" t="str">
        <v>ヒラノ　チョウシロウ</v>
      </c>
      <c r="L453" t="str">
        <v>男</v>
      </c>
      <c r="M453" t="str">
        <v>ﾌﾞﾗｼﾞﾙ</v>
      </c>
      <c r="N453">
        <v>16690</v>
      </c>
      <c r="O453">
        <v>78</v>
      </c>
      <c r="P453">
        <v>1250</v>
      </c>
      <c r="Q453">
        <v>0</v>
      </c>
      <c r="R453">
        <v>1650</v>
      </c>
      <c r="S453">
        <v>0</v>
      </c>
      <c r="T453">
        <v>400</v>
      </c>
      <c r="U453">
        <v>0</v>
      </c>
      <c r="V453" t="str">
        <v/>
      </c>
      <c r="W453" t="str">
        <v/>
      </c>
      <c r="X453" t="str">
        <v>0</v>
      </c>
      <c r="Y453">
        <v>46869</v>
      </c>
      <c r="Z453" t="str">
        <v/>
      </c>
      <c r="AA453" t="str">
        <v>永住者</v>
      </c>
      <c r="AB453" t="str">
        <v>455-0078</v>
      </c>
      <c r="AC453" t="str">
        <v>愛知県名古屋市港区丸池町1-1-1</v>
      </c>
      <c r="AD453" t="str">
        <v>丸池荘2棟1111号</v>
      </c>
      <c r="AE453" t="str">
        <v>個人</v>
      </c>
      <c r="AF453">
        <v>44214</v>
      </c>
      <c r="AG453">
        <v>0</v>
      </c>
      <c r="AH453">
        <v>0</v>
      </c>
      <c r="AI453" t="str">
        <v>不要</v>
      </c>
      <c r="AJ453" t="str">
        <v>HIRANO　CHOHOSHIRO</v>
      </c>
      <c r="AK453" t="str">
        <v>三菱ＵＦＪ銀行</v>
      </c>
      <c r="AL453">
        <v>288</v>
      </c>
      <c r="AM453">
        <v>0</v>
      </c>
      <c r="AN453" t="str">
        <v>3671586</v>
      </c>
      <c r="AO453" t="str">
        <v>OK</v>
      </c>
      <c r="AP453">
        <v>0</v>
      </c>
    </row>
    <row r="454" spans="1:42">
      <c r="A454" t="str">
        <f>H454&amp;COUNTIF($H$2:H454,H454)</f>
        <v>094</v>
      </c>
      <c r="B454" t="str">
        <f>F454&amp;COUNTIF($F$2:F454,F454)</f>
        <v>PATEC1</v>
      </c>
      <c r="C454" t="str">
        <v>在職中</v>
      </c>
      <c r="D454">
        <v>210119</v>
      </c>
      <c r="E454">
        <v>0</v>
      </c>
      <c r="F454" t="str">
        <v>PATEC</v>
      </c>
      <c r="G454" t="str">
        <v>製造部機械加工課</v>
      </c>
      <c r="H454">
        <v>0</v>
      </c>
      <c r="I454">
        <v>0</v>
      </c>
      <c r="J454" t="str">
        <v>KIEU TRUNG HIEU</v>
      </c>
      <c r="K454" t="str">
        <v>キエウ　チュン　ヒエウ</v>
      </c>
      <c r="L454" t="str">
        <v>男</v>
      </c>
      <c r="M454" t="str">
        <v>ﾍﾞﾄﾅﾑ</v>
      </c>
      <c r="N454">
        <v>30753</v>
      </c>
      <c r="O454">
        <v>39</v>
      </c>
      <c r="P454">
        <v>1500</v>
      </c>
      <c r="Q454" t="str">
        <v>3/21～　\1400⇒\1500</v>
      </c>
      <c r="R454">
        <v>2000</v>
      </c>
      <c r="S454" t="str">
        <v>9/16~ 1600円→1750円</v>
      </c>
      <c r="T454">
        <v>500</v>
      </c>
      <c r="U454">
        <v>320000</v>
      </c>
      <c r="V454">
        <v>16015.999999999998</v>
      </c>
      <c r="W454" t="str">
        <v>0</v>
      </c>
      <c r="X454">
        <v>29280</v>
      </c>
      <c r="Y454">
        <v>46056</v>
      </c>
      <c r="Z454" t="str">
        <v/>
      </c>
      <c r="AA454" t="str">
        <v>技術・人文知識・国際業務</v>
      </c>
      <c r="AB454" t="str">
        <v>747-0834</v>
      </c>
      <c r="AC454" t="str">
        <v>山口県防府市大字田島531-1</v>
      </c>
      <c r="AD454" t="str">
        <v>ﾛｼﾞｭﾏﾝ千希A202号</v>
      </c>
      <c r="AE454">
        <v>44212</v>
      </c>
      <c r="AF454">
        <v>44221</v>
      </c>
      <c r="AG454">
        <v>0</v>
      </c>
      <c r="AH454">
        <v>0</v>
      </c>
      <c r="AI454">
        <v>44228</v>
      </c>
      <c r="AJ454" t="str">
        <v>キュウ　チュン　ヒエウ</v>
      </c>
      <c r="AK454" t="str">
        <v>ゆうちょ銀行</v>
      </c>
      <c r="AL454">
        <v>548</v>
      </c>
      <c r="AM454" t="str">
        <v>五四八</v>
      </c>
      <c r="AN454" t="str">
        <v>37263421</v>
      </c>
      <c r="AO454" t="str">
        <v>OK</v>
      </c>
      <c r="AP454" t="str">
        <v>2021/1/25~2021/10/22高雄工業岡山所属　2021/10/25～PATECへ異動</v>
      </c>
    </row>
    <row r="455" spans="1:42">
      <c r="A455" t="str">
        <f>H455&amp;COUNTIF($H$2:H455,H455)</f>
        <v>095</v>
      </c>
      <c r="B455" t="str">
        <f>F455&amp;COUNTIF($F$2:F455,F455)</f>
        <v>オーツカ4</v>
      </c>
      <c r="C455" t="str">
        <v>退社</v>
      </c>
      <c r="D455">
        <v>210204</v>
      </c>
      <c r="E455">
        <v>0</v>
      </c>
      <c r="F455" t="str">
        <v>オーツカ</v>
      </c>
      <c r="G455">
        <v>0</v>
      </c>
      <c r="H455">
        <v>0</v>
      </c>
      <c r="I455">
        <v>0</v>
      </c>
      <c r="J455" t="str">
        <v>近藤　ヨシオ</v>
      </c>
      <c r="K455" t="str">
        <v>コンドウ　ヨシオ</v>
      </c>
      <c r="L455" t="str">
        <v>男</v>
      </c>
      <c r="M455" t="str">
        <v>ﾌﾞﾗｼﾞﾙ</v>
      </c>
      <c r="N455">
        <v>23316</v>
      </c>
      <c r="O455">
        <v>60</v>
      </c>
      <c r="P455">
        <v>1300</v>
      </c>
      <c r="Q455">
        <v>0</v>
      </c>
      <c r="R455">
        <v>1872</v>
      </c>
      <c r="S455">
        <v>0</v>
      </c>
      <c r="T455">
        <v>572</v>
      </c>
      <c r="U455">
        <v>0</v>
      </c>
      <c r="V455" t="str">
        <v/>
      </c>
      <c r="W455" t="str">
        <v/>
      </c>
      <c r="X455" t="str">
        <v/>
      </c>
      <c r="Y455">
        <v>44505</v>
      </c>
      <c r="Z455" t="str">
        <v>残り期限90日!</v>
      </c>
      <c r="AA455" t="str">
        <v>日本人の配偶者</v>
      </c>
      <c r="AB455" t="str">
        <v>503-0973</v>
      </c>
      <c r="AC455" t="str">
        <v>岐阜県大垣市木戸町292番地</v>
      </c>
      <c r="AD455" t="str">
        <v>K HOUSE206</v>
      </c>
      <c r="AE455">
        <v>0</v>
      </c>
      <c r="AF455">
        <v>44229</v>
      </c>
      <c r="AG455">
        <v>44265</v>
      </c>
      <c r="AH455">
        <v>0</v>
      </c>
      <c r="AI455">
        <v>44287</v>
      </c>
      <c r="AJ455" t="str">
        <v>ファム　デイン　トウン</v>
      </c>
      <c r="AK455" t="str">
        <v>ゆうちょ銀行</v>
      </c>
      <c r="AL455">
        <v>98</v>
      </c>
      <c r="AM455" t="str">
        <v>〇九八</v>
      </c>
      <c r="AN455" t="str">
        <v>1285143</v>
      </c>
      <c r="AO455">
        <v>0</v>
      </c>
      <c r="AP455">
        <v>0</v>
      </c>
    </row>
    <row r="456" spans="1:42">
      <c r="A456" t="str">
        <f>H456&amp;COUNTIF($H$2:H456,H456)</f>
        <v>096</v>
      </c>
      <c r="B456" t="str">
        <f>F456&amp;COUNTIF($F$2:F456,F456)</f>
        <v>高雄工業 海南第一34</v>
      </c>
      <c r="C456" t="str">
        <v>退社</v>
      </c>
      <c r="D456">
        <v>210211</v>
      </c>
      <c r="E456">
        <v>0</v>
      </c>
      <c r="F456" t="str">
        <v>高雄工業 海南第一</v>
      </c>
      <c r="G456">
        <v>0</v>
      </c>
      <c r="H456">
        <v>0</v>
      </c>
      <c r="I456">
        <v>0</v>
      </c>
      <c r="J456" t="str">
        <v>幸埼　ノルベルト</v>
      </c>
      <c r="K456" t="str">
        <v>コサキ　ノルベルト</v>
      </c>
      <c r="L456" t="str">
        <v>男</v>
      </c>
      <c r="M456" t="str">
        <v>ﾌﾞﾗｼﾞﾙ</v>
      </c>
      <c r="N456">
        <v>28594</v>
      </c>
      <c r="O456">
        <v>45</v>
      </c>
      <c r="P456">
        <v>1300</v>
      </c>
      <c r="Q456">
        <v>0</v>
      </c>
      <c r="R456">
        <v>1650</v>
      </c>
      <c r="S456" t="str">
        <v>350</v>
      </c>
      <c r="T456">
        <v>350</v>
      </c>
      <c r="U456">
        <v>0</v>
      </c>
      <c r="V456" t="str">
        <v/>
      </c>
      <c r="W456" t="str">
        <v/>
      </c>
      <c r="X456" t="str">
        <v/>
      </c>
      <c r="Y456">
        <v>45120</v>
      </c>
      <c r="Z456" t="str">
        <v>残り期限90日!</v>
      </c>
      <c r="AA456" t="str">
        <v>定住者</v>
      </c>
      <c r="AB456" t="str">
        <v>498-0031</v>
      </c>
      <c r="AC456" t="str">
        <v>愛知県弥富市平島町中新田196-1</v>
      </c>
      <c r="AD456" t="str">
        <v>ｺﾝﾂｪﾙﾊｳｽB106</v>
      </c>
      <c r="AE456">
        <v>44236</v>
      </c>
      <c r="AF456">
        <v>44236</v>
      </c>
      <c r="AG456">
        <v>44238</v>
      </c>
      <c r="AH456">
        <v>0</v>
      </c>
      <c r="AI456">
        <v>44236</v>
      </c>
      <c r="AJ456" t="str">
        <v>ファム　ヴァン　ヒエウ</v>
      </c>
      <c r="AK456" t="str">
        <v>ゆうちょ銀行</v>
      </c>
      <c r="AL456">
        <v>408</v>
      </c>
      <c r="AM456" t="str">
        <v>四〇八</v>
      </c>
      <c r="AN456" t="str">
        <v>3267821</v>
      </c>
      <c r="AO456">
        <v>0</v>
      </c>
      <c r="AP456">
        <v>0</v>
      </c>
    </row>
    <row r="457" spans="1:42">
      <c r="A457" t="str">
        <f>H457&amp;COUNTIF($H$2:H457,H457)</f>
        <v>CVJﾊﾞﾘ取りﾁｬﾝﾌｧ係4</v>
      </c>
      <c r="B457" t="str">
        <f>F457&amp;COUNTIF($F$2:F457,F457)</f>
        <v>ﾌｪﾆﾃｯｸｾﾐｺﾝﾀﾞｸﾀｰ 岡山16</v>
      </c>
      <c r="C457" t="str">
        <v>退社</v>
      </c>
      <c r="D457">
        <v>210303</v>
      </c>
      <c r="E457">
        <v>0</v>
      </c>
      <c r="F457" t="str">
        <v>ﾌｪﾆﾃｯｸｾﾐｺﾝﾀﾞｸﾀｰ 岡山</v>
      </c>
      <c r="G457">
        <v>0</v>
      </c>
      <c r="H457" t="str">
        <v>CVJﾊﾞﾘ取りﾁｬﾝﾌｧ係</v>
      </c>
      <c r="I457">
        <v>0</v>
      </c>
      <c r="J457" t="str">
        <v>NGUYEN VAN HUNG</v>
      </c>
      <c r="K457" t="str">
        <v>グエン　バン　フン</v>
      </c>
      <c r="L457" t="str">
        <v>男</v>
      </c>
      <c r="M457" t="str">
        <v>ﾍﾞﾄﾅﾑ</v>
      </c>
      <c r="N457">
        <v>31860</v>
      </c>
      <c r="O457">
        <v>36</v>
      </c>
      <c r="P457">
        <v>1500</v>
      </c>
      <c r="Q457" t="str">
        <v>2021/6/21~　1400⇒1500</v>
      </c>
      <c r="R457">
        <v>2300</v>
      </c>
      <c r="S457" t="str">
        <v>入社3か月後200円UP</v>
      </c>
      <c r="T457">
        <v>800</v>
      </c>
      <c r="U457">
        <v>0</v>
      </c>
      <c r="V457" t="str">
        <v/>
      </c>
      <c r="W457" t="str">
        <v>0</v>
      </c>
      <c r="X457" t="str">
        <v/>
      </c>
      <c r="Y457">
        <v>45950</v>
      </c>
      <c r="Z457" t="str">
        <v/>
      </c>
      <c r="AA457" t="str">
        <v>技術・人文知識・国際業務</v>
      </c>
      <c r="AB457" t="str">
        <v>715-0006</v>
      </c>
      <c r="AC457" t="str">
        <v>岡山県井原市西江原町936-1</v>
      </c>
      <c r="AD457" t="str">
        <v>ｸﾞﾗﾝｴﾄﾜｰﾙB201</v>
      </c>
      <c r="AE457">
        <v>44257</v>
      </c>
      <c r="AF457">
        <v>44258</v>
      </c>
      <c r="AG457">
        <v>44668</v>
      </c>
      <c r="AH457">
        <v>0</v>
      </c>
      <c r="AI457">
        <v>44317</v>
      </c>
      <c r="AJ457">
        <v>0</v>
      </c>
      <c r="AK457">
        <v>0</v>
      </c>
      <c r="AL457">
        <v>0</v>
      </c>
      <c r="AM457">
        <v>0</v>
      </c>
      <c r="AN457">
        <v>0</v>
      </c>
      <c r="AO457" t="str">
        <v>OK</v>
      </c>
      <c r="AP457">
        <v>0</v>
      </c>
    </row>
    <row r="458" spans="1:42">
      <c r="A458" t="str">
        <f>H458&amp;COUNTIF($H$2:H458,H458)</f>
        <v>097</v>
      </c>
      <c r="B458" t="str">
        <f>F458&amp;COUNTIF($F$2:F458,F458)</f>
        <v>高雄工業 静岡79</v>
      </c>
      <c r="C458" t="str">
        <v>退社</v>
      </c>
      <c r="D458">
        <v>210302</v>
      </c>
      <c r="E458">
        <v>0</v>
      </c>
      <c r="F458" t="str">
        <v>高雄工業 静岡</v>
      </c>
      <c r="G458">
        <v>0</v>
      </c>
      <c r="H458">
        <v>0</v>
      </c>
      <c r="I458">
        <v>0</v>
      </c>
      <c r="J458" t="str">
        <v>VU DINH TUAN</v>
      </c>
      <c r="K458" t="str">
        <v>ヴー　ディン　トゥアン</v>
      </c>
      <c r="L458" t="str">
        <v>男</v>
      </c>
      <c r="M458" t="str">
        <v>ﾍﾞﾄﾅﾑ</v>
      </c>
      <c r="N458">
        <v>31006</v>
      </c>
      <c r="O458">
        <v>39</v>
      </c>
      <c r="P458">
        <v>1200</v>
      </c>
      <c r="Q458">
        <v>0</v>
      </c>
      <c r="R458">
        <v>1600</v>
      </c>
      <c r="S458">
        <v>0</v>
      </c>
      <c r="T458">
        <v>400</v>
      </c>
      <c r="U458">
        <v>0</v>
      </c>
      <c r="V458" t="str">
        <v/>
      </c>
      <c r="W458" t="str">
        <v>0</v>
      </c>
      <c r="X458" t="str">
        <v/>
      </c>
      <c r="Y458">
        <v>45108</v>
      </c>
      <c r="Z458" t="str">
        <v>残り期限90日!</v>
      </c>
      <c r="AA458" t="str">
        <v>技術・人文知識・国際業務</v>
      </c>
      <c r="AB458" t="str">
        <v>437-0066</v>
      </c>
      <c r="AC458" t="str">
        <v>静岡県袋井市山科3388-1</v>
      </c>
      <c r="AD458" t="str">
        <v>鶴松203</v>
      </c>
      <c r="AE458">
        <v>44256</v>
      </c>
      <c r="AF458">
        <v>44259</v>
      </c>
      <c r="AG458">
        <v>44266</v>
      </c>
      <c r="AH458">
        <v>0</v>
      </c>
      <c r="AI458">
        <v>44317</v>
      </c>
      <c r="AJ458" t="str">
        <v>ファム　デイン　トウン</v>
      </c>
      <c r="AK458" t="str">
        <v>ゆうちょ銀行</v>
      </c>
      <c r="AL458">
        <v>98</v>
      </c>
      <c r="AM458" t="str">
        <v>〇九八</v>
      </c>
      <c r="AN458" t="str">
        <v>1285143</v>
      </c>
      <c r="AO458">
        <v>0</v>
      </c>
      <c r="AP458">
        <v>0</v>
      </c>
    </row>
    <row r="459" spans="1:42">
      <c r="A459" t="str">
        <f>H459&amp;COUNTIF($H$2:H459,H459)</f>
        <v>098</v>
      </c>
      <c r="B459" t="str">
        <f>F459&amp;COUNTIF($F$2:F459,F459)</f>
        <v>高雄工業 岡山110</v>
      </c>
      <c r="C459" t="str">
        <v>退社</v>
      </c>
      <c r="D459">
        <v>210307</v>
      </c>
      <c r="E459">
        <v>0</v>
      </c>
      <c r="F459" t="str">
        <v>高雄工業 岡山</v>
      </c>
      <c r="G459">
        <v>0</v>
      </c>
      <c r="H459">
        <v>0</v>
      </c>
      <c r="I459">
        <v>0</v>
      </c>
      <c r="J459" t="str">
        <v>TRAN THI HONG MAY</v>
      </c>
      <c r="K459" t="str">
        <v>チャン　ティ　ホング　マイ</v>
      </c>
      <c r="L459" t="str">
        <v>女</v>
      </c>
      <c r="M459" t="str">
        <v>ﾍﾞﾄﾅﾑ</v>
      </c>
      <c r="N459">
        <v>35982</v>
      </c>
      <c r="O459">
        <v>25</v>
      </c>
      <c r="P459">
        <v>1000</v>
      </c>
      <c r="Q459">
        <v>0</v>
      </c>
      <c r="R459">
        <v>1500</v>
      </c>
      <c r="S459">
        <v>0</v>
      </c>
      <c r="T459">
        <v>500</v>
      </c>
      <c r="U459">
        <v>0</v>
      </c>
      <c r="V459" t="str">
        <v/>
      </c>
      <c r="W459" t="str">
        <v>0</v>
      </c>
      <c r="X459" t="str">
        <v/>
      </c>
      <c r="Y459">
        <v>44520</v>
      </c>
      <c r="Z459" t="str">
        <v>残り期限90日!</v>
      </c>
      <c r="AA459" t="str">
        <v>家族滞在</v>
      </c>
      <c r="AB459" t="str">
        <v>709-2107</v>
      </c>
      <c r="AC459" t="str">
        <v>岡山県岡山市北区御津矢原311</v>
      </c>
      <c r="AD459" t="str">
        <v>中須賀ｺｰﾎﾟⅢ203</v>
      </c>
      <c r="AE459">
        <v>44260</v>
      </c>
      <c r="AF459">
        <v>44263</v>
      </c>
      <c r="AG459">
        <v>44351</v>
      </c>
      <c r="AH459">
        <v>0</v>
      </c>
      <c r="AI459">
        <v>44317</v>
      </c>
      <c r="AJ459" t="str">
        <v>ファム　ヴァン　ヒエウ</v>
      </c>
      <c r="AK459" t="str">
        <v>ゆうちょ銀行</v>
      </c>
      <c r="AL459">
        <v>408</v>
      </c>
      <c r="AM459" t="str">
        <v>四〇八</v>
      </c>
      <c r="AN459" t="str">
        <v>3267821</v>
      </c>
      <c r="AO459">
        <v>0</v>
      </c>
      <c r="AP459">
        <v>0</v>
      </c>
    </row>
    <row r="460" spans="1:42">
      <c r="A460" t="str">
        <f>H460&amp;COUNTIF($H$2:H460,H460)</f>
        <v>099</v>
      </c>
      <c r="B460" t="str">
        <f>F460&amp;COUNTIF($F$2:F460,F460)</f>
        <v>高雄工業 岡山111</v>
      </c>
      <c r="C460" t="str">
        <v>退社</v>
      </c>
      <c r="D460">
        <v>210309</v>
      </c>
      <c r="E460">
        <v>0</v>
      </c>
      <c r="F460" t="str">
        <v>高雄工業 岡山</v>
      </c>
      <c r="G460">
        <v>0</v>
      </c>
      <c r="H460">
        <v>0</v>
      </c>
      <c r="I460">
        <v>0</v>
      </c>
      <c r="J460" t="str">
        <v>NGUYEN MINH SON</v>
      </c>
      <c r="K460" t="str">
        <v>グエン　ミン　ソン</v>
      </c>
      <c r="L460" t="str">
        <v>男</v>
      </c>
      <c r="M460" t="str">
        <v>ﾍﾞﾄﾅﾑ</v>
      </c>
      <c r="N460">
        <v>31997</v>
      </c>
      <c r="O460">
        <v>36</v>
      </c>
      <c r="P460">
        <v>1250</v>
      </c>
      <c r="Q460" t="str">
        <v>6/16~ \1200⇒\1250</v>
      </c>
      <c r="R460">
        <v>1600</v>
      </c>
      <c r="S460">
        <v>0</v>
      </c>
      <c r="T460">
        <v>350</v>
      </c>
      <c r="U460">
        <v>0</v>
      </c>
      <c r="V460" t="str">
        <v/>
      </c>
      <c r="W460" t="str">
        <v>0</v>
      </c>
      <c r="X460" t="str">
        <v/>
      </c>
      <c r="Y460">
        <v>44610</v>
      </c>
      <c r="Z460" t="str">
        <v>残り期限90日!</v>
      </c>
      <c r="AA460" t="str">
        <v>技術・人文知識・国際業務</v>
      </c>
      <c r="AB460" t="str">
        <v>709-2107</v>
      </c>
      <c r="AC460" t="str">
        <v>岡山県岡山市北区御津矢原370</v>
      </c>
      <c r="AD460" t="str">
        <v>成広ｺｰﾎﾟⅡ102号</v>
      </c>
      <c r="AE460">
        <v>44261</v>
      </c>
      <c r="AF460">
        <v>44263</v>
      </c>
      <c r="AG460">
        <v>44386</v>
      </c>
      <c r="AH460">
        <v>0</v>
      </c>
      <c r="AI460">
        <v>44317</v>
      </c>
      <c r="AJ460" t="str">
        <v>ファム　デイン　トウン</v>
      </c>
      <c r="AK460" t="str">
        <v>ゆうちょ銀行</v>
      </c>
      <c r="AL460">
        <v>98</v>
      </c>
      <c r="AM460" t="str">
        <v>〇九八</v>
      </c>
      <c r="AN460" t="str">
        <v>1285143</v>
      </c>
      <c r="AO460">
        <v>0</v>
      </c>
      <c r="AP460">
        <v>0</v>
      </c>
    </row>
    <row r="461" spans="1:42">
      <c r="A461" t="str">
        <f>H461&amp;COUNTIF($H$2:H461,H461)</f>
        <v>0100</v>
      </c>
      <c r="B461" t="str">
        <f>F461&amp;COUNTIF($F$2:F461,F461)</f>
        <v>高雄工業 岡山112</v>
      </c>
      <c r="C461" t="str">
        <v>退社</v>
      </c>
      <c r="D461">
        <v>210310</v>
      </c>
      <c r="E461">
        <v>0</v>
      </c>
      <c r="F461" t="str">
        <v>高雄工業 岡山</v>
      </c>
      <c r="G461">
        <v>0</v>
      </c>
      <c r="H461">
        <v>0</v>
      </c>
      <c r="I461">
        <v>0</v>
      </c>
      <c r="J461" t="str">
        <v>LUU TUAN NGHIA</v>
      </c>
      <c r="K461" t="str">
        <v>リュウ　トゥアン　ギア</v>
      </c>
      <c r="L461" t="str">
        <v>男</v>
      </c>
      <c r="M461" t="str">
        <v>ﾍﾞﾄﾅﾑ</v>
      </c>
      <c r="N461">
        <v>34725</v>
      </c>
      <c r="O461">
        <v>28</v>
      </c>
      <c r="P461">
        <v>1250</v>
      </c>
      <c r="Q461">
        <v>0</v>
      </c>
      <c r="R461">
        <v>1600</v>
      </c>
      <c r="S461">
        <v>0</v>
      </c>
      <c r="T461">
        <v>350</v>
      </c>
      <c r="U461">
        <v>0</v>
      </c>
      <c r="V461" t="str">
        <v/>
      </c>
      <c r="W461" t="str">
        <v>0</v>
      </c>
      <c r="X461" t="str">
        <v/>
      </c>
      <c r="Y461">
        <v>45475</v>
      </c>
      <c r="Z461" t="str">
        <v/>
      </c>
      <c r="AA461" t="str">
        <v>技術・人文知識・国際業務</v>
      </c>
      <c r="AB461" t="str">
        <v>709-2107</v>
      </c>
      <c r="AC461" t="str">
        <v>岡山県岡山市北区御津矢原311</v>
      </c>
      <c r="AD461" t="str">
        <v>中須賀ｺｰﾎﾟⅠ102</v>
      </c>
      <c r="AE461">
        <v>44261</v>
      </c>
      <c r="AF461">
        <v>44263</v>
      </c>
      <c r="AG461">
        <v>44434</v>
      </c>
      <c r="AH461">
        <v>0</v>
      </c>
      <c r="AI461">
        <v>44317</v>
      </c>
      <c r="AJ461" t="str">
        <v>ファム　ヴァン　ヒエウ</v>
      </c>
      <c r="AK461" t="str">
        <v>ゆうちょ銀行</v>
      </c>
      <c r="AL461">
        <v>408</v>
      </c>
      <c r="AM461" t="str">
        <v>四〇八</v>
      </c>
      <c r="AN461" t="str">
        <v>3267821</v>
      </c>
      <c r="AO461">
        <v>0</v>
      </c>
      <c r="AP461">
        <v>0</v>
      </c>
    </row>
    <row r="462" spans="1:42">
      <c r="A462" t="str">
        <f>H462&amp;COUNTIF($H$2:H462,H462)</f>
        <v>0101</v>
      </c>
      <c r="B462" t="str">
        <f>F462&amp;COUNTIF($F$2:F462,F462)</f>
        <v>高雄工業 海南第一35</v>
      </c>
      <c r="C462" t="str">
        <v>退社</v>
      </c>
      <c r="D462">
        <v>210311</v>
      </c>
      <c r="E462">
        <v>0</v>
      </c>
      <c r="F462" t="str">
        <v>高雄工業 海南第一</v>
      </c>
      <c r="G462">
        <v>0</v>
      </c>
      <c r="H462">
        <v>0</v>
      </c>
      <c r="I462">
        <v>0</v>
      </c>
      <c r="J462" t="str">
        <v>NGUYEN MANH HAO</v>
      </c>
      <c r="K462" t="str">
        <v>グエン　マイン　ハオ</v>
      </c>
      <c r="L462" t="str">
        <v>男</v>
      </c>
      <c r="M462" t="str">
        <v>ﾍﾞﾄﾅﾑ</v>
      </c>
      <c r="N462">
        <v>33126</v>
      </c>
      <c r="O462">
        <v>33</v>
      </c>
      <c r="P462">
        <v>1200</v>
      </c>
      <c r="Q462">
        <v>0</v>
      </c>
      <c r="R462">
        <v>1600</v>
      </c>
      <c r="S462">
        <v>0</v>
      </c>
      <c r="T462">
        <v>400</v>
      </c>
      <c r="U462">
        <v>0</v>
      </c>
      <c r="V462" t="str">
        <v/>
      </c>
      <c r="W462" t="str">
        <v>0</v>
      </c>
      <c r="X462" t="str">
        <v/>
      </c>
      <c r="Y462">
        <v>44594</v>
      </c>
      <c r="Z462" t="str">
        <v>残り期限90日!</v>
      </c>
      <c r="AA462" t="str">
        <v>技術・人文知識・国際業務</v>
      </c>
      <c r="AB462" t="str">
        <v>498-0017</v>
      </c>
      <c r="AC462" t="str">
        <v>愛知県弥富市前ヶ須町東勘助138</v>
      </c>
      <c r="AD462" t="str">
        <v>安井ﾋﾞﾙ5D</v>
      </c>
      <c r="AE462">
        <v>44260</v>
      </c>
      <c r="AF462">
        <v>44264</v>
      </c>
      <c r="AG462">
        <v>44330</v>
      </c>
      <c r="AH462">
        <v>0</v>
      </c>
      <c r="AI462">
        <v>44317</v>
      </c>
      <c r="AJ462" t="str">
        <v>ファム　デイン　トウン</v>
      </c>
      <c r="AK462" t="str">
        <v>ゆうちょ銀行</v>
      </c>
      <c r="AL462">
        <v>98</v>
      </c>
      <c r="AM462" t="str">
        <v>〇九八</v>
      </c>
      <c r="AN462" t="str">
        <v>1285143</v>
      </c>
      <c r="AO462">
        <v>0</v>
      </c>
      <c r="AP462">
        <v>0</v>
      </c>
    </row>
    <row r="463" spans="1:42">
      <c r="A463" t="str">
        <f>H463&amp;COUNTIF($H$2:H463,H463)</f>
        <v>0102</v>
      </c>
      <c r="B463" t="str">
        <f>F463&amp;COUNTIF($F$2:F463,F463)</f>
        <v>高雄工業 海南第二9</v>
      </c>
      <c r="C463" t="str">
        <v>退社</v>
      </c>
      <c r="D463">
        <v>210314</v>
      </c>
      <c r="E463">
        <v>0</v>
      </c>
      <c r="F463" t="str">
        <v>高雄工業 海南第二</v>
      </c>
      <c r="G463">
        <v>0</v>
      </c>
      <c r="H463">
        <v>0</v>
      </c>
      <c r="I463">
        <v>0</v>
      </c>
      <c r="J463" t="str">
        <v>VAN TIEN THANH</v>
      </c>
      <c r="K463" t="str">
        <v>バン　ティエン　タン</v>
      </c>
      <c r="L463" t="str">
        <v>男</v>
      </c>
      <c r="M463" t="str">
        <v>ﾍﾞﾄﾅﾑ</v>
      </c>
      <c r="N463">
        <v>33870</v>
      </c>
      <c r="O463">
        <v>31</v>
      </c>
      <c r="P463">
        <v>1200</v>
      </c>
      <c r="Q463">
        <v>0</v>
      </c>
      <c r="R463">
        <v>1600</v>
      </c>
      <c r="S463">
        <v>0</v>
      </c>
      <c r="T463">
        <v>400</v>
      </c>
      <c r="U463">
        <v>0</v>
      </c>
      <c r="V463" t="str">
        <v/>
      </c>
      <c r="W463" t="str">
        <v>0</v>
      </c>
      <c r="X463" t="str">
        <v/>
      </c>
      <c r="Y463">
        <v>0</v>
      </c>
      <c r="Z463" t="str">
        <v/>
      </c>
      <c r="AA463" t="str">
        <v>技術・人文知識・国際業務</v>
      </c>
      <c r="AB463" t="str">
        <v>498-0017</v>
      </c>
      <c r="AC463" t="str">
        <v>愛知県弥富市前ヶ須町東勘助138</v>
      </c>
      <c r="AD463" t="str">
        <v>安井ﾋﾞﾙ5D</v>
      </c>
      <c r="AE463">
        <v>44270</v>
      </c>
      <c r="AF463">
        <v>44274</v>
      </c>
      <c r="AG463">
        <v>44347</v>
      </c>
      <c r="AH463">
        <v>0</v>
      </c>
      <c r="AI463">
        <v>44348</v>
      </c>
      <c r="AJ463" t="str">
        <v>ファム　ヴァン　ヒエウ</v>
      </c>
      <c r="AK463" t="str">
        <v>ゆうちょ銀行</v>
      </c>
      <c r="AL463">
        <v>408</v>
      </c>
      <c r="AM463" t="str">
        <v>四〇八</v>
      </c>
      <c r="AN463" t="str">
        <v>3267821</v>
      </c>
      <c r="AO463">
        <v>0</v>
      </c>
      <c r="AP463">
        <v>0</v>
      </c>
    </row>
    <row r="464" spans="1:42">
      <c r="A464" t="str">
        <f>H464&amp;COUNTIF($H$2:H464,H464)</f>
        <v>0103</v>
      </c>
      <c r="B464" t="str">
        <f>F464&amp;COUNTIF($F$2:F464,F464)</f>
        <v>ﾌｪﾆﾃｯｸｾﾐｺﾝﾀﾞｸﾀｰ 岡山17</v>
      </c>
      <c r="C464" t="str">
        <v>退社</v>
      </c>
      <c r="D464">
        <v>210315</v>
      </c>
      <c r="E464">
        <v>0</v>
      </c>
      <c r="F464" t="str">
        <v>ﾌｪﾆﾃｯｸｾﾐｺﾝﾀﾞｸﾀｰ 岡山</v>
      </c>
      <c r="G464">
        <v>0</v>
      </c>
      <c r="H464">
        <v>0</v>
      </c>
      <c r="I464">
        <v>0</v>
      </c>
      <c r="J464" t="str">
        <v>DAO VAN HOAN</v>
      </c>
      <c r="K464" t="str">
        <v>ダオ　ヴァン　ホアン</v>
      </c>
      <c r="L464" t="str">
        <v>男</v>
      </c>
      <c r="M464" t="str">
        <v>ﾍﾞﾄﾅﾑ</v>
      </c>
      <c r="N464">
        <v>33176</v>
      </c>
      <c r="O464">
        <v>33</v>
      </c>
      <c r="P464">
        <v>1500</v>
      </c>
      <c r="Q464" t="str">
        <v>2021/6/21~　1400⇒1500</v>
      </c>
      <c r="R464">
        <v>2300</v>
      </c>
      <c r="S464" t="str">
        <v>800</v>
      </c>
      <c r="T464">
        <v>800</v>
      </c>
      <c r="U464">
        <v>0</v>
      </c>
      <c r="V464" t="str">
        <v/>
      </c>
      <c r="W464" t="str">
        <v>0</v>
      </c>
      <c r="X464" t="str">
        <v/>
      </c>
      <c r="Y464">
        <v>44704</v>
      </c>
      <c r="Z464" t="str">
        <v>残り期限90日!</v>
      </c>
      <c r="AA464" t="str">
        <v>技術・人文知識・国際業務</v>
      </c>
      <c r="AB464" t="str">
        <v>715-0006</v>
      </c>
      <c r="AC464" t="str">
        <v>岡山県井原市西江原町936-1</v>
      </c>
      <c r="AD464" t="str">
        <v>ｸﾞﾗﾝｴﾄﾜｰﾙB201</v>
      </c>
      <c r="AE464">
        <v>44276</v>
      </c>
      <c r="AF464">
        <v>44277</v>
      </c>
      <c r="AG464">
        <v>44520</v>
      </c>
      <c r="AH464">
        <v>0</v>
      </c>
      <c r="AI464">
        <v>44348</v>
      </c>
      <c r="AJ464" t="str">
        <v>ファム　デイン　トウン</v>
      </c>
      <c r="AK464" t="str">
        <v>ゆうちょ銀行</v>
      </c>
      <c r="AL464">
        <v>98</v>
      </c>
      <c r="AM464" t="str">
        <v>〇九八</v>
      </c>
      <c r="AN464" t="str">
        <v>1285143</v>
      </c>
      <c r="AO464">
        <v>0</v>
      </c>
      <c r="AP464">
        <v>0</v>
      </c>
    </row>
    <row r="465" spans="1:42">
      <c r="A465" t="str">
        <f>H465&amp;COUNTIF($H$2:H465,H465)</f>
        <v>0104</v>
      </c>
      <c r="B465" t="str">
        <f>F465&amp;COUNTIF($F$2:F465,F465)</f>
        <v>高雄工業 海南第二10</v>
      </c>
      <c r="C465" t="str">
        <v>退社</v>
      </c>
      <c r="D465">
        <v>210316</v>
      </c>
      <c r="E465">
        <v>0</v>
      </c>
      <c r="F465" t="str">
        <v>高雄工業 海南第二</v>
      </c>
      <c r="G465">
        <v>0</v>
      </c>
      <c r="H465">
        <v>0</v>
      </c>
      <c r="I465">
        <v>0</v>
      </c>
      <c r="J465" t="str">
        <v>YOSHIKAWA DANIEL</v>
      </c>
      <c r="K465" t="str">
        <v>ヨシカワ　ダニエル</v>
      </c>
      <c r="L465" t="str">
        <v>男</v>
      </c>
      <c r="M465" t="str">
        <v>ﾌﾞﾗｼﾞﾙ</v>
      </c>
      <c r="N465">
        <v>29519</v>
      </c>
      <c r="O465">
        <v>43</v>
      </c>
      <c r="P465">
        <v>1250</v>
      </c>
      <c r="Q465">
        <v>0</v>
      </c>
      <c r="R465">
        <v>1650</v>
      </c>
      <c r="S465">
        <v>0</v>
      </c>
      <c r="T465">
        <v>400</v>
      </c>
      <c r="U465">
        <v>0</v>
      </c>
      <c r="V465" t="str">
        <v/>
      </c>
      <c r="W465" t="str">
        <v/>
      </c>
      <c r="X465" t="str">
        <v/>
      </c>
      <c r="Y465">
        <v>45325</v>
      </c>
      <c r="Z465" t="str">
        <v>残り期限90日!</v>
      </c>
      <c r="AA465" t="str">
        <v>定住者</v>
      </c>
      <c r="AB465" t="str">
        <v>498-0024</v>
      </c>
      <c r="AC465" t="str">
        <v>愛知県弥富市鯏浦町西前新田97-1</v>
      </c>
      <c r="AD465" t="str">
        <v>ﾗﾌｨﾈRS　A-102</v>
      </c>
      <c r="AE465">
        <v>0</v>
      </c>
      <c r="AF465">
        <v>44277</v>
      </c>
      <c r="AG465">
        <v>44299</v>
      </c>
      <c r="AH465">
        <v>0</v>
      </c>
      <c r="AI465">
        <v>44348</v>
      </c>
      <c r="AJ465" t="str">
        <v>ファム　ヴァン　ヒエウ</v>
      </c>
      <c r="AK465" t="str">
        <v>ゆうちょ銀行</v>
      </c>
      <c r="AL465">
        <v>408</v>
      </c>
      <c r="AM465" t="str">
        <v>四〇八</v>
      </c>
      <c r="AN465" t="str">
        <v>3267821</v>
      </c>
      <c r="AO465">
        <v>0</v>
      </c>
      <c r="AP465">
        <v>0</v>
      </c>
    </row>
    <row r="466" spans="1:42">
      <c r="A466" t="str">
        <f>H466&amp;COUNTIF($H$2:H466,H466)</f>
        <v>0105</v>
      </c>
      <c r="B466" t="str">
        <f>F466&amp;COUNTIF($F$2:F466,F466)</f>
        <v>コーリツ 亀崎9</v>
      </c>
      <c r="C466" t="str">
        <v>退社</v>
      </c>
      <c r="D466">
        <v>210402</v>
      </c>
      <c r="E466">
        <v>0</v>
      </c>
      <c r="F466" t="str">
        <v>コーリツ 亀崎</v>
      </c>
      <c r="G466">
        <v>0</v>
      </c>
      <c r="H466">
        <v>0</v>
      </c>
      <c r="I466">
        <v>0</v>
      </c>
      <c r="J466" t="str">
        <v>TRAN VAN SANG</v>
      </c>
      <c r="K466" t="str">
        <v>チャン　ヴァン　サン</v>
      </c>
      <c r="L466" t="str">
        <v>男</v>
      </c>
      <c r="M466" t="str">
        <v>ﾍﾞﾄﾅﾑ</v>
      </c>
      <c r="N466">
        <v>33004</v>
      </c>
      <c r="O466">
        <v>33</v>
      </c>
      <c r="P466">
        <v>1400</v>
      </c>
      <c r="Q466">
        <v>0</v>
      </c>
      <c r="R466">
        <v>1990</v>
      </c>
      <c r="S466" t="str">
        <v>590</v>
      </c>
      <c r="T466">
        <v>590</v>
      </c>
      <c r="U466">
        <v>0</v>
      </c>
      <c r="V466" t="str">
        <v/>
      </c>
      <c r="W466" t="str">
        <v>0</v>
      </c>
      <c r="X466" t="str">
        <v/>
      </c>
      <c r="Y466">
        <v>45482</v>
      </c>
      <c r="Z466" t="str">
        <v/>
      </c>
      <c r="AA466" t="str">
        <v>技術・人文知識・国際業務</v>
      </c>
      <c r="AB466" t="str">
        <v>475-0071</v>
      </c>
      <c r="AC466" t="str">
        <v>愛知県半田市大伝根町2丁目2-16</v>
      </c>
      <c r="AD466" t="str">
        <v>ｻﾝﾋﾞﾚｯｼﾞ横川203</v>
      </c>
      <c r="AE466">
        <v>44286</v>
      </c>
      <c r="AF466">
        <v>44287</v>
      </c>
      <c r="AG466">
        <v>44505</v>
      </c>
      <c r="AH466">
        <v>0</v>
      </c>
      <c r="AI466">
        <v>44348</v>
      </c>
      <c r="AJ466" t="str">
        <v>ファム　デイン　トウン</v>
      </c>
      <c r="AK466" t="str">
        <v>ゆうちょ銀行</v>
      </c>
      <c r="AL466">
        <v>98</v>
      </c>
      <c r="AM466" t="str">
        <v>〇九八</v>
      </c>
      <c r="AN466" t="str">
        <v>1285143</v>
      </c>
      <c r="AO466">
        <v>0</v>
      </c>
      <c r="AP466">
        <v>0</v>
      </c>
    </row>
    <row r="467" spans="1:42">
      <c r="A467" t="str">
        <f>H467&amp;COUNTIF($H$2:H467,H467)</f>
        <v>0106</v>
      </c>
      <c r="B467" t="str">
        <f>F467&amp;COUNTIF($F$2:F467,F467)</f>
        <v>高雄工業 静岡80</v>
      </c>
      <c r="C467" t="str">
        <v>退社</v>
      </c>
      <c r="D467">
        <v>210408</v>
      </c>
      <c r="E467">
        <v>0</v>
      </c>
      <c r="F467" t="str">
        <v>高雄工業 静岡</v>
      </c>
      <c r="G467">
        <v>0</v>
      </c>
      <c r="H467">
        <v>0</v>
      </c>
      <c r="I467">
        <v>0</v>
      </c>
      <c r="J467" t="str">
        <v>NAMBU ALEXANDRE</v>
      </c>
      <c r="K467" t="str">
        <v>ナンブ　アレシャンドレ</v>
      </c>
      <c r="L467" t="str">
        <v>男</v>
      </c>
      <c r="M467" t="str">
        <v>ﾌﾞﾗｼﾞﾙ</v>
      </c>
      <c r="N467">
        <v>22947</v>
      </c>
      <c r="O467">
        <v>61</v>
      </c>
      <c r="P467">
        <v>1250</v>
      </c>
      <c r="Q467" t="str">
        <v>6/16~ \1200⇒\1250</v>
      </c>
      <c r="R467">
        <v>1750</v>
      </c>
      <c r="S467" t="str">
        <v>9/16~ 1600円→1750円</v>
      </c>
      <c r="T467">
        <v>500</v>
      </c>
      <c r="U467">
        <v>0</v>
      </c>
      <c r="V467" t="str">
        <v/>
      </c>
      <c r="W467" t="str">
        <v/>
      </c>
      <c r="X467" t="str">
        <v/>
      </c>
      <c r="Y467">
        <v>45234</v>
      </c>
      <c r="Z467" t="str">
        <v>残り期限90日!</v>
      </c>
      <c r="AA467" t="str">
        <v>日本人の配偶者</v>
      </c>
      <c r="AB467" t="str">
        <v>437-0066</v>
      </c>
      <c r="AC467" t="str">
        <v>静岡県袋井市山科3388-1</v>
      </c>
      <c r="AD467" t="str">
        <v>鶴松203</v>
      </c>
      <c r="AE467">
        <v>44288</v>
      </c>
      <c r="AF467">
        <v>44291</v>
      </c>
      <c r="AG467">
        <v>44551</v>
      </c>
      <c r="AH467">
        <v>0</v>
      </c>
      <c r="AI467">
        <v>44348</v>
      </c>
      <c r="AJ467" t="str">
        <v>ファム　ヴァン　ヒエウ</v>
      </c>
      <c r="AK467" t="str">
        <v>ゆうちょ銀行</v>
      </c>
      <c r="AL467">
        <v>408</v>
      </c>
      <c r="AM467" t="str">
        <v>四〇八</v>
      </c>
      <c r="AN467" t="str">
        <v>3267821</v>
      </c>
      <c r="AO467">
        <v>0</v>
      </c>
      <c r="AP467">
        <v>0</v>
      </c>
    </row>
    <row r="468" spans="1:42">
      <c r="A468" t="str">
        <f>H468&amp;COUNTIF($H$2:H468,H468)</f>
        <v>一次旋係74</v>
      </c>
      <c r="B468" t="str">
        <f>F468&amp;COUNTIF($F$2:F468,F468)</f>
        <v>コーリツ 州の崎33</v>
      </c>
      <c r="C468" t="str">
        <v>退社</v>
      </c>
      <c r="D468">
        <v>210412</v>
      </c>
      <c r="E468">
        <v>0</v>
      </c>
      <c r="F468" t="str">
        <v>コーリツ 州の崎</v>
      </c>
      <c r="G468">
        <v>0</v>
      </c>
      <c r="H468" t="str">
        <v>一次旋係</v>
      </c>
      <c r="I468">
        <v>0</v>
      </c>
      <c r="J468" t="str">
        <v>CAO VAN TUYEN</v>
      </c>
      <c r="K468" t="str">
        <v>カオ　バン　トウエン</v>
      </c>
      <c r="L468" t="str">
        <v>男</v>
      </c>
      <c r="M468" t="str">
        <v>ﾍﾞﾄﾅﾑ</v>
      </c>
      <c r="N468">
        <v>30793</v>
      </c>
      <c r="O468">
        <v>39</v>
      </c>
      <c r="P468">
        <v>1400</v>
      </c>
      <c r="Q468">
        <v>0</v>
      </c>
      <c r="R468">
        <v>1990</v>
      </c>
      <c r="S468">
        <v>0</v>
      </c>
      <c r="T468">
        <v>590</v>
      </c>
      <c r="U468">
        <v>0</v>
      </c>
      <c r="V468" t="str">
        <v/>
      </c>
      <c r="W468" t="str">
        <v>0</v>
      </c>
      <c r="X468" t="str">
        <v/>
      </c>
      <c r="Y468">
        <v>45388</v>
      </c>
      <c r="Z468" t="str">
        <v/>
      </c>
      <c r="AA468" t="str">
        <v>技術・人文知識・国際業務</v>
      </c>
      <c r="AB468" t="str">
        <v>475-0078</v>
      </c>
      <c r="AC468" t="str">
        <v>愛知県半田市一の草201-11</v>
      </c>
      <c r="AD468" t="str">
        <v>ﾒｿﾞﾝﾊﾟｰｸｱﾍﾞﾆｭｰ203号</v>
      </c>
      <c r="AE468">
        <v>44369</v>
      </c>
      <c r="AF468">
        <v>44298</v>
      </c>
      <c r="AG468">
        <v>44678</v>
      </c>
      <c r="AH468">
        <v>44576</v>
      </c>
      <c r="AI468">
        <v>44348</v>
      </c>
      <c r="AJ468">
        <v>0</v>
      </c>
      <c r="AK468">
        <v>0</v>
      </c>
      <c r="AL468">
        <v>0</v>
      </c>
      <c r="AM468">
        <v>0</v>
      </c>
      <c r="AN468">
        <v>0</v>
      </c>
      <c r="AO468" t="str">
        <v>OK</v>
      </c>
      <c r="AP468" t="str">
        <v>ﾋﾙｽﾞｻﾝﾊﾟﾃｨｰｸ203 から個人のアパートに移動</v>
      </c>
    </row>
    <row r="469" spans="1:42">
      <c r="A469" t="str">
        <f>H469&amp;COUNTIF($H$2:H469,H469)</f>
        <v>0107</v>
      </c>
      <c r="B469" t="str">
        <f>F469&amp;COUNTIF($F$2:F469,F469)</f>
        <v>高雄工業 静岡81</v>
      </c>
      <c r="C469" t="str">
        <v>退社</v>
      </c>
      <c r="D469">
        <v>210413</v>
      </c>
      <c r="E469">
        <v>0</v>
      </c>
      <c r="F469" t="str">
        <v>高雄工業 静岡</v>
      </c>
      <c r="G469">
        <v>0</v>
      </c>
      <c r="H469">
        <v>0</v>
      </c>
      <c r="I469">
        <v>0</v>
      </c>
      <c r="J469" t="str">
        <v>NGUYEN HUU PHUC</v>
      </c>
      <c r="K469" t="str">
        <v>グエン　フュ　フック</v>
      </c>
      <c r="L469" t="str">
        <v>男</v>
      </c>
      <c r="M469" t="str">
        <v>ﾍﾞﾄﾅﾑ</v>
      </c>
      <c r="N469">
        <v>33521</v>
      </c>
      <c r="O469">
        <v>32</v>
      </c>
      <c r="P469">
        <v>1200</v>
      </c>
      <c r="Q469">
        <v>0</v>
      </c>
      <c r="R469">
        <v>1600</v>
      </c>
      <c r="S469">
        <v>0</v>
      </c>
      <c r="T469">
        <v>400</v>
      </c>
      <c r="U469">
        <v>0</v>
      </c>
      <c r="V469" t="str">
        <v/>
      </c>
      <c r="W469" t="str">
        <v>0</v>
      </c>
      <c r="X469" t="str">
        <v/>
      </c>
      <c r="Y469">
        <v>44803</v>
      </c>
      <c r="Z469" t="str">
        <v>残り期限90日!</v>
      </c>
      <c r="AA469" t="str">
        <v>技術・人文知識・国際業務</v>
      </c>
      <c r="AB469" t="str">
        <v>437-0015</v>
      </c>
      <c r="AC469" t="str">
        <v>静岡県袋井市旭町2-7-5</v>
      </c>
      <c r="AD469" t="str">
        <v>ﾌｨﾌﾃｨⅠ-101</v>
      </c>
      <c r="AE469">
        <v>44295</v>
      </c>
      <c r="AF469">
        <v>44299</v>
      </c>
      <c r="AG469">
        <v>44317</v>
      </c>
      <c r="AH469">
        <v>0</v>
      </c>
      <c r="AI469">
        <v>44348</v>
      </c>
      <c r="AJ469" t="str">
        <v>ファム　デイン　トウン</v>
      </c>
      <c r="AK469" t="str">
        <v>ゆうちょ銀行</v>
      </c>
      <c r="AL469">
        <v>98</v>
      </c>
      <c r="AM469" t="str">
        <v>〇九八</v>
      </c>
      <c r="AN469" t="str">
        <v>1285143</v>
      </c>
      <c r="AO469">
        <v>0</v>
      </c>
      <c r="AP469">
        <v>0</v>
      </c>
    </row>
    <row r="470" spans="1:42">
      <c r="A470" t="str">
        <f>H470&amp;COUNTIF($H$2:H470,H470)</f>
        <v>0108</v>
      </c>
      <c r="B470" t="str">
        <f>F470&amp;COUNTIF($F$2:F470,F470)</f>
        <v>高雄工業 静岡82</v>
      </c>
      <c r="C470" t="str">
        <v>退社</v>
      </c>
      <c r="D470">
        <v>210414</v>
      </c>
      <c r="E470">
        <v>0</v>
      </c>
      <c r="F470" t="str">
        <v>高雄工業 静岡</v>
      </c>
      <c r="G470">
        <v>0</v>
      </c>
      <c r="H470">
        <v>0</v>
      </c>
      <c r="I470">
        <v>0</v>
      </c>
      <c r="J470" t="str">
        <v>PHAN DINH THANH</v>
      </c>
      <c r="K470" t="str">
        <v>ファン　ディン　タァン</v>
      </c>
      <c r="L470" t="str">
        <v>男</v>
      </c>
      <c r="M470" t="str">
        <v>ﾍﾞﾄﾅﾑ</v>
      </c>
      <c r="N470">
        <v>33953</v>
      </c>
      <c r="O470">
        <v>30</v>
      </c>
      <c r="P470">
        <v>1200</v>
      </c>
      <c r="Q470">
        <v>0</v>
      </c>
      <c r="R470">
        <v>1600</v>
      </c>
      <c r="S470">
        <v>0</v>
      </c>
      <c r="T470">
        <v>400</v>
      </c>
      <c r="U470">
        <v>0</v>
      </c>
      <c r="V470" t="str">
        <v/>
      </c>
      <c r="W470" t="str">
        <v>0</v>
      </c>
      <c r="X470" t="str">
        <v/>
      </c>
      <c r="Y470">
        <v>0</v>
      </c>
      <c r="Z470" t="str">
        <v/>
      </c>
      <c r="AA470" t="str">
        <v>技術・人文知識・国際業務</v>
      </c>
      <c r="AB470" t="str">
        <v>437-0015</v>
      </c>
      <c r="AC470" t="str">
        <v>静岡県袋井市旭町2-7-5</v>
      </c>
      <c r="AD470" t="str">
        <v>ﾌｨﾌﾃｨⅠ-101</v>
      </c>
      <c r="AE470">
        <v>44298</v>
      </c>
      <c r="AF470">
        <v>44299</v>
      </c>
      <c r="AG470">
        <v>44344</v>
      </c>
      <c r="AH470">
        <v>0</v>
      </c>
      <c r="AI470">
        <v>44348</v>
      </c>
      <c r="AJ470" t="str">
        <v>ファム　ヴァン　ヒエウ</v>
      </c>
      <c r="AK470" t="str">
        <v>ゆうちょ銀行</v>
      </c>
      <c r="AL470">
        <v>408</v>
      </c>
      <c r="AM470" t="str">
        <v>四〇八</v>
      </c>
      <c r="AN470" t="str">
        <v>3267821</v>
      </c>
      <c r="AO470">
        <v>0</v>
      </c>
      <c r="AP470">
        <v>0</v>
      </c>
    </row>
    <row r="471" spans="1:42">
      <c r="A471" t="str">
        <f>H471&amp;COUNTIF($H$2:H471,H471)</f>
        <v>0109</v>
      </c>
      <c r="B471" t="str">
        <f>F471&amp;COUNTIF($F$2:F471,F471)</f>
        <v>ﾌｪﾆﾃｯｸｾﾐｺﾝﾀﾞｸﾀｰ 鹿児島1</v>
      </c>
      <c r="C471" t="str">
        <v>退社</v>
      </c>
      <c r="D471">
        <v>210415</v>
      </c>
      <c r="E471">
        <v>0</v>
      </c>
      <c r="F471" t="str">
        <v>ﾌｪﾆﾃｯｸｾﾐｺﾝﾀﾞｸﾀｰ 鹿児島</v>
      </c>
      <c r="G471" t="str">
        <v>鹿児島工場　製造部　製造課</v>
      </c>
      <c r="H471">
        <v>0</v>
      </c>
      <c r="I471">
        <v>0</v>
      </c>
      <c r="J471" t="str">
        <v>TRAN QUOC THOM</v>
      </c>
      <c r="K471" t="str">
        <v>チャン　クオック　トム</v>
      </c>
      <c r="L471" t="str">
        <v>男</v>
      </c>
      <c r="M471" t="str">
        <v>ﾍﾞﾄﾅﾑ</v>
      </c>
      <c r="N471">
        <v>33411</v>
      </c>
      <c r="O471">
        <v>32</v>
      </c>
      <c r="P471">
        <v>1500</v>
      </c>
      <c r="Q471">
        <v>0</v>
      </c>
      <c r="R471">
        <v>2000</v>
      </c>
      <c r="S471" t="str">
        <v>2022/7/1~ 1900円⇒2000円</v>
      </c>
      <c r="T471">
        <v>500</v>
      </c>
      <c r="U471">
        <v>0</v>
      </c>
      <c r="V471" t="str">
        <v/>
      </c>
      <c r="W471" t="str">
        <v>0</v>
      </c>
      <c r="X471" t="str">
        <v/>
      </c>
      <c r="Y471">
        <v>45423</v>
      </c>
      <c r="Z471" t="str">
        <v/>
      </c>
      <c r="AA471" t="str">
        <v>技術・人文知識・国際業務</v>
      </c>
      <c r="AB471" t="str">
        <v>899-6202</v>
      </c>
      <c r="AC471" t="str">
        <v>鹿児島県姶良郡湧水町北方850番地</v>
      </c>
      <c r="AD471" t="str">
        <v>京田住宅2号棟223号室</v>
      </c>
      <c r="AE471" t="str">
        <v>個人</v>
      </c>
      <c r="AF471">
        <v>44301</v>
      </c>
      <c r="AG471">
        <v>44834</v>
      </c>
      <c r="AH471">
        <v>0</v>
      </c>
      <c r="AI471">
        <v>44378</v>
      </c>
      <c r="AJ471" t="str">
        <v>チャン　クオック　トム</v>
      </c>
      <c r="AK471" t="str">
        <v>ゆうちょ銀行</v>
      </c>
      <c r="AL471">
        <v>238</v>
      </c>
      <c r="AM471" t="str">
        <v>二三八</v>
      </c>
      <c r="AN471" t="str">
        <v>1281061</v>
      </c>
      <c r="AO471" t="str">
        <v>OK</v>
      </c>
      <c r="AP471">
        <v>0</v>
      </c>
    </row>
    <row r="472" spans="1:42">
      <c r="A472" t="str">
        <f>H472&amp;COUNTIF($H$2:H472,H472)</f>
        <v>0110</v>
      </c>
      <c r="B472" t="str">
        <f>F472&amp;COUNTIF($F$2:F472,F472)</f>
        <v>三芳1</v>
      </c>
      <c r="C472" t="str">
        <v>退社</v>
      </c>
      <c r="D472">
        <v>210419</v>
      </c>
      <c r="E472">
        <v>0</v>
      </c>
      <c r="F472" t="str">
        <v>三芳</v>
      </c>
      <c r="G472">
        <v>0</v>
      </c>
      <c r="H472">
        <v>0</v>
      </c>
      <c r="I472">
        <v>0</v>
      </c>
      <c r="J472" t="str">
        <v>TRAN DINH CHAU</v>
      </c>
      <c r="K472" t="str">
        <v>チャン　ディン　チャウ</v>
      </c>
      <c r="L472" t="str">
        <v>男</v>
      </c>
      <c r="M472" t="str">
        <v>ﾍﾞﾄﾅﾑ</v>
      </c>
      <c r="N472">
        <v>31537</v>
      </c>
      <c r="O472">
        <v>37</v>
      </c>
      <c r="P472">
        <v>1400</v>
      </c>
      <c r="Q472" t="str">
        <v>1/21~ 1300円→1400円へUP</v>
      </c>
      <c r="R472">
        <v>1750</v>
      </c>
      <c r="S472">
        <v>0</v>
      </c>
      <c r="T472">
        <v>350</v>
      </c>
      <c r="U472">
        <v>280000</v>
      </c>
      <c r="V472">
        <v>14014</v>
      </c>
      <c r="W472" t="str">
        <v>0</v>
      </c>
      <c r="X472">
        <v>25620</v>
      </c>
      <c r="Y472">
        <v>45671</v>
      </c>
      <c r="Z472" t="str">
        <v/>
      </c>
      <c r="AA472" t="str">
        <v>技術・人文知識・国際業務</v>
      </c>
      <c r="AB472" t="str">
        <v>470-0162</v>
      </c>
      <c r="AC472" t="str">
        <v>愛知県愛知郡東郷町大字春木字涼松228-6</v>
      </c>
      <c r="AD472" t="str">
        <v>ﾌﾟﾁｼｬﾄｰ101号室</v>
      </c>
      <c r="AE472">
        <v>44305</v>
      </c>
      <c r="AF472">
        <v>44308</v>
      </c>
      <c r="AG472">
        <v>45065</v>
      </c>
      <c r="AH472">
        <v>0</v>
      </c>
      <c r="AI472">
        <v>44378</v>
      </c>
      <c r="AJ472" t="str">
        <v>チャン　デイン　チャウ</v>
      </c>
      <c r="AK472" t="str">
        <v>ゆうちょ銀行</v>
      </c>
      <c r="AL472">
        <v>208</v>
      </c>
      <c r="AM472" t="str">
        <v>二〇八</v>
      </c>
      <c r="AN472" t="str">
        <v>1233102</v>
      </c>
      <c r="AO472" t="str">
        <v>OK</v>
      </c>
      <c r="AP472">
        <v>0</v>
      </c>
    </row>
    <row r="473" spans="1:42">
      <c r="A473" t="str">
        <f>H473&amp;COUNTIF($H$2:H473,H473)</f>
        <v>旋盤ライン8</v>
      </c>
      <c r="B473" t="str">
        <f>F473&amp;COUNTIF($F$2:F473,F473)</f>
        <v>川原鉄工所8</v>
      </c>
      <c r="C473" t="str">
        <v>退社</v>
      </c>
      <c r="D473">
        <v>210422</v>
      </c>
      <c r="E473">
        <v>0</v>
      </c>
      <c r="F473" t="str">
        <v>川原鉄工所</v>
      </c>
      <c r="G473" t="str">
        <v>製造部</v>
      </c>
      <c r="H473" t="str">
        <v>旋盤ライン</v>
      </c>
      <c r="I473" t="str">
        <v>ATミッション部品をはじめとする、各種自動車部品の製造</v>
      </c>
      <c r="J473" t="str">
        <v>TRAN DINH VINH</v>
      </c>
      <c r="K473" t="str">
        <v>チャン　ディン　ヴィン</v>
      </c>
      <c r="L473" t="str">
        <v>男</v>
      </c>
      <c r="M473" t="str">
        <v>ﾍﾞﾄﾅﾑ</v>
      </c>
      <c r="N473">
        <v>32470</v>
      </c>
      <c r="O473">
        <v>35</v>
      </c>
      <c r="P473">
        <v>1300</v>
      </c>
      <c r="Q473">
        <v>0</v>
      </c>
      <c r="R473">
        <v>1650</v>
      </c>
      <c r="S473" t="str">
        <v>9/21　1600円→1650円</v>
      </c>
      <c r="T473">
        <v>350</v>
      </c>
      <c r="U473">
        <v>0</v>
      </c>
      <c r="V473" t="str">
        <v/>
      </c>
      <c r="W473" t="str">
        <v>0</v>
      </c>
      <c r="X473" t="str">
        <v/>
      </c>
      <c r="Y473">
        <v>45431</v>
      </c>
      <c r="Z473" t="str">
        <v/>
      </c>
      <c r="AA473" t="str">
        <v>技術・人文知識・国際業務</v>
      </c>
      <c r="AB473" t="str">
        <v>455-0046</v>
      </c>
      <c r="AC473" t="str">
        <v>愛知県名古屋市港区大手町2丁目31</v>
      </c>
      <c r="AD473" t="str">
        <v>ﾀﾞｲｺｰﾏﾝｼｮﾝ302</v>
      </c>
      <c r="AE473">
        <v>44309</v>
      </c>
      <c r="AF473">
        <v>44312</v>
      </c>
      <c r="AG473">
        <v>44638</v>
      </c>
      <c r="AH473">
        <v>0</v>
      </c>
      <c r="AI473">
        <v>44378</v>
      </c>
      <c r="AJ473">
        <v>0</v>
      </c>
      <c r="AK473">
        <v>0</v>
      </c>
      <c r="AL473">
        <v>0</v>
      </c>
      <c r="AM473">
        <v>0</v>
      </c>
      <c r="AN473" t="str">
        <v>1285143</v>
      </c>
      <c r="AO473">
        <v>0</v>
      </c>
      <c r="AP473">
        <v>0</v>
      </c>
    </row>
    <row r="474" spans="1:42">
      <c r="A474" t="str">
        <f>H474&amp;COUNTIF($H$2:H474,H474)</f>
        <v>0111</v>
      </c>
      <c r="B474" t="str">
        <f>F474&amp;COUNTIF($F$2:F474,F474)</f>
        <v>ピーエムアイ13</v>
      </c>
      <c r="C474" t="str">
        <v>退社</v>
      </c>
      <c r="D474">
        <v>210425</v>
      </c>
      <c r="E474">
        <v>0</v>
      </c>
      <c r="F474" t="str">
        <v>ピーエムアイ</v>
      </c>
      <c r="G474">
        <v>0</v>
      </c>
      <c r="H474">
        <v>0</v>
      </c>
      <c r="I474">
        <v>0</v>
      </c>
      <c r="J474" t="str">
        <v>NGUYEN DUC THO</v>
      </c>
      <c r="K474" t="str">
        <v>グエン　ドゥック　トー</v>
      </c>
      <c r="L474" t="str">
        <v>男</v>
      </c>
      <c r="M474" t="str">
        <v>ﾍﾞﾄﾅﾑ</v>
      </c>
      <c r="N474">
        <v>34618</v>
      </c>
      <c r="O474">
        <v>29</v>
      </c>
      <c r="P474">
        <v>1300</v>
      </c>
      <c r="Q474">
        <v>0</v>
      </c>
      <c r="R474">
        <v>1800</v>
      </c>
      <c r="S474">
        <v>0</v>
      </c>
      <c r="T474">
        <v>500</v>
      </c>
      <c r="U474">
        <v>0</v>
      </c>
      <c r="V474" t="str">
        <v/>
      </c>
      <c r="W474" t="str">
        <v>0</v>
      </c>
      <c r="X474" t="str">
        <v/>
      </c>
      <c r="Y474">
        <v>44937</v>
      </c>
      <c r="Z474" t="str">
        <v>残り期限90日!</v>
      </c>
      <c r="AA474" t="str">
        <v>技術・人文知識・国際業務</v>
      </c>
      <c r="AB474" t="str">
        <v>471-0805</v>
      </c>
      <c r="AC474" t="str">
        <v>愛知県豊田市美里2‐6‐9</v>
      </c>
      <c r="AD474" t="str">
        <v>ﾚｼﾞｪﾝﾄﾞK203</v>
      </c>
      <c r="AE474">
        <v>44312</v>
      </c>
      <c r="AF474">
        <v>44313</v>
      </c>
      <c r="AG474">
        <v>44498</v>
      </c>
      <c r="AH474">
        <v>0</v>
      </c>
      <c r="AI474">
        <v>44378</v>
      </c>
      <c r="AJ474" t="str">
        <v>ファム　ヴァン　ヒエウ</v>
      </c>
      <c r="AK474" t="str">
        <v>ゆうちょ銀行</v>
      </c>
      <c r="AL474">
        <v>408</v>
      </c>
      <c r="AM474" t="str">
        <v>四〇八</v>
      </c>
      <c r="AN474" t="str">
        <v>3267821</v>
      </c>
      <c r="AO474">
        <v>0</v>
      </c>
      <c r="AP474">
        <v>0</v>
      </c>
    </row>
    <row r="475" spans="1:42">
      <c r="A475" t="str">
        <f>H475&amp;COUNTIF($H$2:H475,H475)</f>
        <v>0112</v>
      </c>
      <c r="B475" t="str">
        <f>F475&amp;COUNTIF($F$2:F475,F475)</f>
        <v>ﾌｪﾆﾃｯｸｾﾐｺﾝﾀﾞｸﾀｰ 鹿児島2</v>
      </c>
      <c r="C475" t="str">
        <v>退社</v>
      </c>
      <c r="D475">
        <v>210423</v>
      </c>
      <c r="E475">
        <v>0</v>
      </c>
      <c r="F475" t="str">
        <v>ﾌｪﾆﾃｯｸｾﾐｺﾝﾀﾞｸﾀｰ 鹿児島</v>
      </c>
      <c r="G475" t="str">
        <v>鹿児島工場　製造部　製造課</v>
      </c>
      <c r="H475">
        <v>0</v>
      </c>
      <c r="I475">
        <v>0</v>
      </c>
      <c r="J475" t="str">
        <v>NGO THI MAI</v>
      </c>
      <c r="K475" t="str">
        <v>ゴ　ティ　マイ</v>
      </c>
      <c r="L475" t="str">
        <v>女</v>
      </c>
      <c r="M475" t="str">
        <v>ﾍﾞﾄﾅﾑ</v>
      </c>
      <c r="N475">
        <v>33340</v>
      </c>
      <c r="O475">
        <v>32</v>
      </c>
      <c r="P475">
        <v>1400</v>
      </c>
      <c r="Q475">
        <v>0</v>
      </c>
      <c r="R475">
        <v>2000</v>
      </c>
      <c r="S475">
        <v>0</v>
      </c>
      <c r="T475">
        <v>600</v>
      </c>
      <c r="U475">
        <v>180000</v>
      </c>
      <c r="V475">
        <v>9009</v>
      </c>
      <c r="W475" t="str">
        <v>0</v>
      </c>
      <c r="X475">
        <v>16470</v>
      </c>
      <c r="Y475">
        <v>45388</v>
      </c>
      <c r="Z475" t="str">
        <v/>
      </c>
      <c r="AA475" t="str">
        <v>技術・人文知識・国際業務</v>
      </c>
      <c r="AB475" t="str">
        <v>899-6202</v>
      </c>
      <c r="AC475" t="str">
        <v>鹿児島県姶良郡湧水町北方850番地</v>
      </c>
      <c r="AD475" t="str">
        <v>京田住宅2号棟223号室</v>
      </c>
      <c r="AE475" t="str">
        <v>個人</v>
      </c>
      <c r="AF475">
        <v>44313</v>
      </c>
      <c r="AG475">
        <v>45023</v>
      </c>
      <c r="AH475">
        <v>0</v>
      </c>
      <c r="AI475">
        <v>44378</v>
      </c>
      <c r="AJ475" t="str">
        <v>ゴ　ティ　マイ</v>
      </c>
      <c r="AK475" t="str">
        <v>ゆうちょ銀行</v>
      </c>
      <c r="AL475">
        <v>408</v>
      </c>
      <c r="AM475" t="str">
        <v>四〇八</v>
      </c>
      <c r="AN475" t="str">
        <v>6229753</v>
      </c>
      <c r="AO475" t="str">
        <v>OK</v>
      </c>
      <c r="AP475" t="str">
        <v>育休22/12/1まで</v>
      </c>
    </row>
    <row r="476" spans="1:42">
      <c r="A476" t="str">
        <f>H476&amp;COUNTIF($H$2:H476,H476)</f>
        <v>0113</v>
      </c>
      <c r="B476" t="str">
        <f>F476&amp;COUNTIF($F$2:F476,F476)</f>
        <v>ﾌｪﾆﾃｯｸｾﾐｺﾝﾀﾞｸﾀｰ 鹿児島3</v>
      </c>
      <c r="C476" t="str">
        <v>在職中</v>
      </c>
      <c r="D476">
        <v>210424</v>
      </c>
      <c r="E476">
        <v>0</v>
      </c>
      <c r="F476" t="str">
        <v>ﾌｪﾆﾃｯｸｾﾐｺﾝﾀﾞｸﾀｰ 鹿児島</v>
      </c>
      <c r="G476" t="str">
        <v>鹿児島工場　製造部　製造課</v>
      </c>
      <c r="H476">
        <v>0</v>
      </c>
      <c r="I476">
        <v>0</v>
      </c>
      <c r="J476" t="str">
        <v>NGUYEN VAN HOA</v>
      </c>
      <c r="K476" t="str">
        <v>グエン　バン　ホア</v>
      </c>
      <c r="L476" t="str">
        <v>男</v>
      </c>
      <c r="M476" t="str">
        <v>ﾍﾞﾄﾅﾑ</v>
      </c>
      <c r="N476">
        <v>32730</v>
      </c>
      <c r="O476">
        <v>34</v>
      </c>
      <c r="P476">
        <v>1400</v>
      </c>
      <c r="Q476">
        <v>0</v>
      </c>
      <c r="R476">
        <v>2000</v>
      </c>
      <c r="S476" t="str">
        <v>2022/7/1~ 1900円⇒2000円</v>
      </c>
      <c r="T476">
        <v>600</v>
      </c>
      <c r="U476">
        <v>240000</v>
      </c>
      <c r="V476">
        <v>12012</v>
      </c>
      <c r="W476" t="str">
        <v>0</v>
      </c>
      <c r="X476">
        <v>21960</v>
      </c>
      <c r="Y476">
        <v>45343</v>
      </c>
      <c r="Z476" t="str">
        <v>残り期限90日!</v>
      </c>
      <c r="AA476" t="str">
        <v>技術・人文知識・国際業務</v>
      </c>
      <c r="AB476" t="str">
        <v>899-6202</v>
      </c>
      <c r="AC476" t="str">
        <v>鹿児島県姶良郡湧水町北方850番地</v>
      </c>
      <c r="AD476" t="str">
        <v>京田住宅2号棟244号室</v>
      </c>
      <c r="AE476" t="str">
        <v>個人</v>
      </c>
      <c r="AF476">
        <v>44313</v>
      </c>
      <c r="AG476">
        <v>0</v>
      </c>
      <c r="AH476">
        <v>0</v>
      </c>
      <c r="AI476">
        <v>44378</v>
      </c>
      <c r="AJ476" t="str">
        <v>グエン　バン　ホア</v>
      </c>
      <c r="AK476" t="str">
        <v>ゆうちょ銀行</v>
      </c>
      <c r="AL476">
        <v>438</v>
      </c>
      <c r="AM476" t="str">
        <v>四三八</v>
      </c>
      <c r="AN476" t="str">
        <v>9649179</v>
      </c>
      <c r="AO476" t="str">
        <v>OK</v>
      </c>
      <c r="AP476">
        <v>0</v>
      </c>
    </row>
    <row r="477" spans="1:42">
      <c r="A477" t="str">
        <f>H477&amp;COUNTIF($H$2:H477,H477)</f>
        <v>0114</v>
      </c>
      <c r="B477" t="str">
        <f>F477&amp;COUNTIF($F$2:F477,F477)</f>
        <v>高雄工業 海南第一36</v>
      </c>
      <c r="C477" t="str">
        <v>退社</v>
      </c>
      <c r="D477">
        <v>210503</v>
      </c>
      <c r="E477">
        <v>0</v>
      </c>
      <c r="F477" t="str">
        <v>高雄工業 海南第一</v>
      </c>
      <c r="G477">
        <v>0</v>
      </c>
      <c r="H477">
        <v>0</v>
      </c>
      <c r="I477">
        <v>0</v>
      </c>
      <c r="J477" t="str">
        <v>LE THU HA</v>
      </c>
      <c r="K477" t="str">
        <v>レー　トゥー　ハー</v>
      </c>
      <c r="L477" t="str">
        <v>女</v>
      </c>
      <c r="M477" t="str">
        <v>ﾍﾞﾄﾅﾑ</v>
      </c>
      <c r="N477">
        <v>34343</v>
      </c>
      <c r="O477">
        <v>29</v>
      </c>
      <c r="P477">
        <v>1100</v>
      </c>
      <c r="Q477">
        <v>0</v>
      </c>
      <c r="R477">
        <v>1500</v>
      </c>
      <c r="S477">
        <v>0</v>
      </c>
      <c r="T477">
        <v>400</v>
      </c>
      <c r="U477">
        <v>0</v>
      </c>
      <c r="V477" t="str">
        <v/>
      </c>
      <c r="W477" t="str">
        <v>0</v>
      </c>
      <c r="X477" t="str">
        <v/>
      </c>
      <c r="Y477">
        <v>44391</v>
      </c>
      <c r="Z477" t="str">
        <v>残り期限90日!</v>
      </c>
      <c r="AA477" t="str">
        <v>家族滞在</v>
      </c>
      <c r="AB477" t="str">
        <v>498-0017</v>
      </c>
      <c r="AC477" t="str">
        <v>愛知県弥富市前ケ須町南本田401-6</v>
      </c>
      <c r="AD477" t="str">
        <v>ﾗﾌｨｰﾈﾔﾄﾐ2E</v>
      </c>
      <c r="AE477">
        <v>0</v>
      </c>
      <c r="AF477">
        <v>44326</v>
      </c>
      <c r="AG477">
        <v>44377</v>
      </c>
      <c r="AH477">
        <v>0</v>
      </c>
      <c r="AI477">
        <v>44378</v>
      </c>
      <c r="AJ477" t="str">
        <v>ファム　デイン　トウン</v>
      </c>
      <c r="AK477" t="str">
        <v>ゆうちょ銀行</v>
      </c>
      <c r="AL477">
        <v>98</v>
      </c>
      <c r="AM477" t="str">
        <v>〇九八</v>
      </c>
      <c r="AN477" t="str">
        <v>1285143</v>
      </c>
      <c r="AO477">
        <v>0</v>
      </c>
      <c r="AP477">
        <v>0</v>
      </c>
    </row>
    <row r="478" spans="1:42">
      <c r="A478" t="str">
        <f>H478&amp;COUNTIF($H$2:H478,H478)</f>
        <v>0115</v>
      </c>
      <c r="B478" t="str">
        <f>F478&amp;COUNTIF($F$2:F478,F478)</f>
        <v>高雄工業 海南第一37</v>
      </c>
      <c r="C478" t="str">
        <v>退社</v>
      </c>
      <c r="D478">
        <v>210504</v>
      </c>
      <c r="E478">
        <v>0</v>
      </c>
      <c r="F478" t="str">
        <v>高雄工業 海南第一</v>
      </c>
      <c r="G478">
        <v>0</v>
      </c>
      <c r="H478">
        <v>0</v>
      </c>
      <c r="I478">
        <v>0</v>
      </c>
      <c r="J478" t="str">
        <v>PEREIRA ANDERSON</v>
      </c>
      <c r="K478" t="str">
        <v>ペレイラ　アンデルソン</v>
      </c>
      <c r="L478" t="str">
        <v>男</v>
      </c>
      <c r="M478" t="str">
        <v>ﾌﾞﾗｼﾞﾙ</v>
      </c>
      <c r="N478">
        <v>25308</v>
      </c>
      <c r="O478">
        <v>54</v>
      </c>
      <c r="P478">
        <v>1300</v>
      </c>
      <c r="Q478">
        <v>0</v>
      </c>
      <c r="R478">
        <v>1650</v>
      </c>
      <c r="S478" t="str">
        <v>1650</v>
      </c>
      <c r="T478">
        <v>350</v>
      </c>
      <c r="U478">
        <v>0</v>
      </c>
      <c r="V478" t="str">
        <v/>
      </c>
      <c r="W478" t="str">
        <v/>
      </c>
      <c r="X478" t="str">
        <v/>
      </c>
      <c r="Y478">
        <v>44582</v>
      </c>
      <c r="Z478" t="str">
        <v>残り期限90日!</v>
      </c>
      <c r="AA478" t="str">
        <v>定住者</v>
      </c>
      <c r="AB478" t="str">
        <v>496-0812</v>
      </c>
      <c r="AC478" t="str">
        <v>愛知県津島市兼平町1丁目58番地</v>
      </c>
      <c r="AD478">
        <v>0</v>
      </c>
      <c r="AE478">
        <v>0</v>
      </c>
      <c r="AF478">
        <v>44326</v>
      </c>
      <c r="AG478">
        <v>44439</v>
      </c>
      <c r="AH478">
        <v>0</v>
      </c>
      <c r="AI478">
        <v>44378</v>
      </c>
      <c r="AJ478" t="str">
        <v>ファム　ヴァン　ヒエウ</v>
      </c>
      <c r="AK478" t="str">
        <v>ゆうちょ銀行</v>
      </c>
      <c r="AL478">
        <v>408</v>
      </c>
      <c r="AM478" t="str">
        <v>四〇八</v>
      </c>
      <c r="AN478" t="str">
        <v>3267821</v>
      </c>
      <c r="AO478">
        <v>0</v>
      </c>
      <c r="AP478">
        <v>0</v>
      </c>
    </row>
    <row r="479" spans="1:42">
      <c r="A479" t="str">
        <f>H479&amp;COUNTIF($H$2:H479,H479)</f>
        <v>CVJ5</v>
      </c>
      <c r="B479" t="str">
        <f>F479&amp;COUNTIF($F$2:F479,F479)</f>
        <v>瑞陵精機10</v>
      </c>
      <c r="C479" t="str">
        <v>退社</v>
      </c>
      <c r="D479">
        <v>210505</v>
      </c>
      <c r="E479">
        <v>0</v>
      </c>
      <c r="F479" t="str">
        <v>瑞陵精機</v>
      </c>
      <c r="G479" t="str">
        <v>製造1課</v>
      </c>
      <c r="H479" t="str">
        <v>CVJ</v>
      </c>
      <c r="I479">
        <v>0</v>
      </c>
      <c r="J479" t="str">
        <v>MA VAN NGOC</v>
      </c>
      <c r="K479" t="str">
        <v>マ　ヴァン　ゴック</v>
      </c>
      <c r="L479" t="str">
        <v>男</v>
      </c>
      <c r="M479" t="str">
        <v>ﾍﾞﾄﾅﾑ</v>
      </c>
      <c r="N479">
        <v>32473</v>
      </c>
      <c r="O479">
        <v>35</v>
      </c>
      <c r="P479">
        <v>1250</v>
      </c>
      <c r="Q479">
        <v>0</v>
      </c>
      <c r="R479">
        <v>1600</v>
      </c>
      <c r="S479">
        <v>0</v>
      </c>
      <c r="T479">
        <v>350</v>
      </c>
      <c r="U479">
        <v>0</v>
      </c>
      <c r="V479" t="str">
        <v/>
      </c>
      <c r="W479" t="str">
        <v>0</v>
      </c>
      <c r="X479" t="str">
        <v/>
      </c>
      <c r="Y479">
        <v>44954</v>
      </c>
      <c r="Z479" t="str">
        <v>残り期限90日!</v>
      </c>
      <c r="AA479" t="str">
        <v>技術・人文知識・国際業務</v>
      </c>
      <c r="AB479" t="str">
        <v>509-7201</v>
      </c>
      <c r="AC479" t="str">
        <v>岐阜県恵那市大井町1120-303</v>
      </c>
      <c r="AD479" t="str">
        <v>各務ﾊｲﾂ4J</v>
      </c>
      <c r="AE479">
        <v>44314</v>
      </c>
      <c r="AF479">
        <v>44327</v>
      </c>
      <c r="AG479">
        <v>44592</v>
      </c>
      <c r="AH479">
        <v>0</v>
      </c>
      <c r="AI479">
        <v>44378</v>
      </c>
      <c r="AJ479" t="str">
        <v>ファム　デイン　トウン</v>
      </c>
      <c r="AK479" t="str">
        <v>ゆうちょ銀行</v>
      </c>
      <c r="AL479">
        <v>98</v>
      </c>
      <c r="AM479" t="str">
        <v>〇九八</v>
      </c>
      <c r="AN479" t="str">
        <v>1285143</v>
      </c>
      <c r="AO479">
        <v>0</v>
      </c>
      <c r="AP479">
        <v>0</v>
      </c>
    </row>
    <row r="480" spans="1:42">
      <c r="A480" t="str">
        <f>H480&amp;COUNTIF($H$2:H480,H480)</f>
        <v>CVJ6</v>
      </c>
      <c r="B480" t="str">
        <f>F480&amp;COUNTIF($F$2:F480,F480)</f>
        <v>瑞陵精機11</v>
      </c>
      <c r="C480" t="str">
        <v>退社</v>
      </c>
      <c r="D480">
        <v>210506</v>
      </c>
      <c r="E480">
        <v>0</v>
      </c>
      <c r="F480" t="str">
        <v>瑞陵精機</v>
      </c>
      <c r="G480" t="str">
        <v>製造1課</v>
      </c>
      <c r="H480" t="str">
        <v>CVJ</v>
      </c>
      <c r="I480">
        <v>0</v>
      </c>
      <c r="J480" t="str">
        <v>PHAM VAN KHANH</v>
      </c>
      <c r="K480" t="str">
        <v>ファン　ヴァン　カン</v>
      </c>
      <c r="L480" t="str">
        <v>男</v>
      </c>
      <c r="M480" t="str">
        <v>ﾍﾞﾄﾅﾑ</v>
      </c>
      <c r="N480">
        <v>33538</v>
      </c>
      <c r="O480">
        <v>32</v>
      </c>
      <c r="P480">
        <v>1250</v>
      </c>
      <c r="Q480">
        <v>0</v>
      </c>
      <c r="R480">
        <v>1600</v>
      </c>
      <c r="S480">
        <v>0</v>
      </c>
      <c r="T480">
        <v>350</v>
      </c>
      <c r="U480">
        <v>0</v>
      </c>
      <c r="V480" t="str">
        <v/>
      </c>
      <c r="W480" t="str">
        <v>0</v>
      </c>
      <c r="X480" t="str">
        <v/>
      </c>
      <c r="Y480">
        <v>44520</v>
      </c>
      <c r="Z480" t="str">
        <v>残り期限90日!</v>
      </c>
      <c r="AA480" t="str">
        <v>技術・人文知識・国際業務</v>
      </c>
      <c r="AB480" t="str">
        <v>509-7201</v>
      </c>
      <c r="AC480" t="str">
        <v>岐阜県恵那市大井町1120-303</v>
      </c>
      <c r="AD480" t="str">
        <v>各務ﾊｲﾂ7I</v>
      </c>
      <c r="AE480">
        <v>44314</v>
      </c>
      <c r="AF480">
        <v>44327</v>
      </c>
      <c r="AG480">
        <v>44553</v>
      </c>
      <c r="AH480">
        <v>0</v>
      </c>
      <c r="AI480">
        <v>44378</v>
      </c>
      <c r="AJ480" t="str">
        <v>ファム　ヴァン　ヒエウ</v>
      </c>
      <c r="AK480" t="str">
        <v>ゆうちょ銀行</v>
      </c>
      <c r="AL480">
        <v>408</v>
      </c>
      <c r="AM480" t="str">
        <v>四〇八</v>
      </c>
      <c r="AN480" t="str">
        <v>3267821</v>
      </c>
      <c r="AO480">
        <v>0</v>
      </c>
      <c r="AP480">
        <v>0</v>
      </c>
    </row>
    <row r="481" spans="1:42">
      <c r="A481" t="str">
        <f>H481&amp;COUNTIF($H$2:H481,H481)</f>
        <v>CVJ7</v>
      </c>
      <c r="B481" t="str">
        <f>F481&amp;COUNTIF($F$2:F481,F481)</f>
        <v>瑞陵精機12</v>
      </c>
      <c r="C481" t="str">
        <v>退社</v>
      </c>
      <c r="D481">
        <v>210508</v>
      </c>
      <c r="E481">
        <v>0</v>
      </c>
      <c r="F481" t="str">
        <v>瑞陵精機</v>
      </c>
      <c r="G481" t="str">
        <v>製造1課</v>
      </c>
      <c r="H481" t="str">
        <v>CVJ</v>
      </c>
      <c r="I481">
        <v>0</v>
      </c>
      <c r="J481" t="str">
        <v>HOANG XUAN THUY</v>
      </c>
      <c r="K481" t="str">
        <v>ファン　スアン　テイ</v>
      </c>
      <c r="L481" t="str">
        <v>男</v>
      </c>
      <c r="M481" t="str">
        <v>ﾍﾞﾄﾅﾑ</v>
      </c>
      <c r="N481">
        <v>29334</v>
      </c>
      <c r="O481">
        <v>43</v>
      </c>
      <c r="P481">
        <v>1320</v>
      </c>
      <c r="Q481">
        <v>0</v>
      </c>
      <c r="R481">
        <v>1700</v>
      </c>
      <c r="S481">
        <v>0</v>
      </c>
      <c r="T481">
        <v>380</v>
      </c>
      <c r="U481">
        <v>0</v>
      </c>
      <c r="V481" t="str">
        <v/>
      </c>
      <c r="W481" t="str">
        <v/>
      </c>
      <c r="X481" t="str">
        <v/>
      </c>
      <c r="Y481">
        <v>45363</v>
      </c>
      <c r="Z481" t="str">
        <v/>
      </c>
      <c r="AA481" t="str">
        <v>技術・人文知識・国際業務</v>
      </c>
      <c r="AB481" t="str">
        <v>509-7201</v>
      </c>
      <c r="AC481" t="str">
        <v>岐阜県恵那市大井町1120-303</v>
      </c>
      <c r="AD481" t="str">
        <v>各務ﾊｲﾂ2D</v>
      </c>
      <c r="AE481">
        <v>44336</v>
      </c>
      <c r="AF481">
        <v>44337</v>
      </c>
      <c r="AG481">
        <v>44568</v>
      </c>
      <c r="AH481">
        <v>0</v>
      </c>
      <c r="AI481">
        <v>44409</v>
      </c>
      <c r="AJ481" t="str">
        <v>ファム　デイン　トウン</v>
      </c>
      <c r="AK481" t="str">
        <v>ゆうちょ銀行</v>
      </c>
      <c r="AL481">
        <v>98</v>
      </c>
      <c r="AM481" t="str">
        <v>〇九八</v>
      </c>
      <c r="AN481" t="str">
        <v>1285143</v>
      </c>
      <c r="AO481">
        <v>0</v>
      </c>
      <c r="AP481">
        <v>0</v>
      </c>
    </row>
    <row r="482" spans="1:42">
      <c r="A482" t="str">
        <f>H482&amp;COUNTIF($H$2:H482,H482)</f>
        <v>0116</v>
      </c>
      <c r="B482" t="str">
        <f>F482&amp;COUNTIF($F$2:F482,F482)</f>
        <v>ﾌｪﾆﾃｯｸｾﾐｺﾝﾀﾞｸﾀｰ 鹿児島4</v>
      </c>
      <c r="C482" t="str">
        <v>退社</v>
      </c>
      <c r="D482">
        <v>210509</v>
      </c>
      <c r="E482">
        <v>0</v>
      </c>
      <c r="F482" t="str">
        <v>ﾌｪﾆﾃｯｸｾﾐｺﾝﾀﾞｸﾀｰ 鹿児島</v>
      </c>
      <c r="G482">
        <v>0</v>
      </c>
      <c r="H482">
        <v>0</v>
      </c>
      <c r="I482">
        <v>0</v>
      </c>
      <c r="J482" t="str">
        <v>TRUONG TRONG LUU</v>
      </c>
      <c r="K482" t="str">
        <v>チュオン　チョン　リュ</v>
      </c>
      <c r="L482" t="str">
        <v>男</v>
      </c>
      <c r="M482" t="str">
        <v>ﾍﾞﾄﾅﾑ</v>
      </c>
      <c r="N482">
        <v>35473</v>
      </c>
      <c r="O482">
        <v>26</v>
      </c>
      <c r="P482">
        <v>1400</v>
      </c>
      <c r="Q482">
        <v>0</v>
      </c>
      <c r="R482">
        <v>1900</v>
      </c>
      <c r="S482">
        <v>0</v>
      </c>
      <c r="T482">
        <v>500</v>
      </c>
      <c r="U482">
        <v>0</v>
      </c>
      <c r="V482" t="str">
        <v/>
      </c>
      <c r="W482" t="str">
        <v>0</v>
      </c>
      <c r="X482" t="str">
        <v/>
      </c>
      <c r="Y482">
        <v>45378</v>
      </c>
      <c r="Z482" t="str">
        <v/>
      </c>
      <c r="AA482" t="str">
        <v>技術・人文知識・国際業務</v>
      </c>
      <c r="AB482" t="str">
        <v>899-6201</v>
      </c>
      <c r="AC482" t="str">
        <v>鹿児島県姶良郡湧水町木場280-3</v>
      </c>
      <c r="AD482" t="str">
        <v>宮前ﾂｲﾝﾊｲﾂA101</v>
      </c>
      <c r="AE482">
        <v>44338</v>
      </c>
      <c r="AF482">
        <v>44340</v>
      </c>
      <c r="AG482">
        <v>44439</v>
      </c>
      <c r="AH482">
        <v>0</v>
      </c>
      <c r="AI482">
        <v>44409</v>
      </c>
      <c r="AJ482" t="str">
        <v>ファム　ヴァン　ヒエウ</v>
      </c>
      <c r="AK482" t="str">
        <v>ゆうちょ銀行</v>
      </c>
      <c r="AL482">
        <v>408</v>
      </c>
      <c r="AM482" t="str">
        <v>四〇八</v>
      </c>
      <c r="AN482" t="str">
        <v>3267821</v>
      </c>
      <c r="AO482">
        <v>0</v>
      </c>
      <c r="AP482">
        <v>0</v>
      </c>
    </row>
    <row r="483" spans="1:42">
      <c r="A483" t="str">
        <f>H483&amp;COUNTIF($H$2:H483,H483)</f>
        <v>0117</v>
      </c>
      <c r="B483" t="str">
        <f>F483&amp;COUNTIF($F$2:F483,F483)</f>
        <v>高雄工業 海南第二11</v>
      </c>
      <c r="C483" t="str">
        <v>退社</v>
      </c>
      <c r="D483">
        <v>210510</v>
      </c>
      <c r="E483">
        <v>0</v>
      </c>
      <c r="F483" t="str">
        <v>高雄工業 海南第二</v>
      </c>
      <c r="G483">
        <v>0</v>
      </c>
      <c r="H483">
        <v>0</v>
      </c>
      <c r="I483">
        <v>0</v>
      </c>
      <c r="J483" t="str">
        <v>VU VAN CHUC</v>
      </c>
      <c r="K483" t="str">
        <v>ヴ　ヴァン　チュック</v>
      </c>
      <c r="L483" t="str">
        <v>男</v>
      </c>
      <c r="M483" t="str">
        <v>ﾍﾞﾄﾅﾑ</v>
      </c>
      <c r="N483">
        <v>32542</v>
      </c>
      <c r="O483">
        <v>34</v>
      </c>
      <c r="P483">
        <v>1250</v>
      </c>
      <c r="Q483">
        <v>0</v>
      </c>
      <c r="R483">
        <v>1750</v>
      </c>
      <c r="S483">
        <v>0</v>
      </c>
      <c r="T483">
        <v>500</v>
      </c>
      <c r="U483">
        <v>0</v>
      </c>
      <c r="V483" t="str">
        <v/>
      </c>
      <c r="W483" t="str">
        <v>0</v>
      </c>
      <c r="X483" t="str">
        <v/>
      </c>
      <c r="Y483">
        <v>44939</v>
      </c>
      <c r="Z483" t="str">
        <v>残り期限90日!</v>
      </c>
      <c r="AA483" t="str">
        <v>技術・人文知識・国際業務</v>
      </c>
      <c r="AB483" t="str">
        <v>498-0032</v>
      </c>
      <c r="AC483" t="str">
        <v>愛知県弥富市平島中4丁目128</v>
      </c>
      <c r="AD483" t="str">
        <v>村上貸家</v>
      </c>
      <c r="AE483">
        <v>0</v>
      </c>
      <c r="AF483">
        <v>44341</v>
      </c>
      <c r="AG483">
        <v>44498</v>
      </c>
      <c r="AH483">
        <v>0</v>
      </c>
      <c r="AI483">
        <v>44409</v>
      </c>
      <c r="AJ483" t="str">
        <v>ファム　デイン　トウン</v>
      </c>
      <c r="AK483" t="str">
        <v>ゆうちょ銀行</v>
      </c>
      <c r="AL483">
        <v>98</v>
      </c>
      <c r="AM483" t="str">
        <v>〇九八</v>
      </c>
      <c r="AN483" t="str">
        <v>1285143</v>
      </c>
      <c r="AO483">
        <v>0</v>
      </c>
      <c r="AP483">
        <v>0</v>
      </c>
    </row>
    <row r="484" spans="1:42">
      <c r="A484" t="str">
        <f>H484&amp;COUNTIF($H$2:H484,H484)</f>
        <v>0118</v>
      </c>
      <c r="B484" t="str">
        <f>F484&amp;COUNTIF($F$2:F484,F484)</f>
        <v>高雄工業 本社33</v>
      </c>
      <c r="C484" t="str">
        <v>退社</v>
      </c>
      <c r="D484">
        <v>210511</v>
      </c>
      <c r="E484">
        <v>0</v>
      </c>
      <c r="F484" t="str">
        <v>高雄工業 本社</v>
      </c>
      <c r="G484">
        <v>0</v>
      </c>
      <c r="H484">
        <v>0</v>
      </c>
      <c r="I484">
        <v>0</v>
      </c>
      <c r="J484" t="str">
        <v>TRAN VAN QUYNH</v>
      </c>
      <c r="K484" t="str">
        <v>チャン　ヴァン　クイン</v>
      </c>
      <c r="L484" t="str">
        <v>男</v>
      </c>
      <c r="M484" t="str">
        <v>ﾍﾞﾄﾅﾑ</v>
      </c>
      <c r="N484">
        <v>34886</v>
      </c>
      <c r="O484">
        <v>28</v>
      </c>
      <c r="P484">
        <v>1200</v>
      </c>
      <c r="Q484">
        <v>0</v>
      </c>
      <c r="R484">
        <v>1600</v>
      </c>
      <c r="S484">
        <v>0</v>
      </c>
      <c r="T484">
        <v>400</v>
      </c>
      <c r="U484">
        <v>0</v>
      </c>
      <c r="V484" t="str">
        <v/>
      </c>
      <c r="W484" t="str">
        <v>0</v>
      </c>
      <c r="X484" t="str">
        <v/>
      </c>
      <c r="Y484">
        <v>44987</v>
      </c>
      <c r="Z484" t="str">
        <v>残り期限90日!</v>
      </c>
      <c r="AA484" t="str">
        <v>技術・人文知識・国際業務</v>
      </c>
      <c r="AB484" t="str">
        <v>498-0017</v>
      </c>
      <c r="AC484" t="str">
        <v>愛知県弥富市前ヶ須町東勘助138</v>
      </c>
      <c r="AD484" t="str">
        <v>安井ﾋﾞﾙ5D</v>
      </c>
      <c r="AE484">
        <v>44343</v>
      </c>
      <c r="AF484">
        <v>44347</v>
      </c>
      <c r="AG484">
        <v>44357</v>
      </c>
      <c r="AH484">
        <v>0</v>
      </c>
      <c r="AI484">
        <v>44409</v>
      </c>
      <c r="AJ484" t="str">
        <v>ファム　ヴァン　ヒエウ</v>
      </c>
      <c r="AK484" t="str">
        <v>ゆうちょ銀行</v>
      </c>
      <c r="AL484">
        <v>408</v>
      </c>
      <c r="AM484" t="str">
        <v>四〇八</v>
      </c>
      <c r="AN484" t="str">
        <v>3267821</v>
      </c>
      <c r="AO484">
        <v>0</v>
      </c>
      <c r="AP484">
        <v>0</v>
      </c>
    </row>
    <row r="485" spans="1:42">
      <c r="A485" t="str">
        <f>H485&amp;COUNTIF($H$2:H485,H485)</f>
        <v>0119</v>
      </c>
      <c r="B485" t="str">
        <f>F485&amp;COUNTIF($F$2:F485,F485)</f>
        <v>ﾌｪﾆﾃｯｸｾﾐｺﾝﾀﾞｸﾀｰ 鹿児島5</v>
      </c>
      <c r="C485" t="str">
        <v>退社</v>
      </c>
      <c r="D485">
        <v>210600</v>
      </c>
      <c r="E485">
        <v>0</v>
      </c>
      <c r="F485" t="str">
        <v>ﾌｪﾆﾃｯｸｾﾐｺﾝﾀﾞｸﾀｰ 鹿児島</v>
      </c>
      <c r="G485">
        <v>0</v>
      </c>
      <c r="H485">
        <v>0</v>
      </c>
      <c r="I485">
        <v>0</v>
      </c>
      <c r="J485" t="str">
        <v>HASHIMOTO ALEX SANDRO</v>
      </c>
      <c r="K485" t="str">
        <v>ハシモト　アレックス　サンドロ</v>
      </c>
      <c r="L485" t="str">
        <v>男</v>
      </c>
      <c r="M485" t="str">
        <v>ﾌﾞﾗｼﾞﾙ</v>
      </c>
      <c r="N485">
        <v>28900</v>
      </c>
      <c r="O485">
        <v>44</v>
      </c>
      <c r="P485">
        <v>1400</v>
      </c>
      <c r="Q485">
        <v>0</v>
      </c>
      <c r="R485">
        <v>1900</v>
      </c>
      <c r="S485">
        <v>0</v>
      </c>
      <c r="T485">
        <v>500</v>
      </c>
      <c r="U485">
        <v>0</v>
      </c>
      <c r="V485" t="str">
        <v/>
      </c>
      <c r="W485" t="str">
        <v/>
      </c>
      <c r="X485" t="str">
        <v/>
      </c>
      <c r="Y485">
        <v>45078</v>
      </c>
      <c r="Z485" t="str">
        <v>残り期限90日!</v>
      </c>
      <c r="AA485" t="str">
        <v>定住者</v>
      </c>
      <c r="AB485" t="str">
        <v>895-2701</v>
      </c>
      <c r="AC485" t="str">
        <v>鹿児島県伊佐市菱刈前目1942</v>
      </c>
      <c r="AD485" t="str">
        <v>菱刈ﾊｲﾂA103</v>
      </c>
      <c r="AE485">
        <v>44344</v>
      </c>
      <c r="AF485">
        <v>44348</v>
      </c>
      <c r="AG485">
        <v>44352</v>
      </c>
      <c r="AH485">
        <v>0</v>
      </c>
      <c r="AI485">
        <v>44409</v>
      </c>
      <c r="AJ485" t="str">
        <v>ファム　デイン　トウン</v>
      </c>
      <c r="AK485" t="str">
        <v>ゆうちょ銀行</v>
      </c>
      <c r="AL485">
        <v>98</v>
      </c>
      <c r="AM485" t="str">
        <v>〇九八</v>
      </c>
      <c r="AN485" t="str">
        <v>1285143</v>
      </c>
      <c r="AO485">
        <v>0</v>
      </c>
      <c r="AP485">
        <v>0</v>
      </c>
    </row>
    <row r="486" spans="1:42">
      <c r="A486" t="str">
        <f>H486&amp;COUNTIF($H$2:H486,H486)</f>
        <v>0120</v>
      </c>
      <c r="B486" t="str">
        <f>F486&amp;COUNTIF($F$2:F486,F486)</f>
        <v>ﾌｪﾆﾃｯｸｾﾐｺﾝﾀﾞｸﾀｰ 鹿児島6</v>
      </c>
      <c r="C486" t="str">
        <v>退社</v>
      </c>
      <c r="D486">
        <v>210618</v>
      </c>
      <c r="E486">
        <v>0</v>
      </c>
      <c r="F486" t="str">
        <v>ﾌｪﾆﾃｯｸｾﾐｺﾝﾀﾞｸﾀｰ 鹿児島</v>
      </c>
      <c r="G486">
        <v>0</v>
      </c>
      <c r="H486">
        <v>0</v>
      </c>
      <c r="I486">
        <v>0</v>
      </c>
      <c r="J486" t="str">
        <v>DANG THI HONG</v>
      </c>
      <c r="K486" t="str">
        <v>ダオ　ティ　ホン</v>
      </c>
      <c r="L486" t="str">
        <v>女</v>
      </c>
      <c r="M486" t="str">
        <v>ﾍﾞﾄﾅﾑ</v>
      </c>
      <c r="N486">
        <v>32613</v>
      </c>
      <c r="O486">
        <v>34</v>
      </c>
      <c r="P486">
        <v>1250</v>
      </c>
      <c r="Q486">
        <v>0</v>
      </c>
      <c r="R486">
        <v>1900</v>
      </c>
      <c r="S486">
        <v>0</v>
      </c>
      <c r="T486">
        <v>650</v>
      </c>
      <c r="U486">
        <v>0</v>
      </c>
      <c r="V486" t="str">
        <v/>
      </c>
      <c r="W486" t="str">
        <v>0</v>
      </c>
      <c r="X486" t="str">
        <v/>
      </c>
      <c r="Y486">
        <v>44568</v>
      </c>
      <c r="Z486" t="str">
        <v>残り期限90日!</v>
      </c>
      <c r="AA486" t="str">
        <v>定住者</v>
      </c>
      <c r="AB486" t="str">
        <v>895-2701</v>
      </c>
      <c r="AC486" t="str">
        <v>鹿児島県伊佐市菱刈前目1942</v>
      </c>
      <c r="AD486" t="str">
        <v>菱刈ﾊｲﾂA103</v>
      </c>
      <c r="AE486">
        <v>44344</v>
      </c>
      <c r="AF486">
        <v>44348</v>
      </c>
      <c r="AG486">
        <v>44352</v>
      </c>
      <c r="AH486">
        <v>0</v>
      </c>
      <c r="AI486">
        <v>44409</v>
      </c>
      <c r="AJ486" t="str">
        <v>ファム　デイン　トウン</v>
      </c>
      <c r="AK486" t="str">
        <v>ゆうちょ銀行</v>
      </c>
      <c r="AL486">
        <v>98</v>
      </c>
      <c r="AM486" t="str">
        <v>〇九八</v>
      </c>
      <c r="AN486" t="str">
        <v>1285143</v>
      </c>
      <c r="AO486">
        <v>0</v>
      </c>
      <c r="AP486">
        <v>0</v>
      </c>
    </row>
    <row r="487" spans="1:42">
      <c r="A487" t="str">
        <f>H487&amp;COUNTIF($H$2:H487,H487)</f>
        <v>0121</v>
      </c>
      <c r="B487" t="str">
        <f>F487&amp;COUNTIF($F$2:F487,F487)</f>
        <v>ﾌｪﾆﾃｯｸｾﾐｺﾝﾀﾞｸﾀｰ 鹿児島7</v>
      </c>
      <c r="C487" t="str">
        <v>退社</v>
      </c>
      <c r="D487">
        <v>210617</v>
      </c>
      <c r="E487">
        <v>0</v>
      </c>
      <c r="F487" t="str">
        <v>ﾌｪﾆﾃｯｸｾﾐｺﾝﾀﾞｸﾀｰ 鹿児島</v>
      </c>
      <c r="G487">
        <v>0</v>
      </c>
      <c r="H487">
        <v>0</v>
      </c>
      <c r="I487">
        <v>0</v>
      </c>
      <c r="J487" t="str">
        <v>NGUYEN SY DUC</v>
      </c>
      <c r="K487" t="str">
        <v>グエン　シー　ドック</v>
      </c>
      <c r="L487" t="str">
        <v>男</v>
      </c>
      <c r="M487" t="str">
        <v>ﾍﾞﾄﾅﾑ</v>
      </c>
      <c r="N487">
        <v>31475</v>
      </c>
      <c r="O487">
        <v>37</v>
      </c>
      <c r="P487">
        <v>1400</v>
      </c>
      <c r="Q487">
        <v>0</v>
      </c>
      <c r="R487">
        <v>1900</v>
      </c>
      <c r="S487">
        <v>0</v>
      </c>
      <c r="T487">
        <v>500</v>
      </c>
      <c r="U487">
        <v>0</v>
      </c>
      <c r="V487" t="str">
        <v/>
      </c>
      <c r="W487" t="str">
        <v>0</v>
      </c>
      <c r="X487" t="str">
        <v/>
      </c>
      <c r="Y487">
        <v>44644</v>
      </c>
      <c r="Z487" t="str">
        <v>残り期限90日!</v>
      </c>
      <c r="AA487" t="str">
        <v>技術・人文知識・国際業務</v>
      </c>
      <c r="AB487" t="str">
        <v>899-6201</v>
      </c>
      <c r="AC487" t="str">
        <v>鹿児島県姶良郡湧水町木場280-3</v>
      </c>
      <c r="AD487" t="str">
        <v>宮前ﾂｲﾝﾊｲﾂA101</v>
      </c>
      <c r="AE487">
        <v>44346</v>
      </c>
      <c r="AF487">
        <v>44348</v>
      </c>
      <c r="AG487">
        <v>44352</v>
      </c>
      <c r="AH487">
        <v>0</v>
      </c>
      <c r="AI487">
        <v>44409</v>
      </c>
      <c r="AJ487" t="str">
        <v>ファム　ヴァン　ヒエウ</v>
      </c>
      <c r="AK487" t="str">
        <v>ゆうちょ銀行</v>
      </c>
      <c r="AL487">
        <v>408</v>
      </c>
      <c r="AM487" t="str">
        <v>四〇八</v>
      </c>
      <c r="AN487" t="str">
        <v>3267821</v>
      </c>
      <c r="AO487">
        <v>0</v>
      </c>
      <c r="AP487">
        <v>0</v>
      </c>
    </row>
    <row r="488" spans="1:42">
      <c r="A488" t="str">
        <f>H488&amp;COUNTIF($H$2:H488,H488)</f>
        <v>0122</v>
      </c>
      <c r="B488" t="str">
        <f>F488&amp;COUNTIF($F$2:F488,F488)</f>
        <v>高雄工業 岡山113</v>
      </c>
      <c r="C488" t="str">
        <v>退社</v>
      </c>
      <c r="D488">
        <v>210601</v>
      </c>
      <c r="E488">
        <v>0</v>
      </c>
      <c r="F488" t="str">
        <v>高雄工業 岡山</v>
      </c>
      <c r="G488">
        <v>0</v>
      </c>
      <c r="H488">
        <v>0</v>
      </c>
      <c r="I488">
        <v>0</v>
      </c>
      <c r="J488" t="str">
        <v>DAO VAN LOI</v>
      </c>
      <c r="K488" t="str">
        <v>ダオ　バン　ロイ</v>
      </c>
      <c r="L488" t="str">
        <v>男</v>
      </c>
      <c r="M488" t="str">
        <v>ﾍﾞﾄﾅﾑ</v>
      </c>
      <c r="N488">
        <v>31986</v>
      </c>
      <c r="O488">
        <v>36</v>
      </c>
      <c r="P488">
        <v>1350</v>
      </c>
      <c r="Q488">
        <v>0</v>
      </c>
      <c r="R488">
        <v>1750</v>
      </c>
      <c r="S488">
        <v>0</v>
      </c>
      <c r="T488">
        <v>400</v>
      </c>
      <c r="U488">
        <v>0</v>
      </c>
      <c r="V488" t="str">
        <v/>
      </c>
      <c r="W488" t="str">
        <v>0</v>
      </c>
      <c r="X488" t="str">
        <v/>
      </c>
      <c r="Y488">
        <v>45363</v>
      </c>
      <c r="Z488" t="str">
        <v/>
      </c>
      <c r="AA488" t="str">
        <v>技術・人文知識・国際業務</v>
      </c>
      <c r="AB488" t="str">
        <v>709-2107</v>
      </c>
      <c r="AC488" t="str">
        <v>岡山県岡山市北区御津矢原294-1</v>
      </c>
      <c r="AD488" t="str">
        <v>成広矢原ｺｰﾎﾟⅢ103号</v>
      </c>
      <c r="AE488">
        <v>44346</v>
      </c>
      <c r="AF488">
        <v>44348</v>
      </c>
      <c r="AG488">
        <v>44525</v>
      </c>
      <c r="AH488">
        <v>0</v>
      </c>
      <c r="AI488">
        <v>0</v>
      </c>
      <c r="AJ488" t="str">
        <v>ファム　ヴァン　ヒエウ</v>
      </c>
      <c r="AK488" t="str">
        <v>ゆうちょ銀行</v>
      </c>
      <c r="AL488">
        <v>408</v>
      </c>
      <c r="AM488" t="str">
        <v>四〇八</v>
      </c>
      <c r="AN488" t="str">
        <v>3267821</v>
      </c>
      <c r="AO488">
        <v>0</v>
      </c>
      <c r="AP488">
        <v>0</v>
      </c>
    </row>
    <row r="489" spans="1:42">
      <c r="A489" t="str">
        <f>H489&amp;COUNTIF($H$2:H489,H489)</f>
        <v>0123</v>
      </c>
      <c r="B489" t="str">
        <f>F489&amp;COUNTIF($F$2:F489,F489)</f>
        <v>高雄工業 静岡83</v>
      </c>
      <c r="C489" t="str">
        <v>退社</v>
      </c>
      <c r="D489">
        <v>210606</v>
      </c>
      <c r="E489">
        <v>0</v>
      </c>
      <c r="F489" t="str">
        <v>高雄工業 静岡</v>
      </c>
      <c r="G489">
        <v>0</v>
      </c>
      <c r="H489">
        <v>0</v>
      </c>
      <c r="I489">
        <v>0</v>
      </c>
      <c r="J489" t="str">
        <v>NGUYEN QUOC KHAI</v>
      </c>
      <c r="K489" t="str">
        <v>グエン　クオック　カイ</v>
      </c>
      <c r="L489" t="str">
        <v>男</v>
      </c>
      <c r="M489" t="str">
        <v>ﾍﾞﾄﾅﾑ</v>
      </c>
      <c r="N489">
        <v>34954</v>
      </c>
      <c r="O489">
        <v>28</v>
      </c>
      <c r="P489">
        <v>1400</v>
      </c>
      <c r="Q489" t="str">
        <v>6/16~ \1200⇒\1250</v>
      </c>
      <c r="R489">
        <v>1750</v>
      </c>
      <c r="S489" t="str">
        <v>9/16~ 1600円→1750円</v>
      </c>
      <c r="T489">
        <v>350</v>
      </c>
      <c r="U489">
        <v>0</v>
      </c>
      <c r="V489" t="str">
        <v/>
      </c>
      <c r="W489" t="str">
        <v>0</v>
      </c>
      <c r="X489" t="str">
        <v/>
      </c>
      <c r="Y489">
        <v>44870</v>
      </c>
      <c r="Z489" t="str">
        <v>残り期限90日!</v>
      </c>
      <c r="AA489" t="str">
        <v>技術・人文知識・国際業務</v>
      </c>
      <c r="AB489" t="str">
        <v>437-0015</v>
      </c>
      <c r="AC489" t="str">
        <v>静岡県袋井市旭町2-7-5</v>
      </c>
      <c r="AD489" t="str">
        <v>ﾌｨﾌﾃｨⅠ-101</v>
      </c>
      <c r="AE489">
        <v>44350</v>
      </c>
      <c r="AF489">
        <v>44355</v>
      </c>
      <c r="AG489">
        <v>44666</v>
      </c>
      <c r="AH489">
        <v>0</v>
      </c>
      <c r="AI489">
        <v>44409</v>
      </c>
      <c r="AJ489" t="str">
        <v>ファム　デイン　トウン</v>
      </c>
      <c r="AK489" t="str">
        <v>ゆうちょ銀行</v>
      </c>
      <c r="AL489">
        <v>98</v>
      </c>
      <c r="AM489" t="str">
        <v>〇九八</v>
      </c>
      <c r="AN489" t="str">
        <v>1285143</v>
      </c>
      <c r="AO489" t="str">
        <v>OK</v>
      </c>
      <c r="AP489">
        <v>0</v>
      </c>
    </row>
    <row r="490" spans="1:42">
      <c r="A490" t="str">
        <f>H490&amp;COUNTIF($H$2:H490,H490)</f>
        <v>0124</v>
      </c>
      <c r="B490" t="str">
        <f>F490&amp;COUNTIF($F$2:F490,F490)</f>
        <v>高雄工業 岡山114</v>
      </c>
      <c r="C490" t="str">
        <v>退社</v>
      </c>
      <c r="D490">
        <v>210607</v>
      </c>
      <c r="E490">
        <v>0</v>
      </c>
      <c r="F490" t="str">
        <v>高雄工業 岡山</v>
      </c>
      <c r="G490">
        <v>0</v>
      </c>
      <c r="H490">
        <v>0</v>
      </c>
      <c r="I490">
        <v>0</v>
      </c>
      <c r="J490" t="str">
        <v>PHAN THANH SI</v>
      </c>
      <c r="K490" t="str">
        <v>ファン　タイン　シー</v>
      </c>
      <c r="L490" t="str">
        <v>男</v>
      </c>
      <c r="M490" t="str">
        <v>ﾍﾞﾄﾅﾑ</v>
      </c>
      <c r="N490">
        <v>32127</v>
      </c>
      <c r="O490">
        <v>35</v>
      </c>
      <c r="P490">
        <v>1300</v>
      </c>
      <c r="Q490">
        <v>0</v>
      </c>
      <c r="R490">
        <v>1600</v>
      </c>
      <c r="S490">
        <v>0</v>
      </c>
      <c r="T490">
        <v>300</v>
      </c>
      <c r="U490">
        <v>0</v>
      </c>
      <c r="V490" t="str">
        <v/>
      </c>
      <c r="W490" t="str">
        <v>0</v>
      </c>
      <c r="X490" t="str">
        <v/>
      </c>
      <c r="Y490">
        <v>45083</v>
      </c>
      <c r="Z490" t="str">
        <v>残り期限90日!</v>
      </c>
      <c r="AA490" t="str">
        <v>技術・人文知識・国際業務</v>
      </c>
      <c r="AB490" t="str">
        <v>700-0065</v>
      </c>
      <c r="AC490" t="str">
        <v>岡山県岡山市北区野殿東町10番17号</v>
      </c>
      <c r="AD490">
        <v>0</v>
      </c>
      <c r="AE490">
        <v>0</v>
      </c>
      <c r="AF490">
        <v>44357</v>
      </c>
      <c r="AG490">
        <v>44439</v>
      </c>
      <c r="AH490">
        <v>0</v>
      </c>
      <c r="AI490">
        <v>44348</v>
      </c>
      <c r="AJ490" t="str">
        <v>ファム　ヴァン　ヒエウ</v>
      </c>
      <c r="AK490" t="str">
        <v>ゆうちょ銀行</v>
      </c>
      <c r="AL490">
        <v>408</v>
      </c>
      <c r="AM490" t="str">
        <v>四〇八</v>
      </c>
      <c r="AN490" t="str">
        <v>3267821</v>
      </c>
      <c r="AO490">
        <v>0</v>
      </c>
      <c r="AP490">
        <v>0</v>
      </c>
    </row>
    <row r="491" spans="1:42">
      <c r="A491" t="str">
        <f>H491&amp;COUNTIF($H$2:H491,H491)</f>
        <v>0125</v>
      </c>
      <c r="B491" t="str">
        <f>F491&amp;COUNTIF($F$2:F491,F491)</f>
        <v>高雄工業 海南第一38</v>
      </c>
      <c r="C491" t="str">
        <v>退社</v>
      </c>
      <c r="D491">
        <v>210611</v>
      </c>
      <c r="E491">
        <v>0</v>
      </c>
      <c r="F491" t="str">
        <v>高雄工業 海南第一</v>
      </c>
      <c r="G491">
        <v>0</v>
      </c>
      <c r="H491">
        <v>0</v>
      </c>
      <c r="I491">
        <v>0</v>
      </c>
      <c r="J491" t="str">
        <v>TRUONG DINH HUNG</v>
      </c>
      <c r="K491" t="str">
        <v>トゥン　ディン　フン</v>
      </c>
      <c r="L491" t="str">
        <v>男</v>
      </c>
      <c r="M491" t="str">
        <v>ﾍﾞﾄﾅﾑ</v>
      </c>
      <c r="N491">
        <v>33440</v>
      </c>
      <c r="O491">
        <v>32</v>
      </c>
      <c r="P491">
        <v>1400</v>
      </c>
      <c r="Q491" t="str">
        <v>6/16~ \1200⇒\1250</v>
      </c>
      <c r="R491">
        <v>1750</v>
      </c>
      <c r="S491" t="str">
        <v>9/16~ 1600円→1750円</v>
      </c>
      <c r="T491">
        <v>350</v>
      </c>
      <c r="U491">
        <v>0</v>
      </c>
      <c r="V491" t="str">
        <v/>
      </c>
      <c r="W491" t="str">
        <v>0</v>
      </c>
      <c r="X491" t="str">
        <v/>
      </c>
      <c r="Y491">
        <v>44862</v>
      </c>
      <c r="Z491" t="str">
        <v>残り期限90日!</v>
      </c>
      <c r="AA491" t="str">
        <v>技術・人文知識・国際業務</v>
      </c>
      <c r="AB491" t="str">
        <v>498-0017</v>
      </c>
      <c r="AC491" t="str">
        <v>愛知県弥富市前ヶ須町東勘助138</v>
      </c>
      <c r="AD491" t="str">
        <v>安井ﾋﾞﾙ5D</v>
      </c>
      <c r="AE491">
        <v>44355</v>
      </c>
      <c r="AF491">
        <v>44363</v>
      </c>
      <c r="AG491">
        <v>44659</v>
      </c>
      <c r="AH491">
        <v>0</v>
      </c>
      <c r="AI491">
        <v>44409</v>
      </c>
      <c r="AJ491" t="str">
        <v>ファム　デイン　トウン</v>
      </c>
      <c r="AK491" t="str">
        <v>ゆうちょ銀行</v>
      </c>
      <c r="AL491">
        <v>98</v>
      </c>
      <c r="AM491" t="str">
        <v>〇九八</v>
      </c>
      <c r="AN491" t="str">
        <v>1285143</v>
      </c>
      <c r="AO491" t="str">
        <v>OK</v>
      </c>
      <c r="AP491">
        <v>0</v>
      </c>
    </row>
    <row r="492" spans="1:42">
      <c r="A492" t="str">
        <f>H492&amp;COUNTIF($H$2:H492,H492)</f>
        <v>0126</v>
      </c>
      <c r="B492" t="str">
        <f>F492&amp;COUNTIF($F$2:F492,F492)</f>
        <v>セイビテック10</v>
      </c>
      <c r="C492" t="str">
        <v>退社</v>
      </c>
      <c r="D492">
        <v>210612</v>
      </c>
      <c r="E492">
        <v>0</v>
      </c>
      <c r="F492" t="str">
        <v>セイビテック</v>
      </c>
      <c r="G492">
        <v>0</v>
      </c>
      <c r="H492">
        <v>0</v>
      </c>
      <c r="I492">
        <v>0</v>
      </c>
      <c r="J492" t="str">
        <v>NGUYEN THI NGOC LINH</v>
      </c>
      <c r="K492" t="str">
        <v>グエン　ティ　ゴック　リン</v>
      </c>
      <c r="L492" t="str">
        <v>女</v>
      </c>
      <c r="M492" t="str">
        <v>ﾍﾞﾄﾅﾑ</v>
      </c>
      <c r="N492">
        <v>34226</v>
      </c>
      <c r="O492">
        <v>30</v>
      </c>
      <c r="P492">
        <v>1300</v>
      </c>
      <c r="Q492" t="str">
        <v>2021/9/21～　1250⇒1300UP</v>
      </c>
      <c r="R492">
        <v>1900</v>
      </c>
      <c r="S492" t="str">
        <v>入社一か月後　2000円へUP</v>
      </c>
      <c r="T492">
        <v>600</v>
      </c>
      <c r="U492">
        <v>0</v>
      </c>
      <c r="V492" t="str">
        <v/>
      </c>
      <c r="W492" t="str">
        <v>0</v>
      </c>
      <c r="X492" t="str">
        <v/>
      </c>
      <c r="Y492">
        <v>44726</v>
      </c>
      <c r="Z492" t="str">
        <v>残り期限90日!</v>
      </c>
      <c r="AA492" t="str">
        <v>技術・人文知識・国際業務</v>
      </c>
      <c r="AB492" t="str">
        <v>715-0022</v>
      </c>
      <c r="AC492" t="str">
        <v>岡山県井原市下出部町2丁目8-7</v>
      </c>
      <c r="AD492" t="str">
        <v>ｴｽﾃｰﾄｲﾃﾞﾊﾗB102</v>
      </c>
      <c r="AE492">
        <v>0</v>
      </c>
      <c r="AF492">
        <v>44368</v>
      </c>
      <c r="AG492">
        <v>44699</v>
      </c>
      <c r="AH492">
        <v>0</v>
      </c>
      <c r="AI492">
        <v>44409</v>
      </c>
      <c r="AJ492" t="str">
        <v>ファム　ヴァン　ヒエウ</v>
      </c>
      <c r="AK492" t="str">
        <v>ゆうちょ銀行</v>
      </c>
      <c r="AL492">
        <v>408</v>
      </c>
      <c r="AM492" t="str">
        <v>四〇八</v>
      </c>
      <c r="AN492" t="str">
        <v>3267821</v>
      </c>
      <c r="AO492" t="str">
        <v>OK</v>
      </c>
      <c r="AP492" t="str">
        <v>3/11最終出勤日、産休終了5/18で退社</v>
      </c>
    </row>
    <row r="493" spans="1:42">
      <c r="A493" t="str">
        <f>H493&amp;COUNTIF($H$2:H493,H493)</f>
        <v>CVJ短軸旋盤係10</v>
      </c>
      <c r="B493" t="str">
        <f>F493&amp;COUNTIF($F$2:F493,F493)</f>
        <v>高雄工業 本社34</v>
      </c>
      <c r="C493" t="str">
        <v>退社</v>
      </c>
      <c r="D493">
        <v>210613</v>
      </c>
      <c r="E493">
        <v>0</v>
      </c>
      <c r="F493" t="str">
        <v>高雄工業 本社</v>
      </c>
      <c r="G493">
        <v>0</v>
      </c>
      <c r="H493" t="str">
        <v>CVJ短軸旋盤係</v>
      </c>
      <c r="I493">
        <v>0</v>
      </c>
      <c r="J493" t="str">
        <v>VAN THE LUONG</v>
      </c>
      <c r="K493" t="str">
        <v>ヴァン　テエ　ルオン</v>
      </c>
      <c r="L493" t="str">
        <v>男</v>
      </c>
      <c r="M493" t="str">
        <v>ﾍﾞﾄﾅﾑ</v>
      </c>
      <c r="N493">
        <v>35664</v>
      </c>
      <c r="O493">
        <v>26</v>
      </c>
      <c r="P493">
        <v>1400</v>
      </c>
      <c r="Q493" t="str">
        <v>6/16~ \1200⇒\1250</v>
      </c>
      <c r="R493">
        <v>1750</v>
      </c>
      <c r="S493" t="str">
        <v>9/16~ 1600円→1750円</v>
      </c>
      <c r="T493">
        <v>350</v>
      </c>
      <c r="U493">
        <v>0</v>
      </c>
      <c r="V493" t="str">
        <v/>
      </c>
      <c r="W493" t="str">
        <v>0</v>
      </c>
      <c r="X493" t="str">
        <v/>
      </c>
      <c r="Y493">
        <v>45981</v>
      </c>
      <c r="Z493" t="str">
        <v/>
      </c>
      <c r="AA493" t="str">
        <v>技術・人文知識・国際業務</v>
      </c>
      <c r="AB493" t="str">
        <v>498-0017</v>
      </c>
      <c r="AC493" t="str">
        <v>愛知県弥富市前ヶ須町東勘助138</v>
      </c>
      <c r="AD493" t="str">
        <v>安井ﾋﾞﾙ2C</v>
      </c>
      <c r="AE493">
        <v>44367</v>
      </c>
      <c r="AF493">
        <v>44368</v>
      </c>
      <c r="AG493">
        <v>44680</v>
      </c>
      <c r="AH493">
        <v>0</v>
      </c>
      <c r="AI493">
        <v>0</v>
      </c>
      <c r="AJ493" t="str">
        <v>ヴァン　テエ　ルオン</v>
      </c>
      <c r="AK493" t="str">
        <v>ゆうちょ銀行</v>
      </c>
      <c r="AL493">
        <v>208</v>
      </c>
      <c r="AM493" t="str">
        <v>二〇八</v>
      </c>
      <c r="AN493" t="str">
        <v>1805087</v>
      </c>
      <c r="AO493" t="str">
        <v>OK</v>
      </c>
      <c r="AP493">
        <v>0</v>
      </c>
    </row>
    <row r="494" spans="1:42">
      <c r="A494" t="str">
        <f>H494&amp;COUNTIF($H$2:H494,H494)</f>
        <v>0127</v>
      </c>
      <c r="B494" t="str">
        <f>F494&amp;COUNTIF($F$2:F494,F494)</f>
        <v>高雄工業 本社35</v>
      </c>
      <c r="C494" t="str">
        <v>退社</v>
      </c>
      <c r="D494">
        <v>210614</v>
      </c>
      <c r="E494">
        <v>0</v>
      </c>
      <c r="F494" t="str">
        <v>高雄工業 本社</v>
      </c>
      <c r="G494">
        <v>0</v>
      </c>
      <c r="H494">
        <v>0</v>
      </c>
      <c r="I494">
        <v>0</v>
      </c>
      <c r="J494" t="str">
        <v>NGUYEN VIET HOANG</v>
      </c>
      <c r="K494" t="str">
        <v>グエン　ヴィエン　ホアン</v>
      </c>
      <c r="L494" t="str">
        <v>男</v>
      </c>
      <c r="M494" t="str">
        <v>ﾍﾞﾄﾅﾑ</v>
      </c>
      <c r="N494">
        <v>35371</v>
      </c>
      <c r="O494">
        <v>27</v>
      </c>
      <c r="P494">
        <v>1400</v>
      </c>
      <c r="Q494">
        <v>0</v>
      </c>
      <c r="R494">
        <v>1750</v>
      </c>
      <c r="S494" t="str">
        <v>9/16~ 1600円→1750円</v>
      </c>
      <c r="T494">
        <v>350</v>
      </c>
      <c r="U494">
        <v>0</v>
      </c>
      <c r="V494" t="str">
        <v/>
      </c>
      <c r="W494" t="str">
        <v>0</v>
      </c>
      <c r="X494" t="str">
        <v/>
      </c>
      <c r="Y494">
        <v>45981</v>
      </c>
      <c r="Z494" t="str">
        <v/>
      </c>
      <c r="AA494" t="str">
        <v>技術・人文知識・国際業務</v>
      </c>
      <c r="AB494" t="str">
        <v>498-0017</v>
      </c>
      <c r="AC494" t="str">
        <v>愛知県弥富市前ヶ須町東勘助138</v>
      </c>
      <c r="AD494" t="str">
        <v>安井ﾋﾞﾙ2C</v>
      </c>
      <c r="AE494">
        <v>44367</v>
      </c>
      <c r="AF494">
        <v>44368</v>
      </c>
      <c r="AG494">
        <v>44602</v>
      </c>
      <c r="AH494">
        <v>0</v>
      </c>
      <c r="AI494">
        <v>0</v>
      </c>
      <c r="AJ494" t="str">
        <v>ファム　デイン　トウン</v>
      </c>
      <c r="AK494" t="str">
        <v>ゆうちょ銀行</v>
      </c>
      <c r="AL494">
        <v>98</v>
      </c>
      <c r="AM494" t="str">
        <v>〇九八</v>
      </c>
      <c r="AN494" t="str">
        <v>1285143</v>
      </c>
      <c r="AO494">
        <v>0</v>
      </c>
      <c r="AP494">
        <v>0</v>
      </c>
    </row>
    <row r="495" spans="1:42">
      <c r="A495" t="str">
        <f>H495&amp;COUNTIF($H$2:H495,H495)</f>
        <v>0128</v>
      </c>
      <c r="B495" t="str">
        <f>F495&amp;COUNTIF($F$2:F495,F495)</f>
        <v>ﾌｪﾆﾃｯｸｾﾐｺﾝﾀﾞｸﾀｰ 鹿児島8</v>
      </c>
      <c r="C495" t="str">
        <v>退社</v>
      </c>
      <c r="D495">
        <v>210615</v>
      </c>
      <c r="E495">
        <v>0</v>
      </c>
      <c r="F495" t="str">
        <v>ﾌｪﾆﾃｯｸｾﾐｺﾝﾀﾞｸﾀｰ 鹿児島</v>
      </c>
      <c r="G495" t="str">
        <v>鹿児島工場　製造部　製造課</v>
      </c>
      <c r="H495">
        <v>0</v>
      </c>
      <c r="I495">
        <v>0</v>
      </c>
      <c r="J495" t="str">
        <v>DANG VAN DAI</v>
      </c>
      <c r="K495" t="str">
        <v>ダン　ヴァン　ダイ</v>
      </c>
      <c r="L495" t="str">
        <v>男</v>
      </c>
      <c r="M495" t="str">
        <v>ﾍﾞﾄﾅﾑ</v>
      </c>
      <c r="N495">
        <v>32930</v>
      </c>
      <c r="O495">
        <v>33</v>
      </c>
      <c r="P495">
        <v>1400</v>
      </c>
      <c r="Q495">
        <v>0</v>
      </c>
      <c r="R495">
        <v>2000</v>
      </c>
      <c r="S495" t="str">
        <v>2022/7/1~ 1900円⇒2000円</v>
      </c>
      <c r="T495">
        <v>600</v>
      </c>
      <c r="U495">
        <v>300000</v>
      </c>
      <c r="V495">
        <v>15014.999999999998</v>
      </c>
      <c r="W495" t="str">
        <v>0</v>
      </c>
      <c r="X495">
        <v>27450</v>
      </c>
      <c r="Y495">
        <v>45330</v>
      </c>
      <c r="Z495" t="str">
        <v>残り期限90日!</v>
      </c>
      <c r="AA495" t="str">
        <v>技術・人文知識・国際業務</v>
      </c>
      <c r="AB495" t="str">
        <v>899-6201</v>
      </c>
      <c r="AC495" t="str">
        <v>鹿児島県姶良郡湧水町木場255番地1</v>
      </c>
      <c r="AD495" t="str">
        <v>宮前住宅2号室241号</v>
      </c>
      <c r="AE495">
        <v>44368</v>
      </c>
      <c r="AF495">
        <v>44369</v>
      </c>
      <c r="AG495">
        <v>45056</v>
      </c>
      <c r="AH495">
        <v>44602</v>
      </c>
      <c r="AI495">
        <v>0</v>
      </c>
      <c r="AJ495" t="str">
        <v>ダン　ヴァン　ダイ</v>
      </c>
      <c r="AK495" t="str">
        <v>ゆうちょ銀行</v>
      </c>
      <c r="AL495">
        <v>638</v>
      </c>
      <c r="AM495" t="str">
        <v>六三八</v>
      </c>
      <c r="AN495" t="str">
        <v>1856702</v>
      </c>
      <c r="AO495" t="str">
        <v>OK</v>
      </c>
      <c r="AP495">
        <v>0</v>
      </c>
    </row>
    <row r="496" spans="1:42">
      <c r="A496" t="str">
        <f>H496&amp;COUNTIF($H$2:H496,H496)</f>
        <v>0129</v>
      </c>
      <c r="B496" t="str">
        <f>F496&amp;COUNTIF($F$2:F496,F496)</f>
        <v>高雄工業 岡山115</v>
      </c>
      <c r="C496" t="str">
        <v>退社</v>
      </c>
      <c r="D496">
        <v>210616</v>
      </c>
      <c r="E496">
        <v>0</v>
      </c>
      <c r="F496" t="str">
        <v>高雄工業 岡山</v>
      </c>
      <c r="G496">
        <v>0</v>
      </c>
      <c r="H496">
        <v>0</v>
      </c>
      <c r="I496">
        <v>0</v>
      </c>
      <c r="J496" t="str">
        <v>LE HUY HOANG</v>
      </c>
      <c r="K496" t="str">
        <v>レ　フィ　ホアン</v>
      </c>
      <c r="L496" t="str">
        <v>男</v>
      </c>
      <c r="M496" t="str">
        <v>ﾍﾞﾄﾅﾑ</v>
      </c>
      <c r="N496">
        <v>35273</v>
      </c>
      <c r="O496">
        <v>27</v>
      </c>
      <c r="P496">
        <v>1350</v>
      </c>
      <c r="Q496">
        <v>0</v>
      </c>
      <c r="R496">
        <v>1750</v>
      </c>
      <c r="S496" t="str">
        <v>9/16~ 1600円→1750円</v>
      </c>
      <c r="T496">
        <v>400</v>
      </c>
      <c r="U496">
        <v>0</v>
      </c>
      <c r="V496" t="str">
        <v/>
      </c>
      <c r="W496" t="str">
        <v>0</v>
      </c>
      <c r="X496" t="str">
        <v/>
      </c>
      <c r="Y496">
        <v>45557</v>
      </c>
      <c r="Z496" t="str">
        <v/>
      </c>
      <c r="AA496" t="str">
        <v>技術・人文知識・国際業務</v>
      </c>
      <c r="AB496" t="str">
        <v>709-2107</v>
      </c>
      <c r="AC496" t="str">
        <v>岡山県岡山市北区御津矢原307-1</v>
      </c>
      <c r="AD496" t="str">
        <v>成広矢原ｺｰﾎﾟⅡ102号</v>
      </c>
      <c r="AE496">
        <v>44369</v>
      </c>
      <c r="AF496">
        <v>44371</v>
      </c>
      <c r="AG496">
        <v>44559</v>
      </c>
      <c r="AH496">
        <v>0</v>
      </c>
      <c r="AI496">
        <v>44378</v>
      </c>
      <c r="AJ496" t="str">
        <v>ファム　ヴァン　ヒエウ</v>
      </c>
      <c r="AK496" t="str">
        <v>ゆうちょ銀行</v>
      </c>
      <c r="AL496">
        <v>408</v>
      </c>
      <c r="AM496" t="str">
        <v>四〇八</v>
      </c>
      <c r="AN496" t="str">
        <v>3267821</v>
      </c>
      <c r="AO496">
        <v>0</v>
      </c>
      <c r="AP496">
        <v>0</v>
      </c>
    </row>
    <row r="497" spans="1:42">
      <c r="A497" t="str">
        <f>H497&amp;COUNTIF($H$2:H497,H497)</f>
        <v>0130</v>
      </c>
      <c r="B497" t="str">
        <f>F497&amp;COUNTIF($F$2:F497,F497)</f>
        <v>セイビテック11</v>
      </c>
      <c r="C497" t="str">
        <v>退社</v>
      </c>
      <c r="D497">
        <v>210701</v>
      </c>
      <c r="E497">
        <v>0</v>
      </c>
      <c r="F497" t="str">
        <v>セイビテック</v>
      </c>
      <c r="G497">
        <v>0</v>
      </c>
      <c r="H497">
        <v>0</v>
      </c>
      <c r="I497">
        <v>0</v>
      </c>
      <c r="J497" t="str">
        <v>HOANG VAN NHI</v>
      </c>
      <c r="K497" t="str">
        <v>ホアン　ヴァン　ニー</v>
      </c>
      <c r="L497" t="str">
        <v>男</v>
      </c>
      <c r="M497" t="str">
        <v>ﾍﾞﾄﾅﾑ</v>
      </c>
      <c r="N497">
        <v>34963</v>
      </c>
      <c r="O497">
        <v>28</v>
      </c>
      <c r="P497">
        <v>1400</v>
      </c>
      <c r="Q497">
        <v>0</v>
      </c>
      <c r="R497">
        <v>2000</v>
      </c>
      <c r="S497">
        <v>0</v>
      </c>
      <c r="T497">
        <v>600</v>
      </c>
      <c r="U497">
        <v>0</v>
      </c>
      <c r="V497" t="str">
        <v/>
      </c>
      <c r="W497" t="str">
        <v>0</v>
      </c>
      <c r="X497" t="str">
        <v/>
      </c>
      <c r="Y497">
        <v>45526</v>
      </c>
      <c r="Z497" t="str">
        <v/>
      </c>
      <c r="AA497" t="str">
        <v>技術・人文知識・国際業務</v>
      </c>
      <c r="AB497" t="str">
        <v>715-0024</v>
      </c>
      <c r="AC497" t="str">
        <v>岡山県井原市高屋町1丁目20-11</v>
      </c>
      <c r="AD497" t="str">
        <v>ｲﾌﾟｼﾛﾝB102</v>
      </c>
      <c r="AE497">
        <v>44380</v>
      </c>
      <c r="AF497">
        <v>44378</v>
      </c>
      <c r="AG497">
        <v>44584</v>
      </c>
      <c r="AH497">
        <v>0</v>
      </c>
      <c r="AI497">
        <v>0</v>
      </c>
      <c r="AJ497" t="str">
        <v>ファム　デイン　トウン</v>
      </c>
      <c r="AK497" t="str">
        <v>ゆうちょ銀行</v>
      </c>
      <c r="AL497">
        <v>98</v>
      </c>
      <c r="AM497" t="str">
        <v>〇九八</v>
      </c>
      <c r="AN497" t="str">
        <v>1285143</v>
      </c>
      <c r="AO497">
        <v>0</v>
      </c>
      <c r="AP497">
        <v>0</v>
      </c>
    </row>
    <row r="498" spans="1:42">
      <c r="A498" t="str">
        <f>H498&amp;COUNTIF($H$2:H498,H498)</f>
        <v>0131</v>
      </c>
      <c r="B498" t="str">
        <f>F498&amp;COUNTIF($F$2:F498,F498)</f>
        <v>高雄工業 本社36</v>
      </c>
      <c r="C498" t="str">
        <v>退社</v>
      </c>
      <c r="D498">
        <v>210702</v>
      </c>
      <c r="E498">
        <v>0</v>
      </c>
      <c r="F498" t="str">
        <v>高雄工業 本社</v>
      </c>
      <c r="G498">
        <v>0</v>
      </c>
      <c r="H498">
        <v>0</v>
      </c>
      <c r="I498">
        <v>0</v>
      </c>
      <c r="J498" t="str">
        <v>LE TIEN THANH</v>
      </c>
      <c r="K498" t="str">
        <v>レ　ティエン　タイン</v>
      </c>
      <c r="L498" t="str">
        <v>男</v>
      </c>
      <c r="M498" t="str">
        <v>ﾍﾞﾄﾅﾑ</v>
      </c>
      <c r="N498">
        <v>34612</v>
      </c>
      <c r="O498">
        <v>29</v>
      </c>
      <c r="P498">
        <v>1370</v>
      </c>
      <c r="Q498">
        <v>0</v>
      </c>
      <c r="R498">
        <v>1770</v>
      </c>
      <c r="S498" t="str">
        <v>400</v>
      </c>
      <c r="T498">
        <v>400</v>
      </c>
      <c r="U498">
        <v>0</v>
      </c>
      <c r="V498" t="str">
        <v/>
      </c>
      <c r="W498" t="str">
        <v>0</v>
      </c>
      <c r="X498" t="str">
        <v/>
      </c>
      <c r="Y498">
        <v>45721</v>
      </c>
      <c r="Z498" t="str">
        <v/>
      </c>
      <c r="AA498" t="str">
        <v>技術・人文知識・国際業務</v>
      </c>
      <c r="AB498" t="str">
        <v>498-0031</v>
      </c>
      <c r="AC498" t="str">
        <v>愛知県弥富市平島町北広畑10-1</v>
      </c>
      <c r="AD498" t="str">
        <v>ﾚﾌﾞﾗﾝｶﾐｰﾘｱA201</v>
      </c>
      <c r="AE498">
        <v>44379</v>
      </c>
      <c r="AF498">
        <v>44382</v>
      </c>
      <c r="AG498">
        <v>44520</v>
      </c>
      <c r="AH498">
        <v>0</v>
      </c>
      <c r="AI498">
        <v>0</v>
      </c>
      <c r="AJ498" t="str">
        <v>ファム　ヴァン　ヒエウ</v>
      </c>
      <c r="AK498" t="str">
        <v>ゆうちょ銀行</v>
      </c>
      <c r="AL498">
        <v>408</v>
      </c>
      <c r="AM498" t="str">
        <v>四〇八</v>
      </c>
      <c r="AN498" t="str">
        <v>3267821</v>
      </c>
      <c r="AO498">
        <v>0</v>
      </c>
      <c r="AP498">
        <v>0</v>
      </c>
    </row>
    <row r="499" spans="1:42">
      <c r="A499" t="str">
        <f>H499&amp;COUNTIF($H$2:H499,H499)</f>
        <v>0132</v>
      </c>
      <c r="B499" t="str">
        <f>F499&amp;COUNTIF($F$2:F499,F499)</f>
        <v>ﾌｪﾆﾃｯｸｾﾐｺﾝﾀﾞｸﾀｰ 鹿児島9</v>
      </c>
      <c r="C499" t="str">
        <v>在職中</v>
      </c>
      <c r="D499">
        <v>210705</v>
      </c>
      <c r="E499">
        <v>0</v>
      </c>
      <c r="F499" t="str">
        <v>ﾌｪﾆﾃｯｸｾﾐｺﾝﾀﾞｸﾀｰ 鹿児島</v>
      </c>
      <c r="G499" t="str">
        <v>鹿児島工場　製造部　製造課</v>
      </c>
      <c r="H499">
        <v>0</v>
      </c>
      <c r="I499">
        <v>0</v>
      </c>
      <c r="J499" t="str">
        <v>DOAN THANH QUYNH</v>
      </c>
      <c r="K499" t="str">
        <v>ドアン　タン　クイン</v>
      </c>
      <c r="L499" t="str">
        <v>男</v>
      </c>
      <c r="M499" t="str">
        <v>ﾍﾞﾄﾅﾑ</v>
      </c>
      <c r="N499">
        <v>34528</v>
      </c>
      <c r="O499">
        <v>29</v>
      </c>
      <c r="P499">
        <v>1400</v>
      </c>
      <c r="Q499">
        <v>0</v>
      </c>
      <c r="R499">
        <v>2000</v>
      </c>
      <c r="S499" t="str">
        <v>2022/7/1~ 1900円⇒2000円</v>
      </c>
      <c r="T499">
        <v>600</v>
      </c>
      <c r="U499">
        <v>280000</v>
      </c>
      <c r="V499">
        <v>14014</v>
      </c>
      <c r="W499" t="str">
        <v>0</v>
      </c>
      <c r="X499">
        <v>25620</v>
      </c>
      <c r="Y499">
        <v>45311</v>
      </c>
      <c r="Z499" t="str">
        <v>残り期限90日!</v>
      </c>
      <c r="AA499" t="str">
        <v>技術・人文知識・国際業務</v>
      </c>
      <c r="AB499" t="str">
        <v>899-6201</v>
      </c>
      <c r="AC499" t="str">
        <v>鹿児島県姶良郡湧水町木場1218番地</v>
      </c>
      <c r="AD499" t="str">
        <v>尾鉢第2住宅1号棟112号</v>
      </c>
      <c r="AE499" t="str">
        <v>個人</v>
      </c>
      <c r="AF499">
        <v>44384</v>
      </c>
      <c r="AG499">
        <v>0</v>
      </c>
      <c r="AH499">
        <v>0</v>
      </c>
      <c r="AI499">
        <v>0</v>
      </c>
      <c r="AJ499" t="str">
        <v>ドアン　タン　クイン</v>
      </c>
      <c r="AK499" t="str">
        <v>ゆうちょ銀行</v>
      </c>
      <c r="AL499">
        <v>748</v>
      </c>
      <c r="AM499" t="str">
        <v>七四八</v>
      </c>
      <c r="AN499" t="str">
        <v>9571125</v>
      </c>
      <c r="AO499" t="str">
        <v>OK</v>
      </c>
      <c r="AP499">
        <v>0</v>
      </c>
    </row>
    <row r="500" spans="1:42">
      <c r="A500" t="str">
        <f>H500&amp;COUNTIF($H$2:H500,H500)</f>
        <v>0133</v>
      </c>
      <c r="B500" t="str">
        <f>F500&amp;COUNTIF($F$2:F500,F500)</f>
        <v>ﾌｪﾆﾃｯｸｾﾐｺﾝﾀﾞｸﾀｰ 鹿児島10</v>
      </c>
      <c r="C500" t="str">
        <v>退社</v>
      </c>
      <c r="D500">
        <v>210704</v>
      </c>
      <c r="E500">
        <v>0</v>
      </c>
      <c r="F500" t="str">
        <v>ﾌｪﾆﾃｯｸｾﾐｺﾝﾀﾞｸﾀｰ 鹿児島</v>
      </c>
      <c r="G500">
        <v>0</v>
      </c>
      <c r="H500">
        <v>0</v>
      </c>
      <c r="I500">
        <v>0</v>
      </c>
      <c r="J500" t="str">
        <v>NGUYEN VAN HAO</v>
      </c>
      <c r="K500" t="str">
        <v>グエン　ヴァン　ハオ</v>
      </c>
      <c r="L500" t="str">
        <v>男</v>
      </c>
      <c r="M500" t="str">
        <v>ﾍﾞﾄﾅﾑ</v>
      </c>
      <c r="N500">
        <v>34208</v>
      </c>
      <c r="O500">
        <v>30</v>
      </c>
      <c r="P500">
        <v>1400</v>
      </c>
      <c r="Q500">
        <v>0</v>
      </c>
      <c r="R500">
        <v>1900</v>
      </c>
      <c r="S500">
        <v>0</v>
      </c>
      <c r="T500">
        <v>500</v>
      </c>
      <c r="U500">
        <v>0</v>
      </c>
      <c r="V500" t="str">
        <v/>
      </c>
      <c r="W500" t="str">
        <v>0</v>
      </c>
      <c r="X500" t="str">
        <v/>
      </c>
      <c r="Y500">
        <v>45492</v>
      </c>
      <c r="Z500" t="str">
        <v/>
      </c>
      <c r="AA500" t="str">
        <v>技術・人文知識・国際業務</v>
      </c>
      <c r="AB500" t="str">
        <v>899-6200</v>
      </c>
      <c r="AC500" t="str">
        <v>鹿児島県姶良郡湧水町木場1214番地1</v>
      </c>
      <c r="AD500" t="str">
        <v>尾鉢第3住宅1号棟</v>
      </c>
      <c r="AE500">
        <v>44382</v>
      </c>
      <c r="AF500">
        <v>44384</v>
      </c>
      <c r="AG500">
        <v>44649</v>
      </c>
      <c r="AH500">
        <v>0</v>
      </c>
      <c r="AI500">
        <v>0</v>
      </c>
      <c r="AJ500" t="str">
        <v>ファム　デイン　トウン</v>
      </c>
      <c r="AK500" t="str">
        <v>ゆうちょ銀行</v>
      </c>
      <c r="AL500">
        <v>98</v>
      </c>
      <c r="AM500" t="str">
        <v>〇九八</v>
      </c>
      <c r="AN500" t="str">
        <v>1285143</v>
      </c>
      <c r="AO500" t="str">
        <v>OK</v>
      </c>
      <c r="AP500">
        <v>0</v>
      </c>
    </row>
    <row r="501" spans="1:42">
      <c r="A501" t="str">
        <f>H501&amp;COUNTIF($H$2:H501,H501)</f>
        <v>CVJ8</v>
      </c>
      <c r="B501" t="str">
        <f>F501&amp;COUNTIF($F$2:F501,F501)</f>
        <v>瑞陵精機13</v>
      </c>
      <c r="C501" t="str">
        <v>退社</v>
      </c>
      <c r="D501">
        <v>210707</v>
      </c>
      <c r="E501">
        <v>0</v>
      </c>
      <c r="F501" t="str">
        <v>瑞陵精機</v>
      </c>
      <c r="G501" t="str">
        <v>製造1課</v>
      </c>
      <c r="H501" t="str">
        <v>CVJ</v>
      </c>
      <c r="I501">
        <v>0</v>
      </c>
      <c r="J501" t="str">
        <v>VI HONG KIEN</v>
      </c>
      <c r="K501" t="str">
        <v>ビ　ホン　キエン</v>
      </c>
      <c r="L501" t="str">
        <v>男</v>
      </c>
      <c r="M501" t="str">
        <v>ﾍﾞﾄﾅﾑ</v>
      </c>
      <c r="N501">
        <v>35717</v>
      </c>
      <c r="O501">
        <v>26</v>
      </c>
      <c r="P501">
        <v>1300</v>
      </c>
      <c r="Q501" t="str">
        <v>2022/3/21～　1250円→1300円</v>
      </c>
      <c r="R501">
        <v>1700</v>
      </c>
      <c r="S501">
        <v>0</v>
      </c>
      <c r="T501">
        <v>400</v>
      </c>
      <c r="U501">
        <v>0</v>
      </c>
      <c r="V501" t="str">
        <v/>
      </c>
      <c r="W501" t="str">
        <v>0</v>
      </c>
      <c r="X501" t="str">
        <v/>
      </c>
      <c r="Y501">
        <v>44988</v>
      </c>
      <c r="Z501" t="str">
        <v>残り期限90日!</v>
      </c>
      <c r="AA501" t="str">
        <v>技術・人文知識・国際業務</v>
      </c>
      <c r="AB501" t="str">
        <v>509-7201</v>
      </c>
      <c r="AC501" t="str">
        <v>岐阜県恵那市大井町1120-303</v>
      </c>
      <c r="AD501" t="str">
        <v>各務ﾊｲﾂ4J</v>
      </c>
      <c r="AE501">
        <v>44390</v>
      </c>
      <c r="AF501">
        <v>44391</v>
      </c>
      <c r="AG501">
        <v>44680</v>
      </c>
      <c r="AH501">
        <v>0</v>
      </c>
      <c r="AI501">
        <v>0</v>
      </c>
      <c r="AJ501" t="str">
        <v>ビー　ホン　キエン</v>
      </c>
      <c r="AK501" t="str">
        <v>ゆうちょ銀行</v>
      </c>
      <c r="AL501">
        <v>208</v>
      </c>
      <c r="AM501" t="str">
        <v>二〇八</v>
      </c>
      <c r="AN501" t="str">
        <v>2308513</v>
      </c>
      <c r="AO501" t="str">
        <v>OK</v>
      </c>
      <c r="AP501">
        <v>0</v>
      </c>
    </row>
    <row r="502" spans="1:42">
      <c r="A502" t="str">
        <f>H502&amp;COUNTIF($H$2:H502,H502)</f>
        <v>0134</v>
      </c>
      <c r="B502" t="str">
        <f>F502&amp;COUNTIF($F$2:F502,F502)</f>
        <v>コーリツ 州の崎34</v>
      </c>
      <c r="C502" t="str">
        <v>退社</v>
      </c>
      <c r="D502">
        <v>210710</v>
      </c>
      <c r="E502">
        <v>0</v>
      </c>
      <c r="F502" t="str">
        <v>コーリツ 州の崎</v>
      </c>
      <c r="G502">
        <v>0</v>
      </c>
      <c r="H502">
        <v>0</v>
      </c>
      <c r="I502">
        <v>0</v>
      </c>
      <c r="J502" t="str">
        <v>NGUYEN XUAN THANG</v>
      </c>
      <c r="K502" t="str">
        <v>グエン　スワン　タン</v>
      </c>
      <c r="L502" t="str">
        <v>男</v>
      </c>
      <c r="M502" t="str">
        <v>ﾍﾞﾄﾅﾑ</v>
      </c>
      <c r="N502">
        <v>33139</v>
      </c>
      <c r="O502">
        <v>33</v>
      </c>
      <c r="P502">
        <v>1400</v>
      </c>
      <c r="Q502">
        <v>0</v>
      </c>
      <c r="R502">
        <v>1990</v>
      </c>
      <c r="S502">
        <v>0</v>
      </c>
      <c r="T502">
        <v>590</v>
      </c>
      <c r="U502">
        <v>0</v>
      </c>
      <c r="V502" t="str">
        <v/>
      </c>
      <c r="W502" t="str">
        <v>0</v>
      </c>
      <c r="X502" t="str">
        <v/>
      </c>
      <c r="Y502">
        <v>45441</v>
      </c>
      <c r="Z502" t="str">
        <v/>
      </c>
      <c r="AA502" t="str">
        <v>技術・人文知識・国際業務</v>
      </c>
      <c r="AB502" t="str">
        <v>475-0041</v>
      </c>
      <c r="AC502" t="str">
        <v>愛知県半田市乙川太田町2丁目125番地</v>
      </c>
      <c r="AD502" t="str">
        <v>ｺｰﾎﾟｵｰｸｽ202号</v>
      </c>
      <c r="AE502" t="str">
        <v>個人</v>
      </c>
      <c r="AF502">
        <v>44396</v>
      </c>
      <c r="AG502">
        <v>44652</v>
      </c>
      <c r="AH502">
        <v>0</v>
      </c>
      <c r="AI502">
        <v>44470</v>
      </c>
      <c r="AJ502" t="str">
        <v>ファム　ヴァン　ヒエウ</v>
      </c>
      <c r="AK502" t="str">
        <v>ゆうちょ銀行</v>
      </c>
      <c r="AL502">
        <v>408</v>
      </c>
      <c r="AM502" t="str">
        <v>四〇八</v>
      </c>
      <c r="AN502" t="str">
        <v>3267821</v>
      </c>
      <c r="AO502" t="str">
        <v>OK</v>
      </c>
      <c r="AP502">
        <v>0</v>
      </c>
    </row>
    <row r="503" spans="1:42">
      <c r="A503" t="str">
        <f>H503&amp;COUNTIF($H$2:H503,H503)</f>
        <v>0135</v>
      </c>
      <c r="B503" t="str">
        <f>F503&amp;COUNTIF($F$2:F503,F503)</f>
        <v>ﾌｪﾆﾃｯｸｾﾐｺﾝﾀﾞｸﾀｰ 岡山18</v>
      </c>
      <c r="C503" t="str">
        <v>退社</v>
      </c>
      <c r="D503">
        <v>210804</v>
      </c>
      <c r="E503">
        <v>0</v>
      </c>
      <c r="F503" t="str">
        <v>ﾌｪﾆﾃｯｸｾﾐｺﾝﾀﾞｸﾀｰ 岡山</v>
      </c>
      <c r="G503">
        <v>0</v>
      </c>
      <c r="H503">
        <v>0</v>
      </c>
      <c r="I503">
        <v>0</v>
      </c>
      <c r="J503" t="str">
        <v>NGUYEN TRONG DU</v>
      </c>
      <c r="K503" t="str">
        <v>グエン　チョン　ズ</v>
      </c>
      <c r="L503" t="str">
        <v>男</v>
      </c>
      <c r="M503" t="str">
        <v>ﾍﾞﾄﾅﾑ</v>
      </c>
      <c r="N503">
        <v>33813</v>
      </c>
      <c r="O503">
        <v>31</v>
      </c>
      <c r="P503">
        <v>1500</v>
      </c>
      <c r="Q503" t="str">
        <v>2021/11/21～1400⇒1500</v>
      </c>
      <c r="R503">
        <v>2300</v>
      </c>
      <c r="S503">
        <v>0</v>
      </c>
      <c r="T503">
        <v>800</v>
      </c>
      <c r="U503">
        <v>0</v>
      </c>
      <c r="V503" t="str">
        <v/>
      </c>
      <c r="W503" t="str">
        <v>0</v>
      </c>
      <c r="X503" t="str">
        <v/>
      </c>
      <c r="Y503">
        <v>44751</v>
      </c>
      <c r="Z503" t="str">
        <v>残り期限90日!</v>
      </c>
      <c r="AA503" t="str">
        <v>技術・人文知識・国際業務</v>
      </c>
      <c r="AB503" t="str">
        <v>715-0014</v>
      </c>
      <c r="AC503" t="str">
        <v>岡山県井原市七日市町696-2</v>
      </c>
      <c r="AD503" t="str">
        <v>Florence1997 201</v>
      </c>
      <c r="AE503">
        <v>44413</v>
      </c>
      <c r="AF503">
        <v>44424</v>
      </c>
      <c r="AG503">
        <v>44617</v>
      </c>
      <c r="AH503">
        <v>0</v>
      </c>
      <c r="AI503">
        <v>44470</v>
      </c>
      <c r="AJ503" t="str">
        <v>ファム　ヴァン　ヒエウ</v>
      </c>
      <c r="AK503" t="str">
        <v>ゆうちょ銀行</v>
      </c>
      <c r="AL503">
        <v>408</v>
      </c>
      <c r="AM503" t="str">
        <v>四〇八</v>
      </c>
      <c r="AN503" t="str">
        <v>3267821</v>
      </c>
      <c r="AO503">
        <v>0</v>
      </c>
      <c r="AP503">
        <v>0</v>
      </c>
    </row>
    <row r="504" spans="1:42">
      <c r="A504" t="str">
        <f>H504&amp;COUNTIF($H$2:H504,H504)</f>
        <v>0136</v>
      </c>
      <c r="B504" t="str">
        <f>F504&amp;COUNTIF($F$2:F504,F504)</f>
        <v>高雄工業 静岡84</v>
      </c>
      <c r="C504" t="str">
        <v>退社</v>
      </c>
      <c r="D504">
        <v>210809</v>
      </c>
      <c r="E504">
        <v>0</v>
      </c>
      <c r="F504" t="str">
        <v>高雄工業 静岡</v>
      </c>
      <c r="G504">
        <v>0</v>
      </c>
      <c r="H504">
        <v>0</v>
      </c>
      <c r="I504">
        <v>0</v>
      </c>
      <c r="J504" t="str">
        <v>HOANG QUOC HUAN</v>
      </c>
      <c r="K504" t="str">
        <v>ホアン　コック　ホウアン</v>
      </c>
      <c r="L504" t="str">
        <v>男</v>
      </c>
      <c r="M504" t="str">
        <v>ﾍﾞﾄﾅﾑ</v>
      </c>
      <c r="N504">
        <v>34444</v>
      </c>
      <c r="O504">
        <v>29</v>
      </c>
      <c r="P504">
        <v>1350</v>
      </c>
      <c r="Q504">
        <v>0</v>
      </c>
      <c r="R504">
        <v>1750</v>
      </c>
      <c r="S504" t="str">
        <v>9/16~ 1600円→1750円</v>
      </c>
      <c r="T504">
        <v>400</v>
      </c>
      <c r="U504">
        <v>0</v>
      </c>
      <c r="V504" t="str">
        <v/>
      </c>
      <c r="W504" t="str">
        <v>0</v>
      </c>
      <c r="X504" t="str">
        <v/>
      </c>
      <c r="Y504">
        <v>45377</v>
      </c>
      <c r="Z504" t="str">
        <v/>
      </c>
      <c r="AA504" t="str">
        <v>技術・人文知識・国際業務</v>
      </c>
      <c r="AB504" t="str">
        <v>437-0065</v>
      </c>
      <c r="AC504" t="str">
        <v>静岡県袋井市堀越1丁目21-9</v>
      </c>
      <c r="AD504" t="str">
        <v>ﾌﾟﾁｾｿﾞﾝ203号</v>
      </c>
      <c r="AE504">
        <v>44421</v>
      </c>
      <c r="AF504">
        <v>44424</v>
      </c>
      <c r="AG504">
        <v>44616</v>
      </c>
      <c r="AH504">
        <v>44619</v>
      </c>
      <c r="AI504">
        <v>44470</v>
      </c>
      <c r="AJ504" t="str">
        <v>ファム　デイン　トウン</v>
      </c>
      <c r="AK504" t="str">
        <v>ゆうちょ銀行</v>
      </c>
      <c r="AL504">
        <v>98</v>
      </c>
      <c r="AM504" t="str">
        <v>〇九八</v>
      </c>
      <c r="AN504" t="str">
        <v>1285143</v>
      </c>
      <c r="AO504">
        <v>0</v>
      </c>
      <c r="AP504">
        <v>0</v>
      </c>
    </row>
    <row r="505" spans="1:42">
      <c r="A505" t="str">
        <f>H505&amp;COUNTIF($H$2:H505,H505)</f>
        <v>0137</v>
      </c>
      <c r="B505" t="str">
        <f>F505&amp;COUNTIF($F$2:F505,F505)</f>
        <v>高雄工業 海南第二12</v>
      </c>
      <c r="C505" t="str">
        <v>退社</v>
      </c>
      <c r="D505">
        <v>210817</v>
      </c>
      <c r="E505">
        <v>0</v>
      </c>
      <c r="F505" t="str">
        <v>高雄工業 海南第二</v>
      </c>
      <c r="G505">
        <v>0</v>
      </c>
      <c r="H505">
        <v>0</v>
      </c>
      <c r="I505">
        <v>0</v>
      </c>
      <c r="J505" t="str">
        <v>NGUYEN QUANG TRUNG</v>
      </c>
      <c r="K505" t="str">
        <v>グエン　クアン　チュン</v>
      </c>
      <c r="L505" t="str">
        <v>男</v>
      </c>
      <c r="M505" t="str">
        <v>ﾍﾞﾄﾅﾑ</v>
      </c>
      <c r="N505">
        <v>35386</v>
      </c>
      <c r="O505">
        <v>27</v>
      </c>
      <c r="P505">
        <v>1360</v>
      </c>
      <c r="Q505">
        <v>0</v>
      </c>
      <c r="R505">
        <v>1760</v>
      </c>
      <c r="S505" t="str">
        <v>9/16~ 1610円→1760円</v>
      </c>
      <c r="T505">
        <v>400</v>
      </c>
      <c r="U505">
        <v>0</v>
      </c>
      <c r="V505" t="str">
        <v/>
      </c>
      <c r="W505" t="str">
        <v>0</v>
      </c>
      <c r="X505" t="str">
        <v/>
      </c>
      <c r="Y505">
        <v>45180</v>
      </c>
      <c r="Z505" t="str">
        <v>残り期限90日!</v>
      </c>
      <c r="AA505" t="str">
        <v>技術・人文知識・国際業務</v>
      </c>
      <c r="AB505" t="str">
        <v>498-0032</v>
      </c>
      <c r="AC505" t="str">
        <v>愛知県弥富市平島中4丁目128</v>
      </c>
      <c r="AD505" t="str">
        <v>村上貸家</v>
      </c>
      <c r="AE505">
        <v>44429</v>
      </c>
      <c r="AF505">
        <v>44431</v>
      </c>
      <c r="AG505">
        <v>44659</v>
      </c>
      <c r="AH505">
        <v>0</v>
      </c>
      <c r="AI505">
        <v>44501</v>
      </c>
      <c r="AJ505" t="str">
        <v>ファム　ヴァン　ヒエウ</v>
      </c>
      <c r="AK505" t="str">
        <v>ゆうちょ銀行</v>
      </c>
      <c r="AL505">
        <v>408</v>
      </c>
      <c r="AM505" t="str">
        <v>四〇八</v>
      </c>
      <c r="AN505" t="str">
        <v>3267821</v>
      </c>
      <c r="AO505" t="str">
        <v>OK</v>
      </c>
      <c r="AP505">
        <v>0</v>
      </c>
    </row>
    <row r="506" spans="1:42">
      <c r="A506" t="str">
        <f>H506&amp;COUNTIF($H$2:H506,H506)</f>
        <v>0138</v>
      </c>
      <c r="B506" t="str">
        <f>F506&amp;COUNTIF($F$2:F506,F506)</f>
        <v>ﾌｪﾆﾃｯｸｾﾐｺﾝﾀﾞｸﾀｰ 岡山19</v>
      </c>
      <c r="C506" t="str">
        <v>退社</v>
      </c>
      <c r="D506">
        <v>210819</v>
      </c>
      <c r="E506">
        <v>0</v>
      </c>
      <c r="F506" t="str">
        <v>ﾌｪﾆﾃｯｸｾﾐｺﾝﾀﾞｸﾀｰ 岡山</v>
      </c>
      <c r="G506">
        <v>0</v>
      </c>
      <c r="H506">
        <v>0</v>
      </c>
      <c r="I506">
        <v>0</v>
      </c>
      <c r="J506" t="str">
        <v>LE CAO HOAI</v>
      </c>
      <c r="K506" t="str">
        <v>レ　カオ　ホアイ</v>
      </c>
      <c r="L506" t="str">
        <v>男</v>
      </c>
      <c r="M506" t="str">
        <v>ﾍﾞﾄﾅﾑ</v>
      </c>
      <c r="N506">
        <v>34878</v>
      </c>
      <c r="O506">
        <v>28</v>
      </c>
      <c r="P506">
        <v>1500</v>
      </c>
      <c r="Q506" t="str">
        <v>2021/12/21~</v>
      </c>
      <c r="R506">
        <v>2300</v>
      </c>
      <c r="S506">
        <v>0</v>
      </c>
      <c r="T506">
        <v>800</v>
      </c>
      <c r="U506">
        <v>0</v>
      </c>
      <c r="V506" t="str">
        <v/>
      </c>
      <c r="W506" t="str">
        <v>0</v>
      </c>
      <c r="X506" t="str">
        <v/>
      </c>
      <c r="Y506">
        <v>45560</v>
      </c>
      <c r="Z506" t="str">
        <v/>
      </c>
      <c r="AA506" t="str">
        <v>技術・人文知識・国際業務</v>
      </c>
      <c r="AB506" t="str">
        <v>715-0004</v>
      </c>
      <c r="AC506" t="str">
        <v>岡山県井原市木之子町82-1</v>
      </c>
      <c r="AD506" t="str">
        <v>ﾋﾞｱﾝｺ・ﾈﾛB102</v>
      </c>
      <c r="AE506">
        <v>44431</v>
      </c>
      <c r="AF506">
        <v>44434</v>
      </c>
      <c r="AG506">
        <v>44592</v>
      </c>
      <c r="AH506">
        <v>0</v>
      </c>
      <c r="AI506">
        <v>44501</v>
      </c>
      <c r="AJ506" t="str">
        <v>ファム　デイン　トウン</v>
      </c>
      <c r="AK506" t="str">
        <v>ゆうちょ銀行</v>
      </c>
      <c r="AL506">
        <v>98</v>
      </c>
      <c r="AM506" t="str">
        <v>〇九八</v>
      </c>
      <c r="AN506" t="str">
        <v>1285143</v>
      </c>
      <c r="AO506">
        <v>0</v>
      </c>
      <c r="AP506">
        <v>0</v>
      </c>
    </row>
    <row r="507" spans="1:42">
      <c r="A507" t="str">
        <f>H507&amp;COUNTIF($H$2:H507,H507)</f>
        <v>旋盤ライン9</v>
      </c>
      <c r="B507" t="str">
        <f>F507&amp;COUNTIF($F$2:F507,F507)</f>
        <v>川原鉄工所9</v>
      </c>
      <c r="C507" t="str">
        <v>在職中</v>
      </c>
      <c r="D507">
        <v>210906</v>
      </c>
      <c r="E507">
        <v>0</v>
      </c>
      <c r="F507" t="str">
        <v>川原鉄工所</v>
      </c>
      <c r="G507" t="str">
        <v>製造部</v>
      </c>
      <c r="H507" t="str">
        <v>旋盤ライン</v>
      </c>
      <c r="I507" t="str">
        <v>ATミッション部品をはじめとする、各種自動車部品の製造</v>
      </c>
      <c r="J507" t="str">
        <v>DAO NGOC ANH</v>
      </c>
      <c r="K507" t="str">
        <v>ダオ　ゴック　アン</v>
      </c>
      <c r="L507" t="str">
        <v>男</v>
      </c>
      <c r="M507" t="str">
        <v>ﾍﾞﾄﾅﾑ</v>
      </c>
      <c r="N507">
        <v>32441</v>
      </c>
      <c r="O507">
        <v>35</v>
      </c>
      <c r="P507">
        <v>1300</v>
      </c>
      <c r="Q507">
        <v>0</v>
      </c>
      <c r="R507">
        <v>1650</v>
      </c>
      <c r="S507" t="str">
        <v>9/21　1600円→1650円</v>
      </c>
      <c r="T507">
        <v>350</v>
      </c>
      <c r="U507">
        <v>280000</v>
      </c>
      <c r="V507">
        <v>14014</v>
      </c>
      <c r="W507" t="str">
        <v>0</v>
      </c>
      <c r="X507">
        <v>25620</v>
      </c>
      <c r="Y507">
        <v>45300</v>
      </c>
      <c r="Z507" t="str">
        <v>残り期限90日!</v>
      </c>
      <c r="AA507" t="str">
        <v>技術・人文知識・国際業務</v>
      </c>
      <c r="AB507" t="str">
        <v>455-0068</v>
      </c>
      <c r="AC507" t="str">
        <v>愛知県名古屋市港区土古町4丁目72番地</v>
      </c>
      <c r="AD507" t="str">
        <v>鬼頭第2土古ﾋﾞﾙ202</v>
      </c>
      <c r="AE507">
        <v>44464</v>
      </c>
      <c r="AF507">
        <v>44455</v>
      </c>
      <c r="AG507">
        <v>0</v>
      </c>
      <c r="AH507">
        <v>0</v>
      </c>
      <c r="AI507">
        <v>44531</v>
      </c>
      <c r="AJ507" t="str">
        <v>ダォ　ゴック　アイン</v>
      </c>
      <c r="AK507" t="str">
        <v>ゆうちょ銀行</v>
      </c>
      <c r="AL507">
        <v>248</v>
      </c>
      <c r="AM507" t="str">
        <v>二四八</v>
      </c>
      <c r="AN507" t="str">
        <v>3483652</v>
      </c>
      <c r="AO507" t="str">
        <v>OK</v>
      </c>
      <c r="AP507">
        <v>0</v>
      </c>
    </row>
    <row r="508" spans="1:42">
      <c r="A508" t="str">
        <f>H508&amp;COUNTIF($H$2:H508,H508)</f>
        <v>0139</v>
      </c>
      <c r="B508" t="str">
        <f>F508&amp;COUNTIF($F$2:F508,F508)</f>
        <v>PATEC2</v>
      </c>
      <c r="C508" t="str">
        <v>在職中</v>
      </c>
      <c r="D508">
        <v>210908</v>
      </c>
      <c r="E508">
        <v>0</v>
      </c>
      <c r="F508" t="str">
        <v>PATEC</v>
      </c>
      <c r="G508" t="str">
        <v>製造部素材課</v>
      </c>
      <c r="H508">
        <v>0</v>
      </c>
      <c r="I508">
        <v>0</v>
      </c>
      <c r="J508" t="str">
        <v>NGUYEN MINH TIEN</v>
      </c>
      <c r="K508" t="str">
        <v>グエン　ミン　ティエン</v>
      </c>
      <c r="L508" t="str">
        <v>男</v>
      </c>
      <c r="M508" t="str">
        <v>ﾍﾞﾄﾅﾑ</v>
      </c>
      <c r="N508">
        <v>34397</v>
      </c>
      <c r="O508">
        <v>29</v>
      </c>
      <c r="P508">
        <v>1600</v>
      </c>
      <c r="Q508" t="str">
        <v>3/21～　\1500⇒￥1600</v>
      </c>
      <c r="R508">
        <v>2100</v>
      </c>
      <c r="S508">
        <v>0</v>
      </c>
      <c r="T508">
        <v>500</v>
      </c>
      <c r="U508">
        <v>410000</v>
      </c>
      <c r="V508">
        <v>20520.5</v>
      </c>
      <c r="W508" t="str">
        <v>0</v>
      </c>
      <c r="X508">
        <v>37515</v>
      </c>
      <c r="Y508">
        <v>46288</v>
      </c>
      <c r="Z508" t="str">
        <v/>
      </c>
      <c r="AA508" t="str">
        <v>技術・人文知識・国際業務</v>
      </c>
      <c r="AB508" t="str">
        <v>747-0833</v>
      </c>
      <c r="AC508" t="str">
        <v>山口県防府市大字浜方716-15</v>
      </c>
      <c r="AD508" t="str">
        <v>ｱﾙｿｰﾚD202</v>
      </c>
      <c r="AE508">
        <v>44455</v>
      </c>
      <c r="AF508">
        <v>44459</v>
      </c>
      <c r="AG508">
        <v>0</v>
      </c>
      <c r="AH508">
        <v>0</v>
      </c>
      <c r="AI508">
        <v>44531</v>
      </c>
      <c r="AJ508" t="str">
        <v>ｸﾞｴﾝ　ミン　ティエン</v>
      </c>
      <c r="AK508" t="str">
        <v>ゆうちょ銀行</v>
      </c>
      <c r="AL508">
        <v>448</v>
      </c>
      <c r="AM508" t="str">
        <v>四四八</v>
      </c>
      <c r="AN508" t="str">
        <v>5206081</v>
      </c>
      <c r="AO508" t="str">
        <v>OK</v>
      </c>
      <c r="AP508">
        <v>0</v>
      </c>
    </row>
    <row r="509" spans="1:42">
      <c r="A509" t="str">
        <f>H509&amp;COUNTIF($H$2:H509,H509)</f>
        <v>0140</v>
      </c>
      <c r="B509" t="str">
        <f>F509&amp;COUNTIF($F$2:F509,F509)</f>
        <v>コーリツ 亀崎10</v>
      </c>
      <c r="C509" t="str">
        <v>退社</v>
      </c>
      <c r="D509">
        <v>210907</v>
      </c>
      <c r="E509">
        <v>0</v>
      </c>
      <c r="F509" t="str">
        <v>コーリツ 亀崎</v>
      </c>
      <c r="G509">
        <v>0</v>
      </c>
      <c r="H509">
        <v>0</v>
      </c>
      <c r="I509">
        <v>0</v>
      </c>
      <c r="J509" t="str">
        <v>DAM HUY HUNG</v>
      </c>
      <c r="K509" t="str">
        <v>ダム　フィ　フン</v>
      </c>
      <c r="L509" t="str">
        <v>男</v>
      </c>
      <c r="M509" t="str">
        <v>ﾍﾞﾄﾅﾑ</v>
      </c>
      <c r="N509">
        <v>33320</v>
      </c>
      <c r="O509">
        <v>32</v>
      </c>
      <c r="P509">
        <v>1400</v>
      </c>
      <c r="Q509">
        <v>0</v>
      </c>
      <c r="R509">
        <v>1990</v>
      </c>
      <c r="S509" t="str">
        <v>590</v>
      </c>
      <c r="T509">
        <v>590</v>
      </c>
      <c r="U509">
        <v>0</v>
      </c>
      <c r="V509" t="str">
        <v/>
      </c>
      <c r="W509" t="str">
        <v>0</v>
      </c>
      <c r="X509" t="str">
        <v/>
      </c>
      <c r="Y509">
        <v>44939</v>
      </c>
      <c r="Z509" t="str">
        <v>残り期限90日!</v>
      </c>
      <c r="AA509" t="str">
        <v>技術・人文知識・国際業務</v>
      </c>
      <c r="AB509" t="str">
        <v>475-0004</v>
      </c>
      <c r="AC509" t="str">
        <v>愛知県半田市上池町5丁目37-1</v>
      </c>
      <c r="AD509" t="str">
        <v>ﾙﾐｴｰﾙ上池203</v>
      </c>
      <c r="AE509">
        <v>44458</v>
      </c>
      <c r="AF509">
        <v>44459</v>
      </c>
      <c r="AG509">
        <v>44466</v>
      </c>
      <c r="AH509">
        <v>44467</v>
      </c>
      <c r="AI509">
        <v>0</v>
      </c>
      <c r="AJ509" t="str">
        <v>ファム　ヴァン　ヒエウ</v>
      </c>
      <c r="AK509" t="str">
        <v>ゆうちょ銀行</v>
      </c>
      <c r="AL509">
        <v>408</v>
      </c>
      <c r="AM509" t="str">
        <v>四〇八</v>
      </c>
      <c r="AN509" t="str">
        <v>3267821</v>
      </c>
      <c r="AO509">
        <v>0</v>
      </c>
      <c r="AP509">
        <v>0</v>
      </c>
    </row>
    <row r="510" spans="1:42">
      <c r="A510" t="str">
        <f>H510&amp;COUNTIF($H$2:H510,H510)</f>
        <v>0141</v>
      </c>
      <c r="B510" t="str">
        <f>F510&amp;COUNTIF($F$2:F510,F510)</f>
        <v>高雄工業 海南第一39</v>
      </c>
      <c r="C510" t="str">
        <v>退社</v>
      </c>
      <c r="D510">
        <v>210916</v>
      </c>
      <c r="E510">
        <v>0</v>
      </c>
      <c r="F510" t="str">
        <v>高雄工業 海南第一</v>
      </c>
      <c r="G510">
        <v>0</v>
      </c>
      <c r="H510">
        <v>0</v>
      </c>
      <c r="I510">
        <v>0</v>
      </c>
      <c r="J510" t="str">
        <v>DA SILVA WAGNER</v>
      </c>
      <c r="K510" t="str">
        <v>ダ　シルバ　ワグナー</v>
      </c>
      <c r="L510" t="str">
        <v>男</v>
      </c>
      <c r="M510" t="str">
        <v>ﾌﾞﾗｼﾞﾙ</v>
      </c>
      <c r="N510">
        <v>24131</v>
      </c>
      <c r="O510">
        <v>57</v>
      </c>
      <c r="P510">
        <v>1400</v>
      </c>
      <c r="Q510">
        <v>0</v>
      </c>
      <c r="R510">
        <v>1650</v>
      </c>
      <c r="S510" t="str">
        <v>250</v>
      </c>
      <c r="T510">
        <v>250</v>
      </c>
      <c r="U510">
        <v>0</v>
      </c>
      <c r="V510" t="str">
        <v/>
      </c>
      <c r="W510" t="str">
        <v/>
      </c>
      <c r="X510" t="str">
        <v/>
      </c>
      <c r="Y510">
        <v>46555</v>
      </c>
      <c r="Z510" t="str">
        <v/>
      </c>
      <c r="AA510" t="str">
        <v>永住者</v>
      </c>
      <c r="AB510" t="str">
        <v>498-0031</v>
      </c>
      <c r="AC510" t="str">
        <v>愛知県弥富市平島町中新田196-1</v>
      </c>
      <c r="AD510" t="str">
        <v>ｺﾝﾂｪﾙﾊｳｽB106</v>
      </c>
      <c r="AE510">
        <v>44457</v>
      </c>
      <c r="AF510">
        <v>44460</v>
      </c>
      <c r="AG510">
        <v>44463</v>
      </c>
      <c r="AH510">
        <v>44465</v>
      </c>
      <c r="AI510">
        <v>0</v>
      </c>
      <c r="AJ510" t="str">
        <v>ファム　デイン　トウン</v>
      </c>
      <c r="AK510" t="str">
        <v>ゆうちょ銀行</v>
      </c>
      <c r="AL510">
        <v>98</v>
      </c>
      <c r="AM510" t="str">
        <v>〇九八</v>
      </c>
      <c r="AN510" t="str">
        <v>1285143</v>
      </c>
      <c r="AO510">
        <v>0</v>
      </c>
      <c r="AP510">
        <v>0</v>
      </c>
    </row>
    <row r="511" spans="1:42">
      <c r="A511" t="str">
        <f>H511&amp;COUNTIF($H$2:H511,H511)</f>
        <v>0142</v>
      </c>
      <c r="B511" t="str">
        <f>F511&amp;COUNTIF($F$2:F511,F511)</f>
        <v>オーツカ5</v>
      </c>
      <c r="C511" t="str">
        <v>退社</v>
      </c>
      <c r="D511">
        <v>210913</v>
      </c>
      <c r="E511">
        <v>0</v>
      </c>
      <c r="F511" t="str">
        <v>オーツカ</v>
      </c>
      <c r="G511">
        <v>0</v>
      </c>
      <c r="H511">
        <v>0</v>
      </c>
      <c r="I511">
        <v>0</v>
      </c>
      <c r="J511" t="str">
        <v>KITABATAKE　MICHEL</v>
      </c>
      <c r="K511" t="str">
        <v>キタバタケ　ミッシェル</v>
      </c>
      <c r="L511" t="str">
        <v>男</v>
      </c>
      <c r="M511" t="str">
        <v>ﾌﾞﾗｼﾞﾙ</v>
      </c>
      <c r="N511">
        <v>29484</v>
      </c>
      <c r="O511">
        <v>43</v>
      </c>
      <c r="P511">
        <v>1400</v>
      </c>
      <c r="Q511" t="str">
        <v>9/27～10/20　1350円　10/21～　1400円</v>
      </c>
      <c r="R511">
        <v>1872</v>
      </c>
      <c r="S511">
        <v>0</v>
      </c>
      <c r="T511">
        <v>472</v>
      </c>
      <c r="U511">
        <v>0</v>
      </c>
      <c r="V511" t="str">
        <v/>
      </c>
      <c r="W511" t="str">
        <v/>
      </c>
      <c r="X511" t="str">
        <v/>
      </c>
      <c r="Y511">
        <v>46164</v>
      </c>
      <c r="Z511" t="str">
        <v/>
      </c>
      <c r="AA511" t="str">
        <v>永住者</v>
      </c>
      <c r="AB511" t="str">
        <v>503-2124</v>
      </c>
      <c r="AC511" t="str">
        <v>岐阜県不破郡垂井町宮代555番地1</v>
      </c>
      <c r="AD511" t="str">
        <v>ｺｽﾓﾊｲﾂB205号</v>
      </c>
      <c r="AE511">
        <v>0</v>
      </c>
      <c r="AF511">
        <v>44466</v>
      </c>
      <c r="AG511">
        <v>44544</v>
      </c>
      <c r="AH511">
        <v>0</v>
      </c>
      <c r="AI511">
        <v>44531</v>
      </c>
      <c r="AJ511" t="str">
        <v>ファム　ヴァン　ヒエウ</v>
      </c>
      <c r="AK511" t="str">
        <v>ゆうちょ銀行</v>
      </c>
      <c r="AL511">
        <v>408</v>
      </c>
      <c r="AM511" t="str">
        <v>四〇八</v>
      </c>
      <c r="AN511" t="str">
        <v>3267821</v>
      </c>
      <c r="AO511">
        <v>0</v>
      </c>
      <c r="AP511">
        <v>0</v>
      </c>
    </row>
    <row r="512" spans="1:42">
      <c r="A512" t="str">
        <f>H512&amp;COUNTIF($H$2:H512,H512)</f>
        <v>0143</v>
      </c>
      <c r="B512" t="str">
        <f>F512&amp;COUNTIF($F$2:F512,F512)</f>
        <v>高雄工業 静岡85</v>
      </c>
      <c r="C512" t="str">
        <v>退社</v>
      </c>
      <c r="D512">
        <v>210915</v>
      </c>
      <c r="E512">
        <v>0</v>
      </c>
      <c r="F512" t="str">
        <v>高雄工業 静岡</v>
      </c>
      <c r="G512">
        <v>0</v>
      </c>
      <c r="H512">
        <v>0</v>
      </c>
      <c r="I512">
        <v>0</v>
      </c>
      <c r="J512" t="str">
        <v>NGUYEN VAN TRUNG</v>
      </c>
      <c r="K512" t="str">
        <v>グエン　ヴァン　チュン</v>
      </c>
      <c r="L512" t="str">
        <v>男</v>
      </c>
      <c r="M512" t="str">
        <v>ﾍﾞﾄﾅﾑ</v>
      </c>
      <c r="N512">
        <v>34934</v>
      </c>
      <c r="O512">
        <v>28</v>
      </c>
      <c r="P512">
        <v>1250</v>
      </c>
      <c r="Q512">
        <v>0</v>
      </c>
      <c r="R512">
        <v>1600</v>
      </c>
      <c r="S512" t="str">
        <v>350</v>
      </c>
      <c r="T512">
        <v>350</v>
      </c>
      <c r="U512">
        <v>0</v>
      </c>
      <c r="V512" t="str">
        <v/>
      </c>
      <c r="W512" t="str">
        <v>0</v>
      </c>
      <c r="X512" t="str">
        <v/>
      </c>
      <c r="Y512">
        <v>45246</v>
      </c>
      <c r="Z512" t="str">
        <v>残り期限90日!</v>
      </c>
      <c r="AA512" t="str">
        <v>技術・人文知識・国際業務</v>
      </c>
      <c r="AB512" t="str">
        <v>437-0061</v>
      </c>
      <c r="AC512" t="str">
        <v>静岡県袋井市久能2810番地1</v>
      </c>
      <c r="AD512" t="str">
        <v>ﾌｪﾘｽA103</v>
      </c>
      <c r="AE512">
        <v>44464</v>
      </c>
      <c r="AF512">
        <v>44466</v>
      </c>
      <c r="AG512">
        <v>44468</v>
      </c>
      <c r="AH512">
        <v>44468</v>
      </c>
      <c r="AI512">
        <v>0</v>
      </c>
      <c r="AJ512" t="str">
        <v>ファム　デイン　トウン</v>
      </c>
      <c r="AK512" t="str">
        <v>ゆうちょ銀行</v>
      </c>
      <c r="AL512">
        <v>98</v>
      </c>
      <c r="AM512" t="str">
        <v>〇九八</v>
      </c>
      <c r="AN512" t="str">
        <v>1285143</v>
      </c>
      <c r="AO512">
        <v>0</v>
      </c>
      <c r="AP512">
        <v>0</v>
      </c>
    </row>
    <row r="513" spans="1:42">
      <c r="A513" t="str">
        <f>H513&amp;COUNTIF($H$2:H513,H513)</f>
        <v>CVJ長軸旋盤係10</v>
      </c>
      <c r="B513" t="str">
        <f>F513&amp;COUNTIF($F$2:F513,F513)</f>
        <v>高雄工業 静岡86</v>
      </c>
      <c r="C513" t="str">
        <v>退社</v>
      </c>
      <c r="D513">
        <v>211008</v>
      </c>
      <c r="E513">
        <v>0</v>
      </c>
      <c r="F513" t="str">
        <v>高雄工業 静岡</v>
      </c>
      <c r="G513" t="str">
        <v>製造部素材課</v>
      </c>
      <c r="H513" t="str">
        <v>CVJ長軸旋盤係</v>
      </c>
      <c r="I513">
        <v>0</v>
      </c>
      <c r="J513" t="str">
        <v>NGUYEN DUC MINH</v>
      </c>
      <c r="K513" t="str">
        <v>グエン　ドゥック　ミン</v>
      </c>
      <c r="L513" t="str">
        <v>男</v>
      </c>
      <c r="M513" t="str">
        <v>ﾍﾞﾄﾅﾑ</v>
      </c>
      <c r="N513">
        <v>33027</v>
      </c>
      <c r="O513">
        <v>33</v>
      </c>
      <c r="P513">
        <v>1600</v>
      </c>
      <c r="Q513" t="str">
        <v>4/21~ \1500⇒￥1600</v>
      </c>
      <c r="R513">
        <v>2100</v>
      </c>
      <c r="S513">
        <v>0</v>
      </c>
      <c r="T513">
        <v>500</v>
      </c>
      <c r="U513">
        <v>0</v>
      </c>
      <c r="V513" t="str">
        <v/>
      </c>
      <c r="W513" t="str">
        <v>0</v>
      </c>
      <c r="X513" t="str">
        <v/>
      </c>
      <c r="Y513">
        <v>44896</v>
      </c>
      <c r="Z513" t="str">
        <v>残り期限90日!</v>
      </c>
      <c r="AA513" t="str">
        <v>技術・人文知識・国際業務</v>
      </c>
      <c r="AB513" t="str">
        <v>747-0833</v>
      </c>
      <c r="AC513" t="str">
        <v>山口県防府市大字浜方716-15</v>
      </c>
      <c r="AD513" t="str">
        <v>ｱﾙｿｰﾚC201</v>
      </c>
      <c r="AE513">
        <v>44470</v>
      </c>
      <c r="AF513">
        <v>44473</v>
      </c>
      <c r="AG513">
        <v>44740</v>
      </c>
      <c r="AH513">
        <v>0</v>
      </c>
      <c r="AI513">
        <v>44531</v>
      </c>
      <c r="AJ513" t="str">
        <v>ｸﾞｴﾝ　ドック　ミン</v>
      </c>
      <c r="AK513" t="str">
        <v>ゆうちょ銀行</v>
      </c>
      <c r="AL513">
        <v>48</v>
      </c>
      <c r="AM513" t="str">
        <v>〇四八</v>
      </c>
      <c r="AN513" t="str">
        <v>322258</v>
      </c>
      <c r="AO513" t="str">
        <v>OK</v>
      </c>
      <c r="AP513">
        <v>0</v>
      </c>
    </row>
    <row r="514" spans="1:42">
      <c r="A514" t="str">
        <f>H514&amp;COUNTIF($H$2:H514,H514)</f>
        <v>0144</v>
      </c>
      <c r="B514" t="str">
        <f>F514&amp;COUNTIF($F$2:F514,F514)</f>
        <v>ピーエムアイ14</v>
      </c>
      <c r="C514" t="str">
        <v>退社</v>
      </c>
      <c r="D514">
        <v>211009</v>
      </c>
      <c r="E514">
        <v>0</v>
      </c>
      <c r="F514" t="str">
        <v>ピーエムアイ</v>
      </c>
      <c r="G514">
        <v>0</v>
      </c>
      <c r="H514">
        <v>0</v>
      </c>
      <c r="I514">
        <v>0</v>
      </c>
      <c r="J514" t="str">
        <v>VU THI UYEN</v>
      </c>
      <c r="K514" t="str">
        <v>ヴ　ティー　ウェン</v>
      </c>
      <c r="L514" t="str">
        <v>女</v>
      </c>
      <c r="M514" t="str">
        <v>ﾍﾞﾄﾅﾑ</v>
      </c>
      <c r="N514">
        <v>35034</v>
      </c>
      <c r="O514">
        <v>28</v>
      </c>
      <c r="P514">
        <v>1300</v>
      </c>
      <c r="Q514">
        <v>0</v>
      </c>
      <c r="R514">
        <v>1800</v>
      </c>
      <c r="S514">
        <v>0</v>
      </c>
      <c r="T514">
        <v>500</v>
      </c>
      <c r="U514">
        <v>0</v>
      </c>
      <c r="V514" t="str">
        <v/>
      </c>
      <c r="W514" t="str">
        <v>0</v>
      </c>
      <c r="X514" t="str">
        <v/>
      </c>
      <c r="Y514">
        <v>44667</v>
      </c>
      <c r="Z514" t="str">
        <v>残り期限90日!</v>
      </c>
      <c r="AA514" t="str">
        <v>技術・人文知識・国際業務</v>
      </c>
      <c r="AB514" t="str">
        <v>471-0033</v>
      </c>
      <c r="AC514" t="str">
        <v>愛知県豊田市月見町3-2-5</v>
      </c>
      <c r="AD514" t="str">
        <v>ﾚｵﾊﾟﾚｽ上り屋敷ﾂｷﾐ306号</v>
      </c>
      <c r="AE514">
        <v>0</v>
      </c>
      <c r="AF514">
        <v>44474</v>
      </c>
      <c r="AG514">
        <v>44581</v>
      </c>
      <c r="AH514">
        <v>0</v>
      </c>
      <c r="AI514">
        <v>44531</v>
      </c>
      <c r="AJ514" t="str">
        <v>ファム　ヴァン　ヒエウ</v>
      </c>
      <c r="AK514" t="str">
        <v>ゆうちょ銀行</v>
      </c>
      <c r="AL514">
        <v>408</v>
      </c>
      <c r="AM514" t="str">
        <v>四〇八</v>
      </c>
      <c r="AN514" t="str">
        <v>3267821</v>
      </c>
      <c r="AO514">
        <v>0</v>
      </c>
      <c r="AP514">
        <v>0</v>
      </c>
    </row>
    <row r="515" spans="1:42">
      <c r="A515" t="str">
        <f>H515&amp;COUNTIF($H$2:H515,H515)</f>
        <v>0145</v>
      </c>
      <c r="B515" t="str">
        <f>F515&amp;COUNTIF($F$2:F515,F515)</f>
        <v>PATEC3</v>
      </c>
      <c r="C515" t="str">
        <v>退社</v>
      </c>
      <c r="D515">
        <v>211014</v>
      </c>
      <c r="E515">
        <v>0</v>
      </c>
      <c r="F515" t="str">
        <v>PATEC</v>
      </c>
      <c r="G515">
        <v>0</v>
      </c>
      <c r="H515">
        <v>0</v>
      </c>
      <c r="I515">
        <v>0</v>
      </c>
      <c r="J515" t="str">
        <v>NGUYEN VAN CHUNG</v>
      </c>
      <c r="K515" t="str">
        <v>グエン　バン　チュン</v>
      </c>
      <c r="L515" t="str">
        <v>男</v>
      </c>
      <c r="M515" t="str">
        <v>ﾍﾞﾄﾅﾑ</v>
      </c>
      <c r="N515">
        <v>34461</v>
      </c>
      <c r="O515">
        <v>29</v>
      </c>
      <c r="P515">
        <v>1400</v>
      </c>
      <c r="Q515">
        <v>0</v>
      </c>
      <c r="R515">
        <v>2000</v>
      </c>
      <c r="S515">
        <v>0</v>
      </c>
      <c r="T515">
        <v>600</v>
      </c>
      <c r="U515">
        <v>0</v>
      </c>
      <c r="V515" t="str">
        <v/>
      </c>
      <c r="W515" t="str">
        <v>0</v>
      </c>
      <c r="X515" t="str">
        <v/>
      </c>
      <c r="Y515">
        <v>45018</v>
      </c>
      <c r="Z515" t="str">
        <v>残り期限90日!</v>
      </c>
      <c r="AA515" t="str">
        <v>技術・人文知識・国際業務</v>
      </c>
      <c r="AB515" t="str">
        <v>747-0833</v>
      </c>
      <c r="AC515" t="str">
        <v>山口県防府市大字浜方716-15</v>
      </c>
      <c r="AD515" t="str">
        <v>ｱﾙｿｰﾚD201</v>
      </c>
      <c r="AE515">
        <v>44471</v>
      </c>
      <c r="AF515">
        <v>44480</v>
      </c>
      <c r="AG515">
        <v>44611</v>
      </c>
      <c r="AH515">
        <v>0</v>
      </c>
      <c r="AI515">
        <v>44531</v>
      </c>
      <c r="AJ515" t="str">
        <v>ファム　デイン　トウン</v>
      </c>
      <c r="AK515" t="str">
        <v>ゆうちょ銀行</v>
      </c>
      <c r="AL515">
        <v>98</v>
      </c>
      <c r="AM515" t="str">
        <v>〇九八</v>
      </c>
      <c r="AN515" t="str">
        <v>1285143</v>
      </c>
      <c r="AO515">
        <v>0</v>
      </c>
      <c r="AP515">
        <v>0</v>
      </c>
    </row>
    <row r="516" spans="1:42">
      <c r="A516" t="str">
        <f>H516&amp;COUNTIF($H$2:H516,H516)</f>
        <v>0146</v>
      </c>
      <c r="B516" t="str">
        <f>F516&amp;COUNTIF($F$2:F516,F516)</f>
        <v>PATEC4</v>
      </c>
      <c r="C516" t="str">
        <v>在職中</v>
      </c>
      <c r="D516">
        <v>211015</v>
      </c>
      <c r="E516">
        <v>0</v>
      </c>
      <c r="F516" t="str">
        <v>PATEC</v>
      </c>
      <c r="G516" t="str">
        <v>製造部機械加工課</v>
      </c>
      <c r="H516">
        <v>0</v>
      </c>
      <c r="I516">
        <v>0</v>
      </c>
      <c r="J516" t="str">
        <v>HOANG VAN BAC</v>
      </c>
      <c r="K516" t="str">
        <v>ホアン　バン　バック</v>
      </c>
      <c r="L516" t="str">
        <v>男</v>
      </c>
      <c r="M516" t="str">
        <v>ﾍﾞﾄﾅﾑ</v>
      </c>
      <c r="N516">
        <v>33673</v>
      </c>
      <c r="O516">
        <v>31</v>
      </c>
      <c r="P516">
        <v>1500</v>
      </c>
      <c r="Q516" t="str">
        <v>4/21～　\1500⇒\1600</v>
      </c>
      <c r="R516">
        <v>2000</v>
      </c>
      <c r="S516">
        <v>0</v>
      </c>
      <c r="T516">
        <v>500</v>
      </c>
      <c r="U516">
        <v>360000</v>
      </c>
      <c r="V516">
        <v>18018</v>
      </c>
      <c r="W516" t="str">
        <v>0</v>
      </c>
      <c r="X516">
        <v>32940</v>
      </c>
      <c r="Y516">
        <v>45380</v>
      </c>
      <c r="Z516" t="str">
        <v/>
      </c>
      <c r="AA516" t="str">
        <v>技術・人文知識・国際業務</v>
      </c>
      <c r="AB516" t="str">
        <v>747-0833</v>
      </c>
      <c r="AC516" t="str">
        <v>山口県防府市大字浜方716-15</v>
      </c>
      <c r="AD516" t="str">
        <v>ｱﾙｿｰﾚD201</v>
      </c>
      <c r="AE516">
        <v>44479</v>
      </c>
      <c r="AF516">
        <v>44480</v>
      </c>
      <c r="AG516">
        <v>0</v>
      </c>
      <c r="AH516">
        <v>0</v>
      </c>
      <c r="AI516">
        <v>44531</v>
      </c>
      <c r="AJ516" t="str">
        <v>ﾎｱﾝ　ﾊﾞﾝ　バック</v>
      </c>
      <c r="AK516" t="str">
        <v>ゆうちょ銀行</v>
      </c>
      <c r="AL516">
        <v>748</v>
      </c>
      <c r="AM516" t="str">
        <v>七四八</v>
      </c>
      <c r="AN516" t="str">
        <v>5471498</v>
      </c>
      <c r="AO516" t="str">
        <v>OK</v>
      </c>
      <c r="AP516">
        <v>0</v>
      </c>
    </row>
    <row r="517" spans="1:42">
      <c r="A517" t="str">
        <f>H517&amp;COUNTIF($H$2:H517,H517)</f>
        <v>旋盤ライン10</v>
      </c>
      <c r="B517" t="str">
        <f>F517&amp;COUNTIF($F$2:F517,F517)</f>
        <v>川原鉄工所10</v>
      </c>
      <c r="C517" t="str">
        <v>退社</v>
      </c>
      <c r="D517">
        <v>211019</v>
      </c>
      <c r="E517">
        <v>0</v>
      </c>
      <c r="F517" t="str">
        <v>川原鉄工所</v>
      </c>
      <c r="G517" t="str">
        <v>製造部</v>
      </c>
      <c r="H517" t="str">
        <v>旋盤ライン</v>
      </c>
      <c r="I517" t="str">
        <v>ATミッション部品をはじめとする、各種自動車部品の製造</v>
      </c>
      <c r="J517" t="str">
        <v>NGUYEN CAO HUYEN</v>
      </c>
      <c r="K517" t="str">
        <v>グエン　カオ　フエン</v>
      </c>
      <c r="L517" t="str">
        <v>男</v>
      </c>
      <c r="M517" t="str">
        <v>ﾍﾞﾄﾅﾑ</v>
      </c>
      <c r="N517">
        <v>34981</v>
      </c>
      <c r="O517">
        <v>28</v>
      </c>
      <c r="P517">
        <v>1300</v>
      </c>
      <c r="Q517">
        <v>0</v>
      </c>
      <c r="R517">
        <v>1650</v>
      </c>
      <c r="S517">
        <v>0</v>
      </c>
      <c r="T517">
        <v>350</v>
      </c>
      <c r="U517">
        <v>0</v>
      </c>
      <c r="V517" t="str">
        <v/>
      </c>
      <c r="W517" t="str">
        <v>0</v>
      </c>
      <c r="X517" t="str">
        <v/>
      </c>
      <c r="Y517">
        <v>44999</v>
      </c>
      <c r="Z517" t="str">
        <v>残り期限90日!</v>
      </c>
      <c r="AA517" t="str">
        <v>技術・人文知識・国際業務</v>
      </c>
      <c r="AB517" t="str">
        <v>453-0064</v>
      </c>
      <c r="AC517" t="str">
        <v>名古屋市中村区草薙町1-26</v>
      </c>
      <c r="AD517" t="str">
        <v>天野ﾏﾝｼｮﾝ402</v>
      </c>
      <c r="AE517" t="str">
        <v>個人</v>
      </c>
      <c r="AF517">
        <v>44482</v>
      </c>
      <c r="AG517">
        <v>44698</v>
      </c>
      <c r="AH517">
        <v>0</v>
      </c>
      <c r="AI517">
        <v>44531</v>
      </c>
      <c r="AJ517">
        <v>0</v>
      </c>
      <c r="AK517">
        <v>0</v>
      </c>
      <c r="AL517">
        <v>0</v>
      </c>
      <c r="AM517">
        <v>0</v>
      </c>
      <c r="AN517">
        <v>0</v>
      </c>
      <c r="AO517" t="str">
        <v>OK</v>
      </c>
      <c r="AP517">
        <v>0</v>
      </c>
    </row>
    <row r="518" spans="1:42">
      <c r="A518" t="str">
        <f>H518&amp;COUNTIF($H$2:H518,H518)</f>
        <v>CVJ研磨係3</v>
      </c>
      <c r="B518" t="str">
        <f>F518&amp;COUNTIF($F$2:F518,F518)</f>
        <v>高雄工業 岡山116</v>
      </c>
      <c r="C518" t="str">
        <v>退社</v>
      </c>
      <c r="D518">
        <v>211025</v>
      </c>
      <c r="E518">
        <v>0</v>
      </c>
      <c r="F518" t="str">
        <v>高雄工業 岡山</v>
      </c>
      <c r="G518">
        <v>0</v>
      </c>
      <c r="H518" t="str">
        <v>CVJ研磨係</v>
      </c>
      <c r="I518">
        <v>0</v>
      </c>
      <c r="J518" t="str">
        <v>NGUYEN THE CANH</v>
      </c>
      <c r="K518" t="str">
        <v>グエン　テ　カイン</v>
      </c>
      <c r="L518" t="str">
        <v>男</v>
      </c>
      <c r="M518" t="str">
        <v>ﾍﾞﾄﾅﾑ</v>
      </c>
      <c r="N518">
        <v>33048</v>
      </c>
      <c r="O518">
        <v>33</v>
      </c>
      <c r="P518">
        <v>1350</v>
      </c>
      <c r="Q518">
        <v>0</v>
      </c>
      <c r="R518">
        <v>1750</v>
      </c>
      <c r="S518" t="str">
        <v>9/16~ 1600円→1750円</v>
      </c>
      <c r="T518">
        <v>400</v>
      </c>
      <c r="U518">
        <v>0</v>
      </c>
      <c r="V518" t="str">
        <v/>
      </c>
      <c r="W518" t="str">
        <v>0</v>
      </c>
      <c r="X518" t="str">
        <v/>
      </c>
      <c r="Y518">
        <v>44806</v>
      </c>
      <c r="Z518" t="str">
        <v>残り期限90日!</v>
      </c>
      <c r="AA518" t="str">
        <v>技術・人文知識・国際業務</v>
      </c>
      <c r="AB518" t="str">
        <v>709-2133</v>
      </c>
      <c r="AC518" t="str">
        <v>岡山県岡山市北区御津下田77-3</v>
      </c>
      <c r="AD518" t="str">
        <v>ﾋﾞﾚｯｼﾞﾊｳｽ宇甘川2号棟A302</v>
      </c>
      <c r="AE518">
        <v>0</v>
      </c>
      <c r="AF518">
        <v>44489</v>
      </c>
      <c r="AG518">
        <v>44638</v>
      </c>
      <c r="AH518">
        <v>0</v>
      </c>
      <c r="AI518">
        <v>22.01</v>
      </c>
      <c r="AJ518" t="str">
        <v>グエン　テ　カイン</v>
      </c>
      <c r="AK518" t="str">
        <v>ゆうちょ銀行</v>
      </c>
      <c r="AL518">
        <v>438</v>
      </c>
      <c r="AM518" t="str">
        <v>四三八</v>
      </c>
      <c r="AN518" t="str">
        <v>9591262</v>
      </c>
      <c r="AO518" t="str">
        <v>OK</v>
      </c>
      <c r="AP518">
        <v>0</v>
      </c>
    </row>
    <row r="519" spans="1:42">
      <c r="A519" t="str">
        <f>H519&amp;COUNTIF($H$2:H519,H519)</f>
        <v>0147</v>
      </c>
      <c r="B519" t="str">
        <f>F519&amp;COUNTIF($F$2:F519,F519)</f>
        <v>PATEC5</v>
      </c>
      <c r="C519" t="str">
        <v>在職中</v>
      </c>
      <c r="D519">
        <v>211031</v>
      </c>
      <c r="E519">
        <v>0</v>
      </c>
      <c r="F519" t="str">
        <v>PATEC</v>
      </c>
      <c r="G519" t="str">
        <v>製造部機械加工課</v>
      </c>
      <c r="H519">
        <v>0</v>
      </c>
      <c r="I519">
        <v>0</v>
      </c>
      <c r="J519" t="str">
        <v>NGUYEN SY DUC</v>
      </c>
      <c r="K519" t="str">
        <v>グエン　シー　ドウク</v>
      </c>
      <c r="L519" t="str">
        <v>男</v>
      </c>
      <c r="M519" t="str">
        <v>ﾍﾞﾄﾅﾑ</v>
      </c>
      <c r="N519">
        <v>31475</v>
      </c>
      <c r="O519">
        <v>37</v>
      </c>
      <c r="P519">
        <v>1500</v>
      </c>
      <c r="Q519" t="str">
        <v>5/21～\1400⇒1500</v>
      </c>
      <c r="R519">
        <v>2000</v>
      </c>
      <c r="S519">
        <v>0</v>
      </c>
      <c r="T519">
        <v>500</v>
      </c>
      <c r="U519">
        <v>360000</v>
      </c>
      <c r="V519">
        <v>18018</v>
      </c>
      <c r="W519" t="str">
        <v>0</v>
      </c>
      <c r="X519">
        <v>32940</v>
      </c>
      <c r="Y519">
        <v>46109</v>
      </c>
      <c r="Z519" t="str">
        <v/>
      </c>
      <c r="AA519" t="str">
        <v>技術・人文知識・国際業務</v>
      </c>
      <c r="AB519" t="str">
        <v>747-0833</v>
      </c>
      <c r="AC519" t="str">
        <v>山口県防府市大字浜方716-15</v>
      </c>
      <c r="AD519" t="str">
        <v>ｱﾙｿｰﾚD103</v>
      </c>
      <c r="AE519">
        <v>44491</v>
      </c>
      <c r="AF519">
        <v>44492</v>
      </c>
      <c r="AG519">
        <v>0</v>
      </c>
      <c r="AH519">
        <v>0</v>
      </c>
      <c r="AI519">
        <v>22.01</v>
      </c>
      <c r="AJ519" t="str">
        <v>ｸﾞｴﾝ　ｼｰ　ドゥク</v>
      </c>
      <c r="AK519" t="str">
        <v>ゆうちょ銀行</v>
      </c>
      <c r="AL519">
        <v>818</v>
      </c>
      <c r="AM519" t="str">
        <v>八一八</v>
      </c>
      <c r="AN519" t="str">
        <v>3426677</v>
      </c>
      <c r="AO519" t="str">
        <v>OK</v>
      </c>
      <c r="AP519">
        <v>0</v>
      </c>
    </row>
    <row r="520" spans="1:42">
      <c r="A520" t="str">
        <f>H520&amp;COUNTIF($H$2:H520,H520)</f>
        <v>一次旋係75</v>
      </c>
      <c r="B520" t="str">
        <f>F520&amp;COUNTIF($F$2:F520,F520)</f>
        <v>PATEC6</v>
      </c>
      <c r="C520" t="str">
        <v>退社</v>
      </c>
      <c r="D520">
        <v>211030</v>
      </c>
      <c r="E520">
        <v>0</v>
      </c>
      <c r="F520" t="str">
        <v>PATEC</v>
      </c>
      <c r="G520" t="str">
        <v>製造部素材課</v>
      </c>
      <c r="H520" t="str">
        <v>一次旋係</v>
      </c>
      <c r="I520">
        <v>0</v>
      </c>
      <c r="J520" t="str">
        <v>DANG XUAN LUAN</v>
      </c>
      <c r="K520" t="str">
        <v>ダン　スアン　ルアン</v>
      </c>
      <c r="L520" t="str">
        <v>男</v>
      </c>
      <c r="M520" t="str">
        <v>ﾍﾞﾄﾅﾑ</v>
      </c>
      <c r="N520">
        <v>31640</v>
      </c>
      <c r="O520">
        <v>37</v>
      </c>
      <c r="P520">
        <v>1600</v>
      </c>
      <c r="Q520" t="str">
        <v>5/21～\1500⇒1600</v>
      </c>
      <c r="R520">
        <v>2100</v>
      </c>
      <c r="S520">
        <v>0</v>
      </c>
      <c r="T520">
        <v>500</v>
      </c>
      <c r="U520">
        <v>0</v>
      </c>
      <c r="V520" t="str">
        <v/>
      </c>
      <c r="W520" t="str">
        <v>0</v>
      </c>
      <c r="X520" t="str">
        <v/>
      </c>
      <c r="Y520">
        <v>45034</v>
      </c>
      <c r="Z520" t="str">
        <v>残り期限90日!</v>
      </c>
      <c r="AA520" t="str">
        <v>技術・人文知識・国際業務</v>
      </c>
      <c r="AB520" t="str">
        <v>747-0833</v>
      </c>
      <c r="AC520" t="str">
        <v>山口県防府市大字浜方716-15</v>
      </c>
      <c r="AD520" t="str">
        <v>ｱﾙｿｰﾚD103</v>
      </c>
      <c r="AE520">
        <v>44491</v>
      </c>
      <c r="AF520">
        <v>44496</v>
      </c>
      <c r="AG520">
        <v>44818</v>
      </c>
      <c r="AH520">
        <v>0</v>
      </c>
      <c r="AI520">
        <v>22.01</v>
      </c>
      <c r="AJ520" t="str">
        <v>ダン　スアン　ﾙｱﾝ</v>
      </c>
      <c r="AK520" t="str">
        <v>ゆうちょ銀行</v>
      </c>
      <c r="AL520">
        <v>68</v>
      </c>
      <c r="AM520" t="str">
        <v>〇六八</v>
      </c>
      <c r="AN520" t="str">
        <v>5595059</v>
      </c>
      <c r="AO520" t="str">
        <v>OK</v>
      </c>
      <c r="AP520">
        <v>0</v>
      </c>
    </row>
    <row r="521" spans="1:42">
      <c r="A521" t="str">
        <f>H521&amp;COUNTIF($H$2:H521,H521)</f>
        <v>0148</v>
      </c>
      <c r="B521" t="str">
        <f>F521&amp;COUNTIF($F$2:F521,F521)</f>
        <v>高雄工業 岡山117</v>
      </c>
      <c r="C521" t="str">
        <v>退社</v>
      </c>
      <c r="D521">
        <v>211103</v>
      </c>
      <c r="E521">
        <v>0</v>
      </c>
      <c r="F521" t="str">
        <v>高雄工業 岡山</v>
      </c>
      <c r="G521">
        <v>0</v>
      </c>
      <c r="H521">
        <v>0</v>
      </c>
      <c r="I521">
        <v>0</v>
      </c>
      <c r="J521" t="str">
        <v>PHAM THI PHUONG</v>
      </c>
      <c r="K521" t="str">
        <v>ファム　ティ　フォン</v>
      </c>
      <c r="L521" t="str">
        <v>女</v>
      </c>
      <c r="M521" t="str">
        <v>ﾍﾞﾄﾅﾑ</v>
      </c>
      <c r="N521">
        <v>34112</v>
      </c>
      <c r="O521">
        <v>30</v>
      </c>
      <c r="P521">
        <v>1210</v>
      </c>
      <c r="Q521">
        <v>0</v>
      </c>
      <c r="R521">
        <v>1610</v>
      </c>
      <c r="S521" t="str">
        <v>9/16~ 1600円→1750円</v>
      </c>
      <c r="T521">
        <v>400</v>
      </c>
      <c r="U521">
        <v>0</v>
      </c>
      <c r="V521" t="str">
        <v/>
      </c>
      <c r="W521" t="str">
        <v>0</v>
      </c>
      <c r="X521" t="str">
        <v/>
      </c>
      <c r="Y521">
        <v>44653</v>
      </c>
      <c r="Z521" t="str">
        <v>残り期限90日!</v>
      </c>
      <c r="AA521" t="str">
        <v>技術・人文知識・国際業務</v>
      </c>
      <c r="AB521" t="str">
        <v>712-8032</v>
      </c>
      <c r="AC521" t="str">
        <v>岡山県倉敷市北畝2-4-11</v>
      </c>
      <c r="AD521">
        <v>0</v>
      </c>
      <c r="AE521">
        <v>0</v>
      </c>
      <c r="AF521">
        <v>44501</v>
      </c>
      <c r="AG521">
        <v>44666</v>
      </c>
      <c r="AH521">
        <v>0</v>
      </c>
      <c r="AI521">
        <v>22.01</v>
      </c>
      <c r="AJ521" t="str">
        <v>ファム　ヴァン　ヒエウ</v>
      </c>
      <c r="AK521" t="str">
        <v>ゆうちょ銀行</v>
      </c>
      <c r="AL521">
        <v>408</v>
      </c>
      <c r="AM521" t="str">
        <v>四〇八</v>
      </c>
      <c r="AN521" t="str">
        <v>3267821</v>
      </c>
      <c r="AO521" t="str">
        <v>OK</v>
      </c>
      <c r="AP521">
        <v>0</v>
      </c>
    </row>
    <row r="522" spans="1:42">
      <c r="A522" t="str">
        <f>H522&amp;COUNTIF($H$2:H522,H522)</f>
        <v>一次旋係76</v>
      </c>
      <c r="B522" t="str">
        <f>F522&amp;COUNTIF($F$2:F522,F522)</f>
        <v>西岡工作所1</v>
      </c>
      <c r="C522" t="str">
        <v>退社</v>
      </c>
      <c r="D522">
        <v>211106</v>
      </c>
      <c r="E522">
        <v>0</v>
      </c>
      <c r="F522" t="str">
        <v>西岡工作所</v>
      </c>
      <c r="G522">
        <v>0</v>
      </c>
      <c r="H522" t="str">
        <v>一次旋係</v>
      </c>
      <c r="I522">
        <v>0</v>
      </c>
      <c r="J522" t="str">
        <v>堤　浩二</v>
      </c>
      <c r="K522" t="str">
        <v>ツツミ　コウジ</v>
      </c>
      <c r="L522" t="str">
        <v>男</v>
      </c>
      <c r="M522" t="str">
        <v>日本</v>
      </c>
      <c r="N522">
        <v>27567</v>
      </c>
      <c r="O522">
        <v>48</v>
      </c>
      <c r="P522">
        <v>1200</v>
      </c>
      <c r="Q522">
        <v>0</v>
      </c>
      <c r="R522">
        <v>1750</v>
      </c>
      <c r="S522">
        <v>0</v>
      </c>
      <c r="T522">
        <v>550</v>
      </c>
      <c r="U522">
        <v>0</v>
      </c>
      <c r="V522" t="str">
        <v/>
      </c>
      <c r="W522" t="str">
        <v/>
      </c>
      <c r="X522" t="str">
        <v/>
      </c>
      <c r="Y522">
        <v>0</v>
      </c>
      <c r="Z522" t="str">
        <v/>
      </c>
      <c r="AA522">
        <v>0</v>
      </c>
      <c r="AB522" t="str">
        <v>701-4265</v>
      </c>
      <c r="AC522" t="str">
        <v>岡山県瀬戸内市長船町福岡1193-13</v>
      </c>
      <c r="AD522">
        <v>0</v>
      </c>
      <c r="AE522" t="str">
        <v>個人</v>
      </c>
      <c r="AF522">
        <v>44502</v>
      </c>
      <c r="AG522">
        <v>44678</v>
      </c>
      <c r="AH522">
        <v>0</v>
      </c>
      <c r="AI522">
        <v>22.01</v>
      </c>
      <c r="AJ522">
        <v>0</v>
      </c>
      <c r="AK522">
        <v>0</v>
      </c>
      <c r="AL522">
        <v>0</v>
      </c>
      <c r="AM522">
        <v>0</v>
      </c>
      <c r="AN522">
        <v>0</v>
      </c>
      <c r="AO522" t="str">
        <v>OK</v>
      </c>
      <c r="AP522" t="str">
        <v>2022/4/27で終了⇒請負へ異動　2022/5/9～</v>
      </c>
    </row>
    <row r="523" spans="1:42">
      <c r="A523" t="str">
        <f>H523&amp;COUNTIF($H$2:H523,H523)</f>
        <v>0149</v>
      </c>
      <c r="B523" t="str">
        <f>F523&amp;COUNTIF($F$2:F523,F523)</f>
        <v>ワーク 岡山1</v>
      </c>
      <c r="C523" t="str">
        <v>在職中</v>
      </c>
      <c r="D523">
        <v>211108</v>
      </c>
      <c r="E523">
        <v>0</v>
      </c>
      <c r="F523" t="str">
        <v>ワーク 岡山</v>
      </c>
      <c r="G523" t="str">
        <v>岡山第２工場</v>
      </c>
      <c r="H523">
        <v>0</v>
      </c>
      <c r="I523">
        <v>0</v>
      </c>
      <c r="J523" t="str">
        <v>LE NGOC THANH</v>
      </c>
      <c r="K523" t="str">
        <v>レ　ゴック　タイン</v>
      </c>
      <c r="L523" t="str">
        <v>男</v>
      </c>
      <c r="M523" t="str">
        <v>ﾍﾞﾄﾅﾑ</v>
      </c>
      <c r="N523">
        <v>31963</v>
      </c>
      <c r="O523">
        <v>36</v>
      </c>
      <c r="P523">
        <v>1500</v>
      </c>
      <c r="Q523">
        <v>0</v>
      </c>
      <c r="R523">
        <v>1900</v>
      </c>
      <c r="S523">
        <v>0</v>
      </c>
      <c r="T523">
        <v>400</v>
      </c>
      <c r="U523">
        <v>320000</v>
      </c>
      <c r="V523">
        <v>16015.999999999998</v>
      </c>
      <c r="W523" t="str">
        <v>0</v>
      </c>
      <c r="X523">
        <v>29280</v>
      </c>
      <c r="Y523">
        <v>46305</v>
      </c>
      <c r="Z523" t="str">
        <v/>
      </c>
      <c r="AA523" t="str">
        <v>技術・人文知識・国際業務</v>
      </c>
      <c r="AB523" t="str">
        <v>709-4222</v>
      </c>
      <c r="AC523" t="str">
        <v>岡山県美作市岩辺493-10</v>
      </c>
      <c r="AD523" t="str">
        <v>岩辺借家</v>
      </c>
      <c r="AE523">
        <v>44513</v>
      </c>
      <c r="AF523">
        <v>44517</v>
      </c>
      <c r="AG523">
        <v>0</v>
      </c>
      <c r="AH523">
        <v>0</v>
      </c>
      <c r="AI523">
        <v>22.02</v>
      </c>
      <c r="AJ523" t="str">
        <v>レー　ゴック　タイン</v>
      </c>
      <c r="AK523" t="str">
        <v>ゆうちょ銀行</v>
      </c>
      <c r="AL523">
        <v>208</v>
      </c>
      <c r="AM523" t="str">
        <v>二〇八</v>
      </c>
      <c r="AN523" t="str">
        <v>1356244</v>
      </c>
      <c r="AO523" t="str">
        <v>OK</v>
      </c>
      <c r="AP523">
        <v>0</v>
      </c>
    </row>
    <row r="524" spans="1:42">
      <c r="A524" t="str">
        <f>H524&amp;COUNTIF($H$2:H524,H524)</f>
        <v>0150</v>
      </c>
      <c r="B524" t="str">
        <f>F524&amp;COUNTIF($F$2:F524,F524)</f>
        <v>PATEC7</v>
      </c>
      <c r="C524" t="str">
        <v>在職中</v>
      </c>
      <c r="D524">
        <v>211109</v>
      </c>
      <c r="E524">
        <v>0</v>
      </c>
      <c r="F524" t="str">
        <v>PATEC</v>
      </c>
      <c r="G524" t="str">
        <v>製造部素材課</v>
      </c>
      <c r="H524">
        <v>0</v>
      </c>
      <c r="I524">
        <v>0</v>
      </c>
      <c r="J524" t="str">
        <v>HOANG THE VINH</v>
      </c>
      <c r="K524" t="str">
        <v>ホアン　テー　ヴィン</v>
      </c>
      <c r="L524" t="str">
        <v>男</v>
      </c>
      <c r="M524" t="str">
        <v>ﾍﾞﾄﾅﾑ</v>
      </c>
      <c r="N524">
        <v>32051</v>
      </c>
      <c r="O524">
        <v>36</v>
      </c>
      <c r="P524">
        <v>1600</v>
      </c>
      <c r="Q524" t="str">
        <v>6/21～\1500⇒1600</v>
      </c>
      <c r="R524">
        <v>2100</v>
      </c>
      <c r="S524">
        <v>0</v>
      </c>
      <c r="T524">
        <v>500</v>
      </c>
      <c r="U524">
        <v>410000</v>
      </c>
      <c r="V524">
        <v>20520.5</v>
      </c>
      <c r="W524" t="str">
        <v>0</v>
      </c>
      <c r="X524">
        <v>37515</v>
      </c>
      <c r="Y524">
        <v>46279</v>
      </c>
      <c r="Z524" t="str">
        <v/>
      </c>
      <c r="AA524" t="str">
        <v>技術・人文知識・国際業務</v>
      </c>
      <c r="AB524" t="str">
        <v>747-0833</v>
      </c>
      <c r="AC524" t="str">
        <v>山口県防府市大字浜方716-15</v>
      </c>
      <c r="AD524" t="str">
        <v>ｱﾙｿｰﾚD101</v>
      </c>
      <c r="AE524">
        <v>44520</v>
      </c>
      <c r="AF524">
        <v>44522</v>
      </c>
      <c r="AG524">
        <v>0</v>
      </c>
      <c r="AH524">
        <v>0</v>
      </c>
      <c r="AI524">
        <v>22.02</v>
      </c>
      <c r="AJ524" t="str">
        <v>ホアン　テー　ヴィン</v>
      </c>
      <c r="AK524" t="str">
        <v>ゆうちょ銀行</v>
      </c>
      <c r="AL524">
        <v>238</v>
      </c>
      <c r="AM524" t="str">
        <v>二三八</v>
      </c>
      <c r="AN524" t="str">
        <v>6216352</v>
      </c>
      <c r="AO524" t="str">
        <v>OK</v>
      </c>
      <c r="AP524">
        <v>0</v>
      </c>
    </row>
    <row r="525" spans="1:42">
      <c r="A525" t="str">
        <f>H525&amp;COUNTIF($H$2:H525,H525)</f>
        <v>0151</v>
      </c>
      <c r="B525" t="str">
        <f>F525&amp;COUNTIF($F$2:F525,F525)</f>
        <v>コーリツ 州の崎35</v>
      </c>
      <c r="C525" t="str">
        <v>退社</v>
      </c>
      <c r="D525">
        <v>211112</v>
      </c>
      <c r="E525">
        <v>0</v>
      </c>
      <c r="F525" t="str">
        <v>コーリツ 州の崎</v>
      </c>
      <c r="G525">
        <v>0</v>
      </c>
      <c r="H525">
        <v>0</v>
      </c>
      <c r="I525">
        <v>0</v>
      </c>
      <c r="J525" t="str">
        <v>NGUYEN DANG KHANG</v>
      </c>
      <c r="K525" t="str">
        <v>グエン　ダン　クアン</v>
      </c>
      <c r="L525" t="str">
        <v>男</v>
      </c>
      <c r="M525" t="str">
        <v>ﾍﾞﾄﾅﾑ</v>
      </c>
      <c r="N525">
        <v>34178</v>
      </c>
      <c r="O525">
        <v>30</v>
      </c>
      <c r="P525">
        <v>1400</v>
      </c>
      <c r="Q525">
        <v>0</v>
      </c>
      <c r="R525">
        <v>1960</v>
      </c>
      <c r="S525">
        <v>0</v>
      </c>
      <c r="T525">
        <v>560</v>
      </c>
      <c r="U525">
        <v>0</v>
      </c>
      <c r="V525" t="str">
        <v/>
      </c>
      <c r="W525" t="str">
        <v>0</v>
      </c>
      <c r="X525" t="str">
        <v/>
      </c>
      <c r="Y525">
        <v>44937</v>
      </c>
      <c r="Z525" t="str">
        <v>残り期限90日!</v>
      </c>
      <c r="AA525" t="str">
        <v>技術・人文知識・国際業務</v>
      </c>
      <c r="AB525" t="str">
        <v>475-0828</v>
      </c>
      <c r="AC525" t="str">
        <v>愛知県半田市瑞穂町9丁目6-9</v>
      </c>
      <c r="AD525" t="str">
        <v>ｽｶｲﾚｼﾞﾃﾞﾝｽ302</v>
      </c>
      <c r="AE525">
        <v>44522</v>
      </c>
      <c r="AF525">
        <v>44523</v>
      </c>
      <c r="AG525">
        <v>44592</v>
      </c>
      <c r="AH525">
        <v>0</v>
      </c>
      <c r="AI525">
        <v>21.12</v>
      </c>
      <c r="AJ525" t="str">
        <v>ファム　デイン　トウン</v>
      </c>
      <c r="AK525" t="str">
        <v>ゆうちょ銀行</v>
      </c>
      <c r="AL525">
        <v>98</v>
      </c>
      <c r="AM525" t="str">
        <v>〇九八</v>
      </c>
      <c r="AN525" t="str">
        <v>1285143</v>
      </c>
      <c r="AO525">
        <v>0</v>
      </c>
      <c r="AP525">
        <v>0</v>
      </c>
    </row>
    <row r="526" spans="1:42">
      <c r="A526" t="str">
        <f>H526&amp;COUNTIF($H$2:H526,H526)</f>
        <v>0152</v>
      </c>
      <c r="B526" t="str">
        <f>F526&amp;COUNTIF($F$2:F526,F526)</f>
        <v>高雄工業 岡山118</v>
      </c>
      <c r="C526" t="str">
        <v>退社</v>
      </c>
      <c r="D526">
        <v>211115</v>
      </c>
      <c r="E526">
        <v>0</v>
      </c>
      <c r="F526" t="str">
        <v>高雄工業 岡山</v>
      </c>
      <c r="G526">
        <v>0</v>
      </c>
      <c r="H526">
        <v>0</v>
      </c>
      <c r="I526">
        <v>0</v>
      </c>
      <c r="J526" t="str">
        <v>HOANG MINH LONG</v>
      </c>
      <c r="K526" t="str">
        <v>ホアン　ミン　ロン</v>
      </c>
      <c r="L526" t="str">
        <v>男</v>
      </c>
      <c r="M526" t="str">
        <v>ﾍﾞﾄﾅﾑ</v>
      </c>
      <c r="N526">
        <v>35181</v>
      </c>
      <c r="O526">
        <v>27</v>
      </c>
      <c r="P526">
        <v>1370</v>
      </c>
      <c r="Q526">
        <v>0</v>
      </c>
      <c r="R526">
        <v>1790</v>
      </c>
      <c r="S526">
        <v>0</v>
      </c>
      <c r="T526">
        <v>420</v>
      </c>
      <c r="U526">
        <v>0</v>
      </c>
      <c r="V526" t="str">
        <v/>
      </c>
      <c r="W526" t="str">
        <v>0</v>
      </c>
      <c r="X526" t="str">
        <v/>
      </c>
      <c r="Y526">
        <v>45020</v>
      </c>
      <c r="Z526" t="str">
        <v>残り期限90日!</v>
      </c>
      <c r="AA526" t="str">
        <v>技術・人文知識・国際業務</v>
      </c>
      <c r="AB526" t="str">
        <v>700-0861</v>
      </c>
      <c r="AC526" t="str">
        <v>岡山県岡山市北区清輝橋2-7-18</v>
      </c>
      <c r="AD526" t="str">
        <v>103号室</v>
      </c>
      <c r="AE526" t="str">
        <v>個人</v>
      </c>
      <c r="AF526">
        <v>44529</v>
      </c>
      <c r="AG526">
        <v>44696</v>
      </c>
      <c r="AH526">
        <v>0</v>
      </c>
      <c r="AI526">
        <v>22.02</v>
      </c>
      <c r="AJ526" t="str">
        <v>HOANG　MINH　LONG</v>
      </c>
      <c r="AK526" t="str">
        <v>中国銀行</v>
      </c>
      <c r="AL526">
        <v>123</v>
      </c>
      <c r="AM526" t="str">
        <v>津島</v>
      </c>
      <c r="AN526" t="str">
        <v>2505554</v>
      </c>
      <c r="AO526" t="str">
        <v>OK</v>
      </c>
      <c r="AP526">
        <v>0</v>
      </c>
    </row>
    <row r="527" spans="1:42">
      <c r="A527" t="str">
        <f>H527&amp;COUNTIF($H$2:H527,H527)</f>
        <v>0153</v>
      </c>
      <c r="B527" t="str">
        <f>F527&amp;COUNTIF($F$2:F527,F527)</f>
        <v>PATEC8</v>
      </c>
      <c r="C527" t="str">
        <v>在職中</v>
      </c>
      <c r="D527">
        <v>211202</v>
      </c>
      <c r="E527">
        <v>0</v>
      </c>
      <c r="F527" t="str">
        <v>PATEC</v>
      </c>
      <c r="G527" t="str">
        <v>製造部機械加工課</v>
      </c>
      <c r="H527">
        <v>0</v>
      </c>
      <c r="I527">
        <v>0</v>
      </c>
      <c r="J527" t="str">
        <v>NGUYEN VAN CHUNG</v>
      </c>
      <c r="K527" t="str">
        <v>グエン　ヴァン　チュン</v>
      </c>
      <c r="L527" t="str">
        <v>男</v>
      </c>
      <c r="M527" t="str">
        <v>ﾍﾞﾄﾅﾑ</v>
      </c>
      <c r="N527">
        <v>33817</v>
      </c>
      <c r="O527">
        <v>31</v>
      </c>
      <c r="P527">
        <v>1500</v>
      </c>
      <c r="Q527" t="str">
        <v>6/21～\1400⇒1500</v>
      </c>
      <c r="R527">
        <v>2000</v>
      </c>
      <c r="S527">
        <v>0</v>
      </c>
      <c r="T527">
        <v>500</v>
      </c>
      <c r="U527">
        <v>340000</v>
      </c>
      <c r="V527">
        <v>17017</v>
      </c>
      <c r="W527" t="str">
        <v>0</v>
      </c>
      <c r="X527">
        <v>31110</v>
      </c>
      <c r="Y527">
        <v>45691</v>
      </c>
      <c r="Z527" t="str">
        <v/>
      </c>
      <c r="AA527" t="str">
        <v>技術・人文知識・国際業務</v>
      </c>
      <c r="AB527" t="str">
        <v>747-0834</v>
      </c>
      <c r="AC527" t="str">
        <v>山口県防府市大字田島531-1</v>
      </c>
      <c r="AD527" t="str">
        <v>ﾛｼﾞｭﾏﾝ千希A202号</v>
      </c>
      <c r="AE527">
        <v>44592</v>
      </c>
      <c r="AF527">
        <v>44532</v>
      </c>
      <c r="AG527">
        <v>0</v>
      </c>
      <c r="AH527">
        <v>0</v>
      </c>
      <c r="AI527">
        <v>21.12</v>
      </c>
      <c r="AJ527" t="str">
        <v>グエン　ヴァン　チュン</v>
      </c>
      <c r="AK527" t="str">
        <v>ゆうちょ銀行</v>
      </c>
      <c r="AL527">
        <v>208</v>
      </c>
      <c r="AM527" t="str">
        <v>二〇八</v>
      </c>
      <c r="AN527" t="str">
        <v>2560475</v>
      </c>
      <c r="AO527" t="str">
        <v>OK</v>
      </c>
      <c r="AP527">
        <v>0</v>
      </c>
    </row>
    <row r="528" spans="1:42">
      <c r="A528" t="str">
        <f>H528&amp;COUNTIF($H$2:H528,H528)</f>
        <v>0154</v>
      </c>
      <c r="B528" t="str">
        <f>F528&amp;COUNTIF($F$2:F528,F528)</f>
        <v>高雄工業 静岡87</v>
      </c>
      <c r="C528" t="str">
        <v>退社</v>
      </c>
      <c r="D528">
        <v>211204</v>
      </c>
      <c r="E528">
        <v>0</v>
      </c>
      <c r="F528" t="str">
        <v>高雄工業 静岡</v>
      </c>
      <c r="G528">
        <v>0</v>
      </c>
      <c r="H528">
        <v>0</v>
      </c>
      <c r="I528">
        <v>0</v>
      </c>
      <c r="J528" t="str">
        <v>NGUYRN HUU CANH</v>
      </c>
      <c r="K528" t="str">
        <v>グエン　フー　カン</v>
      </c>
      <c r="L528" t="str">
        <v>男</v>
      </c>
      <c r="M528" t="str">
        <v>ﾍﾞﾄﾅﾑ</v>
      </c>
      <c r="N528">
        <v>35722</v>
      </c>
      <c r="O528">
        <v>26</v>
      </c>
      <c r="P528">
        <v>1350</v>
      </c>
      <c r="Q528">
        <v>0</v>
      </c>
      <c r="R528">
        <v>1750</v>
      </c>
      <c r="S528">
        <v>0</v>
      </c>
      <c r="T528">
        <v>400</v>
      </c>
      <c r="U528">
        <v>0</v>
      </c>
      <c r="V528" t="str">
        <v/>
      </c>
      <c r="W528" t="str">
        <v>0</v>
      </c>
      <c r="X528" t="str">
        <v/>
      </c>
      <c r="Y528">
        <v>45306</v>
      </c>
      <c r="Z528" t="str">
        <v>残り期限90日!</v>
      </c>
      <c r="AA528" t="str">
        <v>技術・人文知識・国際業務</v>
      </c>
      <c r="AB528" t="str">
        <v>437-0061</v>
      </c>
      <c r="AC528" t="str">
        <v>静岡県袋井市久能1889-2</v>
      </c>
      <c r="AD528" t="str">
        <v>ﾗﾌｨｰﾈ久能402号</v>
      </c>
      <c r="AE528">
        <v>0</v>
      </c>
      <c r="AF528">
        <v>44536</v>
      </c>
      <c r="AG528">
        <v>44638</v>
      </c>
      <c r="AH528">
        <v>0</v>
      </c>
      <c r="AI528">
        <v>21.12</v>
      </c>
      <c r="AJ528">
        <v>0</v>
      </c>
      <c r="AK528">
        <v>0</v>
      </c>
      <c r="AL528">
        <v>0</v>
      </c>
      <c r="AM528">
        <v>0</v>
      </c>
      <c r="AN528">
        <v>0</v>
      </c>
      <c r="AO528" t="str">
        <v>OK</v>
      </c>
      <c r="AP528">
        <v>0</v>
      </c>
    </row>
    <row r="529" spans="1:42">
      <c r="A529" t="str">
        <f>H529&amp;COUNTIF($H$2:H529,H529)</f>
        <v>0155</v>
      </c>
      <c r="B529" t="str">
        <f>F529&amp;COUNTIF($F$2:F529,F529)</f>
        <v>六甲電子14</v>
      </c>
      <c r="C529" t="str">
        <v>退社</v>
      </c>
      <c r="D529">
        <v>211205</v>
      </c>
      <c r="E529">
        <v>0</v>
      </c>
      <c r="F529" t="str">
        <v>六甲電子</v>
      </c>
      <c r="G529">
        <v>0</v>
      </c>
      <c r="H529">
        <v>0</v>
      </c>
      <c r="I529">
        <v>0</v>
      </c>
      <c r="J529" t="str">
        <v>NGUYEN VAN DUY</v>
      </c>
      <c r="K529" t="str">
        <v>グエン　ヴァン　ズイ</v>
      </c>
      <c r="L529" t="str">
        <v>男</v>
      </c>
      <c r="M529" t="str">
        <v>ﾍﾞﾄﾅﾑ</v>
      </c>
      <c r="N529">
        <v>34136</v>
      </c>
      <c r="O529">
        <v>30</v>
      </c>
      <c r="P529">
        <v>1400</v>
      </c>
      <c r="Q529">
        <v>0</v>
      </c>
      <c r="R529">
        <v>2000</v>
      </c>
      <c r="S529">
        <v>0</v>
      </c>
      <c r="T529">
        <v>600</v>
      </c>
      <c r="U529">
        <v>0</v>
      </c>
      <c r="V529" t="str">
        <v/>
      </c>
      <c r="W529" t="str">
        <v>0</v>
      </c>
      <c r="X529" t="str">
        <v/>
      </c>
      <c r="Y529">
        <v>44628</v>
      </c>
      <c r="Z529" t="str">
        <v>残り期限90日!</v>
      </c>
      <c r="AA529" t="str">
        <v>技術・人文知識・国際業務</v>
      </c>
      <c r="AB529" t="str">
        <v>663-8174</v>
      </c>
      <c r="AC529" t="str">
        <v>兵庫県西宮市甲子園四番町1-16</v>
      </c>
      <c r="AD529" t="str">
        <v>甲子園四番町ﾊｲﾂ1F号</v>
      </c>
      <c r="AE529">
        <v>44536</v>
      </c>
      <c r="AF529">
        <v>44537</v>
      </c>
      <c r="AG529">
        <v>44540</v>
      </c>
      <c r="AH529">
        <v>0</v>
      </c>
      <c r="AI529">
        <v>22.02</v>
      </c>
      <c r="AJ529" t="str">
        <v>ファム　ヴァン　ヒエウ</v>
      </c>
      <c r="AK529" t="str">
        <v>ゆうちょ銀行</v>
      </c>
      <c r="AL529">
        <v>408</v>
      </c>
      <c r="AM529" t="str">
        <v>四〇八</v>
      </c>
      <c r="AN529" t="str">
        <v>3267821</v>
      </c>
      <c r="AO529">
        <v>0</v>
      </c>
      <c r="AP529">
        <v>0</v>
      </c>
    </row>
    <row r="530" spans="1:42">
      <c r="A530" t="str">
        <f>H530&amp;COUNTIF($H$2:H530,H530)</f>
        <v>0156</v>
      </c>
      <c r="B530" t="str">
        <f>F530&amp;COUNTIF($F$2:F530,F530)</f>
        <v>ワーク 志紀1</v>
      </c>
      <c r="C530" t="str">
        <v>退社</v>
      </c>
      <c r="D530">
        <v>211207</v>
      </c>
      <c r="E530">
        <v>0</v>
      </c>
      <c r="F530" t="str">
        <v>ワーク 志紀</v>
      </c>
      <c r="G530">
        <v>0</v>
      </c>
      <c r="H530">
        <v>0</v>
      </c>
      <c r="I530">
        <v>0</v>
      </c>
      <c r="J530" t="str">
        <v>PHAM CHI BAC</v>
      </c>
      <c r="K530" t="str">
        <v>ファム　チー　バック</v>
      </c>
      <c r="L530" t="str">
        <v>男</v>
      </c>
      <c r="M530" t="str">
        <v>ﾍﾞﾄﾅﾑ</v>
      </c>
      <c r="N530">
        <v>32777</v>
      </c>
      <c r="O530">
        <v>34</v>
      </c>
      <c r="P530">
        <v>1400</v>
      </c>
      <c r="Q530">
        <v>0</v>
      </c>
      <c r="R530">
        <v>1900</v>
      </c>
      <c r="S530">
        <v>0</v>
      </c>
      <c r="T530">
        <v>500</v>
      </c>
      <c r="U530">
        <v>0</v>
      </c>
      <c r="V530" t="str">
        <v/>
      </c>
      <c r="W530" t="str">
        <v>0</v>
      </c>
      <c r="X530" t="str">
        <v/>
      </c>
      <c r="Y530">
        <v>45613</v>
      </c>
      <c r="Z530" t="str">
        <v/>
      </c>
      <c r="AA530" t="str">
        <v>技術・人文知識・国際業務</v>
      </c>
      <c r="AB530" t="str">
        <v>581-0884</v>
      </c>
      <c r="AC530" t="str">
        <v>大阪府八尾市恩智南町1ー130</v>
      </c>
      <c r="AD530" t="str">
        <v>ﾌﾟﾚｱｰﾙ恩智Ⅱ202号</v>
      </c>
      <c r="AE530" t="str">
        <v>個人</v>
      </c>
      <c r="AF530">
        <v>44543</v>
      </c>
      <c r="AG530">
        <v>44674</v>
      </c>
      <c r="AH530">
        <v>0</v>
      </c>
      <c r="AI530">
        <v>22.02</v>
      </c>
      <c r="AJ530">
        <v>0</v>
      </c>
      <c r="AK530">
        <v>0</v>
      </c>
      <c r="AL530">
        <v>0</v>
      </c>
      <c r="AM530">
        <v>0</v>
      </c>
      <c r="AN530">
        <v>0</v>
      </c>
      <c r="AO530" t="str">
        <v>OK</v>
      </c>
      <c r="AP530">
        <v>0</v>
      </c>
    </row>
    <row r="531" spans="1:42">
      <c r="A531" t="str">
        <f>H531&amp;COUNTIF($H$2:H531,H531)</f>
        <v>CVJ9</v>
      </c>
      <c r="B531" t="str">
        <f>F531&amp;COUNTIF($F$2:F531,F531)</f>
        <v>瑞陵精機14</v>
      </c>
      <c r="C531" t="str">
        <v>退社</v>
      </c>
      <c r="D531">
        <v>211206</v>
      </c>
      <c r="E531">
        <v>0</v>
      </c>
      <c r="F531" t="str">
        <v>瑞陵精機</v>
      </c>
      <c r="G531" t="str">
        <v>製造1課</v>
      </c>
      <c r="H531" t="str">
        <v>CVJ</v>
      </c>
      <c r="I531">
        <v>0</v>
      </c>
      <c r="J531" t="str">
        <v>NGUYEN HOANG LAM</v>
      </c>
      <c r="K531" t="str">
        <v>グエン　ホアン　ラム</v>
      </c>
      <c r="L531" t="str">
        <v>男</v>
      </c>
      <c r="M531" t="str">
        <v>ﾍﾞﾄﾅﾑ</v>
      </c>
      <c r="N531">
        <v>34949</v>
      </c>
      <c r="O531">
        <v>28</v>
      </c>
      <c r="P531">
        <v>1320</v>
      </c>
      <c r="Q531">
        <v>0</v>
      </c>
      <c r="R531">
        <v>1700</v>
      </c>
      <c r="S531">
        <v>0</v>
      </c>
      <c r="T531">
        <v>380</v>
      </c>
      <c r="U531">
        <v>0</v>
      </c>
      <c r="V531" t="str">
        <v/>
      </c>
      <c r="W531" t="str">
        <v>0</v>
      </c>
      <c r="X531" t="str">
        <v/>
      </c>
      <c r="Y531">
        <v>45369</v>
      </c>
      <c r="Z531" t="str">
        <v/>
      </c>
      <c r="AA531" t="str">
        <v>技術・人文知識・国際業務</v>
      </c>
      <c r="AB531" t="str">
        <v>509-7201</v>
      </c>
      <c r="AC531" t="str">
        <v>岐阜県恵那市大井町2087-170</v>
      </c>
      <c r="AD531" t="str">
        <v>ﾋﾞﾚｯｼﾞﾊｳｽ1-310</v>
      </c>
      <c r="AE531" t="str">
        <v>個人</v>
      </c>
      <c r="AF531">
        <v>44543</v>
      </c>
      <c r="AG531">
        <v>44694</v>
      </c>
      <c r="AH531">
        <v>0</v>
      </c>
      <c r="AI531">
        <v>22.02</v>
      </c>
      <c r="AJ531" t="str">
        <v>グエン　ホアン　ラム</v>
      </c>
      <c r="AK531" t="str">
        <v>ゆうちょ銀行</v>
      </c>
      <c r="AL531">
        <v>0</v>
      </c>
      <c r="AM531">
        <v>0</v>
      </c>
      <c r="AN531" t="str">
        <v>10190　78982551</v>
      </c>
      <c r="AO531" t="str">
        <v>OK</v>
      </c>
      <c r="AP531">
        <v>0</v>
      </c>
    </row>
    <row r="532" spans="1:42">
      <c r="A532" t="str">
        <f>H532&amp;COUNTIF($H$2:H532,H532)</f>
        <v>0157</v>
      </c>
      <c r="B532" t="str">
        <f>F532&amp;COUNTIF($F$2:F532,F532)</f>
        <v>高雄工業 静岡88</v>
      </c>
      <c r="C532" t="str">
        <v>退社</v>
      </c>
      <c r="D532">
        <v>211210</v>
      </c>
      <c r="E532">
        <v>0</v>
      </c>
      <c r="F532" t="str">
        <v>高雄工業 静岡</v>
      </c>
      <c r="G532">
        <v>0</v>
      </c>
      <c r="H532">
        <v>0</v>
      </c>
      <c r="I532">
        <v>0</v>
      </c>
      <c r="J532" t="str">
        <v>LE HUU THANG</v>
      </c>
      <c r="K532" t="str">
        <v>レー　ヒュー　タン</v>
      </c>
      <c r="L532" t="str">
        <v>男</v>
      </c>
      <c r="M532" t="str">
        <v>ﾍﾞﾄﾅﾑ</v>
      </c>
      <c r="N532">
        <v>29933</v>
      </c>
      <c r="O532">
        <v>41</v>
      </c>
      <c r="P532">
        <v>1350</v>
      </c>
      <c r="Q532">
        <v>0</v>
      </c>
      <c r="R532">
        <v>1750</v>
      </c>
      <c r="S532">
        <v>0</v>
      </c>
      <c r="T532">
        <v>400</v>
      </c>
      <c r="U532">
        <v>0</v>
      </c>
      <c r="V532" t="str">
        <v/>
      </c>
      <c r="W532" t="str">
        <v/>
      </c>
      <c r="X532" t="str">
        <v/>
      </c>
      <c r="Y532">
        <v>45597</v>
      </c>
      <c r="Z532" t="str">
        <v/>
      </c>
      <c r="AA532" t="str">
        <v>技術・人文知識・国際業務</v>
      </c>
      <c r="AB532" t="str">
        <v>437-0065</v>
      </c>
      <c r="AC532" t="str">
        <v>静岡県袋井市堀越1丁目21-9</v>
      </c>
      <c r="AD532" t="str">
        <v>ﾌﾟﾁｾｿﾞﾝ103号</v>
      </c>
      <c r="AE532">
        <v>44544</v>
      </c>
      <c r="AF532">
        <v>44546</v>
      </c>
      <c r="AG532">
        <v>44586</v>
      </c>
      <c r="AH532">
        <v>0</v>
      </c>
      <c r="AI532">
        <v>22.03</v>
      </c>
      <c r="AJ532" t="str">
        <v>ファム　デイン　トウン</v>
      </c>
      <c r="AK532" t="str">
        <v>ゆうちょ銀行</v>
      </c>
      <c r="AL532">
        <v>98</v>
      </c>
      <c r="AM532" t="str">
        <v>〇九八</v>
      </c>
      <c r="AN532" t="str">
        <v>1285143</v>
      </c>
      <c r="AO532">
        <v>0</v>
      </c>
      <c r="AP532">
        <v>0</v>
      </c>
    </row>
    <row r="533" spans="1:42">
      <c r="A533" t="str">
        <f>H533&amp;COUNTIF($H$2:H533,H533)</f>
        <v>0158</v>
      </c>
      <c r="B533" t="str">
        <f>F533&amp;COUNTIF($F$2:F533,F533)</f>
        <v>ワーク 志紀2</v>
      </c>
      <c r="C533" t="str">
        <v>在職中</v>
      </c>
      <c r="D533">
        <v>211214</v>
      </c>
      <c r="E533">
        <v>0</v>
      </c>
      <c r="F533" t="str">
        <v>ワーク 志紀</v>
      </c>
      <c r="G533" t="str">
        <v>志紀工場　製造部</v>
      </c>
      <c r="H533">
        <v>0</v>
      </c>
      <c r="I533">
        <v>0</v>
      </c>
      <c r="J533" t="str">
        <v>NGUYEN VAN DUC</v>
      </c>
      <c r="K533" t="str">
        <v>グエン　バン　ドック</v>
      </c>
      <c r="L533" t="str">
        <v>男</v>
      </c>
      <c r="M533" t="str">
        <v>ﾍﾞﾄﾅﾑ</v>
      </c>
      <c r="N533">
        <v>34177</v>
      </c>
      <c r="O533">
        <v>30</v>
      </c>
      <c r="P533">
        <v>1400</v>
      </c>
      <c r="Q533">
        <v>0</v>
      </c>
      <c r="R533">
        <v>1900</v>
      </c>
      <c r="S533">
        <v>0</v>
      </c>
      <c r="T533">
        <v>500</v>
      </c>
      <c r="U533">
        <v>240000</v>
      </c>
      <c r="V533">
        <v>12012</v>
      </c>
      <c r="W533" t="str">
        <v>0</v>
      </c>
      <c r="X533">
        <v>21960</v>
      </c>
      <c r="Y533">
        <v>45578</v>
      </c>
      <c r="Z533" t="str">
        <v/>
      </c>
      <c r="AA533" t="str">
        <v>技術・人文知識・国際業務</v>
      </c>
      <c r="AB533" t="str">
        <v>582-0005</v>
      </c>
      <c r="AC533" t="str">
        <v>大阪府柏原市法善寺3丁目474</v>
      </c>
      <c r="AD533" t="str">
        <v>ﾋﾞﾚｯｼﾞﾊｳｽ法善寺3-310号</v>
      </c>
      <c r="AE533" t="str">
        <v>個人</v>
      </c>
      <c r="AF533">
        <v>44550</v>
      </c>
      <c r="AG533">
        <v>0</v>
      </c>
      <c r="AH533">
        <v>0</v>
      </c>
      <c r="AI533">
        <v>22.02</v>
      </c>
      <c r="AJ533" t="str">
        <v>グエン　バン　ドック</v>
      </c>
      <c r="AK533" t="str">
        <v>ゆうちょ銀行</v>
      </c>
      <c r="AL533">
        <v>438</v>
      </c>
      <c r="AM533" t="str">
        <v>四三八</v>
      </c>
      <c r="AN533" t="str">
        <v>7705810</v>
      </c>
      <c r="AO533" t="str">
        <v>OK</v>
      </c>
      <c r="AP533">
        <v>0</v>
      </c>
    </row>
    <row r="534" spans="1:42">
      <c r="A534" t="str">
        <f>H534&amp;COUNTIF($H$2:H534,H534)</f>
        <v>0159</v>
      </c>
      <c r="B534" t="str">
        <f>F534&amp;COUNTIF($F$2:F534,F534)</f>
        <v>高雄工業 岡山119</v>
      </c>
      <c r="C534" t="str">
        <v>退社</v>
      </c>
      <c r="D534">
        <v>211215</v>
      </c>
      <c r="E534">
        <v>0</v>
      </c>
      <c r="F534" t="str">
        <v>高雄工業 岡山</v>
      </c>
      <c r="G534">
        <v>0</v>
      </c>
      <c r="H534">
        <v>0</v>
      </c>
      <c r="I534">
        <v>0</v>
      </c>
      <c r="J534" t="str">
        <v>HOANG HUY HOI</v>
      </c>
      <c r="K534" t="str">
        <v>ホアン　フイ　ホイ</v>
      </c>
      <c r="L534" t="str">
        <v>男</v>
      </c>
      <c r="M534" t="str">
        <v>ﾍﾞﾄﾅﾑ</v>
      </c>
      <c r="N534">
        <v>33748</v>
      </c>
      <c r="O534">
        <v>31</v>
      </c>
      <c r="P534">
        <v>1350</v>
      </c>
      <c r="Q534">
        <v>0</v>
      </c>
      <c r="R534">
        <v>1750</v>
      </c>
      <c r="S534">
        <v>0</v>
      </c>
      <c r="T534">
        <v>400</v>
      </c>
      <c r="U534">
        <v>0</v>
      </c>
      <c r="V534" t="str">
        <v/>
      </c>
      <c r="W534" t="str">
        <v>0</v>
      </c>
      <c r="X534" t="str">
        <v/>
      </c>
      <c r="Y534">
        <v>45313</v>
      </c>
      <c r="Z534" t="str">
        <v>残り期限90日!</v>
      </c>
      <c r="AA534" t="str">
        <v>技術・人文知識・国際業務</v>
      </c>
      <c r="AB534" t="str">
        <v>709-2133</v>
      </c>
      <c r="AC534" t="str">
        <v>岡山県岡山市北区御津金川373番地1</v>
      </c>
      <c r="AD534" t="str">
        <v>ﾆｭｰｴﾙﾃﾞｨﾑ小西C201</v>
      </c>
      <c r="AE534">
        <v>44546</v>
      </c>
      <c r="AF534">
        <v>44551</v>
      </c>
      <c r="AG534">
        <v>44554</v>
      </c>
      <c r="AH534">
        <v>0</v>
      </c>
      <c r="AI534">
        <v>0</v>
      </c>
      <c r="AJ534" t="str">
        <v>ファム　ヴァン　ヒエウ</v>
      </c>
      <c r="AK534" t="str">
        <v>ゆうちょ銀行</v>
      </c>
      <c r="AL534">
        <v>408</v>
      </c>
      <c r="AM534" t="str">
        <v>四〇八</v>
      </c>
      <c r="AN534" t="str">
        <v>3267821</v>
      </c>
      <c r="AO534">
        <v>0</v>
      </c>
      <c r="AP534">
        <v>0</v>
      </c>
    </row>
    <row r="535" spans="1:42">
      <c r="A535" t="str">
        <f>H535&amp;COUNTIF($H$2:H535,H535)</f>
        <v>0160</v>
      </c>
      <c r="B535" t="str">
        <f>F535&amp;COUNTIF($F$2:F535,F535)</f>
        <v>高雄工業 静岡89</v>
      </c>
      <c r="C535" t="str">
        <v>退社</v>
      </c>
      <c r="D535">
        <v>210204</v>
      </c>
      <c r="E535">
        <v>0</v>
      </c>
      <c r="F535" t="str">
        <v>高雄工業 静岡</v>
      </c>
      <c r="G535">
        <v>0</v>
      </c>
      <c r="H535">
        <v>0</v>
      </c>
      <c r="I535">
        <v>0</v>
      </c>
      <c r="J535" t="str">
        <v>近藤　ヨシオ</v>
      </c>
      <c r="K535" t="str">
        <v>コンドウ　ヨシオ</v>
      </c>
      <c r="L535" t="str">
        <v>男</v>
      </c>
      <c r="M535" t="str">
        <v>ﾌﾞﾗｼﾞﾙ</v>
      </c>
      <c r="N535">
        <v>23316</v>
      </c>
      <c r="O535">
        <v>60</v>
      </c>
      <c r="P535">
        <v>1300</v>
      </c>
      <c r="Q535">
        <v>0</v>
      </c>
      <c r="R535">
        <v>1750</v>
      </c>
      <c r="S535">
        <v>0</v>
      </c>
      <c r="T535">
        <v>450</v>
      </c>
      <c r="U535">
        <v>0</v>
      </c>
      <c r="V535" t="str">
        <v/>
      </c>
      <c r="W535" t="str">
        <v/>
      </c>
      <c r="X535" t="str">
        <v/>
      </c>
      <c r="Y535">
        <v>450</v>
      </c>
      <c r="Z535" t="str">
        <v>残り期限90日!</v>
      </c>
      <c r="AA535" t="str">
        <v>日本人の配偶者</v>
      </c>
      <c r="AB535" t="str">
        <v>437-0066</v>
      </c>
      <c r="AC535" t="str">
        <v>静岡県袋井市山科3388-1</v>
      </c>
      <c r="AD535" t="str">
        <v>鶴松203</v>
      </c>
      <c r="AE535">
        <v>44553</v>
      </c>
      <c r="AF535">
        <v>44554</v>
      </c>
      <c r="AG535">
        <v>44589</v>
      </c>
      <c r="AH535">
        <v>0</v>
      </c>
      <c r="AI535">
        <v>22.03</v>
      </c>
      <c r="AJ535" t="str">
        <v>ファム　デイン　トウン</v>
      </c>
      <c r="AK535" t="str">
        <v>ゆうちょ銀行</v>
      </c>
      <c r="AL535">
        <v>98</v>
      </c>
      <c r="AM535" t="str">
        <v>〇九八</v>
      </c>
      <c r="AN535" t="str">
        <v>1285143</v>
      </c>
      <c r="AO535">
        <v>0</v>
      </c>
      <c r="AP535">
        <v>0</v>
      </c>
    </row>
    <row r="536" spans="1:42">
      <c r="A536" t="str">
        <f>H536&amp;COUNTIF($H$2:H536,H536)</f>
        <v>0161</v>
      </c>
      <c r="B536" t="str">
        <f>F536&amp;COUNTIF($F$2:F536,F536)</f>
        <v>ワーク 志紀3</v>
      </c>
      <c r="C536" t="str">
        <v>退社</v>
      </c>
      <c r="D536">
        <v>211216</v>
      </c>
      <c r="E536">
        <v>0</v>
      </c>
      <c r="F536" t="str">
        <v>ワーク 志紀</v>
      </c>
      <c r="G536">
        <v>0</v>
      </c>
      <c r="H536">
        <v>0</v>
      </c>
      <c r="I536">
        <v>0</v>
      </c>
      <c r="J536" t="str">
        <v>NGUYEN HUU MANH</v>
      </c>
      <c r="K536" t="str">
        <v>グエン　フウ　マン</v>
      </c>
      <c r="L536" t="str">
        <v>男</v>
      </c>
      <c r="M536" t="str">
        <v>ﾍﾞﾄﾅﾑ</v>
      </c>
      <c r="N536">
        <v>30210</v>
      </c>
      <c r="O536">
        <v>41</v>
      </c>
      <c r="P536">
        <v>1400</v>
      </c>
      <c r="Q536">
        <v>0</v>
      </c>
      <c r="R536">
        <v>1900</v>
      </c>
      <c r="S536">
        <v>0</v>
      </c>
      <c r="T536">
        <v>500</v>
      </c>
      <c r="U536">
        <v>0</v>
      </c>
      <c r="V536" t="str">
        <v/>
      </c>
      <c r="W536" t="str">
        <v/>
      </c>
      <c r="X536" t="str">
        <v/>
      </c>
      <c r="Y536">
        <v>44841</v>
      </c>
      <c r="Z536" t="str">
        <v>残り期限90日!</v>
      </c>
      <c r="AA536" t="str">
        <v>技術・人文知識・国際業務</v>
      </c>
      <c r="AB536" t="str">
        <v>552-0001</v>
      </c>
      <c r="AC536" t="str">
        <v>大阪府大阪市港区波除5丁目3番9</v>
      </c>
      <c r="AD536" t="str">
        <v>304号</v>
      </c>
      <c r="AE536" t="str">
        <v>個人</v>
      </c>
      <c r="AF536">
        <v>44557</v>
      </c>
      <c r="AG536">
        <v>44701</v>
      </c>
      <c r="AH536">
        <v>0</v>
      </c>
      <c r="AI536">
        <v>22.02</v>
      </c>
      <c r="AJ536">
        <v>0</v>
      </c>
      <c r="AK536">
        <v>0</v>
      </c>
      <c r="AL536">
        <v>0</v>
      </c>
      <c r="AM536">
        <v>0</v>
      </c>
      <c r="AN536">
        <v>0</v>
      </c>
      <c r="AO536" t="str">
        <v>OK</v>
      </c>
      <c r="AP536">
        <v>0</v>
      </c>
    </row>
    <row r="537" spans="1:42">
      <c r="A537" t="str">
        <f>H537&amp;COUNTIF($H$2:H537,H537)</f>
        <v>0162</v>
      </c>
      <c r="B537" t="str">
        <f>F537&amp;COUNTIF($F$2:F537,F537)</f>
        <v>高雄工業 岡山120</v>
      </c>
      <c r="C537" t="str">
        <v>退社</v>
      </c>
      <c r="D537">
        <v>211218</v>
      </c>
      <c r="E537">
        <v>0</v>
      </c>
      <c r="F537" t="str">
        <v>高雄工業 岡山</v>
      </c>
      <c r="G537">
        <v>0</v>
      </c>
      <c r="H537">
        <v>0</v>
      </c>
      <c r="I537">
        <v>0</v>
      </c>
      <c r="J537" t="str">
        <v>PHAN VAN BINH</v>
      </c>
      <c r="K537" t="str">
        <v>ファン　バン　ビン</v>
      </c>
      <c r="L537" t="str">
        <v>男</v>
      </c>
      <c r="M537" t="str">
        <v>ﾍﾞﾄﾅﾑ</v>
      </c>
      <c r="N537">
        <v>33674</v>
      </c>
      <c r="O537">
        <v>31</v>
      </c>
      <c r="P537">
        <v>1350</v>
      </c>
      <c r="Q537">
        <v>0</v>
      </c>
      <c r="R537">
        <v>1750</v>
      </c>
      <c r="S537">
        <v>0</v>
      </c>
      <c r="T537">
        <v>400</v>
      </c>
      <c r="U537">
        <v>0</v>
      </c>
      <c r="V537" t="str">
        <v/>
      </c>
      <c r="W537" t="str">
        <v>0</v>
      </c>
      <c r="X537" t="str">
        <v/>
      </c>
      <c r="Y537">
        <v>45126</v>
      </c>
      <c r="Z537" t="str">
        <v>残り期限90日!</v>
      </c>
      <c r="AA537" t="str">
        <v>技術・人文知識・国際業務</v>
      </c>
      <c r="AB537" t="str">
        <v>709-2133</v>
      </c>
      <c r="AC537" t="str">
        <v>岡山県岡山市北区御津下田77-3</v>
      </c>
      <c r="AD537" t="str">
        <v>ﾋﾞﾚｯｼﾞﾊｳｽ宇甘川2号棟A302</v>
      </c>
      <c r="AE537">
        <v>0</v>
      </c>
      <c r="AF537">
        <v>44558</v>
      </c>
      <c r="AG537">
        <v>44616</v>
      </c>
      <c r="AH537">
        <v>0</v>
      </c>
      <c r="AI537">
        <v>22.03</v>
      </c>
      <c r="AJ537" t="str">
        <v>ファム　ヴァン　ヒエウ</v>
      </c>
      <c r="AK537" t="str">
        <v>ゆうちょ銀行</v>
      </c>
      <c r="AL537">
        <v>408</v>
      </c>
      <c r="AM537" t="str">
        <v>四〇八</v>
      </c>
      <c r="AN537" t="str">
        <v>3267821</v>
      </c>
      <c r="AO537">
        <v>0</v>
      </c>
      <c r="AP537">
        <v>0</v>
      </c>
    </row>
    <row r="538" spans="1:42">
      <c r="A538" t="str">
        <f>H538&amp;COUNTIF($H$2:H538,H538)</f>
        <v>0163</v>
      </c>
      <c r="B538" t="str">
        <f>F538&amp;COUNTIF($F$2:F538,F538)</f>
        <v>PATEC9</v>
      </c>
      <c r="C538" t="str">
        <v>退社</v>
      </c>
      <c r="D538">
        <v>220103</v>
      </c>
      <c r="E538">
        <v>0</v>
      </c>
      <c r="F538" t="str">
        <v>PATEC</v>
      </c>
      <c r="G538" t="str">
        <v>製造部素材課</v>
      </c>
      <c r="H538">
        <v>0</v>
      </c>
      <c r="I538">
        <v>0</v>
      </c>
      <c r="J538" t="str">
        <v>DAO ANH TUAN</v>
      </c>
      <c r="K538" t="str">
        <v>ダオ　アン　トゥアン</v>
      </c>
      <c r="L538" t="str">
        <v>男</v>
      </c>
      <c r="M538" t="str">
        <v>ﾍﾞﾄﾅﾑ</v>
      </c>
      <c r="N538">
        <v>30230</v>
      </c>
      <c r="O538">
        <v>41</v>
      </c>
      <c r="P538">
        <v>1600</v>
      </c>
      <c r="Q538" t="str">
        <v>7/21～\1500⇒1600</v>
      </c>
      <c r="R538">
        <v>2100</v>
      </c>
      <c r="S538">
        <v>0</v>
      </c>
      <c r="T538">
        <v>500</v>
      </c>
      <c r="U538">
        <v>380000</v>
      </c>
      <c r="V538">
        <v>19019</v>
      </c>
      <c r="W538">
        <v>3457.9999999999964</v>
      </c>
      <c r="X538">
        <v>34770</v>
      </c>
      <c r="Y538">
        <v>46109</v>
      </c>
      <c r="Z538" t="str">
        <v/>
      </c>
      <c r="AA538" t="str">
        <v>技術・人文知識・国際業務</v>
      </c>
      <c r="AB538" t="str">
        <v>747-0834</v>
      </c>
      <c r="AC538" t="str">
        <v>山口県防府市大字田島395番地</v>
      </c>
      <c r="AD538" t="str">
        <v>ﾗｸﾞﾘｼｰﾅⅠ104</v>
      </c>
      <c r="AE538">
        <v>44552</v>
      </c>
      <c r="AF538">
        <v>44566</v>
      </c>
      <c r="AG538">
        <v>45128</v>
      </c>
      <c r="AH538">
        <v>0</v>
      </c>
      <c r="AI538">
        <v>22.03</v>
      </c>
      <c r="AJ538" t="str">
        <v>ダアオ アン トゥアン</v>
      </c>
      <c r="AK538" t="str">
        <v>ゆうちょ銀行</v>
      </c>
      <c r="AL538">
        <v>408</v>
      </c>
      <c r="AM538" t="str">
        <v>四〇八</v>
      </c>
      <c r="AN538" t="str">
        <v>3758521</v>
      </c>
      <c r="AO538" t="str">
        <v>OK</v>
      </c>
      <c r="AP538">
        <v>0</v>
      </c>
    </row>
    <row r="539" spans="1:42">
      <c r="A539" t="str">
        <f>H539&amp;COUNTIF($H$2:H539,H539)</f>
        <v>0164</v>
      </c>
      <c r="B539" t="str">
        <f>F539&amp;COUNTIF($F$2:F539,F539)</f>
        <v>六甲電子15</v>
      </c>
      <c r="C539" t="str">
        <v>退社</v>
      </c>
      <c r="D539">
        <v>220101</v>
      </c>
      <c r="E539">
        <v>0</v>
      </c>
      <c r="F539" t="str">
        <v>六甲電子</v>
      </c>
      <c r="G539">
        <v>0</v>
      </c>
      <c r="H539">
        <v>0</v>
      </c>
      <c r="I539">
        <v>0</v>
      </c>
      <c r="J539" t="str">
        <v>MA PHUC MINH</v>
      </c>
      <c r="K539" t="str">
        <v>マ　フック　ミン</v>
      </c>
      <c r="L539" t="str">
        <v>男</v>
      </c>
      <c r="M539" t="str">
        <v>ﾍﾞﾄﾅﾑ</v>
      </c>
      <c r="N539">
        <v>32412</v>
      </c>
      <c r="O539">
        <v>35</v>
      </c>
      <c r="P539">
        <v>1400</v>
      </c>
      <c r="Q539">
        <v>0</v>
      </c>
      <c r="R539">
        <v>2000</v>
      </c>
      <c r="S539">
        <v>0</v>
      </c>
      <c r="T539">
        <v>600</v>
      </c>
      <c r="U539">
        <v>0</v>
      </c>
      <c r="V539" t="str">
        <v/>
      </c>
      <c r="W539" t="str">
        <v>0</v>
      </c>
      <c r="X539" t="str">
        <v/>
      </c>
      <c r="Y539">
        <v>45004</v>
      </c>
      <c r="Z539" t="str">
        <v>残り期限90日!</v>
      </c>
      <c r="AA539" t="str">
        <v>技術・人文知識・国際業務</v>
      </c>
      <c r="AB539" t="str">
        <v>663-8174</v>
      </c>
      <c r="AC539" t="str">
        <v>兵庫県西宮市甲子園四番町1-16</v>
      </c>
      <c r="AD539" t="str">
        <v>甲子園四番町ﾊｲﾂ1F号</v>
      </c>
      <c r="AE539">
        <v>44554</v>
      </c>
      <c r="AF539">
        <v>44566</v>
      </c>
      <c r="AG539">
        <v>44581</v>
      </c>
      <c r="AH539">
        <v>0</v>
      </c>
      <c r="AI539">
        <v>22.03</v>
      </c>
      <c r="AJ539" t="str">
        <v>ファム　デイン　トウン</v>
      </c>
      <c r="AK539" t="str">
        <v>ゆうちょ銀行</v>
      </c>
      <c r="AL539">
        <v>98</v>
      </c>
      <c r="AM539" t="str">
        <v>〇九八</v>
      </c>
      <c r="AN539" t="str">
        <v>1285143</v>
      </c>
      <c r="AO539">
        <v>0</v>
      </c>
      <c r="AP539">
        <v>0</v>
      </c>
    </row>
    <row r="540" spans="1:42">
      <c r="A540" t="str">
        <f>H540&amp;COUNTIF($H$2:H540,H540)</f>
        <v>0165</v>
      </c>
      <c r="B540" t="str">
        <f>F540&amp;COUNTIF($F$2:F540,F540)</f>
        <v>高雄工業 本社37</v>
      </c>
      <c r="C540" t="str">
        <v>退社</v>
      </c>
      <c r="D540">
        <v>220105</v>
      </c>
      <c r="E540">
        <v>0</v>
      </c>
      <c r="F540" t="str">
        <v>高雄工業 本社</v>
      </c>
      <c r="G540">
        <v>0</v>
      </c>
      <c r="H540">
        <v>0</v>
      </c>
      <c r="I540">
        <v>0</v>
      </c>
      <c r="J540" t="str">
        <v>PHAM LE PUONG DUY</v>
      </c>
      <c r="K540" t="str">
        <v>ファム　レー　フウノ　ユイ</v>
      </c>
      <c r="L540" t="str">
        <v>男</v>
      </c>
      <c r="M540" t="str">
        <v>ﾍﾞﾄﾅﾑ</v>
      </c>
      <c r="N540">
        <v>35053</v>
      </c>
      <c r="O540">
        <v>27</v>
      </c>
      <c r="P540">
        <v>1350</v>
      </c>
      <c r="Q540">
        <v>0</v>
      </c>
      <c r="R540">
        <v>1750</v>
      </c>
      <c r="S540">
        <v>0</v>
      </c>
      <c r="T540">
        <v>400</v>
      </c>
      <c r="U540">
        <v>0</v>
      </c>
      <c r="V540" t="str">
        <v/>
      </c>
      <c r="W540" t="str">
        <v>0</v>
      </c>
      <c r="X540" t="str">
        <v/>
      </c>
      <c r="Y540">
        <v>46208</v>
      </c>
      <c r="Z540" t="str">
        <v/>
      </c>
      <c r="AA540" t="str">
        <v>技術・人文知識・国際業務</v>
      </c>
      <c r="AB540">
        <v>0</v>
      </c>
      <c r="AC540" t="str">
        <v>愛知県弥富市平島町中新田194-1</v>
      </c>
      <c r="AD540" t="str">
        <v>ｺﾝﾂｪﾙﾊｳｽⅡDｰ202</v>
      </c>
      <c r="AE540">
        <v>0</v>
      </c>
      <c r="AF540">
        <v>44567</v>
      </c>
      <c r="AG540">
        <v>44573</v>
      </c>
      <c r="AH540">
        <v>0</v>
      </c>
      <c r="AI540">
        <v>0</v>
      </c>
      <c r="AJ540" t="str">
        <v>ファム　ヴァン　ヒエウ</v>
      </c>
      <c r="AK540" t="str">
        <v>ゆうちょ銀行</v>
      </c>
      <c r="AL540">
        <v>408</v>
      </c>
      <c r="AM540" t="str">
        <v>四〇八</v>
      </c>
      <c r="AN540" t="str">
        <v>3267821</v>
      </c>
      <c r="AO540">
        <v>0</v>
      </c>
      <c r="AP540">
        <v>0</v>
      </c>
    </row>
    <row r="541" spans="1:42">
      <c r="A541" t="str">
        <f>H541&amp;COUNTIF($H$2:H541,H541)</f>
        <v>0166</v>
      </c>
      <c r="B541" t="str">
        <f>F541&amp;COUNTIF($F$2:F541,F541)</f>
        <v>高雄工業 岡山121</v>
      </c>
      <c r="C541" t="str">
        <v>退社</v>
      </c>
      <c r="D541">
        <v>220110</v>
      </c>
      <c r="E541">
        <v>0</v>
      </c>
      <c r="F541" t="str">
        <v>高雄工業 岡山</v>
      </c>
      <c r="G541">
        <v>0</v>
      </c>
      <c r="H541">
        <v>0</v>
      </c>
      <c r="I541">
        <v>0</v>
      </c>
      <c r="J541" t="str">
        <v>TRESYAN REZA PERMANA</v>
      </c>
      <c r="K541" t="str">
        <v>トレシャン　レザ　ペルマナ</v>
      </c>
      <c r="L541" t="str">
        <v>男</v>
      </c>
      <c r="M541" t="str">
        <v>ｲﾝﾄﾞﾈｼｱ</v>
      </c>
      <c r="N541">
        <v>32516</v>
      </c>
      <c r="O541">
        <v>34</v>
      </c>
      <c r="P541">
        <v>1350</v>
      </c>
      <c r="Q541">
        <v>0</v>
      </c>
      <c r="R541">
        <v>1750</v>
      </c>
      <c r="S541">
        <v>0</v>
      </c>
      <c r="T541">
        <v>400</v>
      </c>
      <c r="U541">
        <v>0</v>
      </c>
      <c r="V541" t="str">
        <v/>
      </c>
      <c r="W541" t="str">
        <v>0</v>
      </c>
      <c r="X541" t="str">
        <v/>
      </c>
      <c r="Y541">
        <v>44985</v>
      </c>
      <c r="Z541" t="str">
        <v>残り期限90日!</v>
      </c>
      <c r="AA541" t="str">
        <v>技術・人文知識・国際業務</v>
      </c>
      <c r="AB541" t="str">
        <v>709-2107</v>
      </c>
      <c r="AC541" t="str">
        <v>岡山県岡山市北区御津矢原294番地１</v>
      </c>
      <c r="AD541" t="str">
        <v>成広矢原ｺｰﾎﾟⅢ207</v>
      </c>
      <c r="AE541">
        <v>44569</v>
      </c>
      <c r="AF541">
        <v>44573</v>
      </c>
      <c r="AG541">
        <v>44655</v>
      </c>
      <c r="AH541">
        <v>0</v>
      </c>
      <c r="AI541">
        <v>22.03</v>
      </c>
      <c r="AJ541" t="str">
        <v>ファム　デイン　トウン</v>
      </c>
      <c r="AK541" t="str">
        <v>ゆうちょ銀行</v>
      </c>
      <c r="AL541">
        <v>98</v>
      </c>
      <c r="AM541" t="str">
        <v>〇九八</v>
      </c>
      <c r="AN541" t="str">
        <v>1285143</v>
      </c>
      <c r="AO541" t="str">
        <v>OK</v>
      </c>
      <c r="AP541">
        <v>0</v>
      </c>
    </row>
    <row r="542" spans="1:42">
      <c r="A542" t="str">
        <f>H542&amp;COUNTIF($H$2:H542,H542)</f>
        <v>旋盤ライン11</v>
      </c>
      <c r="B542" t="str">
        <f>F542&amp;COUNTIF($F$2:F542,F542)</f>
        <v>川原鉄工所11</v>
      </c>
      <c r="C542" t="str">
        <v>退社</v>
      </c>
      <c r="D542">
        <v>220119</v>
      </c>
      <c r="E542">
        <v>0</v>
      </c>
      <c r="F542" t="str">
        <v>川原鉄工所</v>
      </c>
      <c r="G542" t="str">
        <v>製造部</v>
      </c>
      <c r="H542" t="str">
        <v>旋盤ライン</v>
      </c>
      <c r="I542" t="str">
        <v>ATミッション部品をはじめとする、各種自動車部品の製造</v>
      </c>
      <c r="J542" t="str">
        <v>BITENCOURT CELIK SELIA</v>
      </c>
      <c r="K542" t="str">
        <v>ビテンコウルト　シエリク　セリア</v>
      </c>
      <c r="L542" t="str">
        <v>女</v>
      </c>
      <c r="M542" t="str">
        <v>ﾌﾞﾗｼﾞﾙ</v>
      </c>
      <c r="N542">
        <v>26141</v>
      </c>
      <c r="O542">
        <v>52</v>
      </c>
      <c r="P542">
        <v>1300</v>
      </c>
      <c r="Q542" t="str">
        <v>入社3か月後50円UP</v>
      </c>
      <c r="R542">
        <v>1650</v>
      </c>
      <c r="S542">
        <v>0</v>
      </c>
      <c r="T542">
        <v>350</v>
      </c>
      <c r="U542">
        <v>0</v>
      </c>
      <c r="V542" t="str">
        <v/>
      </c>
      <c r="W542" t="str">
        <v/>
      </c>
      <c r="X542" t="str">
        <v/>
      </c>
      <c r="Y542">
        <v>44822</v>
      </c>
      <c r="Z542" t="str">
        <v>残り期限90日!</v>
      </c>
      <c r="AA542" t="str">
        <v>定住者</v>
      </c>
      <c r="AB542" t="str">
        <v>455-0078</v>
      </c>
      <c r="AC542" t="str">
        <v>愛知県名古屋市港区丸池町1丁目1-1</v>
      </c>
      <c r="AD542" t="str">
        <v>丸池荘4棟1108号</v>
      </c>
      <c r="AE542">
        <v>0</v>
      </c>
      <c r="AF542">
        <v>44578</v>
      </c>
      <c r="AG542">
        <v>44811</v>
      </c>
      <c r="AH542">
        <v>0</v>
      </c>
      <c r="AI542">
        <v>22.02</v>
      </c>
      <c r="AJ542">
        <v>0</v>
      </c>
      <c r="AK542">
        <v>0</v>
      </c>
      <c r="AL542">
        <v>0</v>
      </c>
      <c r="AM542">
        <v>0</v>
      </c>
      <c r="AN542">
        <v>0</v>
      </c>
      <c r="AO542" t="str">
        <v>OK</v>
      </c>
      <c r="AP542">
        <v>0</v>
      </c>
    </row>
    <row r="543" spans="1:42">
      <c r="A543" t="str">
        <f>H543&amp;COUNTIF($H$2:H543,H543)</f>
        <v>旋盤ライン12</v>
      </c>
      <c r="B543" t="str">
        <f>F543&amp;COUNTIF($F$2:F543,F543)</f>
        <v>川原鉄工所12</v>
      </c>
      <c r="C543" t="str">
        <v>退社</v>
      </c>
      <c r="D543">
        <v>220120</v>
      </c>
      <c r="E543">
        <v>0</v>
      </c>
      <c r="F543" t="str">
        <v>川原鉄工所</v>
      </c>
      <c r="G543" t="str">
        <v>製造部</v>
      </c>
      <c r="H543" t="str">
        <v>旋盤ライン</v>
      </c>
      <c r="I543" t="str">
        <v>ATミッション部品をはじめとする、各種自動車部品の製造</v>
      </c>
      <c r="J543" t="str">
        <v>SILVA BITENCOURT SELMA</v>
      </c>
      <c r="K543" t="str">
        <v>シルバ　ビテンコウルト　セルマ</v>
      </c>
      <c r="L543" t="str">
        <v>女</v>
      </c>
      <c r="M543" t="str">
        <v>ﾌﾞﾗｼﾞﾙ</v>
      </c>
      <c r="N543">
        <v>25487</v>
      </c>
      <c r="O543">
        <v>54</v>
      </c>
      <c r="P543">
        <v>1250</v>
      </c>
      <c r="Q543" t="str">
        <v>入社3か月後50円UP</v>
      </c>
      <c r="R543">
        <v>1650</v>
      </c>
      <c r="S543">
        <v>0</v>
      </c>
      <c r="T543">
        <v>400</v>
      </c>
      <c r="U543">
        <v>0</v>
      </c>
      <c r="V543" t="str">
        <v/>
      </c>
      <c r="W543" t="str">
        <v/>
      </c>
      <c r="X543" t="str">
        <v/>
      </c>
      <c r="Y543">
        <v>45059</v>
      </c>
      <c r="Z543" t="str">
        <v>残り期限90日!</v>
      </c>
      <c r="AA543" t="str">
        <v>永住者の配偶者</v>
      </c>
      <c r="AB543" t="str">
        <v>457-0824</v>
      </c>
      <c r="AC543" t="str">
        <v>愛知県名古屋市港区丸池町1丁目1-1</v>
      </c>
      <c r="AD543" t="str">
        <v>丸池荘3棟902号</v>
      </c>
      <c r="AE543" t="str">
        <v>個人</v>
      </c>
      <c r="AF543">
        <v>44578</v>
      </c>
      <c r="AG543">
        <v>44824</v>
      </c>
      <c r="AH543">
        <v>0</v>
      </c>
      <c r="AI543">
        <v>22.02</v>
      </c>
      <c r="AJ543" t="str">
        <v>シルヴァ　ビテンコウルト　セルマ</v>
      </c>
      <c r="AK543" t="str">
        <v>ゆうちょ銀行</v>
      </c>
      <c r="AL543">
        <v>518</v>
      </c>
      <c r="AM543" t="str">
        <v>五一八</v>
      </c>
      <c r="AN543" t="str">
        <v>5164242</v>
      </c>
      <c r="AO543" t="str">
        <v>OK</v>
      </c>
      <c r="AP543">
        <v>0</v>
      </c>
    </row>
    <row r="544" spans="1:42">
      <c r="A544" t="str">
        <f>H544&amp;COUNTIF($H$2:H544,H544)</f>
        <v>0167</v>
      </c>
      <c r="B544" t="str">
        <f>F544&amp;COUNTIF($F$2:F544,F544)</f>
        <v>高雄工業 岡山122</v>
      </c>
      <c r="C544" t="str">
        <v>退社</v>
      </c>
      <c r="D544">
        <v>220123</v>
      </c>
      <c r="E544">
        <v>0</v>
      </c>
      <c r="F544" t="str">
        <v>高雄工業 岡山</v>
      </c>
      <c r="G544">
        <v>0</v>
      </c>
      <c r="H544">
        <v>0</v>
      </c>
      <c r="I544">
        <v>0</v>
      </c>
      <c r="J544" t="str">
        <v>ALI RASYIID MUHAMMAD</v>
      </c>
      <c r="K544" t="str">
        <v>アリ　ラシド　ムハマド</v>
      </c>
      <c r="L544" t="str">
        <v>男</v>
      </c>
      <c r="M544" t="str">
        <v>ｲﾝﾄﾞﾈｼｱ</v>
      </c>
      <c r="N544">
        <v>35415</v>
      </c>
      <c r="O544">
        <v>26</v>
      </c>
      <c r="P544">
        <v>1350</v>
      </c>
      <c r="Q544">
        <v>0</v>
      </c>
      <c r="R544">
        <v>1750</v>
      </c>
      <c r="S544">
        <v>0</v>
      </c>
      <c r="T544">
        <v>400</v>
      </c>
      <c r="U544">
        <v>0</v>
      </c>
      <c r="V544" t="str">
        <v/>
      </c>
      <c r="W544" t="str">
        <v>0</v>
      </c>
      <c r="X544" t="str">
        <v/>
      </c>
      <c r="Y544">
        <v>45867</v>
      </c>
      <c r="Z544" t="str">
        <v/>
      </c>
      <c r="AA544" t="str">
        <v>技術・人文知識・国際業務</v>
      </c>
      <c r="AB544">
        <v>0</v>
      </c>
      <c r="AC544">
        <v>0</v>
      </c>
      <c r="AD544">
        <v>0</v>
      </c>
      <c r="AE544">
        <v>0</v>
      </c>
      <c r="AF544">
        <v>44579</v>
      </c>
      <c r="AG544">
        <v>44582</v>
      </c>
      <c r="AH544">
        <v>0</v>
      </c>
      <c r="AI544">
        <v>0</v>
      </c>
      <c r="AJ544" t="str">
        <v>ファム　ヴァン　ヒエウ</v>
      </c>
      <c r="AK544" t="str">
        <v>ゆうちょ銀行</v>
      </c>
      <c r="AL544">
        <v>408</v>
      </c>
      <c r="AM544" t="str">
        <v>四〇八</v>
      </c>
      <c r="AN544" t="str">
        <v>3267821</v>
      </c>
      <c r="AO544">
        <v>0</v>
      </c>
      <c r="AP544">
        <v>0</v>
      </c>
    </row>
    <row r="545" spans="1:42">
      <c r="A545" t="str">
        <f>H545&amp;COUNTIF($H$2:H545,H545)</f>
        <v>0168</v>
      </c>
      <c r="B545" t="str">
        <f>F545&amp;COUNTIF($F$2:F545,F545)</f>
        <v>PATEC10</v>
      </c>
      <c r="C545" t="str">
        <v>退社</v>
      </c>
      <c r="D545">
        <v>220124</v>
      </c>
      <c r="E545">
        <v>0</v>
      </c>
      <c r="F545" t="str">
        <v>PATEC</v>
      </c>
      <c r="G545" t="str">
        <v>製造部機械加工課</v>
      </c>
      <c r="H545">
        <v>0</v>
      </c>
      <c r="I545">
        <v>0</v>
      </c>
      <c r="J545" t="str">
        <v>BUI DUC ANH</v>
      </c>
      <c r="K545" t="str">
        <v>ブイ　ドゥック　アイン</v>
      </c>
      <c r="L545" t="str">
        <v>男</v>
      </c>
      <c r="M545" t="str">
        <v>ﾍﾞﾄﾅﾑ</v>
      </c>
      <c r="N545">
        <v>32542</v>
      </c>
      <c r="O545">
        <v>34</v>
      </c>
      <c r="P545">
        <v>1500</v>
      </c>
      <c r="Q545" t="str">
        <v>7/21～\1400⇒1500</v>
      </c>
      <c r="R545">
        <v>2000</v>
      </c>
      <c r="S545">
        <v>0</v>
      </c>
      <c r="T545">
        <v>500</v>
      </c>
      <c r="U545">
        <v>300000</v>
      </c>
      <c r="V545">
        <v>15014.999999999998</v>
      </c>
      <c r="W545" t="str">
        <v>0</v>
      </c>
      <c r="X545">
        <v>27450</v>
      </c>
      <c r="Y545">
        <v>45463</v>
      </c>
      <c r="Z545" t="str">
        <v/>
      </c>
      <c r="AA545" t="str">
        <v>技術・人文知識・国際業務</v>
      </c>
      <c r="AB545" t="str">
        <v>747-0833</v>
      </c>
      <c r="AC545" t="str">
        <v>山口県防府市大字浜方716-15</v>
      </c>
      <c r="AD545" t="str">
        <v>ｱﾙｿｰﾚC201</v>
      </c>
      <c r="AE545">
        <v>44921</v>
      </c>
      <c r="AF545">
        <v>44581</v>
      </c>
      <c r="AG545">
        <v>45122</v>
      </c>
      <c r="AH545">
        <v>0</v>
      </c>
      <c r="AI545">
        <v>22.03</v>
      </c>
      <c r="AJ545" t="str">
        <v>ブイ　ドウツク　アイン</v>
      </c>
      <c r="AK545" t="str">
        <v>ゆうちょ銀行</v>
      </c>
      <c r="AL545">
        <v>558</v>
      </c>
      <c r="AM545" t="str">
        <v>五五八</v>
      </c>
      <c r="AN545" t="str">
        <v>2617158</v>
      </c>
      <c r="AO545" t="str">
        <v>OK</v>
      </c>
      <c r="AP545">
        <v>0</v>
      </c>
    </row>
    <row r="546" spans="1:42">
      <c r="A546" t="str">
        <f>H546&amp;COUNTIF($H$2:H546,H546)</f>
        <v>0169</v>
      </c>
      <c r="B546" t="str">
        <f>F546&amp;COUNTIF($F$2:F546,F546)</f>
        <v>ワーク 堺1</v>
      </c>
      <c r="C546" t="str">
        <v>在職中</v>
      </c>
      <c r="D546">
        <v>220128</v>
      </c>
      <c r="E546">
        <v>0</v>
      </c>
      <c r="F546" t="str">
        <v>ワーク 堺</v>
      </c>
      <c r="G546" t="str">
        <v>堺工場　製造部</v>
      </c>
      <c r="H546">
        <v>0</v>
      </c>
      <c r="I546">
        <v>0</v>
      </c>
      <c r="J546" t="str">
        <v>VU DUC THACH</v>
      </c>
      <c r="K546" t="str">
        <v>ヴー　ドゥック　タック</v>
      </c>
      <c r="L546" t="str">
        <v>男</v>
      </c>
      <c r="M546" t="str">
        <v>ﾍﾞﾄﾅﾑ</v>
      </c>
      <c r="N546">
        <v>33926</v>
      </c>
      <c r="O546">
        <v>31</v>
      </c>
      <c r="P546">
        <v>1400</v>
      </c>
      <c r="Q546">
        <v>0</v>
      </c>
      <c r="R546">
        <v>1900</v>
      </c>
      <c r="S546">
        <v>0</v>
      </c>
      <c r="T546">
        <v>500</v>
      </c>
      <c r="U546">
        <v>220000</v>
      </c>
      <c r="V546">
        <v>11011</v>
      </c>
      <c r="W546" t="str">
        <v>0</v>
      </c>
      <c r="X546">
        <v>20130</v>
      </c>
      <c r="Y546">
        <v>46311</v>
      </c>
      <c r="Z546" t="str">
        <v/>
      </c>
      <c r="AA546" t="str">
        <v>技術・人文知識・国際業務</v>
      </c>
      <c r="AB546" t="str">
        <v>559-0005</v>
      </c>
      <c r="AC546" t="str">
        <v>大阪府大阪市住之江区西住之江3-13-20</v>
      </c>
      <c r="AD546" t="str">
        <v>西住之江ﾊｲﾂ205</v>
      </c>
      <c r="AE546">
        <v>44590</v>
      </c>
      <c r="AF546">
        <v>44585</v>
      </c>
      <c r="AG546">
        <v>0</v>
      </c>
      <c r="AH546">
        <v>0</v>
      </c>
      <c r="AI546">
        <v>22.02</v>
      </c>
      <c r="AJ546" t="str">
        <v>ヴー　ドウツク　タツク</v>
      </c>
      <c r="AK546" t="str">
        <v>三井住友銀行</v>
      </c>
      <c r="AL546">
        <v>779</v>
      </c>
      <c r="AM546" t="str">
        <v>上野</v>
      </c>
      <c r="AN546" t="str">
        <v>8431916</v>
      </c>
      <c r="AO546" t="str">
        <v>OK</v>
      </c>
      <c r="AP546">
        <v>0</v>
      </c>
    </row>
    <row r="547" spans="1:42">
      <c r="A547" t="str">
        <f>H547&amp;COUNTIF($H$2:H547,H547)</f>
        <v>旋盤ライン13</v>
      </c>
      <c r="B547" t="str">
        <f>F547&amp;COUNTIF($F$2:F547,F547)</f>
        <v>川原鉄工所13</v>
      </c>
      <c r="C547" t="str">
        <v>退社</v>
      </c>
      <c r="D547">
        <v>220126</v>
      </c>
      <c r="E547">
        <v>0</v>
      </c>
      <c r="F547" t="str">
        <v>川原鉄工所</v>
      </c>
      <c r="G547" t="str">
        <v>製造部</v>
      </c>
      <c r="H547" t="str">
        <v>旋盤ライン</v>
      </c>
      <c r="I547" t="str">
        <v>ATミッション部品をはじめとする、各種自動車部品の製造</v>
      </c>
      <c r="J547" t="str">
        <v>SANDY NACAYA JOELMA</v>
      </c>
      <c r="K547" t="str">
        <v>サンディー　ナカヤ　ジョエルマ</v>
      </c>
      <c r="L547" t="str">
        <v>女</v>
      </c>
      <c r="M547" t="str">
        <v>ﾌﾞﾗｼﾞﾙ</v>
      </c>
      <c r="N547">
        <v>28786</v>
      </c>
      <c r="O547">
        <v>45</v>
      </c>
      <c r="P547">
        <v>1250</v>
      </c>
      <c r="Q547" t="str">
        <v>入社3か月後50円UP</v>
      </c>
      <c r="R547">
        <v>1650</v>
      </c>
      <c r="S547">
        <v>0</v>
      </c>
      <c r="T547">
        <v>400</v>
      </c>
      <c r="U547">
        <v>0</v>
      </c>
      <c r="V547" t="str">
        <v/>
      </c>
      <c r="W547" t="str">
        <v/>
      </c>
      <c r="X547" t="str">
        <v/>
      </c>
      <c r="Y547">
        <v>46425</v>
      </c>
      <c r="Z547" t="str">
        <v/>
      </c>
      <c r="AA547" t="str">
        <v>永住者</v>
      </c>
      <c r="AB547" t="str">
        <v>455-0078</v>
      </c>
      <c r="AC547" t="str">
        <v>愛知県名古屋市港区丸池町1丁目1-1</v>
      </c>
      <c r="AD547" t="str">
        <v>丸池荘4棟1109号</v>
      </c>
      <c r="AE547">
        <v>0</v>
      </c>
      <c r="AF547">
        <v>44585</v>
      </c>
      <c r="AG547">
        <v>44595</v>
      </c>
      <c r="AH547">
        <v>0</v>
      </c>
      <c r="AI547" t="str">
        <v>なし</v>
      </c>
      <c r="AJ547">
        <v>0</v>
      </c>
      <c r="AK547">
        <v>0</v>
      </c>
      <c r="AL547">
        <v>0</v>
      </c>
      <c r="AM547">
        <v>0</v>
      </c>
      <c r="AN547" t="str">
        <v>1285143</v>
      </c>
      <c r="AO547">
        <v>0</v>
      </c>
      <c r="AP547">
        <v>0</v>
      </c>
    </row>
    <row r="548" spans="1:42">
      <c r="A548" t="str">
        <f>H548&amp;COUNTIF($H$2:H548,H548)</f>
        <v>旋盤ライン14</v>
      </c>
      <c r="B548" t="str">
        <f>F548&amp;COUNTIF($F$2:F548,F548)</f>
        <v>川原鉄工所14</v>
      </c>
      <c r="C548" t="str">
        <v>退社</v>
      </c>
      <c r="D548">
        <v>220127</v>
      </c>
      <c r="E548">
        <v>0</v>
      </c>
      <c r="F548" t="str">
        <v>川原鉄工所</v>
      </c>
      <c r="G548" t="str">
        <v>製造部</v>
      </c>
      <c r="H548" t="str">
        <v>旋盤ライン</v>
      </c>
      <c r="I548" t="str">
        <v>ATミッション部品をはじめとする、各種自動車部品の製造</v>
      </c>
      <c r="J548" t="str">
        <v>ODORIZZI SANDRA</v>
      </c>
      <c r="K548" t="str">
        <v>オードリージ　サンドラ</v>
      </c>
      <c r="L548" t="str">
        <v>女</v>
      </c>
      <c r="M548" t="str">
        <v>ﾌﾞﾗｼﾞﾙ</v>
      </c>
      <c r="N548">
        <v>26871</v>
      </c>
      <c r="O548">
        <v>50</v>
      </c>
      <c r="P548">
        <v>1250</v>
      </c>
      <c r="Q548" t="str">
        <v>入社3か月後50円UP</v>
      </c>
      <c r="R548">
        <v>1650</v>
      </c>
      <c r="S548">
        <v>0</v>
      </c>
      <c r="T548">
        <v>400</v>
      </c>
      <c r="U548">
        <v>0</v>
      </c>
      <c r="V548" t="str">
        <v/>
      </c>
      <c r="W548" t="str">
        <v/>
      </c>
      <c r="X548" t="str">
        <v/>
      </c>
      <c r="Y548">
        <v>46680</v>
      </c>
      <c r="Z548" t="str">
        <v/>
      </c>
      <c r="AA548" t="str">
        <v>永住者</v>
      </c>
      <c r="AB548" t="str">
        <v>455-0072</v>
      </c>
      <c r="AC548" t="str">
        <v>愛知県名古屋市港区須成町2丁目14番地</v>
      </c>
      <c r="AD548" t="str">
        <v>須成荘3棟302号</v>
      </c>
      <c r="AE548">
        <v>0</v>
      </c>
      <c r="AF548">
        <v>44585</v>
      </c>
      <c r="AG548">
        <v>44603</v>
      </c>
      <c r="AH548">
        <v>0</v>
      </c>
      <c r="AI548" t="str">
        <v>なし</v>
      </c>
      <c r="AJ548">
        <v>0</v>
      </c>
      <c r="AK548">
        <v>0</v>
      </c>
      <c r="AL548">
        <v>0</v>
      </c>
      <c r="AM548">
        <v>0</v>
      </c>
      <c r="AN548" t="str">
        <v>3267821</v>
      </c>
      <c r="AO548">
        <v>0</v>
      </c>
      <c r="AP548">
        <v>0</v>
      </c>
    </row>
    <row r="549" spans="1:42">
      <c r="A549" t="str">
        <f>H549&amp;COUNTIF($H$2:H549,H549)</f>
        <v>旋盤ライン15</v>
      </c>
      <c r="B549" t="str">
        <f>F549&amp;COUNTIF($F$2:F549,F549)</f>
        <v>川原鉄工所15</v>
      </c>
      <c r="C549" t="str">
        <v>在職中</v>
      </c>
      <c r="D549">
        <v>220130</v>
      </c>
      <c r="E549">
        <v>0</v>
      </c>
      <c r="F549" t="str">
        <v>川原鉄工所</v>
      </c>
      <c r="G549" t="str">
        <v>製造部</v>
      </c>
      <c r="H549" t="str">
        <v>旋盤ライン</v>
      </c>
      <c r="I549" t="str">
        <v>ATミッション部品をはじめとする、各種自動車部品の製造</v>
      </c>
      <c r="J549" t="str">
        <v>NGUYEN VAN HUNG</v>
      </c>
      <c r="K549" t="str">
        <v>グエン　バン　フン</v>
      </c>
      <c r="L549" t="str">
        <v>男</v>
      </c>
      <c r="M549" t="str">
        <v>ﾍﾞﾄﾅﾑ</v>
      </c>
      <c r="N549">
        <v>32486</v>
      </c>
      <c r="O549">
        <v>35</v>
      </c>
      <c r="P549">
        <v>1300</v>
      </c>
      <c r="Q549" t="str">
        <v>入社3か月後50円UP</v>
      </c>
      <c r="R549">
        <v>1650</v>
      </c>
      <c r="S549">
        <v>0</v>
      </c>
      <c r="T549">
        <v>350</v>
      </c>
      <c r="U549">
        <v>340000</v>
      </c>
      <c r="V549">
        <v>17017</v>
      </c>
      <c r="W549" t="str">
        <v>0</v>
      </c>
      <c r="X549">
        <v>31110</v>
      </c>
      <c r="Y549">
        <v>45632</v>
      </c>
      <c r="Z549" t="str">
        <v/>
      </c>
      <c r="AA549" t="str">
        <v>技術・人文知識・国際業務</v>
      </c>
      <c r="AB549" t="str">
        <v>455-0046</v>
      </c>
      <c r="AC549" t="str">
        <v>愛知県名古屋市港区大手町2丁目31</v>
      </c>
      <c r="AD549" t="str">
        <v>ﾀﾞｲｺｰﾏﾝｼｮﾝ302</v>
      </c>
      <c r="AE549">
        <v>44632</v>
      </c>
      <c r="AF549">
        <v>44586</v>
      </c>
      <c r="AG549">
        <v>0</v>
      </c>
      <c r="AH549">
        <v>0</v>
      </c>
      <c r="AI549">
        <v>22.04</v>
      </c>
      <c r="AJ549" t="str">
        <v>ヴー　ドウツク　タツク</v>
      </c>
      <c r="AK549" t="str">
        <v>三井住友銀行</v>
      </c>
      <c r="AL549">
        <v>779</v>
      </c>
      <c r="AM549" t="str">
        <v>上野</v>
      </c>
      <c r="AN549" t="str">
        <v>8431916</v>
      </c>
      <c r="AO549" t="str">
        <v>OK</v>
      </c>
      <c r="AP549">
        <v>0</v>
      </c>
    </row>
    <row r="550" spans="1:42">
      <c r="A550" t="str">
        <f>H550&amp;COUNTIF($H$2:H550,H550)</f>
        <v>0170</v>
      </c>
      <c r="B550" t="str">
        <f>F550&amp;COUNTIF($F$2:F550,F550)</f>
        <v>六甲電子16</v>
      </c>
      <c r="C550" t="str">
        <v>退社</v>
      </c>
      <c r="D550">
        <v>220131</v>
      </c>
      <c r="E550">
        <v>0</v>
      </c>
      <c r="F550" t="str">
        <v>六甲電子</v>
      </c>
      <c r="G550">
        <v>0</v>
      </c>
      <c r="H550">
        <v>0</v>
      </c>
      <c r="I550">
        <v>0</v>
      </c>
      <c r="J550" t="str">
        <v>DO VAN TRONG</v>
      </c>
      <c r="K550" t="str">
        <v>ド　ヴァン　チョン</v>
      </c>
      <c r="L550" t="str">
        <v>男</v>
      </c>
      <c r="M550" t="str">
        <v>ﾍﾞﾄﾅﾑ</v>
      </c>
      <c r="N550">
        <v>34688</v>
      </c>
      <c r="O550">
        <v>28</v>
      </c>
      <c r="P550">
        <v>1400</v>
      </c>
      <c r="Q550">
        <v>0</v>
      </c>
      <c r="R550">
        <v>2000</v>
      </c>
      <c r="S550">
        <v>0</v>
      </c>
      <c r="T550">
        <v>600</v>
      </c>
      <c r="U550">
        <v>0</v>
      </c>
      <c r="V550" t="str">
        <v/>
      </c>
      <c r="W550" t="str">
        <v>0</v>
      </c>
      <c r="X550" t="str">
        <v/>
      </c>
      <c r="Y550">
        <v>45635</v>
      </c>
      <c r="Z550" t="str">
        <v/>
      </c>
      <c r="AA550" t="str">
        <v>技術・人文知識・国際業務</v>
      </c>
      <c r="AB550" t="str">
        <v>658-0021</v>
      </c>
      <c r="AC550" t="str">
        <v>兵庫県神戸市東灘区深江本町2-7-3</v>
      </c>
      <c r="AD550" t="str">
        <v>305号</v>
      </c>
      <c r="AE550">
        <v>0</v>
      </c>
      <c r="AF550">
        <v>44588</v>
      </c>
      <c r="AG550">
        <v>44662</v>
      </c>
      <c r="AH550">
        <v>0</v>
      </c>
      <c r="AI550">
        <v>22.04</v>
      </c>
      <c r="AJ550" t="str">
        <v>ファム　デイン　トウン</v>
      </c>
      <c r="AK550" t="str">
        <v>ゆうちょ銀行</v>
      </c>
      <c r="AL550">
        <v>98</v>
      </c>
      <c r="AM550" t="str">
        <v>〇九八</v>
      </c>
      <c r="AN550" t="str">
        <v>1285143</v>
      </c>
      <c r="AO550" t="str">
        <v>OK</v>
      </c>
      <c r="AP550">
        <v>0</v>
      </c>
    </row>
    <row r="551" spans="1:42">
      <c r="A551" t="str">
        <f>H551&amp;COUNTIF($H$2:H551,H551)</f>
        <v>0171</v>
      </c>
      <c r="B551" t="str">
        <f>F551&amp;COUNTIF($F$2:F551,F551)</f>
        <v>高雄工業 本社38</v>
      </c>
      <c r="C551" t="str">
        <v>退社</v>
      </c>
      <c r="D551">
        <v>220132</v>
      </c>
      <c r="E551">
        <v>0</v>
      </c>
      <c r="F551" t="str">
        <v>高雄工業 本社</v>
      </c>
      <c r="G551">
        <v>0</v>
      </c>
      <c r="H551">
        <v>0</v>
      </c>
      <c r="I551">
        <v>0</v>
      </c>
      <c r="J551" t="str">
        <v>THAN TRUNG TIEN</v>
      </c>
      <c r="K551" t="str">
        <v>タン　チュン　ティエン</v>
      </c>
      <c r="L551" t="str">
        <v>男</v>
      </c>
      <c r="M551" t="str">
        <v>ﾍﾞﾄﾅﾑ</v>
      </c>
      <c r="N551">
        <v>33937</v>
      </c>
      <c r="O551">
        <v>31</v>
      </c>
      <c r="P551">
        <v>1350</v>
      </c>
      <c r="Q551">
        <v>0</v>
      </c>
      <c r="R551">
        <v>1750</v>
      </c>
      <c r="S551">
        <v>0</v>
      </c>
      <c r="T551">
        <v>400</v>
      </c>
      <c r="U551">
        <v>0</v>
      </c>
      <c r="V551" t="str">
        <v/>
      </c>
      <c r="W551" t="str">
        <v>0</v>
      </c>
      <c r="X551" t="str">
        <v/>
      </c>
      <c r="Y551">
        <v>44882</v>
      </c>
      <c r="Z551" t="str">
        <v>残り期限90日!</v>
      </c>
      <c r="AA551" t="str">
        <v>技術・人文知識・国際業務</v>
      </c>
      <c r="AB551" t="str">
        <v>498-0017</v>
      </c>
      <c r="AC551" t="str">
        <v>愛知県弥富市前ヶ須町東勘助138</v>
      </c>
      <c r="AD551" t="str">
        <v>安井ﾋﾞﾙ2C</v>
      </c>
      <c r="AE551">
        <v>0</v>
      </c>
      <c r="AF551">
        <v>44592</v>
      </c>
      <c r="AG551">
        <v>44601</v>
      </c>
      <c r="AH551">
        <v>0</v>
      </c>
      <c r="AI551">
        <v>22.04</v>
      </c>
      <c r="AJ551" t="str">
        <v>ファム　ヴァン　ヒエウ</v>
      </c>
      <c r="AK551" t="str">
        <v>ゆうちょ銀行</v>
      </c>
      <c r="AL551">
        <v>408</v>
      </c>
      <c r="AM551" t="str">
        <v>四〇八</v>
      </c>
      <c r="AN551" t="str">
        <v>3267821</v>
      </c>
      <c r="AO551">
        <v>0</v>
      </c>
      <c r="AP551">
        <v>0</v>
      </c>
    </row>
    <row r="552" spans="1:42">
      <c r="A552" t="str">
        <f>H552&amp;COUNTIF($H$2:H552,H552)</f>
        <v>0172</v>
      </c>
      <c r="B552" t="str">
        <f>F552&amp;COUNTIF($F$2:F552,F552)</f>
        <v>高雄工業 本社39</v>
      </c>
      <c r="C552" t="str">
        <v>退社</v>
      </c>
      <c r="D552">
        <v>220205</v>
      </c>
      <c r="E552">
        <v>0</v>
      </c>
      <c r="F552" t="str">
        <v>高雄工業 本社</v>
      </c>
      <c r="G552">
        <v>0</v>
      </c>
      <c r="H552">
        <v>0</v>
      </c>
      <c r="I552">
        <v>0</v>
      </c>
      <c r="J552" t="str">
        <v>NGO VAN CHUONG</v>
      </c>
      <c r="K552" t="str">
        <v>ゴー　バン　チュオン</v>
      </c>
      <c r="L552" t="str">
        <v>男</v>
      </c>
      <c r="M552" t="str">
        <v>ﾍﾞﾄﾅﾑ</v>
      </c>
      <c r="N552">
        <v>34726</v>
      </c>
      <c r="O552">
        <v>28</v>
      </c>
      <c r="P552">
        <v>1350</v>
      </c>
      <c r="Q552">
        <v>0</v>
      </c>
      <c r="R552">
        <v>1760</v>
      </c>
      <c r="S552">
        <v>0</v>
      </c>
      <c r="T552">
        <v>410</v>
      </c>
      <c r="U552">
        <v>0</v>
      </c>
      <c r="V552" t="str">
        <v/>
      </c>
      <c r="W552" t="str">
        <v>0</v>
      </c>
      <c r="X552" t="str">
        <v/>
      </c>
      <c r="Y552">
        <v>44919</v>
      </c>
      <c r="Z552" t="str">
        <v>残り期限90日!</v>
      </c>
      <c r="AA552" t="str">
        <v>技術・人文知識・国際業務</v>
      </c>
      <c r="AB552" t="str">
        <v>498-0025</v>
      </c>
      <c r="AC552" t="str">
        <v>愛知県弥富市平島町喜右味名78-1</v>
      </c>
      <c r="AD552" t="str">
        <v>ﾌﾚｸﾞﾗﾝｽ桂E棟102号</v>
      </c>
      <c r="AE552">
        <v>44602</v>
      </c>
      <c r="AF552">
        <v>44599</v>
      </c>
      <c r="AG552">
        <v>44680</v>
      </c>
      <c r="AH552">
        <v>0</v>
      </c>
      <c r="AI552">
        <v>22.04</v>
      </c>
      <c r="AJ552" t="str">
        <v>ヴー　ドウツク　タツク</v>
      </c>
      <c r="AK552" t="str">
        <v>三井住友銀行</v>
      </c>
      <c r="AL552">
        <v>779</v>
      </c>
      <c r="AM552" t="str">
        <v>上野</v>
      </c>
      <c r="AN552" t="str">
        <v>8431916</v>
      </c>
      <c r="AO552" t="str">
        <v>OK</v>
      </c>
      <c r="AP552">
        <v>0</v>
      </c>
    </row>
    <row r="553" spans="1:42">
      <c r="A553" t="str">
        <f>H553&amp;COUNTIF($H$2:H553,H553)</f>
        <v>0173</v>
      </c>
      <c r="B553" t="str">
        <f>F553&amp;COUNTIF($F$2:F553,F553)</f>
        <v>ワーク 堺2</v>
      </c>
      <c r="C553" t="str">
        <v>在職中</v>
      </c>
      <c r="D553">
        <v>220211</v>
      </c>
      <c r="E553">
        <v>0</v>
      </c>
      <c r="F553" t="str">
        <v>ワーク 堺</v>
      </c>
      <c r="G553" t="str">
        <v>堺工場　製造部</v>
      </c>
      <c r="H553">
        <v>0</v>
      </c>
      <c r="I553">
        <v>0</v>
      </c>
      <c r="J553" t="str">
        <v>NGUYEN VAN CUONG</v>
      </c>
      <c r="K553" t="str">
        <v>グエン　ヴァン　クオン</v>
      </c>
      <c r="L553" t="str">
        <v>男</v>
      </c>
      <c r="M553" t="str">
        <v>ﾍﾞﾄﾅﾑ</v>
      </c>
      <c r="N553">
        <v>34432</v>
      </c>
      <c r="O553">
        <v>29</v>
      </c>
      <c r="P553">
        <v>1400</v>
      </c>
      <c r="Q553">
        <v>0</v>
      </c>
      <c r="R553">
        <v>1900</v>
      </c>
      <c r="S553">
        <v>0</v>
      </c>
      <c r="T553">
        <v>500</v>
      </c>
      <c r="U553">
        <v>240000</v>
      </c>
      <c r="V553">
        <v>12012</v>
      </c>
      <c r="W553" t="str">
        <v>0</v>
      </c>
      <c r="X553">
        <v>21960</v>
      </c>
      <c r="Y553">
        <v>46341</v>
      </c>
      <c r="Z553" t="str">
        <v/>
      </c>
      <c r="AA553" t="str">
        <v>技術・人文知識・国際業務</v>
      </c>
      <c r="AB553" t="str">
        <v>558-0033</v>
      </c>
      <c r="AC553" t="str">
        <v>大阪府大阪市住吉区清水丘1-29-13</v>
      </c>
      <c r="AD553" t="str">
        <v>ｸｲｰﾝﾊｲﾂ清水ヶ丘403号</v>
      </c>
      <c r="AE553">
        <v>44600</v>
      </c>
      <c r="AF553">
        <v>44601</v>
      </c>
      <c r="AG553">
        <v>0</v>
      </c>
      <c r="AH553">
        <v>0</v>
      </c>
      <c r="AI553">
        <v>22.04</v>
      </c>
      <c r="AJ553" t="str">
        <v>グエン　ヴアン　クオン</v>
      </c>
      <c r="AK553" t="str">
        <v>三菱ＵＦＪ銀行</v>
      </c>
      <c r="AL553">
        <v>180</v>
      </c>
      <c r="AM553" t="str">
        <v>日暮里</v>
      </c>
      <c r="AN553" t="str">
        <v>687937</v>
      </c>
      <c r="AO553" t="str">
        <v>OK</v>
      </c>
      <c r="AP553">
        <v>0</v>
      </c>
    </row>
    <row r="554" spans="1:42">
      <c r="A554" t="str">
        <f>H554&amp;COUNTIF($H$2:H554,H554)</f>
        <v>0174</v>
      </c>
      <c r="B554" t="str">
        <f>F554&amp;COUNTIF($F$2:F554,F554)</f>
        <v>ﾌｪﾆﾃｯｸｾﾐｺﾝﾀﾞｸﾀｰ 鹿児島11</v>
      </c>
      <c r="C554" t="str">
        <v>在職中</v>
      </c>
      <c r="D554">
        <v>220214</v>
      </c>
      <c r="E554">
        <v>0</v>
      </c>
      <c r="F554" t="str">
        <v>ﾌｪﾆﾃｯｸｾﾐｺﾝﾀﾞｸﾀｰ 鹿児島</v>
      </c>
      <c r="G554" t="str">
        <v>鹿児島工場　製造部　製造課</v>
      </c>
      <c r="H554">
        <v>0</v>
      </c>
      <c r="I554">
        <v>0</v>
      </c>
      <c r="J554" t="str">
        <v>NGUYEN DUY HONG</v>
      </c>
      <c r="K554" t="str">
        <v>グエン　ドゥイ　ホン</v>
      </c>
      <c r="L554" t="str">
        <v>男</v>
      </c>
      <c r="M554" t="str">
        <v>ﾍﾞﾄﾅﾑ</v>
      </c>
      <c r="N554">
        <v>36030</v>
      </c>
      <c r="O554">
        <v>25</v>
      </c>
      <c r="P554">
        <v>1400</v>
      </c>
      <c r="Q554">
        <v>0</v>
      </c>
      <c r="R554">
        <v>2000</v>
      </c>
      <c r="S554" t="str">
        <v>2022/7/1~ 1900円⇒2000円</v>
      </c>
      <c r="T554">
        <v>600</v>
      </c>
      <c r="U554">
        <v>300000</v>
      </c>
      <c r="V554">
        <v>15014.999999999998</v>
      </c>
      <c r="W554" t="str">
        <v>0</v>
      </c>
      <c r="X554">
        <v>27450</v>
      </c>
      <c r="Y554">
        <v>45342</v>
      </c>
      <c r="Z554" t="str">
        <v>残り期限90日!</v>
      </c>
      <c r="AA554" t="str">
        <v>技術・人文知識・国際業務</v>
      </c>
      <c r="AB554" t="str">
        <v>899-6201</v>
      </c>
      <c r="AC554" t="str">
        <v>鹿児島県姶良郡湧水町木場280-3</v>
      </c>
      <c r="AD554" t="str">
        <v>宮前ﾂｲﾝﾊｲﾂA101</v>
      </c>
      <c r="AE554">
        <v>44605</v>
      </c>
      <c r="AF554">
        <v>44606</v>
      </c>
      <c r="AG554">
        <v>0</v>
      </c>
      <c r="AH554">
        <v>0</v>
      </c>
      <c r="AI554">
        <v>22.04</v>
      </c>
      <c r="AJ554" t="str">
        <v>グェン　ドゥイ　ホン</v>
      </c>
      <c r="AK554" t="str">
        <v>ゆうちょ銀行</v>
      </c>
      <c r="AL554">
        <v>718</v>
      </c>
      <c r="AM554" t="str">
        <v>七一八</v>
      </c>
      <c r="AN554" t="str">
        <v>3709483</v>
      </c>
      <c r="AO554" t="str">
        <v>OK</v>
      </c>
      <c r="AP554">
        <v>0</v>
      </c>
    </row>
    <row r="555" spans="1:42">
      <c r="A555" t="str">
        <f>H555&amp;COUNTIF($H$2:H555,H555)</f>
        <v>0175</v>
      </c>
      <c r="B555" t="str">
        <f>F555&amp;COUNTIF($F$2:F555,F555)</f>
        <v>高雄工業 本社40</v>
      </c>
      <c r="C555" t="str">
        <v>退社</v>
      </c>
      <c r="D555">
        <v>220213</v>
      </c>
      <c r="E555">
        <v>0</v>
      </c>
      <c r="F555" t="str">
        <v>高雄工業 本社</v>
      </c>
      <c r="G555">
        <v>0</v>
      </c>
      <c r="H555">
        <v>0</v>
      </c>
      <c r="I555">
        <v>0</v>
      </c>
      <c r="J555" t="str">
        <v>NGUYEN SON TUNG</v>
      </c>
      <c r="K555" t="str">
        <v>グエン　ソン　トゥン</v>
      </c>
      <c r="L555" t="str">
        <v>男</v>
      </c>
      <c r="M555" t="str">
        <v>ﾍﾞﾄﾅﾑ</v>
      </c>
      <c r="N555">
        <v>34150</v>
      </c>
      <c r="O555">
        <v>30</v>
      </c>
      <c r="P555">
        <v>1360</v>
      </c>
      <c r="Q555">
        <v>0</v>
      </c>
      <c r="R555">
        <v>1750</v>
      </c>
      <c r="S555">
        <v>0</v>
      </c>
      <c r="T555">
        <v>390</v>
      </c>
      <c r="U555">
        <v>0</v>
      </c>
      <c r="V555" t="str">
        <v/>
      </c>
      <c r="W555" t="str">
        <v>0</v>
      </c>
      <c r="X555" t="str">
        <v/>
      </c>
      <c r="Y555">
        <v>44877</v>
      </c>
      <c r="Z555" t="str">
        <v>残り期限90日!</v>
      </c>
      <c r="AA555" t="str">
        <v>技術・人文知識・国際業務</v>
      </c>
      <c r="AB555" t="str">
        <v>498-0028</v>
      </c>
      <c r="AC555" t="str">
        <v>愛知県弥富市鯏浦町中六109-1</v>
      </c>
      <c r="AD555" t="str">
        <v>ｾﾗﾀｳﾝ弥富C棟201号</v>
      </c>
      <c r="AE555">
        <v>44602</v>
      </c>
      <c r="AF555">
        <v>44606</v>
      </c>
      <c r="AG555">
        <v>44680</v>
      </c>
      <c r="AH555">
        <v>0</v>
      </c>
      <c r="AI555">
        <v>22.04</v>
      </c>
      <c r="AJ555">
        <v>0</v>
      </c>
      <c r="AK555">
        <v>0</v>
      </c>
      <c r="AL555">
        <v>0</v>
      </c>
      <c r="AM555">
        <v>0</v>
      </c>
      <c r="AN555">
        <v>0</v>
      </c>
      <c r="AO555" t="str">
        <v>OK</v>
      </c>
      <c r="AP555">
        <v>0</v>
      </c>
    </row>
    <row r="556" spans="1:42">
      <c r="A556" t="str">
        <f>H556&amp;COUNTIF($H$2:H556,H556)</f>
        <v>0176</v>
      </c>
      <c r="B556" t="str">
        <f>F556&amp;COUNTIF($F$2:F556,F556)</f>
        <v>高雄工業 海南第一40</v>
      </c>
      <c r="C556" t="str">
        <v>退社</v>
      </c>
      <c r="D556">
        <v>220218</v>
      </c>
      <c r="E556">
        <v>0</v>
      </c>
      <c r="F556" t="str">
        <v>高雄工業 海南第一</v>
      </c>
      <c r="G556">
        <v>0</v>
      </c>
      <c r="H556">
        <v>0</v>
      </c>
      <c r="I556">
        <v>0</v>
      </c>
      <c r="J556" t="str">
        <v>仲間　ルイス　幸一</v>
      </c>
      <c r="K556" t="str">
        <v>ナカマ　ルイス　コウイチ</v>
      </c>
      <c r="L556" t="str">
        <v>男</v>
      </c>
      <c r="M556" t="str">
        <v>ﾌﾞﾗｼﾞﾙ</v>
      </c>
      <c r="N556">
        <v>22906</v>
      </c>
      <c r="O556">
        <v>61</v>
      </c>
      <c r="P556">
        <v>1400</v>
      </c>
      <c r="Q556">
        <v>0</v>
      </c>
      <c r="R556">
        <v>1750</v>
      </c>
      <c r="S556">
        <v>0</v>
      </c>
      <c r="T556">
        <v>350</v>
      </c>
      <c r="U556">
        <v>0</v>
      </c>
      <c r="V556" t="str">
        <v/>
      </c>
      <c r="W556" t="str">
        <v/>
      </c>
      <c r="X556" t="str">
        <v/>
      </c>
      <c r="Y556">
        <v>46198</v>
      </c>
      <c r="Z556" t="str">
        <v/>
      </c>
      <c r="AA556" t="str">
        <v>永住者</v>
      </c>
      <c r="AB556" t="str">
        <v>455-0044</v>
      </c>
      <c r="AC556" t="str">
        <v>愛知県名古屋市港区築三町1丁目26-1</v>
      </c>
      <c r="AD556">
        <v>0</v>
      </c>
      <c r="AE556">
        <v>0</v>
      </c>
      <c r="AF556">
        <v>44613</v>
      </c>
      <c r="AG556">
        <v>44638</v>
      </c>
      <c r="AH556">
        <v>0</v>
      </c>
      <c r="AI556" t="str">
        <v>なし</v>
      </c>
      <c r="AJ556" t="str">
        <v>ファム　デイン　トウン</v>
      </c>
      <c r="AK556" t="str">
        <v>ゆうちょ銀行</v>
      </c>
      <c r="AL556">
        <v>98</v>
      </c>
      <c r="AM556" t="str">
        <v>〇九八</v>
      </c>
      <c r="AN556" t="str">
        <v>1285143</v>
      </c>
      <c r="AO556">
        <v>0</v>
      </c>
      <c r="AP556">
        <v>0</v>
      </c>
    </row>
    <row r="557" spans="1:42">
      <c r="A557" t="str">
        <f>H557&amp;COUNTIF($H$2:H557,H557)</f>
        <v>旋盤ライン16</v>
      </c>
      <c r="B557" t="str">
        <f>F557&amp;COUNTIF($F$2:F557,F557)</f>
        <v>川原鉄工所16</v>
      </c>
      <c r="C557" t="str">
        <v>退社</v>
      </c>
      <c r="D557">
        <v>220219</v>
      </c>
      <c r="E557">
        <v>0</v>
      </c>
      <c r="F557" t="str">
        <v>川原鉄工所</v>
      </c>
      <c r="G557" t="str">
        <v>製造部</v>
      </c>
      <c r="H557" t="str">
        <v>旋盤ライン</v>
      </c>
      <c r="I557" t="str">
        <v>ATミッション部品をはじめとする、各種自動車部品の製造</v>
      </c>
      <c r="J557" t="str">
        <v>RODRIGUES YAKABE ACHERAIBER ELIZA</v>
      </c>
      <c r="K557" t="str">
        <v>ロドリゲス　矢壁　シライベル　エリザ</v>
      </c>
      <c r="L557" t="str">
        <v>女</v>
      </c>
      <c r="M557" t="str">
        <v>ﾌﾞﾗｼﾞﾙ</v>
      </c>
      <c r="N557">
        <v>27559</v>
      </c>
      <c r="O557">
        <v>48</v>
      </c>
      <c r="P557">
        <v>1250</v>
      </c>
      <c r="Q557" t="str">
        <v>入社3か月後50円UP</v>
      </c>
      <c r="R557">
        <v>1650</v>
      </c>
      <c r="S557">
        <v>0</v>
      </c>
      <c r="T557">
        <v>400</v>
      </c>
      <c r="U557">
        <v>0</v>
      </c>
      <c r="V557" t="str">
        <v/>
      </c>
      <c r="W557" t="str">
        <v/>
      </c>
      <c r="X557" t="str">
        <v/>
      </c>
      <c r="Y557">
        <v>44848</v>
      </c>
      <c r="Z557" t="str">
        <v>残り期限90日!</v>
      </c>
      <c r="AA557" t="str">
        <v>日本人の配偶者</v>
      </c>
      <c r="AB557" t="str">
        <v>455-0078</v>
      </c>
      <c r="AC557" t="str">
        <v>愛知県名古屋市港区丸池町1丁目1番</v>
      </c>
      <c r="AD557" t="str">
        <v>丸池荘4棟802号</v>
      </c>
      <c r="AE557">
        <v>0</v>
      </c>
      <c r="AF557">
        <v>44613</v>
      </c>
      <c r="AG557">
        <v>44811</v>
      </c>
      <c r="AH557">
        <v>0</v>
      </c>
      <c r="AI557">
        <v>22.04</v>
      </c>
      <c r="AJ557">
        <v>0</v>
      </c>
      <c r="AK557">
        <v>0</v>
      </c>
      <c r="AL557">
        <v>0</v>
      </c>
      <c r="AM557">
        <v>0</v>
      </c>
      <c r="AN557">
        <v>0</v>
      </c>
      <c r="AO557" t="str">
        <v>OK</v>
      </c>
      <c r="AP557">
        <v>0</v>
      </c>
    </row>
    <row r="558" spans="1:42">
      <c r="A558" t="str">
        <f>H558&amp;COUNTIF($H$2:H558,H558)</f>
        <v>0177</v>
      </c>
      <c r="B558" t="str">
        <f>F558&amp;COUNTIF($F$2:F558,F558)</f>
        <v>高雄工業 岡山123</v>
      </c>
      <c r="C558" t="str">
        <v>退社</v>
      </c>
      <c r="D558">
        <v>220306</v>
      </c>
      <c r="E558">
        <v>0</v>
      </c>
      <c r="F558" t="str">
        <v>高雄工業 岡山</v>
      </c>
      <c r="G558">
        <v>0</v>
      </c>
      <c r="H558">
        <v>0</v>
      </c>
      <c r="I558">
        <v>0</v>
      </c>
      <c r="J558" t="str">
        <v>DAO TRINH HOANG</v>
      </c>
      <c r="K558" t="str">
        <v>ダオ　チン　ホアン</v>
      </c>
      <c r="L558" t="str">
        <v>男</v>
      </c>
      <c r="M558" t="str">
        <v>ﾍﾞﾄﾅﾑ</v>
      </c>
      <c r="N558">
        <v>34705</v>
      </c>
      <c r="O558">
        <v>28</v>
      </c>
      <c r="P558">
        <v>1350</v>
      </c>
      <c r="Q558">
        <v>0</v>
      </c>
      <c r="R558">
        <v>1750</v>
      </c>
      <c r="S558">
        <v>0</v>
      </c>
      <c r="T558">
        <v>400</v>
      </c>
      <c r="U558">
        <v>0</v>
      </c>
      <c r="V558" t="str">
        <v/>
      </c>
      <c r="W558" t="str">
        <v>0</v>
      </c>
      <c r="X558" t="str">
        <v/>
      </c>
      <c r="Y558">
        <v>44902</v>
      </c>
      <c r="Z558" t="str">
        <v>残り期限90日!</v>
      </c>
      <c r="AA558" t="str">
        <v>技術・人文知識・国際業務</v>
      </c>
      <c r="AB558" t="str">
        <v>709-2107</v>
      </c>
      <c r="AC558" t="str">
        <v xml:space="preserve">岡山県岡山市北区御津矢原288番地1 </v>
      </c>
      <c r="AD558" t="str">
        <v>ｸﾞﾗﾝﾃﾞｰｻﾞ202</v>
      </c>
      <c r="AE558">
        <v>0</v>
      </c>
      <c r="AF558">
        <v>44622</v>
      </c>
      <c r="AG558">
        <v>44696</v>
      </c>
      <c r="AH558">
        <v>0</v>
      </c>
      <c r="AI558">
        <v>22.05</v>
      </c>
      <c r="AJ558">
        <v>0</v>
      </c>
      <c r="AK558">
        <v>0</v>
      </c>
      <c r="AL558">
        <v>0</v>
      </c>
      <c r="AM558">
        <v>0</v>
      </c>
      <c r="AN558">
        <v>0</v>
      </c>
      <c r="AO558" t="str">
        <v>OK</v>
      </c>
      <c r="AP558">
        <v>0</v>
      </c>
    </row>
    <row r="559" spans="1:42">
      <c r="A559" t="str">
        <f>H559&amp;COUNTIF($H$2:H559,H559)</f>
        <v>0178</v>
      </c>
      <c r="B559" t="str">
        <f>F559&amp;COUNTIF($F$2:F559,F559)</f>
        <v>高雄工業 岡山124</v>
      </c>
      <c r="C559" t="str">
        <v>退社</v>
      </c>
      <c r="D559">
        <v>220305</v>
      </c>
      <c r="E559">
        <v>0</v>
      </c>
      <c r="F559" t="str">
        <v>高雄工業 岡山</v>
      </c>
      <c r="G559">
        <v>0</v>
      </c>
      <c r="H559">
        <v>0</v>
      </c>
      <c r="I559">
        <v>0</v>
      </c>
      <c r="J559" t="str">
        <v>VO VAN LUONG</v>
      </c>
      <c r="K559" t="str">
        <v>ボ　バン　ルン</v>
      </c>
      <c r="L559" t="str">
        <v>男</v>
      </c>
      <c r="M559" t="str">
        <v>ﾍﾞﾄﾅﾑ</v>
      </c>
      <c r="N559">
        <v>34542</v>
      </c>
      <c r="O559">
        <v>29</v>
      </c>
      <c r="P559">
        <v>1350</v>
      </c>
      <c r="Q559">
        <v>0</v>
      </c>
      <c r="R559">
        <v>1750</v>
      </c>
      <c r="S559">
        <v>0</v>
      </c>
      <c r="T559">
        <v>400</v>
      </c>
      <c r="U559">
        <v>0</v>
      </c>
      <c r="V559" t="str">
        <v/>
      </c>
      <c r="W559" t="str">
        <v>0</v>
      </c>
      <c r="X559" t="str">
        <v/>
      </c>
      <c r="Y559">
        <v>44902</v>
      </c>
      <c r="Z559" t="str">
        <v>残り期限90日!</v>
      </c>
      <c r="AA559" t="str">
        <v>技術・人文知識・国際業務</v>
      </c>
      <c r="AB559" t="str">
        <v>709-2107</v>
      </c>
      <c r="AC559" t="str">
        <v xml:space="preserve">岡山県岡山市北区御津矢原288番地1 </v>
      </c>
      <c r="AD559" t="str">
        <v>ｸﾞﾗﾝﾃﾞｰｻﾞ202</v>
      </c>
      <c r="AE559">
        <v>0</v>
      </c>
      <c r="AF559">
        <v>44622</v>
      </c>
      <c r="AG559">
        <v>44627</v>
      </c>
      <c r="AH559">
        <v>0</v>
      </c>
      <c r="AI559">
        <v>0</v>
      </c>
      <c r="AJ559" t="str">
        <v>ファム　デイン　トウン</v>
      </c>
      <c r="AK559" t="str">
        <v>ゆうちょ銀行</v>
      </c>
      <c r="AL559">
        <v>98</v>
      </c>
      <c r="AM559" t="str">
        <v>〇九八</v>
      </c>
      <c r="AN559" t="str">
        <v>1285143</v>
      </c>
      <c r="AO559">
        <v>0</v>
      </c>
      <c r="AP559">
        <v>0</v>
      </c>
    </row>
    <row r="560" spans="1:42">
      <c r="A560" t="str">
        <f>H560&amp;COUNTIF($H$2:H560,H560)</f>
        <v>0179</v>
      </c>
      <c r="B560" t="str">
        <f>F560&amp;COUNTIF($F$2:F560,F560)</f>
        <v>ワーク 堺3</v>
      </c>
      <c r="C560" t="str">
        <v>在職中</v>
      </c>
      <c r="D560">
        <v>220309</v>
      </c>
      <c r="E560">
        <v>0</v>
      </c>
      <c r="F560" t="str">
        <v>ワーク 堺</v>
      </c>
      <c r="G560" t="str">
        <v>堺工場　製造部</v>
      </c>
      <c r="H560">
        <v>0</v>
      </c>
      <c r="I560">
        <v>0</v>
      </c>
      <c r="J560" t="str">
        <v>DANG DUC CHIEN</v>
      </c>
      <c r="K560" t="str">
        <v>ダン　ドゥック　チェン</v>
      </c>
      <c r="L560" t="str">
        <v>男</v>
      </c>
      <c r="M560" t="str">
        <v>ﾍﾞﾄﾅﾑ</v>
      </c>
      <c r="N560">
        <v>32273</v>
      </c>
      <c r="O560">
        <v>35</v>
      </c>
      <c r="P560">
        <v>1400</v>
      </c>
      <c r="Q560">
        <v>0</v>
      </c>
      <c r="R560">
        <v>1900</v>
      </c>
      <c r="S560">
        <v>0</v>
      </c>
      <c r="T560">
        <v>500</v>
      </c>
      <c r="U560">
        <v>240000</v>
      </c>
      <c r="V560">
        <v>12012</v>
      </c>
      <c r="W560" t="str">
        <v>0</v>
      </c>
      <c r="X560">
        <v>21960</v>
      </c>
      <c r="Y560">
        <v>45729</v>
      </c>
      <c r="Z560" t="str">
        <v/>
      </c>
      <c r="AA560" t="str">
        <v>技術・人文知識・国際業務</v>
      </c>
      <c r="AB560" t="str">
        <v>558-0033</v>
      </c>
      <c r="AC560" t="str">
        <v>大阪府大阪市住吉区清水丘2-9-16</v>
      </c>
      <c r="AD560" t="str">
        <v>ﾍﾞﾙﾄﾋﾟｱ住吉307号室</v>
      </c>
      <c r="AE560">
        <v>44632</v>
      </c>
      <c r="AF560">
        <v>44627</v>
      </c>
      <c r="AG560">
        <v>0</v>
      </c>
      <c r="AH560">
        <v>0</v>
      </c>
      <c r="AI560">
        <v>22.05</v>
      </c>
      <c r="AJ560" t="str">
        <v>ダン　ドゥック　チェン</v>
      </c>
      <c r="AK560" t="str">
        <v>三菱ＵＦＪ銀行</v>
      </c>
      <c r="AL560">
        <v>143</v>
      </c>
      <c r="AM560" t="str">
        <v>四貫島</v>
      </c>
      <c r="AN560" t="str">
        <v>111067</v>
      </c>
      <c r="AO560" t="str">
        <v>OK</v>
      </c>
      <c r="AP560">
        <v>0</v>
      </c>
    </row>
    <row r="561" spans="1:42">
      <c r="A561" t="str">
        <f>H561&amp;COUNTIF($H$2:H561,H561)</f>
        <v>CVJ10</v>
      </c>
      <c r="B561" t="str">
        <f>F561&amp;COUNTIF($F$2:F561,F561)</f>
        <v>瑞陵精機15</v>
      </c>
      <c r="C561" t="str">
        <v>退社</v>
      </c>
      <c r="D561">
        <v>220310</v>
      </c>
      <c r="E561">
        <v>0</v>
      </c>
      <c r="F561" t="str">
        <v>瑞陵精機</v>
      </c>
      <c r="G561" t="str">
        <v>製造1課</v>
      </c>
      <c r="H561" t="str">
        <v>CVJ</v>
      </c>
      <c r="I561">
        <v>0</v>
      </c>
      <c r="J561" t="str">
        <v>NGUYEN VAN QUAN</v>
      </c>
      <c r="K561" t="str">
        <v>グエン　ヴァン　クアン</v>
      </c>
      <c r="L561" t="str">
        <v>男</v>
      </c>
      <c r="M561" t="str">
        <v>ﾍﾞﾄﾅﾑ</v>
      </c>
      <c r="N561">
        <v>34392</v>
      </c>
      <c r="O561">
        <v>29</v>
      </c>
      <c r="P561">
        <v>1300</v>
      </c>
      <c r="Q561">
        <v>0</v>
      </c>
      <c r="R561">
        <v>1700</v>
      </c>
      <c r="S561">
        <v>0</v>
      </c>
      <c r="T561">
        <v>400</v>
      </c>
      <c r="U561">
        <v>0</v>
      </c>
      <c r="V561" t="str">
        <v/>
      </c>
      <c r="W561" t="str">
        <v>0</v>
      </c>
      <c r="X561" t="str">
        <v/>
      </c>
      <c r="Y561">
        <v>44875</v>
      </c>
      <c r="Z561" t="str">
        <v>残り期限90日!</v>
      </c>
      <c r="AA561" t="str">
        <v>技術・人文知識・国際業務</v>
      </c>
      <c r="AB561" t="str">
        <v>509-7201</v>
      </c>
      <c r="AC561" t="str">
        <v>岐阜県恵那市大井町1120-303</v>
      </c>
      <c r="AD561" t="str">
        <v>各務ﾊｲﾂ4J</v>
      </c>
      <c r="AE561">
        <v>44623</v>
      </c>
      <c r="AF561">
        <v>44628</v>
      </c>
      <c r="AG561">
        <v>44719</v>
      </c>
      <c r="AH561">
        <v>0</v>
      </c>
      <c r="AI561">
        <v>22.05</v>
      </c>
      <c r="AJ561">
        <v>0</v>
      </c>
      <c r="AK561">
        <v>0</v>
      </c>
      <c r="AL561">
        <v>0</v>
      </c>
      <c r="AM561">
        <v>0</v>
      </c>
      <c r="AN561">
        <v>0</v>
      </c>
      <c r="AO561" t="str">
        <v>OK</v>
      </c>
      <c r="AP561">
        <v>0</v>
      </c>
    </row>
    <row r="562" spans="1:42">
      <c r="A562" t="str">
        <f>H562&amp;COUNTIF($H$2:H562,H562)</f>
        <v>0180</v>
      </c>
      <c r="B562" t="str">
        <f>F562&amp;COUNTIF($F$2:F562,F562)</f>
        <v>六甲電子17</v>
      </c>
      <c r="C562" t="str">
        <v>退社</v>
      </c>
      <c r="D562">
        <v>220319</v>
      </c>
      <c r="E562">
        <v>0</v>
      </c>
      <c r="F562" t="str">
        <v>六甲電子</v>
      </c>
      <c r="G562">
        <v>0</v>
      </c>
      <c r="H562">
        <v>0</v>
      </c>
      <c r="I562">
        <v>0</v>
      </c>
      <c r="J562" t="str">
        <v>VU HUY KHOI</v>
      </c>
      <c r="K562" t="str">
        <v>ヴー　フイ　クオイ</v>
      </c>
      <c r="L562" t="str">
        <v>男</v>
      </c>
      <c r="M562" t="str">
        <v>ﾍﾞﾄﾅﾑ</v>
      </c>
      <c r="N562">
        <v>34107</v>
      </c>
      <c r="O562">
        <v>30</v>
      </c>
      <c r="P562">
        <v>1400</v>
      </c>
      <c r="Q562">
        <v>0</v>
      </c>
      <c r="R562">
        <v>2000</v>
      </c>
      <c r="S562">
        <v>0</v>
      </c>
      <c r="T562">
        <v>600</v>
      </c>
      <c r="U562">
        <v>0</v>
      </c>
      <c r="V562" t="str">
        <v/>
      </c>
      <c r="W562" t="str">
        <v>0</v>
      </c>
      <c r="X562" t="str">
        <v/>
      </c>
      <c r="Y562">
        <v>45341</v>
      </c>
      <c r="Z562" t="str">
        <v>残り期限90日!</v>
      </c>
      <c r="AA562" t="str">
        <v>技術・人文知識・国際業務</v>
      </c>
      <c r="AB562" t="str">
        <v>715-0024</v>
      </c>
      <c r="AC562" t="str">
        <v>岡山県井原市高屋町1丁目20-11</v>
      </c>
      <c r="AD562" t="str">
        <v>ｲﾌﾟｼﾛﾝB102</v>
      </c>
      <c r="AE562">
        <v>44635</v>
      </c>
      <c r="AF562">
        <v>44637</v>
      </c>
      <c r="AG562">
        <v>44803</v>
      </c>
      <c r="AH562">
        <v>0</v>
      </c>
      <c r="AI562">
        <v>22.06</v>
      </c>
      <c r="AJ562">
        <v>0</v>
      </c>
      <c r="AK562">
        <v>0</v>
      </c>
      <c r="AL562">
        <v>0</v>
      </c>
      <c r="AM562">
        <v>0</v>
      </c>
      <c r="AN562">
        <v>0</v>
      </c>
      <c r="AO562" t="str">
        <v>OK3/28</v>
      </c>
      <c r="AP562" t="str">
        <v>2022/3/17～2022/8/10までｾｲﾋﾞﾃｯｸ所属　2022/8/15～六甲電子所属</v>
      </c>
    </row>
    <row r="563" spans="1:42">
      <c r="A563" t="str">
        <f>H563&amp;COUNTIF($H$2:H563,H563)</f>
        <v>0181</v>
      </c>
      <c r="B563" t="str">
        <f>F563&amp;COUNTIF($F$2:F563,F563)</f>
        <v>ﾌｪﾆﾃｯｸｾﾐｺﾝﾀﾞｸﾀｰ 鹿児島12</v>
      </c>
      <c r="C563" t="str">
        <v>退社</v>
      </c>
      <c r="D563">
        <v>220326</v>
      </c>
      <c r="E563">
        <v>0</v>
      </c>
      <c r="F563" t="str">
        <v>ﾌｪﾆﾃｯｸｾﾐｺﾝﾀﾞｸﾀｰ 鹿児島</v>
      </c>
      <c r="G563" t="str">
        <v>鹿児島工場　製造部　製造課</v>
      </c>
      <c r="H563">
        <v>0</v>
      </c>
      <c r="I563">
        <v>0</v>
      </c>
      <c r="J563" t="str">
        <v>NGUYEN MINH VUONG</v>
      </c>
      <c r="K563" t="str">
        <v>グエン　ミン　ヴオン</v>
      </c>
      <c r="L563" t="str">
        <v>男</v>
      </c>
      <c r="M563" t="str">
        <v>ﾍﾞﾄﾅﾑ</v>
      </c>
      <c r="N563">
        <v>34602</v>
      </c>
      <c r="O563">
        <v>29</v>
      </c>
      <c r="P563">
        <v>1400</v>
      </c>
      <c r="Q563">
        <v>0</v>
      </c>
      <c r="R563">
        <v>2000</v>
      </c>
      <c r="S563" t="str">
        <v>2022/7/1~ 1900円⇒2000円</v>
      </c>
      <c r="T563">
        <v>600</v>
      </c>
      <c r="U563">
        <v>260000</v>
      </c>
      <c r="V563">
        <v>13013</v>
      </c>
      <c r="W563" t="str">
        <v>0</v>
      </c>
      <c r="X563">
        <v>23790</v>
      </c>
      <c r="Y563">
        <v>45325</v>
      </c>
      <c r="Z563" t="str">
        <v>残り期限90日!</v>
      </c>
      <c r="AA563" t="str">
        <v>技術・人文知識・国際業務</v>
      </c>
      <c r="AB563" t="str">
        <v>899-6200</v>
      </c>
      <c r="AC563" t="str">
        <v>鹿児島県姶良郡湧水町木場1214番地1</v>
      </c>
      <c r="AD563" t="str">
        <v>尾鉢第3住宅2号棟</v>
      </c>
      <c r="AE563">
        <v>44649</v>
      </c>
      <c r="AF563">
        <v>44650</v>
      </c>
      <c r="AG563">
        <v>45247</v>
      </c>
      <c r="AH563">
        <v>0</v>
      </c>
      <c r="AI563" t="str">
        <v>22.03.30</v>
      </c>
      <c r="AJ563" t="str">
        <v>グエン　ミン　ヴォン</v>
      </c>
      <c r="AK563" t="str">
        <v>ゆうちょ銀行</v>
      </c>
      <c r="AL563">
        <v>788</v>
      </c>
      <c r="AM563" t="str">
        <v>七八八</v>
      </c>
      <c r="AN563" t="str">
        <v>3444491</v>
      </c>
      <c r="AO563" t="str">
        <v>2022/04/20</v>
      </c>
      <c r="AP563">
        <v>0</v>
      </c>
    </row>
    <row r="564" spans="1:42">
      <c r="A564" t="str">
        <f>H564&amp;COUNTIF($H$2:H564,H564)</f>
        <v>0182</v>
      </c>
      <c r="B564" t="str">
        <f>F564&amp;COUNTIF($F$2:F564,F564)</f>
        <v>新日本ﾎｲｰﾙ工業1</v>
      </c>
      <c r="C564" t="str">
        <v>退社</v>
      </c>
      <c r="D564">
        <v>220402</v>
      </c>
      <c r="E564">
        <v>0</v>
      </c>
      <c r="F564" t="str">
        <v>新日本ﾎｲｰﾙ工業</v>
      </c>
      <c r="G564">
        <v>0</v>
      </c>
      <c r="H564">
        <v>0</v>
      </c>
      <c r="I564">
        <v>0</v>
      </c>
      <c r="J564" t="str">
        <v>LE VAN TUAN PHONG</v>
      </c>
      <c r="K564" t="str">
        <v>レ　ヴァン　トゥアン　フォン</v>
      </c>
      <c r="L564" t="str">
        <v>男</v>
      </c>
      <c r="M564" t="str">
        <v>ﾍﾞﾄﾅﾑ</v>
      </c>
      <c r="N564">
        <v>31531</v>
      </c>
      <c r="O564">
        <v>37</v>
      </c>
      <c r="P564">
        <v>1400</v>
      </c>
      <c r="Q564">
        <v>0</v>
      </c>
      <c r="R564">
        <v>1800</v>
      </c>
      <c r="S564">
        <v>0</v>
      </c>
      <c r="T564">
        <v>400</v>
      </c>
      <c r="U564">
        <v>180000</v>
      </c>
      <c r="V564">
        <v>9009</v>
      </c>
      <c r="W564" t="str">
        <v>0</v>
      </c>
      <c r="X564">
        <v>16470</v>
      </c>
      <c r="Y564">
        <v>45273</v>
      </c>
      <c r="Z564" t="str">
        <v>残り期限90日!</v>
      </c>
      <c r="AA564" t="str">
        <v>技術・人文知識・国際業務</v>
      </c>
      <c r="AB564" t="str">
        <v>433-8111</v>
      </c>
      <c r="AC564" t="str">
        <v>静岡県浜松市中区葵西6丁目22-12</v>
      </c>
      <c r="AD564" t="str">
        <v>県営葵団地2-207</v>
      </c>
      <c r="AE564" t="str">
        <v>個人</v>
      </c>
      <c r="AF564">
        <v>44655</v>
      </c>
      <c r="AG564">
        <v>45105</v>
      </c>
      <c r="AH564">
        <v>0</v>
      </c>
      <c r="AI564" t="str">
        <v>22.05.01</v>
      </c>
      <c r="AJ564" t="str">
        <v>LE　VAN 　TUAN　PHONG</v>
      </c>
      <c r="AK564" t="str">
        <v>静岡銀行</v>
      </c>
      <c r="AL564">
        <v>354</v>
      </c>
      <c r="AM564">
        <v>0</v>
      </c>
      <c r="AN564" t="str">
        <v>653896</v>
      </c>
      <c r="AO564" t="str">
        <v>2022/04/20</v>
      </c>
      <c r="AP564">
        <v>0</v>
      </c>
    </row>
    <row r="565" spans="1:42">
      <c r="A565" t="str">
        <f>H565&amp;COUNTIF($H$2:H565,H565)</f>
        <v>0183</v>
      </c>
      <c r="B565" t="str">
        <f>F565&amp;COUNTIF($F$2:F565,F565)</f>
        <v>高雄工業 岡山125</v>
      </c>
      <c r="C565" t="str">
        <v>退社</v>
      </c>
      <c r="D565">
        <v>220405</v>
      </c>
      <c r="E565">
        <v>0</v>
      </c>
      <c r="F565" t="str">
        <v>高雄工業 岡山</v>
      </c>
      <c r="G565">
        <v>0</v>
      </c>
      <c r="H565">
        <v>0</v>
      </c>
      <c r="I565">
        <v>0</v>
      </c>
      <c r="J565" t="str">
        <v>VU THANH HOANG</v>
      </c>
      <c r="K565" t="str">
        <v>ヴー　タン　ホアン</v>
      </c>
      <c r="L565" t="str">
        <v>男</v>
      </c>
      <c r="M565" t="str">
        <v>ﾍﾞﾄﾅﾑ</v>
      </c>
      <c r="N565">
        <v>35762</v>
      </c>
      <c r="O565">
        <v>26</v>
      </c>
      <c r="P565">
        <v>1350</v>
      </c>
      <c r="Q565">
        <v>0</v>
      </c>
      <c r="R565">
        <v>1750</v>
      </c>
      <c r="S565">
        <v>0</v>
      </c>
      <c r="T565">
        <v>400</v>
      </c>
      <c r="U565">
        <v>0</v>
      </c>
      <c r="V565" t="str">
        <v/>
      </c>
      <c r="W565" t="str">
        <v>0</v>
      </c>
      <c r="X565" t="str">
        <v/>
      </c>
      <c r="Y565">
        <v>44911</v>
      </c>
      <c r="Z565" t="str">
        <v>残り期限90日!</v>
      </c>
      <c r="AA565" t="str">
        <v>技術・人文知識・国際業務</v>
      </c>
      <c r="AB565" t="str">
        <v>709-2107</v>
      </c>
      <c r="AC565" t="str">
        <v>岡山県岡山市北区御津矢原311</v>
      </c>
      <c r="AD565" t="str">
        <v>中須賀ｺｰﾎﾟⅢ206</v>
      </c>
      <c r="AE565">
        <v>44652</v>
      </c>
      <c r="AF565">
        <v>44659</v>
      </c>
      <c r="AG565">
        <v>44680</v>
      </c>
      <c r="AH565">
        <v>0</v>
      </c>
      <c r="AI565">
        <v>0</v>
      </c>
      <c r="AJ565">
        <v>0</v>
      </c>
      <c r="AK565">
        <v>0</v>
      </c>
      <c r="AL565">
        <v>0</v>
      </c>
      <c r="AM565">
        <v>0</v>
      </c>
      <c r="AN565">
        <v>0</v>
      </c>
      <c r="AO565" t="str">
        <v>2022/04/27</v>
      </c>
      <c r="AP565">
        <v>0</v>
      </c>
    </row>
    <row r="566" spans="1:42">
      <c r="A566" t="str">
        <f>H566&amp;COUNTIF($H$2:H566,H566)</f>
        <v>0184</v>
      </c>
      <c r="B566" t="str">
        <f>F566&amp;COUNTIF($F$2:F566,F566)</f>
        <v>高雄工業 海南第一41</v>
      </c>
      <c r="C566" t="str">
        <v>退社</v>
      </c>
      <c r="D566">
        <v>220404</v>
      </c>
      <c r="E566">
        <v>0</v>
      </c>
      <c r="F566" t="str">
        <v>高雄工業 海南第一</v>
      </c>
      <c r="G566" t="str">
        <v>006210 高雄工業株式会社 海南第一工場製作1課</v>
      </c>
      <c r="H566">
        <v>0</v>
      </c>
      <c r="I566">
        <v>0</v>
      </c>
      <c r="J566" t="str">
        <v>MATSUDA SERGIO YUKIO</v>
      </c>
      <c r="K566" t="str">
        <v>マツダ　セルジオ　ユキオ</v>
      </c>
      <c r="L566" t="str">
        <v>男</v>
      </c>
      <c r="M566" t="str">
        <v>ﾌﾞﾗｼﾞﾙ</v>
      </c>
      <c r="N566">
        <v>22349</v>
      </c>
      <c r="O566">
        <v>62</v>
      </c>
      <c r="P566">
        <v>1400</v>
      </c>
      <c r="Q566">
        <v>0</v>
      </c>
      <c r="R566">
        <v>1750</v>
      </c>
      <c r="S566">
        <v>0</v>
      </c>
      <c r="T566">
        <v>350</v>
      </c>
      <c r="U566">
        <v>0</v>
      </c>
      <c r="V566" t="str">
        <v/>
      </c>
      <c r="W566" t="str">
        <v/>
      </c>
      <c r="X566" t="str">
        <v/>
      </c>
      <c r="Y566">
        <v>43616</v>
      </c>
      <c r="Z566" t="str">
        <v>残り期限90日!</v>
      </c>
      <c r="AA566" t="str">
        <v>技術・人文知識・国際業務</v>
      </c>
      <c r="AB566" t="str">
        <v>522-0222</v>
      </c>
      <c r="AC566" t="str">
        <v>滋賀県彦根市南川瀬町1542-1</v>
      </c>
      <c r="AD566" t="str">
        <v>レオパレスTSおおつか115号</v>
      </c>
      <c r="AE566">
        <v>44658</v>
      </c>
      <c r="AF566">
        <v>44659</v>
      </c>
      <c r="AG566">
        <v>44715</v>
      </c>
      <c r="AH566">
        <v>0</v>
      </c>
      <c r="AI566">
        <v>44713</v>
      </c>
      <c r="AJ566">
        <v>0</v>
      </c>
      <c r="AK566">
        <v>0</v>
      </c>
      <c r="AL566">
        <v>0</v>
      </c>
      <c r="AM566">
        <v>0</v>
      </c>
      <c r="AN566">
        <v>0</v>
      </c>
      <c r="AO566" t="str">
        <v>2022/04/18</v>
      </c>
      <c r="AP566" t="str">
        <v>以前の住所498-0802三重県桑名郡木曾岬町見入辰高786-3ﾀﾂﾀﾞｶﾊｲﾂA102</v>
      </c>
    </row>
    <row r="567" spans="1:42">
      <c r="A567" t="str">
        <f>H567&amp;COUNTIF($H$2:H567,H567)</f>
        <v>0185</v>
      </c>
      <c r="B567" t="str">
        <f>F567&amp;COUNTIF($F$2:F567,F567)</f>
        <v>PATEC11</v>
      </c>
      <c r="C567" t="str">
        <v>在職中</v>
      </c>
      <c r="D567">
        <v>220407</v>
      </c>
      <c r="E567">
        <v>0</v>
      </c>
      <c r="F567" t="str">
        <v>PATEC</v>
      </c>
      <c r="G567" t="str">
        <v>製造部素材課</v>
      </c>
      <c r="H567">
        <v>0</v>
      </c>
      <c r="I567">
        <v>0</v>
      </c>
      <c r="J567" t="str">
        <v>MAI VAN TRI</v>
      </c>
      <c r="K567" t="str">
        <v>マイ　ヴァン　チー</v>
      </c>
      <c r="L567" t="str">
        <v>男</v>
      </c>
      <c r="M567" t="str">
        <v>ﾍﾞﾄﾅﾑ</v>
      </c>
      <c r="N567">
        <v>32210</v>
      </c>
      <c r="O567">
        <v>35</v>
      </c>
      <c r="P567">
        <v>1600</v>
      </c>
      <c r="Q567" t="str">
        <v>10/21～\1500⇒1600</v>
      </c>
      <c r="R567">
        <v>2100</v>
      </c>
      <c r="S567">
        <v>0</v>
      </c>
      <c r="T567">
        <v>500</v>
      </c>
      <c r="U567">
        <v>410000</v>
      </c>
      <c r="V567">
        <v>20520.5</v>
      </c>
      <c r="W567" t="str">
        <v>0</v>
      </c>
      <c r="X567">
        <v>37515</v>
      </c>
      <c r="Y567">
        <v>46324</v>
      </c>
      <c r="Z567" t="str">
        <v/>
      </c>
      <c r="AA567" t="str">
        <v>技術・人文知識・国際業務</v>
      </c>
      <c r="AB567" t="str">
        <v>747-0834</v>
      </c>
      <c r="AC567" t="str">
        <v>山口県防府市大字浜方716-15</v>
      </c>
      <c r="AD567" t="str">
        <v>ｱﾙｿｰﾚD202</v>
      </c>
      <c r="AE567">
        <v>44662</v>
      </c>
      <c r="AF567">
        <v>44663</v>
      </c>
      <c r="AG567">
        <v>0</v>
      </c>
      <c r="AH567">
        <v>0</v>
      </c>
      <c r="AI567" t="str">
        <v>22.05.01</v>
      </c>
      <c r="AJ567" t="str">
        <v>マイ　ヴァン　チ</v>
      </c>
      <c r="AK567" t="str">
        <v>ゆうちょ銀行</v>
      </c>
      <c r="AL567">
        <v>68</v>
      </c>
      <c r="AM567" t="str">
        <v>〇六八</v>
      </c>
      <c r="AN567" t="str">
        <v>4509887</v>
      </c>
      <c r="AO567" t="str">
        <v>2022/04/21</v>
      </c>
      <c r="AP567">
        <v>0</v>
      </c>
    </row>
    <row r="568" spans="1:42">
      <c r="A568" t="str">
        <f>H568&amp;COUNTIF($H$2:H568,H568)</f>
        <v>0186</v>
      </c>
      <c r="B568" t="str">
        <f>F568&amp;COUNTIF($F$2:F568,F568)</f>
        <v>六甲電子18</v>
      </c>
      <c r="C568" t="str">
        <v>退社</v>
      </c>
      <c r="D568">
        <v>220408</v>
      </c>
      <c r="E568">
        <v>0</v>
      </c>
      <c r="F568" t="str">
        <v>六甲電子</v>
      </c>
      <c r="G568">
        <v>0</v>
      </c>
      <c r="H568">
        <v>0</v>
      </c>
      <c r="I568">
        <v>0</v>
      </c>
      <c r="J568" t="str">
        <v>NGUYEN DINH NGOC</v>
      </c>
      <c r="K568" t="str">
        <v>グエン　デイン　ゴック</v>
      </c>
      <c r="L568" t="str">
        <v>男</v>
      </c>
      <c r="M568" t="str">
        <v>ﾍﾞﾄﾅﾑ</v>
      </c>
      <c r="N568">
        <v>34783</v>
      </c>
      <c r="O568">
        <v>28</v>
      </c>
      <c r="P568">
        <v>1400</v>
      </c>
      <c r="Q568">
        <v>0</v>
      </c>
      <c r="R568">
        <v>2000</v>
      </c>
      <c r="S568">
        <v>0</v>
      </c>
      <c r="T568">
        <v>600</v>
      </c>
      <c r="U568">
        <v>0</v>
      </c>
      <c r="V568" t="str">
        <v/>
      </c>
      <c r="W568" t="str">
        <v>0</v>
      </c>
      <c r="X568" t="str">
        <v/>
      </c>
      <c r="Y568">
        <v>46463</v>
      </c>
      <c r="Z568" t="str">
        <v/>
      </c>
      <c r="AA568" t="str">
        <v>技術・人文知識・国際業務</v>
      </c>
      <c r="AB568" t="str">
        <v>651-2112</v>
      </c>
      <c r="AC568" t="str">
        <v>神戸市西区大津和2-9-3</v>
      </c>
      <c r="AD568" t="str">
        <v>ｻﾆｰﾊﾟﾚｽ102</v>
      </c>
      <c r="AE568" t="str">
        <v>個人</v>
      </c>
      <c r="AF568">
        <v>44664</v>
      </c>
      <c r="AG568">
        <v>44701</v>
      </c>
      <c r="AH568">
        <v>0</v>
      </c>
      <c r="AI568" t="str">
        <v>22.06.01</v>
      </c>
      <c r="AJ568">
        <v>0</v>
      </c>
      <c r="AK568">
        <v>0</v>
      </c>
      <c r="AL568">
        <v>0</v>
      </c>
      <c r="AM568">
        <v>0</v>
      </c>
      <c r="AN568">
        <v>0</v>
      </c>
      <c r="AO568" t="str">
        <v>2022/04/28</v>
      </c>
      <c r="AP568">
        <v>0</v>
      </c>
    </row>
    <row r="569" spans="1:42">
      <c r="A569" t="str">
        <f>H569&amp;COUNTIF($H$2:H569,H569)</f>
        <v>0187</v>
      </c>
      <c r="B569" t="str">
        <f>F569&amp;COUNTIF($F$2:F569,F569)</f>
        <v>ワーク 堺4</v>
      </c>
      <c r="C569" t="str">
        <v>在職中</v>
      </c>
      <c r="D569">
        <v>220410</v>
      </c>
      <c r="E569">
        <v>0</v>
      </c>
      <c r="F569" t="str">
        <v>ワーク 堺</v>
      </c>
      <c r="G569" t="str">
        <v>堺工場　製造部</v>
      </c>
      <c r="H569">
        <v>0</v>
      </c>
      <c r="I569">
        <v>0</v>
      </c>
      <c r="J569" t="str">
        <v>NGUYEN TRUNG TAN</v>
      </c>
      <c r="K569" t="str">
        <v>グエン　チュン　タン</v>
      </c>
      <c r="L569" t="str">
        <v>男</v>
      </c>
      <c r="M569" t="str">
        <v>ﾍﾞﾄﾅﾑ</v>
      </c>
      <c r="N569">
        <v>35090</v>
      </c>
      <c r="O569">
        <v>27</v>
      </c>
      <c r="P569">
        <v>1400</v>
      </c>
      <c r="Q569">
        <v>0</v>
      </c>
      <c r="R569">
        <v>1900</v>
      </c>
      <c r="S569">
        <v>0</v>
      </c>
      <c r="T569">
        <v>500</v>
      </c>
      <c r="U569">
        <v>240000</v>
      </c>
      <c r="V569">
        <v>12012</v>
      </c>
      <c r="W569" t="str">
        <v>0</v>
      </c>
      <c r="X569">
        <v>21960</v>
      </c>
      <c r="Y569">
        <v>45321</v>
      </c>
      <c r="Z569" t="str">
        <v>残り期限90日!</v>
      </c>
      <c r="AA569" t="str">
        <v>技術・人文知識・国際業務</v>
      </c>
      <c r="AB569" t="str">
        <v>559-0013</v>
      </c>
      <c r="AC569" t="str">
        <v>大阪府大阪市住之江区御崎3-3-20</v>
      </c>
      <c r="AD569" t="str">
        <v>岩本ﾏﾝｼｮﾝ402</v>
      </c>
      <c r="AE569">
        <v>44664</v>
      </c>
      <c r="AF569">
        <v>44665</v>
      </c>
      <c r="AG569">
        <v>0</v>
      </c>
      <c r="AH569">
        <v>0</v>
      </c>
      <c r="AI569" t="str">
        <v>22.06.01</v>
      </c>
      <c r="AJ569" t="str">
        <v>グエン　チュン　タン</v>
      </c>
      <c r="AK569" t="str">
        <v>ゆうちょ銀行</v>
      </c>
      <c r="AL569">
        <v>408</v>
      </c>
      <c r="AM569" t="str">
        <v>四〇八</v>
      </c>
      <c r="AN569" t="str">
        <v>3282942</v>
      </c>
      <c r="AO569" t="str">
        <v>2022/04/27</v>
      </c>
      <c r="AP569">
        <v>0</v>
      </c>
    </row>
    <row r="570" spans="1:42">
      <c r="A570" t="str">
        <f>H570&amp;COUNTIF($H$2:H570,H570)</f>
        <v>0188</v>
      </c>
      <c r="B570" t="str">
        <f>F570&amp;COUNTIF($F$2:F570,F570)</f>
        <v>PATEC12</v>
      </c>
      <c r="C570" t="str">
        <v>退社</v>
      </c>
      <c r="D570">
        <v>220413</v>
      </c>
      <c r="E570">
        <v>0</v>
      </c>
      <c r="F570" t="str">
        <v>PATEC</v>
      </c>
      <c r="G570" t="str">
        <v>製造部素材課</v>
      </c>
      <c r="H570">
        <v>0</v>
      </c>
      <c r="I570">
        <v>0</v>
      </c>
      <c r="J570" t="str">
        <v>NGUYEN VAN NINH</v>
      </c>
      <c r="K570" t="str">
        <v>グエン　ヴァン　ニン</v>
      </c>
      <c r="L570" t="str">
        <v>男</v>
      </c>
      <c r="M570" t="str">
        <v>ﾍﾞﾄﾅﾑ</v>
      </c>
      <c r="N570">
        <v>31966</v>
      </c>
      <c r="O570">
        <v>36</v>
      </c>
      <c r="P570">
        <v>1500</v>
      </c>
      <c r="Q570" t="str">
        <v>10/21～\1500⇒1600</v>
      </c>
      <c r="R570">
        <v>2100</v>
      </c>
      <c r="S570">
        <v>0</v>
      </c>
      <c r="T570">
        <v>600</v>
      </c>
      <c r="U570">
        <v>180000</v>
      </c>
      <c r="V570">
        <v>9009</v>
      </c>
      <c r="W570" t="str">
        <v>0</v>
      </c>
      <c r="X570">
        <v>16470</v>
      </c>
      <c r="Y570">
        <v>45350</v>
      </c>
      <c r="Z570" t="str">
        <v>残り期限90日!</v>
      </c>
      <c r="AA570" t="str">
        <v>技術・人文知識・国際業務</v>
      </c>
      <c r="AB570" t="str">
        <v>747-0833</v>
      </c>
      <c r="AC570" t="str">
        <v>山口県防府市大字浜方716-15</v>
      </c>
      <c r="AD570" t="str">
        <v>ｱﾙｿｰﾚD201</v>
      </c>
      <c r="AE570">
        <v>44670</v>
      </c>
      <c r="AF570">
        <v>44670</v>
      </c>
      <c r="AG570">
        <v>44944</v>
      </c>
      <c r="AH570">
        <v>0</v>
      </c>
      <c r="AI570" t="str">
        <v>22.07.01</v>
      </c>
      <c r="AJ570" t="str">
        <v>ゲェン　ヴァン　ニン</v>
      </c>
      <c r="AK570" t="str">
        <v>ゆうちょ銀行</v>
      </c>
      <c r="AL570">
        <v>748</v>
      </c>
      <c r="AM570" t="str">
        <v>七四八</v>
      </c>
      <c r="AN570" t="str">
        <v>7717088</v>
      </c>
      <c r="AO570" t="str">
        <v>2022/04/27</v>
      </c>
      <c r="AP570">
        <v>0</v>
      </c>
    </row>
    <row r="571" spans="1:42">
      <c r="A571" t="str">
        <f>H571&amp;COUNTIF($H$2:H571,H571)</f>
        <v>0189</v>
      </c>
      <c r="B571" t="str">
        <f>F571&amp;COUNTIF($F$2:F571,F571)</f>
        <v>PATEC13</v>
      </c>
      <c r="C571" t="str">
        <v>在職中</v>
      </c>
      <c r="D571">
        <v>220414</v>
      </c>
      <c r="E571">
        <v>0</v>
      </c>
      <c r="F571" t="str">
        <v>PATEC</v>
      </c>
      <c r="G571" t="str">
        <v>製造部素材課</v>
      </c>
      <c r="H571">
        <v>0</v>
      </c>
      <c r="I571">
        <v>0</v>
      </c>
      <c r="J571" t="str">
        <v>LE QUANG TRONG</v>
      </c>
      <c r="K571" t="str">
        <v>レ　クアン　チョン</v>
      </c>
      <c r="L571" t="str">
        <v>男</v>
      </c>
      <c r="M571" t="str">
        <v>ﾍﾞﾄﾅﾑ</v>
      </c>
      <c r="N571">
        <v>33020</v>
      </c>
      <c r="O571">
        <v>33</v>
      </c>
      <c r="P571">
        <v>1600</v>
      </c>
      <c r="Q571" t="str">
        <v>10/21～\1500⇒1600</v>
      </c>
      <c r="R571">
        <v>2100</v>
      </c>
      <c r="S571">
        <v>0</v>
      </c>
      <c r="T571">
        <v>500</v>
      </c>
      <c r="U571">
        <v>440000</v>
      </c>
      <c r="V571">
        <v>22022</v>
      </c>
      <c r="W571" t="str">
        <v>0</v>
      </c>
      <c r="X571">
        <v>40260</v>
      </c>
      <c r="Y571">
        <v>45493</v>
      </c>
      <c r="Z571" t="str">
        <v/>
      </c>
      <c r="AA571" t="str">
        <v>技術・人文知識・国際業務</v>
      </c>
      <c r="AB571" t="str">
        <v>747-0834</v>
      </c>
      <c r="AC571" t="str">
        <v>山口県防府市大字田島395番地</v>
      </c>
      <c r="AD571" t="str">
        <v>ﾗｸﾞﾘｼｰﾅⅠ104</v>
      </c>
      <c r="AE571">
        <v>44670</v>
      </c>
      <c r="AF571">
        <v>44671</v>
      </c>
      <c r="AG571">
        <v>0</v>
      </c>
      <c r="AH571">
        <v>0</v>
      </c>
      <c r="AI571" t="str">
        <v>22.07.01</v>
      </c>
      <c r="AJ571" t="str">
        <v>レ　クアン　チョン</v>
      </c>
      <c r="AK571" t="str">
        <v>ゆうちょ銀行</v>
      </c>
      <c r="AL571">
        <v>228</v>
      </c>
      <c r="AM571" t="str">
        <v>二二八</v>
      </c>
      <c r="AN571" t="str">
        <v>3111827</v>
      </c>
      <c r="AO571" t="str">
        <v>2022/04/27</v>
      </c>
      <c r="AP571">
        <v>0</v>
      </c>
    </row>
    <row r="572" spans="1:42">
      <c r="A572" t="str">
        <f>H572&amp;COUNTIF($H$2:H572,H572)</f>
        <v>0190</v>
      </c>
      <c r="B572" t="str">
        <f>F572&amp;COUNTIF($F$2:F572,F572)</f>
        <v>ワーク 堺5</v>
      </c>
      <c r="C572" t="str">
        <v>退社</v>
      </c>
      <c r="D572">
        <v>220416</v>
      </c>
      <c r="E572">
        <v>0</v>
      </c>
      <c r="F572" t="str">
        <v>ワーク 堺</v>
      </c>
      <c r="G572" t="str">
        <v>堺工場　製造部</v>
      </c>
      <c r="H572">
        <v>0</v>
      </c>
      <c r="I572">
        <v>0</v>
      </c>
      <c r="J572" t="str">
        <v>PHAM VAN HIEU</v>
      </c>
      <c r="K572" t="str">
        <v>ファム　ヴァン　ヒエウ</v>
      </c>
      <c r="L572" t="str">
        <v>男</v>
      </c>
      <c r="M572" t="str">
        <v>ﾍﾞﾄﾅﾑ</v>
      </c>
      <c r="N572">
        <v>35596</v>
      </c>
      <c r="O572">
        <v>26</v>
      </c>
      <c r="P572">
        <v>1400</v>
      </c>
      <c r="Q572">
        <v>0</v>
      </c>
      <c r="R572">
        <v>1900</v>
      </c>
      <c r="S572">
        <v>0</v>
      </c>
      <c r="T572">
        <v>500</v>
      </c>
      <c r="U572">
        <v>0</v>
      </c>
      <c r="V572" t="str">
        <v/>
      </c>
      <c r="W572" t="str">
        <v>0</v>
      </c>
      <c r="X572" t="str">
        <v/>
      </c>
      <c r="Y572">
        <v>45624</v>
      </c>
      <c r="Z572" t="str">
        <v/>
      </c>
      <c r="AA572" t="str">
        <v>技術・人文知識・国際業務</v>
      </c>
      <c r="AB572" t="str">
        <v>559-0013</v>
      </c>
      <c r="AC572" t="str">
        <v>大阪府大阪市住之江区御崎3-3-20</v>
      </c>
      <c r="AD572" t="str">
        <v>岩本ﾏﾝｼｮﾝ402</v>
      </c>
      <c r="AE572">
        <v>0</v>
      </c>
      <c r="AF572">
        <v>44676</v>
      </c>
      <c r="AG572">
        <v>44946</v>
      </c>
      <c r="AH572">
        <v>0</v>
      </c>
      <c r="AI572" t="str">
        <v>22.07.01</v>
      </c>
      <c r="AJ572" t="str">
        <v>ファム　ヴァン　ヒエウ</v>
      </c>
      <c r="AK572" t="str">
        <v>ゆうちょ銀行</v>
      </c>
      <c r="AL572">
        <v>408</v>
      </c>
      <c r="AM572" t="str">
        <v>四〇八</v>
      </c>
      <c r="AN572" t="str">
        <v>3267821</v>
      </c>
      <c r="AO572" t="str">
        <v>2022/05/16</v>
      </c>
      <c r="AP572">
        <v>0</v>
      </c>
    </row>
    <row r="573" spans="1:42">
      <c r="A573" t="str">
        <f>H573&amp;COUNTIF($H$2:H573,H573)</f>
        <v>0191</v>
      </c>
      <c r="B573" t="str">
        <f>F573&amp;COUNTIF($F$2:F573,F573)</f>
        <v>ワーク 堺6</v>
      </c>
      <c r="C573" t="str">
        <v>退社</v>
      </c>
      <c r="D573">
        <v>220509</v>
      </c>
      <c r="E573">
        <v>0</v>
      </c>
      <c r="F573" t="str">
        <v>ワーク 堺</v>
      </c>
      <c r="G573">
        <v>0</v>
      </c>
      <c r="H573">
        <v>0</v>
      </c>
      <c r="I573">
        <v>0</v>
      </c>
      <c r="J573" t="str">
        <v>VU TUAN ANH</v>
      </c>
      <c r="K573" t="str">
        <v>ブー　テュアン　アン</v>
      </c>
      <c r="L573" t="str">
        <v>男</v>
      </c>
      <c r="M573" t="str">
        <v>ﾍﾞﾄﾅﾑ</v>
      </c>
      <c r="N573">
        <v>35578</v>
      </c>
      <c r="O573">
        <v>26</v>
      </c>
      <c r="P573">
        <v>1400</v>
      </c>
      <c r="Q573">
        <v>0</v>
      </c>
      <c r="R573">
        <v>1900</v>
      </c>
      <c r="S573">
        <v>0</v>
      </c>
      <c r="T573">
        <v>500</v>
      </c>
      <c r="U573">
        <v>0</v>
      </c>
      <c r="V573" t="str">
        <v/>
      </c>
      <c r="W573" t="str">
        <v>0</v>
      </c>
      <c r="X573" t="str">
        <v/>
      </c>
      <c r="Y573">
        <v>44905</v>
      </c>
      <c r="Z573" t="str">
        <v>残り期限90日!</v>
      </c>
      <c r="AA573" t="str">
        <v>技術・人文知識・国際業務</v>
      </c>
      <c r="AB573" t="str">
        <v>559-0013</v>
      </c>
      <c r="AC573" t="str">
        <v>大阪市住之江区御崎3-3-20</v>
      </c>
      <c r="AD573" t="str">
        <v>岩本ﾏﾝｼｮﾝ402</v>
      </c>
      <c r="AE573">
        <v>44691</v>
      </c>
      <c r="AF573">
        <v>44692</v>
      </c>
      <c r="AG573">
        <v>44701</v>
      </c>
      <c r="AH573">
        <v>0</v>
      </c>
      <c r="AI573" t="str">
        <v>22.07.01</v>
      </c>
      <c r="AJ573" t="str">
        <v>ファム　ヴァン　ヒエウ</v>
      </c>
      <c r="AK573" t="str">
        <v>ゆうちょ銀行</v>
      </c>
      <c r="AL573">
        <v>408</v>
      </c>
      <c r="AM573" t="str">
        <v>四〇八</v>
      </c>
      <c r="AN573" t="str">
        <v>3267821</v>
      </c>
      <c r="AO573" t="str">
        <v>5/19林</v>
      </c>
      <c r="AP573">
        <v>0</v>
      </c>
    </row>
    <row r="574" spans="1:42">
      <c r="A574" t="str">
        <f>H574&amp;COUNTIF($H$2:H574,H574)</f>
        <v>0192</v>
      </c>
      <c r="B574" t="str">
        <f>F574&amp;COUNTIF($F$2:F574,F574)</f>
        <v>ワーク 志紀4</v>
      </c>
      <c r="C574" t="str">
        <v>退社</v>
      </c>
      <c r="D574">
        <v>220518</v>
      </c>
      <c r="E574">
        <v>0</v>
      </c>
      <c r="F574" t="str">
        <v>ワーク 志紀</v>
      </c>
      <c r="G574" t="str">
        <v>志紀工場　製造部</v>
      </c>
      <c r="H574">
        <v>0</v>
      </c>
      <c r="I574">
        <v>0</v>
      </c>
      <c r="J574" t="str">
        <v>BUI THE LAM</v>
      </c>
      <c r="K574" t="str">
        <v>ブイ　テエ　ラム</v>
      </c>
      <c r="L574" t="str">
        <v>男</v>
      </c>
      <c r="M574" t="str">
        <v>ﾍﾞﾄﾅﾑ</v>
      </c>
      <c r="N574">
        <v>34362</v>
      </c>
      <c r="O574">
        <v>29</v>
      </c>
      <c r="P574">
        <v>1400</v>
      </c>
      <c r="Q574">
        <v>0</v>
      </c>
      <c r="R574">
        <v>1900</v>
      </c>
      <c r="S574">
        <v>0</v>
      </c>
      <c r="T574">
        <v>500</v>
      </c>
      <c r="U574">
        <v>0</v>
      </c>
      <c r="V574" t="str">
        <v/>
      </c>
      <c r="W574" t="str">
        <v>0</v>
      </c>
      <c r="X574" t="str">
        <v/>
      </c>
      <c r="Y574">
        <v>45181</v>
      </c>
      <c r="Z574" t="str">
        <v>残り期限90日!</v>
      </c>
      <c r="AA574" t="str">
        <v>技術・人文知識・国際業務</v>
      </c>
      <c r="AB574" t="str">
        <v>581-0875</v>
      </c>
      <c r="AC574" t="str">
        <v>大阪府八尾市高安町南1-69-6</v>
      </c>
      <c r="AD574" t="str">
        <v>高安一番館403</v>
      </c>
      <c r="AE574">
        <v>44732</v>
      </c>
      <c r="AF574">
        <v>44704</v>
      </c>
      <c r="AG574">
        <v>44824</v>
      </c>
      <c r="AH574">
        <v>0</v>
      </c>
      <c r="AI574" t="str">
        <v>22.07.01</v>
      </c>
      <c r="AJ574" t="str">
        <v>ブイ　テェ　ラム</v>
      </c>
      <c r="AK574" t="str">
        <v>ゆうちょ銀行</v>
      </c>
      <c r="AL574">
        <v>468</v>
      </c>
      <c r="AM574" t="str">
        <v>四六八</v>
      </c>
      <c r="AN574" t="str">
        <v>1985301</v>
      </c>
      <c r="AO574" t="str">
        <v>6/6林</v>
      </c>
      <c r="AP574">
        <v>0</v>
      </c>
    </row>
    <row r="575" spans="1:42">
      <c r="A575" t="str">
        <f>H575&amp;COUNTIF($H$2:H575,H575)</f>
        <v>0193</v>
      </c>
      <c r="B575" t="str">
        <f>F575&amp;COUNTIF($F$2:F575,F575)</f>
        <v>三幸技研4</v>
      </c>
      <c r="C575" t="str">
        <v>退社</v>
      </c>
      <c r="D575">
        <v>220519</v>
      </c>
      <c r="E575">
        <v>0</v>
      </c>
      <c r="F575" t="str">
        <v>三幸技研</v>
      </c>
      <c r="G575">
        <v>0</v>
      </c>
      <c r="H575">
        <v>0</v>
      </c>
      <c r="I575">
        <v>0</v>
      </c>
      <c r="J575" t="str">
        <v>BUI DAI PHUOC</v>
      </c>
      <c r="K575" t="str">
        <v>ブイ　ダイ　フク</v>
      </c>
      <c r="L575" t="str">
        <v>男</v>
      </c>
      <c r="M575" t="str">
        <v>ﾍﾞﾄﾅﾑ</v>
      </c>
      <c r="N575">
        <v>34372</v>
      </c>
      <c r="O575">
        <v>29</v>
      </c>
      <c r="P575">
        <v>1300</v>
      </c>
      <c r="Q575">
        <v>0</v>
      </c>
      <c r="R575">
        <v>1750</v>
      </c>
      <c r="S575">
        <v>0</v>
      </c>
      <c r="T575">
        <v>450</v>
      </c>
      <c r="U575">
        <v>0</v>
      </c>
      <c r="V575" t="str">
        <v/>
      </c>
      <c r="W575" t="str">
        <v>0</v>
      </c>
      <c r="X575" t="str">
        <v/>
      </c>
      <c r="Y575">
        <v>45132</v>
      </c>
      <c r="Z575" t="str">
        <v>残り期限90日!</v>
      </c>
      <c r="AA575" t="str">
        <v>技術・人文知識・国際業務</v>
      </c>
      <c r="AB575" t="str">
        <v>474-0027</v>
      </c>
      <c r="AC575" t="str">
        <v>愛知県大府市追分町2丁目334番地</v>
      </c>
      <c r="AD575" t="str">
        <v>黄金ﾏﾝｼｮﾝ302</v>
      </c>
      <c r="AE575">
        <v>44701</v>
      </c>
      <c r="AF575">
        <v>44704</v>
      </c>
      <c r="AG575">
        <v>44894</v>
      </c>
      <c r="AH575">
        <v>0</v>
      </c>
      <c r="AI575" t="str">
        <v>22.07.01</v>
      </c>
      <c r="AJ575" t="str">
        <v>フン　マイン　トゥアン</v>
      </c>
      <c r="AK575" t="str">
        <v>ゆうちょ銀行</v>
      </c>
      <c r="AL575">
        <v>228</v>
      </c>
      <c r="AM575" t="str">
        <v>二二八</v>
      </c>
      <c r="AN575" t="str">
        <v>3117913</v>
      </c>
      <c r="AO575" t="str">
        <v>5/24原</v>
      </c>
      <c r="AP575" t="str">
        <v>2022/4/28～2022/5/19　請負従事　2022/5/23～　三幸技研へ派遣開始</v>
      </c>
    </row>
    <row r="576" spans="1:42">
      <c r="A576" t="str">
        <f>H576&amp;COUNTIF($H$2:H576,H576)</f>
        <v>等速ジョイント5</v>
      </c>
      <c r="B576" t="str">
        <f>F576&amp;COUNTIF($F$2:F576,F576)</f>
        <v>瑞陵精機16</v>
      </c>
      <c r="C576" t="str">
        <v>在職中</v>
      </c>
      <c r="D576">
        <v>220521</v>
      </c>
      <c r="E576">
        <v>0</v>
      </c>
      <c r="F576" t="str">
        <v>瑞陵精機</v>
      </c>
      <c r="G576" t="str">
        <v>製造課</v>
      </c>
      <c r="H576" t="str">
        <v>等速ジョイント</v>
      </c>
      <c r="I576" t="str">
        <v>ＮＣ旋盤、マシニングセンター等の工作機械を使いオペレーターとして製造ラインで製品を加工</v>
      </c>
      <c r="J576" t="str">
        <v>NGUYEN VIET CUONG</v>
      </c>
      <c r="K576" t="str">
        <v>グエン　ヴィエット　クオン</v>
      </c>
      <c r="L576" t="str">
        <v>男</v>
      </c>
      <c r="M576" t="str">
        <v>ﾍﾞﾄﾅﾑ</v>
      </c>
      <c r="N576">
        <v>33244</v>
      </c>
      <c r="O576">
        <v>32</v>
      </c>
      <c r="P576">
        <v>1300</v>
      </c>
      <c r="Q576">
        <v>0</v>
      </c>
      <c r="R576">
        <v>1700</v>
      </c>
      <c r="S576">
        <v>0</v>
      </c>
      <c r="T576">
        <v>400</v>
      </c>
      <c r="U576">
        <v>360000</v>
      </c>
      <c r="V576">
        <v>18018</v>
      </c>
      <c r="W576" t="str">
        <v>0</v>
      </c>
      <c r="X576">
        <v>32940</v>
      </c>
      <c r="Y576">
        <v>45437</v>
      </c>
      <c r="Z576" t="str">
        <v/>
      </c>
      <c r="AA576" t="str">
        <v>技術・人文知識・国際業務</v>
      </c>
      <c r="AB576" t="str">
        <v>509-7201</v>
      </c>
      <c r="AC576" t="str">
        <v>岐阜県恵那市大井町1120-303</v>
      </c>
      <c r="AD576" t="str">
        <v>各務ﾊｲﾂ2D</v>
      </c>
      <c r="AE576">
        <v>44704</v>
      </c>
      <c r="AF576">
        <v>44706</v>
      </c>
      <c r="AG576">
        <v>0</v>
      </c>
      <c r="AH576">
        <v>0</v>
      </c>
      <c r="AI576" t="str">
        <v>22.07.01</v>
      </c>
      <c r="AJ576" t="str">
        <v>グエン　ヴィエット　クオン</v>
      </c>
      <c r="AK576" t="str">
        <v>ゆうちょ銀行</v>
      </c>
      <c r="AL576">
        <v>248</v>
      </c>
      <c r="AM576" t="str">
        <v>二四八</v>
      </c>
      <c r="AN576" t="str">
        <v>3582622</v>
      </c>
      <c r="AO576" t="str">
        <v>6/6林</v>
      </c>
      <c r="AP576">
        <v>0</v>
      </c>
    </row>
    <row r="577" spans="1:42">
      <c r="A577" t="str">
        <f>H577&amp;COUNTIF($H$2:H577,H577)</f>
        <v>0194</v>
      </c>
      <c r="B577" t="str">
        <f>F577&amp;COUNTIF($F$2:F577,F577)</f>
        <v>セイビテック12</v>
      </c>
      <c r="C577" t="str">
        <v>退社</v>
      </c>
      <c r="D577">
        <v>220523</v>
      </c>
      <c r="E577">
        <v>0</v>
      </c>
      <c r="F577" t="str">
        <v>セイビテック</v>
      </c>
      <c r="G577">
        <v>0</v>
      </c>
      <c r="H577">
        <v>0</v>
      </c>
      <c r="I577">
        <v>0</v>
      </c>
      <c r="J577" t="str">
        <v>TRAN HONG QUAN</v>
      </c>
      <c r="K577" t="str">
        <v>チャン　ホン　クアン</v>
      </c>
      <c r="L577" t="str">
        <v>男</v>
      </c>
      <c r="M577" t="str">
        <v>ﾍﾞﾄﾅﾑ</v>
      </c>
      <c r="N577">
        <v>34818</v>
      </c>
      <c r="O577">
        <v>28</v>
      </c>
      <c r="P577">
        <v>1400</v>
      </c>
      <c r="Q577">
        <v>0</v>
      </c>
      <c r="R577">
        <v>1900</v>
      </c>
      <c r="S577">
        <v>0</v>
      </c>
      <c r="T577">
        <v>500</v>
      </c>
      <c r="U577">
        <v>0</v>
      </c>
      <c r="V577">
        <v>0</v>
      </c>
      <c r="W577" t="str">
        <v>0</v>
      </c>
      <c r="X577">
        <v>0</v>
      </c>
      <c r="Y577">
        <v>45687</v>
      </c>
      <c r="Z577" t="str">
        <v/>
      </c>
      <c r="AA577" t="str">
        <v>技術・人文知識・国際業務</v>
      </c>
      <c r="AB577" t="str">
        <v>715-0014</v>
      </c>
      <c r="AC577" t="str">
        <v>岡山県井原市高屋町1丁目20-11</v>
      </c>
      <c r="AD577" t="str">
        <v>ｲﾌﾟｼﾛﾝB102</v>
      </c>
      <c r="AE577">
        <v>44704</v>
      </c>
      <c r="AF577">
        <v>44708</v>
      </c>
      <c r="AG577">
        <v>44978</v>
      </c>
      <c r="AH577">
        <v>44973</v>
      </c>
      <c r="AI577" t="str">
        <v>22.07.01</v>
      </c>
      <c r="AJ577" t="str">
        <v>ヴォ　クイ　ホアン</v>
      </c>
      <c r="AK577" t="str">
        <v>ゆうちょ銀行</v>
      </c>
      <c r="AL577">
        <v>248</v>
      </c>
      <c r="AM577" t="str">
        <v>二四八</v>
      </c>
      <c r="AN577" t="str">
        <v>3709651</v>
      </c>
      <c r="AO577" t="str">
        <v>6/6林</v>
      </c>
      <c r="AP577">
        <v>0</v>
      </c>
    </row>
    <row r="578" spans="1:42">
      <c r="A578" t="str">
        <f>H578&amp;COUNTIF($H$2:H578,H578)</f>
        <v>0195</v>
      </c>
      <c r="B578" t="str">
        <f>F578&amp;COUNTIF($F$2:F578,F578)</f>
        <v>ワーク 志紀5</v>
      </c>
      <c r="C578" t="str">
        <v>在職中</v>
      </c>
      <c r="D578">
        <v>220524</v>
      </c>
      <c r="E578">
        <v>0</v>
      </c>
      <c r="F578" t="str">
        <v>ワーク 志紀</v>
      </c>
      <c r="G578" t="str">
        <v>志紀工場　製造部</v>
      </c>
      <c r="H578">
        <v>0</v>
      </c>
      <c r="I578">
        <v>0</v>
      </c>
      <c r="J578" t="str">
        <v>PHUNG MANH TUAN</v>
      </c>
      <c r="K578" t="str">
        <v>フン　マイン　トゥアン</v>
      </c>
      <c r="L578" t="str">
        <v>男</v>
      </c>
      <c r="M578" t="str">
        <v>ﾍﾞﾄﾅﾑ</v>
      </c>
      <c r="N578">
        <v>35030</v>
      </c>
      <c r="O578">
        <v>28</v>
      </c>
      <c r="P578">
        <v>1400</v>
      </c>
      <c r="Q578">
        <v>0</v>
      </c>
      <c r="R578">
        <v>1900</v>
      </c>
      <c r="S578">
        <v>0</v>
      </c>
      <c r="T578">
        <v>500</v>
      </c>
      <c r="U578">
        <v>240000</v>
      </c>
      <c r="V578">
        <v>12012</v>
      </c>
      <c r="W578" t="str">
        <v>0</v>
      </c>
      <c r="X578">
        <v>21960</v>
      </c>
      <c r="Y578">
        <v>45709</v>
      </c>
      <c r="Z578" t="str">
        <v/>
      </c>
      <c r="AA578" t="str">
        <v>技術・人文知識・国際業務</v>
      </c>
      <c r="AB578" t="str">
        <v>581-0875</v>
      </c>
      <c r="AC578" t="str">
        <v>大阪府八尾市高安町南1-69-6</v>
      </c>
      <c r="AD578" t="str">
        <v>高安一番館403</v>
      </c>
      <c r="AE578">
        <v>44732</v>
      </c>
      <c r="AF578">
        <v>44708</v>
      </c>
      <c r="AG578">
        <v>0</v>
      </c>
      <c r="AH578">
        <v>0</v>
      </c>
      <c r="AI578" t="str">
        <v>22.07.01</v>
      </c>
      <c r="AJ578" t="str">
        <v>フン　マイン　トゥアン</v>
      </c>
      <c r="AK578" t="str">
        <v>ゆうちょ銀行</v>
      </c>
      <c r="AL578">
        <v>228</v>
      </c>
      <c r="AM578" t="str">
        <v>二二八</v>
      </c>
      <c r="AN578" t="str">
        <v>3117913</v>
      </c>
      <c r="AO578" t="str">
        <v>6/6林</v>
      </c>
      <c r="AP578">
        <v>0</v>
      </c>
    </row>
    <row r="579" spans="1:42">
      <c r="A579" t="str">
        <f>H579&amp;COUNTIF($H$2:H579,H579)</f>
        <v>等速ジョイント6</v>
      </c>
      <c r="B579" t="str">
        <f>F579&amp;COUNTIF($F$2:F579,F579)</f>
        <v>瑞陵精機17</v>
      </c>
      <c r="C579" t="str">
        <v>在職中</v>
      </c>
      <c r="D579">
        <v>220525</v>
      </c>
      <c r="E579">
        <v>0</v>
      </c>
      <c r="F579" t="str">
        <v>瑞陵精機</v>
      </c>
      <c r="G579" t="str">
        <v>製造課</v>
      </c>
      <c r="H579" t="str">
        <v>等速ジョイント</v>
      </c>
      <c r="I579" t="str">
        <v>ＮＣ旋盤、マシニングセンター等の工作機械を使いオペレーターとして製造ラインで製品を加工</v>
      </c>
      <c r="J579" t="str">
        <v>NGUYEN CHI TUAN</v>
      </c>
      <c r="K579" t="str">
        <v>グエン　チー　トゥアン</v>
      </c>
      <c r="L579" t="str">
        <v>男</v>
      </c>
      <c r="M579" t="str">
        <v>ﾍﾞﾄﾅﾑ</v>
      </c>
      <c r="N579">
        <v>35816</v>
      </c>
      <c r="O579">
        <v>25</v>
      </c>
      <c r="P579">
        <v>1300</v>
      </c>
      <c r="Q579">
        <v>0</v>
      </c>
      <c r="R579">
        <v>1700</v>
      </c>
      <c r="S579">
        <v>0</v>
      </c>
      <c r="T579">
        <v>400</v>
      </c>
      <c r="U579">
        <v>360000</v>
      </c>
      <c r="V579">
        <v>18018</v>
      </c>
      <c r="W579" t="str">
        <v>0</v>
      </c>
      <c r="X579">
        <v>32940</v>
      </c>
      <c r="Y579">
        <v>45437</v>
      </c>
      <c r="Z579" t="str">
        <v/>
      </c>
      <c r="AA579" t="str">
        <v>技術・人文知識・国際業務</v>
      </c>
      <c r="AB579" t="str">
        <v>509-7201</v>
      </c>
      <c r="AC579" t="str">
        <v>岐阜県恵那市大井町1120-303</v>
      </c>
      <c r="AD579" t="str">
        <v>各務ﾊｲﾂ6A</v>
      </c>
      <c r="AE579">
        <v>44708</v>
      </c>
      <c r="AF579">
        <v>44711</v>
      </c>
      <c r="AG579">
        <v>0</v>
      </c>
      <c r="AH579">
        <v>0</v>
      </c>
      <c r="AI579" t="str">
        <v>22.07.01</v>
      </c>
      <c r="AJ579" t="str">
        <v>グエン　チー　トゥアン</v>
      </c>
      <c r="AK579" t="str">
        <v>ゆうちょ銀行</v>
      </c>
      <c r="AL579">
        <v>248</v>
      </c>
      <c r="AM579" t="str">
        <v>二四八</v>
      </c>
      <c r="AN579" t="str">
        <v>3709440</v>
      </c>
      <c r="AO579" t="str">
        <v>6/6林</v>
      </c>
      <c r="AP579">
        <v>0</v>
      </c>
    </row>
    <row r="580" spans="1:42">
      <c r="A580" t="str">
        <f>H580&amp;COUNTIF($H$2:H580,H580)</f>
        <v>0196</v>
      </c>
      <c r="B580" t="str">
        <f>F580&amp;COUNTIF($F$2:F580,F580)</f>
        <v>ﾌｪﾆﾃｯｸｾﾐｺﾝﾀﾞｸﾀｰ 鹿児島13</v>
      </c>
      <c r="C580" t="str">
        <v>在職中</v>
      </c>
      <c r="D580">
        <v>210315</v>
      </c>
      <c r="E580">
        <v>0</v>
      </c>
      <c r="F580" t="str">
        <v>ﾌｪﾆﾃｯｸｾﾐｺﾝﾀﾞｸﾀｰ 鹿児島</v>
      </c>
      <c r="G580" t="str">
        <v>鹿児島工場　製造部　製造課</v>
      </c>
      <c r="H580">
        <v>0</v>
      </c>
      <c r="I580">
        <v>0</v>
      </c>
      <c r="J580" t="str">
        <v>DAO VAN HOAN</v>
      </c>
      <c r="K580" t="str">
        <v>ダオ　ヴァン　ホアン</v>
      </c>
      <c r="L580" t="str">
        <v>男</v>
      </c>
      <c r="M580" t="str">
        <v>ﾍﾞﾄﾅﾑ</v>
      </c>
      <c r="N580">
        <v>33176</v>
      </c>
      <c r="O580">
        <v>33</v>
      </c>
      <c r="P580">
        <v>1400</v>
      </c>
      <c r="Q580">
        <v>0</v>
      </c>
      <c r="R580">
        <v>2000</v>
      </c>
      <c r="S580" t="str">
        <v>2022/7/1~ 1900円⇒2000円</v>
      </c>
      <c r="T580">
        <v>600</v>
      </c>
      <c r="U580">
        <v>240000</v>
      </c>
      <c r="V580">
        <v>12012</v>
      </c>
      <c r="W580" t="str">
        <v>0</v>
      </c>
      <c r="X580">
        <v>21960</v>
      </c>
      <c r="Y580">
        <v>46165</v>
      </c>
      <c r="Z580" t="str">
        <v/>
      </c>
      <c r="AA580" t="str">
        <v>技術・人文知識・国際業務</v>
      </c>
      <c r="AB580" t="str">
        <v>899-6200</v>
      </c>
      <c r="AC580" t="str">
        <v>鹿児島県姶良郡湧水町木場1214番地1</v>
      </c>
      <c r="AD580" t="str">
        <v>尾鉢第3住宅1号棟</v>
      </c>
      <c r="AE580">
        <v>44711</v>
      </c>
      <c r="AF580">
        <v>44712</v>
      </c>
      <c r="AG580">
        <v>0</v>
      </c>
      <c r="AH580">
        <v>0</v>
      </c>
      <c r="AI580">
        <v>44774</v>
      </c>
      <c r="AJ580">
        <v>0</v>
      </c>
      <c r="AK580">
        <v>0</v>
      </c>
      <c r="AL580">
        <v>0</v>
      </c>
      <c r="AM580">
        <v>0</v>
      </c>
      <c r="AN580">
        <v>0</v>
      </c>
      <c r="AO580" t="str">
        <v>7/8原</v>
      </c>
      <c r="AP580" t="str">
        <v>ﾌｪﾆﾃｯｸ岡山工場　退社　⇒　2022/5/31ﾌｪﾆﾃｯｸ鹿児島へ再入社</v>
      </c>
    </row>
    <row r="581" spans="1:42">
      <c r="A581" t="str">
        <f>H581&amp;COUNTIF($H$2:H581,H581)</f>
        <v>0197</v>
      </c>
      <c r="B581" t="str">
        <f>F581&amp;COUNTIF($F$2:F581,F581)</f>
        <v>ﾌｪﾆﾃｯｸｾﾐｺﾝﾀﾞｸﾀｰ 鹿児島14</v>
      </c>
      <c r="C581" t="str">
        <v>在職中</v>
      </c>
      <c r="D581">
        <v>220526</v>
      </c>
      <c r="E581">
        <v>0</v>
      </c>
      <c r="F581" t="str">
        <v>ﾌｪﾆﾃｯｸｾﾐｺﾝﾀﾞｸﾀｰ 鹿児島</v>
      </c>
      <c r="G581" t="str">
        <v>鹿児島工場　製造部　製造課</v>
      </c>
      <c r="H581">
        <v>0</v>
      </c>
      <c r="I581">
        <v>0</v>
      </c>
      <c r="J581" t="str">
        <v>DANG THANH SON</v>
      </c>
      <c r="K581" t="str">
        <v>ダン　タン　ソン</v>
      </c>
      <c r="L581" t="str">
        <v>男</v>
      </c>
      <c r="M581" t="str">
        <v>ﾍﾞﾄﾅﾑ</v>
      </c>
      <c r="N581">
        <v>34688</v>
      </c>
      <c r="O581">
        <v>28</v>
      </c>
      <c r="P581">
        <v>1400</v>
      </c>
      <c r="Q581">
        <v>0</v>
      </c>
      <c r="R581">
        <v>2000</v>
      </c>
      <c r="S581" t="str">
        <v>2022/7/1~ 1900円⇒2000円</v>
      </c>
      <c r="T581">
        <v>600</v>
      </c>
      <c r="U581">
        <v>220000</v>
      </c>
      <c r="V581">
        <v>11011</v>
      </c>
      <c r="W581" t="str">
        <v>0</v>
      </c>
      <c r="X581">
        <v>20130</v>
      </c>
      <c r="Y581">
        <v>45682</v>
      </c>
      <c r="Z581" t="str">
        <v/>
      </c>
      <c r="AA581" t="str">
        <v>技術・人文知識・国際業務</v>
      </c>
      <c r="AB581" t="str">
        <v>899-6201</v>
      </c>
      <c r="AC581" t="str">
        <v>鹿児島県姶良郡湧水町木場280-3</v>
      </c>
      <c r="AD581" t="str">
        <v>宮前ﾂｲﾝﾊｲﾂA101</v>
      </c>
      <c r="AE581">
        <v>44711</v>
      </c>
      <c r="AF581">
        <v>44712</v>
      </c>
      <c r="AG581">
        <v>0</v>
      </c>
      <c r="AH581">
        <v>0</v>
      </c>
      <c r="AI581" t="str">
        <v>22.07.01</v>
      </c>
      <c r="AJ581">
        <v>0</v>
      </c>
      <c r="AK581">
        <v>0</v>
      </c>
      <c r="AL581">
        <v>0</v>
      </c>
      <c r="AM581">
        <v>0</v>
      </c>
      <c r="AN581">
        <v>0</v>
      </c>
      <c r="AO581" t="str">
        <v>6/6林</v>
      </c>
      <c r="AP581">
        <v>0</v>
      </c>
    </row>
    <row r="582" spans="1:42">
      <c r="A582" t="str">
        <f>H582&amp;COUNTIF($H$2:H582,H582)</f>
        <v>0198</v>
      </c>
      <c r="B582" t="str">
        <f>F582&amp;COUNTIF($F$2:F582,F582)</f>
        <v>PATEC14</v>
      </c>
      <c r="C582" t="str">
        <v>在職中</v>
      </c>
      <c r="D582">
        <v>220611</v>
      </c>
      <c r="E582">
        <v>0</v>
      </c>
      <c r="F582" t="str">
        <v>PATEC</v>
      </c>
      <c r="G582" t="str">
        <v>製造部機械加工課</v>
      </c>
      <c r="H582">
        <v>0</v>
      </c>
      <c r="I582">
        <v>0</v>
      </c>
      <c r="J582" t="str">
        <v>NGUYEN VAN TRUONG</v>
      </c>
      <c r="K582" t="str">
        <v>グエン　バン　チュオン</v>
      </c>
      <c r="L582" t="str">
        <v>男</v>
      </c>
      <c r="M582" t="str">
        <v>ﾍﾞﾄﾅﾑ</v>
      </c>
      <c r="N582">
        <v>33147</v>
      </c>
      <c r="O582">
        <v>33</v>
      </c>
      <c r="P582">
        <v>1500</v>
      </c>
      <c r="Q582">
        <v>0</v>
      </c>
      <c r="R582">
        <v>2000</v>
      </c>
      <c r="S582">
        <v>0</v>
      </c>
      <c r="T582">
        <v>500</v>
      </c>
      <c r="U582">
        <v>340000</v>
      </c>
      <c r="V582">
        <v>17017</v>
      </c>
      <c r="W582" t="str">
        <v>0</v>
      </c>
      <c r="X582">
        <v>31110</v>
      </c>
      <c r="Y582">
        <v>45703</v>
      </c>
      <c r="Z582" t="str">
        <v/>
      </c>
      <c r="AA582" t="str">
        <v>技術・人文知識・国際業務</v>
      </c>
      <c r="AB582" t="str">
        <v>747-0834</v>
      </c>
      <c r="AC582" t="str">
        <v>山口県別府市大字田島545-2</v>
      </c>
      <c r="AD582" t="str">
        <v>ﾋﾞﾚｯｼﾞﾊｳｽ2棟401</v>
      </c>
      <c r="AE582" t="str">
        <v>個人</v>
      </c>
      <c r="AF582">
        <v>44725</v>
      </c>
      <c r="AG582">
        <v>0</v>
      </c>
      <c r="AH582">
        <v>44864</v>
      </c>
      <c r="AI582" t="str">
        <v>22.08.01</v>
      </c>
      <c r="AJ582">
        <v>0</v>
      </c>
      <c r="AK582">
        <v>0</v>
      </c>
      <c r="AL582">
        <v>0</v>
      </c>
      <c r="AM582">
        <v>0</v>
      </c>
      <c r="AN582">
        <v>0</v>
      </c>
      <c r="AO582" t="str">
        <v>6/22林</v>
      </c>
      <c r="AP582">
        <v>0</v>
      </c>
    </row>
    <row r="583" spans="1:42">
      <c r="A583" t="str">
        <f>H583&amp;COUNTIF($H$2:H583,H583)</f>
        <v>CVJ11</v>
      </c>
      <c r="B583" t="str">
        <f>F583&amp;COUNTIF($F$2:F583,F583)</f>
        <v>瑞陵精機18</v>
      </c>
      <c r="C583" t="str">
        <v>退社</v>
      </c>
      <c r="D583">
        <v>220608</v>
      </c>
      <c r="E583">
        <v>0</v>
      </c>
      <c r="F583" t="str">
        <v>瑞陵精機</v>
      </c>
      <c r="G583" t="str">
        <v>製造1課</v>
      </c>
      <c r="H583" t="str">
        <v>CVJ</v>
      </c>
      <c r="I583">
        <v>0</v>
      </c>
      <c r="J583" t="str">
        <v>VO QUY HOAN</v>
      </c>
      <c r="K583" t="str">
        <v>ヴォ　クイ　ホアン</v>
      </c>
      <c r="L583" t="str">
        <v>男</v>
      </c>
      <c r="M583" t="str">
        <v>ﾍﾞﾄﾅﾑ</v>
      </c>
      <c r="N583">
        <v>33071</v>
      </c>
      <c r="O583">
        <v>33</v>
      </c>
      <c r="P583">
        <v>1200</v>
      </c>
      <c r="Q583">
        <v>0</v>
      </c>
      <c r="R583">
        <v>1700</v>
      </c>
      <c r="S583">
        <v>0</v>
      </c>
      <c r="T583">
        <v>500</v>
      </c>
      <c r="U583">
        <v>0</v>
      </c>
      <c r="V583" t="str">
        <v/>
      </c>
      <c r="W583" t="str">
        <v>0</v>
      </c>
      <c r="X583" t="str">
        <v/>
      </c>
      <c r="Y583">
        <v>45081</v>
      </c>
      <c r="Z583" t="str">
        <v>残り期限90日!</v>
      </c>
      <c r="AA583" t="str">
        <v>技術・人文知識・国際業務</v>
      </c>
      <c r="AB583" t="str">
        <v>509-7201</v>
      </c>
      <c r="AC583" t="str">
        <v>岐阜県恵那市大井町1120-303</v>
      </c>
      <c r="AD583" t="str">
        <v>各務ﾊｲﾂ2D</v>
      </c>
      <c r="AE583">
        <v>44719</v>
      </c>
      <c r="AF583">
        <v>44725</v>
      </c>
      <c r="AG583">
        <v>44862</v>
      </c>
      <c r="AH583">
        <v>0</v>
      </c>
      <c r="AI583" t="str">
        <v>22.08.01</v>
      </c>
      <c r="AJ583" t="str">
        <v>ヴォ　クイ　ホアン</v>
      </c>
      <c r="AK583" t="str">
        <v>ゆうちょ銀行</v>
      </c>
      <c r="AL583">
        <v>248</v>
      </c>
      <c r="AM583" t="str">
        <v>二四八</v>
      </c>
      <c r="AN583" t="str">
        <v>3709651</v>
      </c>
      <c r="AO583" t="str">
        <v>7/14林</v>
      </c>
      <c r="AP583">
        <v>0</v>
      </c>
    </row>
    <row r="584" spans="1:42">
      <c r="A584" t="str">
        <f>H584&amp;COUNTIF($H$2:H584,H584)</f>
        <v>0199</v>
      </c>
      <c r="B584" t="str">
        <f>F584&amp;COUNTIF($F$2:F584,F584)</f>
        <v>ワーク 岡山2</v>
      </c>
      <c r="C584" t="str">
        <v>退社</v>
      </c>
      <c r="D584">
        <v>220610</v>
      </c>
      <c r="E584">
        <v>0</v>
      </c>
      <c r="F584" t="str">
        <v>ワーク 岡山</v>
      </c>
      <c r="G584" t="str">
        <v>岡山第２工場</v>
      </c>
      <c r="H584">
        <v>0</v>
      </c>
      <c r="I584">
        <v>0</v>
      </c>
      <c r="J584" t="str">
        <v>VU DINH DUONG</v>
      </c>
      <c r="K584" t="str">
        <v>ヴー　ディン　ズオン</v>
      </c>
      <c r="L584" t="str">
        <v>男</v>
      </c>
      <c r="M584" t="str">
        <v>ﾍﾞﾄﾅﾑ</v>
      </c>
      <c r="N584">
        <v>30761</v>
      </c>
      <c r="O584">
        <v>39</v>
      </c>
      <c r="P584">
        <v>1500</v>
      </c>
      <c r="Q584">
        <v>0</v>
      </c>
      <c r="R584">
        <v>1900</v>
      </c>
      <c r="S584">
        <v>0</v>
      </c>
      <c r="T584">
        <v>400</v>
      </c>
      <c r="U584">
        <v>260000</v>
      </c>
      <c r="V584">
        <v>13013</v>
      </c>
      <c r="W584" t="str">
        <v>0</v>
      </c>
      <c r="X584">
        <v>23790</v>
      </c>
      <c r="Y584">
        <v>45701</v>
      </c>
      <c r="Z584" t="str">
        <v/>
      </c>
      <c r="AA584" t="str">
        <v>技術・人文知識・国際業務</v>
      </c>
      <c r="AB584" t="str">
        <v>709-4222</v>
      </c>
      <c r="AC584" t="str">
        <v>岡山県美作市岩辺493-10</v>
      </c>
      <c r="AD584" t="str">
        <v>岩辺借家</v>
      </c>
      <c r="AE584">
        <v>44722</v>
      </c>
      <c r="AF584">
        <v>44725</v>
      </c>
      <c r="AG584">
        <v>45219</v>
      </c>
      <c r="AH584">
        <v>0</v>
      </c>
      <c r="AI584" t="str">
        <v>22.08.01</v>
      </c>
      <c r="AJ584" t="str">
        <v>ヴー　デイン　ズオン</v>
      </c>
      <c r="AK584" t="str">
        <v>ゆうちょ銀行</v>
      </c>
      <c r="AL584">
        <v>548</v>
      </c>
      <c r="AM584" t="str">
        <v>五四八</v>
      </c>
      <c r="AN584" t="str">
        <v>4067565</v>
      </c>
      <c r="AO584" t="str">
        <v>7/14林</v>
      </c>
      <c r="AP584">
        <v>0</v>
      </c>
    </row>
    <row r="585" spans="1:42">
      <c r="A585" t="str">
        <f>H585&amp;COUNTIF($H$2:H585,H585)</f>
        <v>0200</v>
      </c>
      <c r="B585" t="str">
        <f>F585&amp;COUNTIF($F$2:F585,F585)</f>
        <v>ワーク 堺7</v>
      </c>
      <c r="C585" t="str">
        <v>退社</v>
      </c>
      <c r="D585">
        <v>220615</v>
      </c>
      <c r="E585">
        <v>0</v>
      </c>
      <c r="F585" t="str">
        <v>ワーク 堺</v>
      </c>
      <c r="G585" t="str">
        <v>堺工場　製造部</v>
      </c>
      <c r="H585">
        <v>0</v>
      </c>
      <c r="I585">
        <v>0</v>
      </c>
      <c r="J585" t="str">
        <v>PHAM DINH TUAN</v>
      </c>
      <c r="K585" t="str">
        <v>ファム　ディン　トウン</v>
      </c>
      <c r="L585" t="str">
        <v>男</v>
      </c>
      <c r="M585" t="str">
        <v>ﾍﾞﾄﾅﾑ</v>
      </c>
      <c r="N585">
        <v>33279</v>
      </c>
      <c r="O585">
        <v>32</v>
      </c>
      <c r="P585">
        <v>1400</v>
      </c>
      <c r="Q585">
        <v>0</v>
      </c>
      <c r="R585">
        <v>1900</v>
      </c>
      <c r="S585">
        <v>0</v>
      </c>
      <c r="T585">
        <v>500</v>
      </c>
      <c r="U585">
        <v>180000</v>
      </c>
      <c r="V585">
        <v>9009</v>
      </c>
      <c r="W585" t="str">
        <v>0</v>
      </c>
      <c r="X585">
        <v>16470</v>
      </c>
      <c r="Y585">
        <v>44978</v>
      </c>
      <c r="Z585" t="str">
        <v>残り期限90日!</v>
      </c>
      <c r="AA585" t="str">
        <v>技術・人文知識・国際業務</v>
      </c>
      <c r="AB585" t="str">
        <v>559-0004</v>
      </c>
      <c r="AC585" t="str">
        <v>大阪府大阪市住之江区住之江3-3-21</v>
      </c>
      <c r="AD585" t="str">
        <v>ｻﾝﾗｲﾌ住之江101</v>
      </c>
      <c r="AE585">
        <v>44726</v>
      </c>
      <c r="AF585">
        <v>44727</v>
      </c>
      <c r="AG585">
        <v>45044</v>
      </c>
      <c r="AH585">
        <v>0</v>
      </c>
      <c r="AI585" t="str">
        <v>22.08.01</v>
      </c>
      <c r="AJ585" t="str">
        <v>ファム　デイン　トウン</v>
      </c>
      <c r="AK585" t="str">
        <v>ゆうちょ銀行</v>
      </c>
      <c r="AL585">
        <v>98</v>
      </c>
      <c r="AM585" t="str">
        <v>〇九八</v>
      </c>
      <c r="AN585" t="str">
        <v>1285143</v>
      </c>
      <c r="AO585" t="str">
        <v>6/22林</v>
      </c>
      <c r="AP585">
        <v>0</v>
      </c>
    </row>
    <row r="586" spans="1:42">
      <c r="A586" t="str">
        <f>H586&amp;COUNTIF($H$2:H586,H586)</f>
        <v>0201</v>
      </c>
      <c r="B586" t="str">
        <f>F586&amp;COUNTIF($F$2:F586,F586)</f>
        <v>ﾌｪﾆﾃｯｸｾﾐｺﾝﾀﾞｸﾀｰ 鹿児島15</v>
      </c>
      <c r="C586" t="str">
        <v>退社</v>
      </c>
      <c r="D586">
        <v>210704</v>
      </c>
      <c r="E586">
        <v>0</v>
      </c>
      <c r="F586" t="str">
        <v>ﾌｪﾆﾃｯｸｾﾐｺﾝﾀﾞｸﾀｰ 鹿児島</v>
      </c>
      <c r="G586" t="str">
        <v>鹿児島工場　製造部　製造課</v>
      </c>
      <c r="H586">
        <v>0</v>
      </c>
      <c r="I586">
        <v>0</v>
      </c>
      <c r="J586" t="str">
        <v>NGUYEN VAN HAO</v>
      </c>
      <c r="K586" t="str">
        <v>グエン　ヴァン　ハオ</v>
      </c>
      <c r="L586" t="str">
        <v>男</v>
      </c>
      <c r="M586" t="str">
        <v>ﾍﾞﾄﾅﾑ</v>
      </c>
      <c r="N586">
        <v>34208</v>
      </c>
      <c r="O586">
        <v>30</v>
      </c>
      <c r="P586">
        <v>1400</v>
      </c>
      <c r="Q586">
        <v>0</v>
      </c>
      <c r="R586">
        <v>2000</v>
      </c>
      <c r="S586">
        <v>0</v>
      </c>
      <c r="T586">
        <v>600</v>
      </c>
      <c r="U586">
        <v>180000</v>
      </c>
      <c r="V586">
        <v>9009</v>
      </c>
      <c r="W586" t="str">
        <v>0</v>
      </c>
      <c r="X586">
        <v>16470</v>
      </c>
      <c r="Y586">
        <v>45492</v>
      </c>
      <c r="Z586" t="str">
        <v/>
      </c>
      <c r="AA586" t="str">
        <v>技術・人文知識・国際業務</v>
      </c>
      <c r="AB586" t="str">
        <v>899-6200</v>
      </c>
      <c r="AC586" t="str">
        <v>鹿児島県姶良郡湧水町木場1214番地1</v>
      </c>
      <c r="AD586" t="str">
        <v>尾鉢第3住宅2号棟</v>
      </c>
      <c r="AE586">
        <v>0</v>
      </c>
      <c r="AF586">
        <v>44732</v>
      </c>
      <c r="AG586">
        <v>45029</v>
      </c>
      <c r="AH586">
        <v>0</v>
      </c>
      <c r="AI586" t="str">
        <v>22.08.01</v>
      </c>
      <c r="AJ586" t="str">
        <v>グエン　バン　ホア</v>
      </c>
      <c r="AK586" t="str">
        <v>ゆうちょ銀行</v>
      </c>
      <c r="AL586">
        <v>438</v>
      </c>
      <c r="AM586" t="str">
        <v>四三八</v>
      </c>
      <c r="AN586" t="str">
        <v>9649179</v>
      </c>
      <c r="AO586" t="str">
        <v>7/14林</v>
      </c>
      <c r="AP586">
        <v>0</v>
      </c>
    </row>
    <row r="587" spans="1:42">
      <c r="A587" t="str">
        <f>H587&amp;COUNTIF($H$2:H587,H587)</f>
        <v>0202</v>
      </c>
      <c r="B587" t="str">
        <f>F587&amp;COUNTIF($F$2:F587,F587)</f>
        <v>PATEC15</v>
      </c>
      <c r="C587" t="str">
        <v>在職中</v>
      </c>
      <c r="D587">
        <v>220616</v>
      </c>
      <c r="E587">
        <v>0</v>
      </c>
      <c r="F587" t="str">
        <v>PATEC</v>
      </c>
      <c r="G587" t="str">
        <v>製造部素材課</v>
      </c>
      <c r="H587">
        <v>0</v>
      </c>
      <c r="I587">
        <v>0</v>
      </c>
      <c r="J587" t="str">
        <v>DUONG VAN NGHIA</v>
      </c>
      <c r="K587" t="str">
        <v>ズオン　ヴァン　ギア</v>
      </c>
      <c r="L587" t="str">
        <v>男</v>
      </c>
      <c r="M587" t="str">
        <v>ﾍﾞﾄﾅﾑ</v>
      </c>
      <c r="N587">
        <v>32696</v>
      </c>
      <c r="O587">
        <v>34</v>
      </c>
      <c r="P587">
        <v>1500</v>
      </c>
      <c r="Q587" t="str">
        <v>半年後UPなし</v>
      </c>
      <c r="R587">
        <v>2000</v>
      </c>
      <c r="S587">
        <v>0</v>
      </c>
      <c r="T587">
        <v>500</v>
      </c>
      <c r="U587">
        <v>320000</v>
      </c>
      <c r="V587">
        <v>16015.999999999998</v>
      </c>
      <c r="W587" t="str">
        <v>0</v>
      </c>
      <c r="X587">
        <v>29280</v>
      </c>
      <c r="Y587">
        <v>45280</v>
      </c>
      <c r="Z587" t="str">
        <v>残り期限90日!</v>
      </c>
      <c r="AA587" t="str">
        <v>技術・人文知識・国際業務</v>
      </c>
      <c r="AB587" t="str">
        <v>747-0833</v>
      </c>
      <c r="AC587" t="str">
        <v>山口県防府市大字浜方716-15</v>
      </c>
      <c r="AD587" t="str">
        <v>ｱﾙｿｰﾚC201</v>
      </c>
      <c r="AE587">
        <v>44735</v>
      </c>
      <c r="AF587">
        <v>44735</v>
      </c>
      <c r="AG587">
        <v>0</v>
      </c>
      <c r="AH587">
        <v>0</v>
      </c>
      <c r="AI587" t="str">
        <v>22.09.01</v>
      </c>
      <c r="AJ587">
        <v>0</v>
      </c>
      <c r="AK587">
        <v>0</v>
      </c>
      <c r="AL587">
        <v>0</v>
      </c>
      <c r="AM587">
        <v>0</v>
      </c>
      <c r="AN587">
        <v>0</v>
      </c>
      <c r="AO587" t="str">
        <v>8/10原</v>
      </c>
      <c r="AP587">
        <v>0</v>
      </c>
    </row>
    <row r="588" spans="1:42">
      <c r="A588" t="str">
        <f>H588&amp;COUNTIF($H$2:H588,H588)</f>
        <v>0203</v>
      </c>
      <c r="B588" t="str">
        <f>F588&amp;COUNTIF($F$2:F588,F588)</f>
        <v>ﾌｪﾆﾃｯｸｾﾐｺﾝﾀﾞｸﾀｰ 鹿児島16</v>
      </c>
      <c r="C588" t="str">
        <v>在職中</v>
      </c>
      <c r="D588">
        <v>220701</v>
      </c>
      <c r="E588">
        <v>0</v>
      </c>
      <c r="F588" t="str">
        <v>ﾌｪﾆﾃｯｸｾﾐｺﾝﾀﾞｸﾀｰ 鹿児島</v>
      </c>
      <c r="G588" t="str">
        <v>鹿児島工場　製造部　製造課</v>
      </c>
      <c r="H588">
        <v>0</v>
      </c>
      <c r="I588">
        <v>0</v>
      </c>
      <c r="J588" t="str">
        <v>NGUYEN VAN VUNG</v>
      </c>
      <c r="K588" t="str">
        <v>グエン　ヴァン　ブン</v>
      </c>
      <c r="L588" t="str">
        <v>男</v>
      </c>
      <c r="M588" t="str">
        <v>ﾍﾞﾄﾅﾑ</v>
      </c>
      <c r="N588">
        <v>35976</v>
      </c>
      <c r="O588">
        <v>25</v>
      </c>
      <c r="P588">
        <v>1400</v>
      </c>
      <c r="Q588">
        <v>0</v>
      </c>
      <c r="R588">
        <v>2000</v>
      </c>
      <c r="S588">
        <v>0</v>
      </c>
      <c r="T588">
        <v>600</v>
      </c>
      <c r="U588">
        <v>260000</v>
      </c>
      <c r="V588">
        <v>13013</v>
      </c>
      <c r="W588" t="str">
        <v>0</v>
      </c>
      <c r="X588">
        <v>23790</v>
      </c>
      <c r="Y588">
        <v>45742</v>
      </c>
      <c r="Z588" t="str">
        <v/>
      </c>
      <c r="AA588" t="str">
        <v>技術・人文知識・国際業務</v>
      </c>
      <c r="AB588" t="str">
        <v>899-6200</v>
      </c>
      <c r="AC588" t="str">
        <v>鹿児島県姶良郡湧水町木場1214番地1</v>
      </c>
      <c r="AD588" t="str">
        <v>尾鉢第3住宅2号棟</v>
      </c>
      <c r="AE588">
        <v>44740</v>
      </c>
      <c r="AF588">
        <v>44743</v>
      </c>
      <c r="AG588">
        <v>0</v>
      </c>
      <c r="AH588">
        <v>0</v>
      </c>
      <c r="AI588" t="str">
        <v>22.09.01</v>
      </c>
      <c r="AJ588" t="str">
        <v>グエン　ヴァン　ブン</v>
      </c>
      <c r="AK588" t="str">
        <v>ゆうちょ銀行</v>
      </c>
      <c r="AL588">
        <v>538</v>
      </c>
      <c r="AM588" t="str">
        <v>五三八</v>
      </c>
      <c r="AN588" t="str">
        <v>1553818</v>
      </c>
      <c r="AO588" t="str">
        <v>8/11林</v>
      </c>
      <c r="AP588">
        <v>0</v>
      </c>
    </row>
    <row r="589" spans="1:42">
      <c r="A589" t="str">
        <f>H589&amp;COUNTIF($H$2:H589,H589)</f>
        <v>成型ライン5</v>
      </c>
      <c r="B589" t="str">
        <f>F589&amp;COUNTIF($F$2:F589,F589)</f>
        <v>ピーエムアイ15</v>
      </c>
      <c r="C589" t="str">
        <v>在職中</v>
      </c>
      <c r="D589">
        <v>220703</v>
      </c>
      <c r="E589">
        <v>0</v>
      </c>
      <c r="F589" t="str">
        <v>ピーエムアイ</v>
      </c>
      <c r="G589" t="str">
        <v>製造1</v>
      </c>
      <c r="H589" t="str">
        <v>成型ライン</v>
      </c>
      <c r="I589" t="str">
        <v>プラスチック製品の製造におけるすべての行為</v>
      </c>
      <c r="J589" t="str">
        <v>DAO THI MIEN</v>
      </c>
      <c r="K589" t="str">
        <v>ダオ　ティ　ミエン</v>
      </c>
      <c r="L589" t="str">
        <v>女</v>
      </c>
      <c r="M589" t="str">
        <v>ﾍﾞﾄﾅﾑ</v>
      </c>
      <c r="N589">
        <v>32814</v>
      </c>
      <c r="O589">
        <v>34</v>
      </c>
      <c r="P589">
        <v>1300</v>
      </c>
      <c r="Q589">
        <v>0</v>
      </c>
      <c r="R589">
        <v>1800</v>
      </c>
      <c r="S589">
        <v>0</v>
      </c>
      <c r="T589">
        <v>500</v>
      </c>
      <c r="U589">
        <v>220000</v>
      </c>
      <c r="V589">
        <v>11011</v>
      </c>
      <c r="W589" t="str">
        <v>0</v>
      </c>
      <c r="X589">
        <v>20130</v>
      </c>
      <c r="Y589">
        <v>45471</v>
      </c>
      <c r="Z589" t="str">
        <v/>
      </c>
      <c r="AA589" t="str">
        <v>技術・人文知識・国際業務</v>
      </c>
      <c r="AB589" t="str">
        <v>471-0805</v>
      </c>
      <c r="AC589" t="str">
        <v>愛知県豊田市美里2-6-9</v>
      </c>
      <c r="AD589" t="str">
        <v>ﾚｼﾞｪﾝﾄﾞK304</v>
      </c>
      <c r="AE589">
        <v>44742</v>
      </c>
      <c r="AF589">
        <v>44743</v>
      </c>
      <c r="AG589">
        <v>0</v>
      </c>
      <c r="AH589">
        <v>0</v>
      </c>
      <c r="AI589" t="str">
        <v>22.09.01</v>
      </c>
      <c r="AJ589" t="str">
        <v>ダオ　ティ　ミエン</v>
      </c>
      <c r="AK589" t="str">
        <v>ゆうちょ銀行</v>
      </c>
      <c r="AL589">
        <v>548</v>
      </c>
      <c r="AM589" t="str">
        <v>五四八</v>
      </c>
      <c r="AN589" t="str">
        <v>3866706</v>
      </c>
      <c r="AO589" t="str">
        <v>8/1林</v>
      </c>
      <c r="AP589" t="str">
        <v>2022/7/1~ﾌｪﾆﾃｯｸ鹿児島　2023/4/6～PMIへ移動、2023/7/8～304へ移動</v>
      </c>
    </row>
    <row r="590" spans="1:42">
      <c r="A590" t="str">
        <f>H590&amp;COUNTIF($H$2:H590,H590)</f>
        <v>等速ジョイント7</v>
      </c>
      <c r="B590" t="str">
        <f>F590&amp;COUNTIF($F$2:F590,F590)</f>
        <v>瑞陵精機19</v>
      </c>
      <c r="C590" t="str">
        <v>在職中</v>
      </c>
      <c r="D590">
        <v>220705</v>
      </c>
      <c r="E590">
        <v>0</v>
      </c>
      <c r="F590" t="str">
        <v>瑞陵精機</v>
      </c>
      <c r="G590" t="str">
        <v>製造課</v>
      </c>
      <c r="H590" t="str">
        <v>等速ジョイント</v>
      </c>
      <c r="I590" t="str">
        <v>ＮＣ旋盤、マシニングセンター等の工作機械を使いオペレーターとして製造ラインで製品を加工</v>
      </c>
      <c r="J590" t="str">
        <v>NGUYEN PHAN BANG</v>
      </c>
      <c r="K590" t="str">
        <v>グエン　ファン　バン</v>
      </c>
      <c r="L590" t="str">
        <v>男</v>
      </c>
      <c r="M590" t="str">
        <v>ﾍﾞﾄﾅﾑ</v>
      </c>
      <c r="N590">
        <v>35856</v>
      </c>
      <c r="O590">
        <v>25</v>
      </c>
      <c r="P590">
        <v>1310</v>
      </c>
      <c r="Q590">
        <v>0</v>
      </c>
      <c r="R590">
        <v>1700</v>
      </c>
      <c r="S590">
        <v>0</v>
      </c>
      <c r="T590">
        <v>390</v>
      </c>
      <c r="U590">
        <v>340000</v>
      </c>
      <c r="V590">
        <v>17017</v>
      </c>
      <c r="W590" t="str">
        <v>0</v>
      </c>
      <c r="X590">
        <v>31110</v>
      </c>
      <c r="Y590">
        <v>45459</v>
      </c>
      <c r="Z590" t="str">
        <v/>
      </c>
      <c r="AA590" t="str">
        <v>技術・人文知識・国際業務</v>
      </c>
      <c r="AB590" t="str">
        <v>509-7201</v>
      </c>
      <c r="AC590" t="str">
        <v>岐阜県恵那市大井町1120-303</v>
      </c>
      <c r="AD590" t="str">
        <v>各務ﾊｲﾂ4H</v>
      </c>
      <c r="AE590">
        <v>44750</v>
      </c>
      <c r="AF590">
        <v>44753</v>
      </c>
      <c r="AG590">
        <v>0</v>
      </c>
      <c r="AH590">
        <v>0</v>
      </c>
      <c r="AI590" t="str">
        <v>22.09.01</v>
      </c>
      <c r="AJ590" t="str">
        <v>グエン　ファン　バン</v>
      </c>
      <c r="AK590" t="str">
        <v>ゆうちょ銀行</v>
      </c>
      <c r="AL590">
        <v>0</v>
      </c>
      <c r="AM590">
        <v>0</v>
      </c>
      <c r="AN590" t="str">
        <v>15400　3996663</v>
      </c>
      <c r="AO590" t="str">
        <v>7/14林</v>
      </c>
      <c r="AP590" t="str">
        <v>6/15~請負入社異動</v>
      </c>
    </row>
    <row r="591" spans="1:42">
      <c r="A591" t="str">
        <f>H591&amp;COUNTIF($H$2:H591,H591)</f>
        <v>0204</v>
      </c>
      <c r="B591" t="str">
        <f>F591&amp;COUNTIF($F$2:F591,F591)</f>
        <v>ﾌｪﾆﾃｯｸｾﾐｺﾝﾀﾞｸﾀｰ 鹿児島17</v>
      </c>
      <c r="C591" t="str">
        <v>在職中</v>
      </c>
      <c r="D591">
        <v>210422</v>
      </c>
      <c r="E591">
        <v>0</v>
      </c>
      <c r="F591" t="str">
        <v>ﾌｪﾆﾃｯｸｾﾐｺﾝﾀﾞｸﾀｰ 鹿児島</v>
      </c>
      <c r="G591">
        <v>0</v>
      </c>
      <c r="H591">
        <v>0</v>
      </c>
      <c r="I591">
        <v>0</v>
      </c>
      <c r="J591" t="str">
        <v>TRAN DINH VINH</v>
      </c>
      <c r="K591" t="str">
        <v>チャン　ディン　ヴィン</v>
      </c>
      <c r="L591" t="str">
        <v>男</v>
      </c>
      <c r="M591" t="str">
        <v>ﾍﾞﾄﾅﾑ</v>
      </c>
      <c r="N591">
        <v>32470</v>
      </c>
      <c r="O591">
        <v>35</v>
      </c>
      <c r="P591">
        <v>1400</v>
      </c>
      <c r="Q591">
        <v>0</v>
      </c>
      <c r="R591">
        <v>2000</v>
      </c>
      <c r="S591">
        <v>0</v>
      </c>
      <c r="T591">
        <v>600</v>
      </c>
      <c r="U591">
        <v>260000</v>
      </c>
      <c r="V591">
        <v>13013</v>
      </c>
      <c r="W591" t="str">
        <v>0</v>
      </c>
      <c r="X591">
        <v>23790</v>
      </c>
      <c r="Y591">
        <v>45431</v>
      </c>
      <c r="Z591" t="str">
        <v/>
      </c>
      <c r="AA591" t="str">
        <v>技術・人文知識・国際業務</v>
      </c>
      <c r="AB591" t="str">
        <v>899-6200</v>
      </c>
      <c r="AC591" t="str">
        <v>鹿児島県姶良郡湧水町木場1214番地1</v>
      </c>
      <c r="AD591" t="str">
        <v>尾鉢第3住宅1号棟</v>
      </c>
      <c r="AE591">
        <v>44756</v>
      </c>
      <c r="AF591">
        <v>44761</v>
      </c>
      <c r="AG591">
        <v>0</v>
      </c>
      <c r="AH591">
        <v>0</v>
      </c>
      <c r="AI591" t="str">
        <v>22.10.01</v>
      </c>
      <c r="AJ591" t="str">
        <v>チヤン　デイン ヴイン</v>
      </c>
      <c r="AK591" t="str">
        <v>ゆうちょ銀行</v>
      </c>
      <c r="AL591">
        <v>318</v>
      </c>
      <c r="AM591" t="str">
        <v>三一八</v>
      </c>
      <c r="AN591" t="str">
        <v>1789662</v>
      </c>
      <c r="AO591" t="str">
        <v>8/3原</v>
      </c>
      <c r="AP591">
        <v>0</v>
      </c>
    </row>
    <row r="592" spans="1:42">
      <c r="A592" t="str">
        <f>H592&amp;COUNTIF($H$2:H592,H592)</f>
        <v>等速ジョイント8</v>
      </c>
      <c r="B592" t="str">
        <f>F592&amp;COUNTIF($F$2:F592,F592)</f>
        <v>瑞陵精機20</v>
      </c>
      <c r="C592" t="str">
        <v>在職中</v>
      </c>
      <c r="D592">
        <v>220718</v>
      </c>
      <c r="E592">
        <v>0</v>
      </c>
      <c r="F592" t="str">
        <v>瑞陵精機</v>
      </c>
      <c r="G592" t="str">
        <v>製造課</v>
      </c>
      <c r="H592" t="str">
        <v>等速ジョイント</v>
      </c>
      <c r="I592" t="str">
        <v>ＮＣ旋盤、マシニングセンター等の工作機械を使いオペレーターとして製造ラインで製品を加工</v>
      </c>
      <c r="J592" t="str">
        <v>VU DUC QUOC DAT</v>
      </c>
      <c r="K592" t="str">
        <v>ヴー　ドウック　クオック　ダット</v>
      </c>
      <c r="L592" t="str">
        <v>男</v>
      </c>
      <c r="M592" t="str">
        <v>ﾍﾞﾄﾅﾑ</v>
      </c>
      <c r="N592">
        <v>35707</v>
      </c>
      <c r="O592">
        <v>26</v>
      </c>
      <c r="P592">
        <v>1300</v>
      </c>
      <c r="Q592">
        <v>0</v>
      </c>
      <c r="R592">
        <v>1700</v>
      </c>
      <c r="S592">
        <v>0</v>
      </c>
      <c r="T592">
        <v>400</v>
      </c>
      <c r="U592">
        <v>340000</v>
      </c>
      <c r="V592">
        <v>17017</v>
      </c>
      <c r="W592" t="str">
        <v>0</v>
      </c>
      <c r="X592">
        <v>31110</v>
      </c>
      <c r="Y592">
        <v>45459</v>
      </c>
      <c r="Z592" t="str">
        <v/>
      </c>
      <c r="AA592" t="str">
        <v>技術・人文知識・国際業務</v>
      </c>
      <c r="AB592" t="str">
        <v>509-7201</v>
      </c>
      <c r="AC592" t="str">
        <v>岐阜県恵那市大井町1120-303</v>
      </c>
      <c r="AD592" t="str">
        <v>各務ﾊｲﾂ6A</v>
      </c>
      <c r="AE592">
        <v>44773</v>
      </c>
      <c r="AF592">
        <v>44767</v>
      </c>
      <c r="AG592">
        <v>0</v>
      </c>
      <c r="AH592">
        <v>0</v>
      </c>
      <c r="AI592" t="str">
        <v>22.08.01</v>
      </c>
      <c r="AJ592" t="str">
        <v>ヴー　ドゥック　クオック　ダット</v>
      </c>
      <c r="AK592" t="str">
        <v>ゆうちょ銀行</v>
      </c>
      <c r="AL592">
        <v>548</v>
      </c>
      <c r="AM592" t="str">
        <v>五四八</v>
      </c>
      <c r="AN592" t="str">
        <v>3884081</v>
      </c>
      <c r="AO592" t="str">
        <v>8/1原</v>
      </c>
      <c r="AP592" t="str">
        <v>請負(22/7/20まで)より異動。7/22～各務ハイツ４Hから６Aへ転入</v>
      </c>
    </row>
    <row r="593" spans="1:42">
      <c r="A593" t="str">
        <f>H593&amp;COUNTIF($H$2:H593,H593)</f>
        <v>旋盤ライン17</v>
      </c>
      <c r="B593" t="str">
        <f>F593&amp;COUNTIF($F$2:F593,F593)</f>
        <v>川原鉄工所17</v>
      </c>
      <c r="C593" t="str">
        <v>退社</v>
      </c>
      <c r="D593">
        <v>220719</v>
      </c>
      <c r="E593">
        <v>0</v>
      </c>
      <c r="F593" t="str">
        <v>川原鉄工所</v>
      </c>
      <c r="G593" t="str">
        <v>製造部</v>
      </c>
      <c r="H593" t="str">
        <v>旋盤ライン</v>
      </c>
      <c r="I593" t="str">
        <v>ATミッション部品をはじめとする、各種自動車部品の製造</v>
      </c>
      <c r="J593" t="str">
        <v>VO VAN THA</v>
      </c>
      <c r="K593" t="str">
        <v>ヴォー　ヴァン　ター</v>
      </c>
      <c r="L593" t="str">
        <v>男</v>
      </c>
      <c r="M593" t="str">
        <v>ﾍﾞﾄﾅﾑ</v>
      </c>
      <c r="N593">
        <v>30453</v>
      </c>
      <c r="O593">
        <v>40</v>
      </c>
      <c r="P593">
        <v>1300</v>
      </c>
      <c r="Q593">
        <v>0</v>
      </c>
      <c r="R593">
        <v>1650</v>
      </c>
      <c r="S593">
        <v>0</v>
      </c>
      <c r="T593">
        <v>350</v>
      </c>
      <c r="U593">
        <v>180000</v>
      </c>
      <c r="V593">
        <v>9009</v>
      </c>
      <c r="W593">
        <v>1637.9999999999982</v>
      </c>
      <c r="X593">
        <v>16470</v>
      </c>
      <c r="Y593">
        <v>45254</v>
      </c>
      <c r="Z593" t="str">
        <v>残り期限90日!</v>
      </c>
      <c r="AA593" t="str">
        <v>技術・人文知識・国際業務</v>
      </c>
      <c r="AB593" t="str">
        <v>454-0996</v>
      </c>
      <c r="AC593" t="str">
        <v>愛知県名古屋市中川区伏屋4丁目1501番地</v>
      </c>
      <c r="AD593" t="str">
        <v>中伏屋荘T-4棟204号</v>
      </c>
      <c r="AE593" t="str">
        <v>個人</v>
      </c>
      <c r="AF593">
        <v>44770</v>
      </c>
      <c r="AG593">
        <v>45042</v>
      </c>
      <c r="AH593">
        <v>0</v>
      </c>
      <c r="AI593" t="str">
        <v>22.08.01</v>
      </c>
      <c r="AJ593">
        <v>0</v>
      </c>
      <c r="AK593">
        <v>0</v>
      </c>
      <c r="AL593">
        <v>0</v>
      </c>
      <c r="AM593">
        <v>0</v>
      </c>
      <c r="AN593">
        <v>0</v>
      </c>
      <c r="AO593" t="str">
        <v>8/4中山</v>
      </c>
      <c r="AP593">
        <v>0</v>
      </c>
    </row>
    <row r="594" spans="1:42">
      <c r="A594" t="str">
        <f>H594&amp;COUNTIF($H$2:H594,H594)</f>
        <v>0205</v>
      </c>
      <c r="B594" t="str">
        <f>F594&amp;COUNTIF($F$2:F594,F594)</f>
        <v>PATEC16</v>
      </c>
      <c r="C594" t="str">
        <v>在職中</v>
      </c>
      <c r="D594">
        <v>220801</v>
      </c>
      <c r="E594">
        <v>0</v>
      </c>
      <c r="F594" t="str">
        <v>PATEC</v>
      </c>
      <c r="G594" t="str">
        <v>製造部素材課</v>
      </c>
      <c r="H594">
        <v>0</v>
      </c>
      <c r="I594">
        <v>0</v>
      </c>
      <c r="J594" t="str">
        <v>NGUYEN VAN HOA</v>
      </c>
      <c r="K594" t="str">
        <v>グエン　ヴァン　ホア</v>
      </c>
      <c r="L594" t="str">
        <v>男</v>
      </c>
      <c r="M594" t="str">
        <v>ﾍﾞﾄﾅﾑ</v>
      </c>
      <c r="N594">
        <v>35041</v>
      </c>
      <c r="O594">
        <v>28</v>
      </c>
      <c r="P594">
        <v>1600</v>
      </c>
      <c r="Q594">
        <v>0</v>
      </c>
      <c r="R594">
        <v>2100</v>
      </c>
      <c r="S594">
        <v>0</v>
      </c>
      <c r="T594">
        <v>500</v>
      </c>
      <c r="U594">
        <v>410000</v>
      </c>
      <c r="V594">
        <v>20520.5</v>
      </c>
      <c r="W594" t="str">
        <v>0</v>
      </c>
      <c r="X594">
        <v>37515</v>
      </c>
      <c r="Y594">
        <v>45556</v>
      </c>
      <c r="Z594" t="str">
        <v/>
      </c>
      <c r="AA594" t="str">
        <v>技術・人文知識・国際業務</v>
      </c>
      <c r="AB594" t="str">
        <v>747-0834</v>
      </c>
      <c r="AC594" t="str">
        <v>山口県防府市大字田島1510－5</v>
      </c>
      <c r="AD594" t="str">
        <v>ｱﾒﾆﾃｨﾊｲﾂ田島203</v>
      </c>
      <c r="AE594">
        <v>44943</v>
      </c>
      <c r="AF594">
        <v>44775</v>
      </c>
      <c r="AG594">
        <v>0</v>
      </c>
      <c r="AH594">
        <v>0</v>
      </c>
      <c r="AI594" t="str">
        <v>22.10.01</v>
      </c>
      <c r="AJ594" t="str">
        <v>グエン　ヴアン　ホア</v>
      </c>
      <c r="AK594" t="str">
        <v>ゆうちょ銀行</v>
      </c>
      <c r="AL594">
        <v>558</v>
      </c>
      <c r="AM594" t="str">
        <v>五五八</v>
      </c>
      <c r="AN594" t="str">
        <v>3175164</v>
      </c>
      <c r="AO594" t="str">
        <v>9/7林</v>
      </c>
      <c r="AP594">
        <v>0</v>
      </c>
    </row>
    <row r="595" spans="1:42">
      <c r="A595" t="str">
        <f>H595&amp;COUNTIF($H$2:H595,H595)</f>
        <v>成型ライン6</v>
      </c>
      <c r="B595" t="str">
        <f>F595&amp;COUNTIF($F$2:F595,F595)</f>
        <v>ピーエムアイ16</v>
      </c>
      <c r="C595" t="str">
        <v>在職中</v>
      </c>
      <c r="D595">
        <v>220803</v>
      </c>
      <c r="E595">
        <v>0</v>
      </c>
      <c r="F595" t="str">
        <v>ピーエムアイ</v>
      </c>
      <c r="G595" t="str">
        <v>製造1</v>
      </c>
      <c r="H595" t="str">
        <v>成型ライン</v>
      </c>
      <c r="I595" t="str">
        <v>プラスチック製品の製造におけるすべての行為</v>
      </c>
      <c r="J595" t="str">
        <v>NGUYEN THI HANH</v>
      </c>
      <c r="K595" t="str">
        <v>グエン　ティ　ハイン</v>
      </c>
      <c r="L595" t="str">
        <v>女</v>
      </c>
      <c r="M595" t="str">
        <v>ﾍﾞﾄﾅﾑ</v>
      </c>
      <c r="N595">
        <v>32402</v>
      </c>
      <c r="O595">
        <v>35</v>
      </c>
      <c r="P595">
        <v>1300</v>
      </c>
      <c r="Q595">
        <v>0</v>
      </c>
      <c r="R595">
        <v>1700</v>
      </c>
      <c r="S595">
        <v>0</v>
      </c>
      <c r="T595">
        <v>400</v>
      </c>
      <c r="U595">
        <v>260000</v>
      </c>
      <c r="V595">
        <v>13013</v>
      </c>
      <c r="W595" t="str">
        <v>0</v>
      </c>
      <c r="X595">
        <v>23790</v>
      </c>
      <c r="Y595">
        <v>45465</v>
      </c>
      <c r="Z595" t="str">
        <v/>
      </c>
      <c r="AA595" t="str">
        <v>技術・人文知識・国際業務</v>
      </c>
      <c r="AB595" t="str">
        <v>470-0331</v>
      </c>
      <c r="AC595" t="str">
        <v>愛知県豊田市東山町2丁目1555－1</v>
      </c>
      <c r="AD595" t="str">
        <v>市営東山住宅E棟602号</v>
      </c>
      <c r="AE595" t="str">
        <v>個人</v>
      </c>
      <c r="AF595">
        <v>44795</v>
      </c>
      <c r="AG595">
        <v>0</v>
      </c>
      <c r="AH595">
        <v>0</v>
      </c>
      <c r="AI595" t="str">
        <v>22.10.01</v>
      </c>
      <c r="AJ595" t="str">
        <v>グエン　ティ　ハイン</v>
      </c>
      <c r="AK595" t="str">
        <v>ゆうちょ銀行</v>
      </c>
      <c r="AL595">
        <v>208</v>
      </c>
      <c r="AM595" t="str">
        <v>二〇八</v>
      </c>
      <c r="AN595" t="str">
        <v>2558703</v>
      </c>
      <c r="AO595" t="str">
        <v>9/12林</v>
      </c>
      <c r="AP595">
        <v>0</v>
      </c>
    </row>
    <row r="596" spans="1:42">
      <c r="A596" t="str">
        <f>H596&amp;COUNTIF($H$2:H596,H596)</f>
        <v>0206</v>
      </c>
      <c r="B596" t="str">
        <f>F596&amp;COUNTIF($F$2:F596,F596)</f>
        <v>三幸技研5</v>
      </c>
      <c r="C596" t="str">
        <v>退社</v>
      </c>
      <c r="D596">
        <v>220804</v>
      </c>
      <c r="E596">
        <v>0</v>
      </c>
      <c r="F596" t="str">
        <v>三幸技研</v>
      </c>
      <c r="G596">
        <v>0</v>
      </c>
      <c r="H596">
        <v>0</v>
      </c>
      <c r="I596">
        <v>0</v>
      </c>
      <c r="J596" t="str">
        <v>HOANG VAN HUNG</v>
      </c>
      <c r="K596" t="str">
        <v>ホアン　ヴァン　フン</v>
      </c>
      <c r="L596" t="str">
        <v>男</v>
      </c>
      <c r="M596" t="str">
        <v>ﾍﾞﾄﾅﾑ</v>
      </c>
      <c r="N596">
        <v>34471</v>
      </c>
      <c r="O596">
        <v>29</v>
      </c>
      <c r="P596">
        <v>1400</v>
      </c>
      <c r="Q596">
        <v>0</v>
      </c>
      <c r="R596">
        <v>1800</v>
      </c>
      <c r="S596">
        <v>0</v>
      </c>
      <c r="T596">
        <v>400</v>
      </c>
      <c r="U596">
        <v>180000</v>
      </c>
      <c r="V596">
        <v>9009</v>
      </c>
      <c r="W596" t="str">
        <v>0</v>
      </c>
      <c r="X596">
        <v>16470</v>
      </c>
      <c r="Y596">
        <v>45361</v>
      </c>
      <c r="Z596" t="str">
        <v/>
      </c>
      <c r="AA596" t="str">
        <v>技術・人文知識・国際業務</v>
      </c>
      <c r="AB596" t="str">
        <v>474-0056</v>
      </c>
      <c r="AC596" t="str">
        <v>愛知県大府市明成町2丁目176番地</v>
      </c>
      <c r="AD596" t="str">
        <v>ｻﾝﾋﾟｱ清野205</v>
      </c>
      <c r="AE596">
        <v>44807</v>
      </c>
      <c r="AF596">
        <v>44795</v>
      </c>
      <c r="AG596">
        <v>45198</v>
      </c>
      <c r="AH596">
        <v>0</v>
      </c>
      <c r="AI596" t="str">
        <v>22.10.01</v>
      </c>
      <c r="AJ596" t="str">
        <v>ホアン　ヴァン　フン</v>
      </c>
      <c r="AK596" t="str">
        <v>ゆうちょ銀行</v>
      </c>
      <c r="AL596">
        <v>208</v>
      </c>
      <c r="AM596" t="str">
        <v>二〇八</v>
      </c>
      <c r="AN596" t="str">
        <v>564537</v>
      </c>
      <c r="AO596" t="str">
        <v>9/12林</v>
      </c>
      <c r="AP596">
        <v>0</v>
      </c>
    </row>
    <row r="597" spans="1:42">
      <c r="A597" t="str">
        <f>H597&amp;COUNTIF($H$2:H597,H597)</f>
        <v>0207</v>
      </c>
      <c r="B597" t="str">
        <f>F597&amp;COUNTIF($F$2:F597,F597)</f>
        <v>ﾌｪﾆﾃｯｸｾﾐｺﾝﾀﾞｸﾀｰ 鹿児島18</v>
      </c>
      <c r="C597" t="str">
        <v>在職中</v>
      </c>
      <c r="D597">
        <v>220805</v>
      </c>
      <c r="E597">
        <v>0</v>
      </c>
      <c r="F597" t="str">
        <v>ﾌｪﾆﾃｯｸｾﾐｺﾝﾀﾞｸﾀｰ 鹿児島</v>
      </c>
      <c r="G597">
        <v>0</v>
      </c>
      <c r="H597">
        <v>0</v>
      </c>
      <c r="I597">
        <v>0</v>
      </c>
      <c r="J597" t="str">
        <v>VU THUONG QUYEN</v>
      </c>
      <c r="K597" t="str">
        <v>ヴ　トウオン　クイエン</v>
      </c>
      <c r="L597" t="str">
        <v>男</v>
      </c>
      <c r="M597" t="str">
        <v>ﾍﾞﾄﾅﾑ</v>
      </c>
      <c r="N597">
        <v>34257</v>
      </c>
      <c r="O597">
        <v>30</v>
      </c>
      <c r="P597">
        <v>1400</v>
      </c>
      <c r="Q597">
        <v>0</v>
      </c>
      <c r="R597">
        <v>2000</v>
      </c>
      <c r="S597">
        <v>0</v>
      </c>
      <c r="T597">
        <v>600</v>
      </c>
      <c r="U597">
        <v>240000</v>
      </c>
      <c r="V597">
        <v>12012</v>
      </c>
      <c r="W597" t="str">
        <v>0</v>
      </c>
      <c r="X597">
        <v>21960</v>
      </c>
      <c r="Y597">
        <v>46468</v>
      </c>
      <c r="Z597" t="str">
        <v/>
      </c>
      <c r="AA597" t="str">
        <v>技術・人文知識・国際業務</v>
      </c>
      <c r="AB597" t="str">
        <v>899-6202</v>
      </c>
      <c r="AC597" t="str">
        <v>鹿児島県姶良郡湧水町北方850番地</v>
      </c>
      <c r="AD597" t="str">
        <v>京田住宅2号棟344</v>
      </c>
      <c r="AE597">
        <v>44795</v>
      </c>
      <c r="AF597">
        <v>44798</v>
      </c>
      <c r="AG597">
        <v>0</v>
      </c>
      <c r="AH597">
        <v>0</v>
      </c>
      <c r="AI597" t="str">
        <v>22.10.01</v>
      </c>
      <c r="AJ597" t="str">
        <v>グエン　ヴアン　タイ</v>
      </c>
      <c r="AK597" t="str">
        <v>静岡銀行</v>
      </c>
      <c r="AL597">
        <v>0</v>
      </c>
      <c r="AM597" t="str">
        <v>浜松高丘</v>
      </c>
      <c r="AN597">
        <v>0</v>
      </c>
      <c r="AO597" t="str">
        <v>9/12林</v>
      </c>
      <c r="AP597">
        <v>0</v>
      </c>
    </row>
    <row r="598" spans="1:42">
      <c r="A598" t="str">
        <f>H598&amp;COUNTIF($H$2:H598,H598)</f>
        <v>0208</v>
      </c>
      <c r="B598" t="str">
        <f>F598&amp;COUNTIF($F$2:F598,F598)</f>
        <v>加藤木材工業 本社22</v>
      </c>
      <c r="C598" t="str">
        <v>退社</v>
      </c>
      <c r="D598">
        <v>220811</v>
      </c>
      <c r="E598">
        <v>0</v>
      </c>
      <c r="F598" t="str">
        <v>加藤木材工業 本社</v>
      </c>
      <c r="G598">
        <v>0</v>
      </c>
      <c r="H598">
        <v>0</v>
      </c>
      <c r="I598">
        <v>0</v>
      </c>
      <c r="J598" t="str">
        <v>NGUYEN VAN SON</v>
      </c>
      <c r="K598" t="str">
        <v>グエン　ヴァン　ソン</v>
      </c>
      <c r="L598" t="str">
        <v>男</v>
      </c>
      <c r="M598" t="str">
        <v>ﾍﾞﾄﾅﾑ</v>
      </c>
      <c r="N598">
        <v>34059</v>
      </c>
      <c r="O598">
        <v>30</v>
      </c>
      <c r="P598">
        <v>1300</v>
      </c>
      <c r="Q598">
        <v>0</v>
      </c>
      <c r="R598">
        <v>1700</v>
      </c>
      <c r="S598">
        <v>0</v>
      </c>
      <c r="T598">
        <v>400</v>
      </c>
      <c r="U598">
        <v>180000</v>
      </c>
      <c r="V598">
        <v>9009</v>
      </c>
      <c r="W598" t="str">
        <v>0</v>
      </c>
      <c r="X598">
        <v>16470</v>
      </c>
      <c r="Y598">
        <v>45377</v>
      </c>
      <c r="Z598" t="str">
        <v/>
      </c>
      <c r="AA598" t="str">
        <v>技術・人文知識・国際業務</v>
      </c>
      <c r="AB598" t="str">
        <v>486-0912</v>
      </c>
      <c r="AC598" t="str">
        <v>愛知県春日井市高山町4丁目13-13</v>
      </c>
      <c r="AD598" t="str">
        <v>ﾒｿﾞﾝ辻山201</v>
      </c>
      <c r="AE598">
        <v>44797</v>
      </c>
      <c r="AF598">
        <v>44798</v>
      </c>
      <c r="AG598">
        <v>45063</v>
      </c>
      <c r="AH598">
        <v>0</v>
      </c>
      <c r="AI598" t="str">
        <v>22.10.01</v>
      </c>
      <c r="AJ598" t="str">
        <v>グェン　ヴァン　ソン</v>
      </c>
      <c r="AK598" t="str">
        <v>ゆうちょ銀行</v>
      </c>
      <c r="AL598">
        <v>208</v>
      </c>
      <c r="AM598" t="str">
        <v>二〇八</v>
      </c>
      <c r="AN598" t="str">
        <v>2174250</v>
      </c>
      <c r="AO598" t="str">
        <v>9/12林</v>
      </c>
      <c r="AP598">
        <v>0</v>
      </c>
    </row>
    <row r="599" spans="1:42">
      <c r="A599" t="str">
        <f>H599&amp;COUNTIF($H$2:H599,H599)</f>
        <v>0209</v>
      </c>
      <c r="B599" t="str">
        <f>F599&amp;COUNTIF($F$2:F599,F599)</f>
        <v>新日本ﾎｲｰﾙ工業2</v>
      </c>
      <c r="C599" t="str">
        <v>退社</v>
      </c>
      <c r="D599">
        <v>220902</v>
      </c>
      <c r="E599">
        <v>0</v>
      </c>
      <c r="F599" t="str">
        <v>新日本ﾎｲｰﾙ工業</v>
      </c>
      <c r="G599">
        <v>0</v>
      </c>
      <c r="H599">
        <v>0</v>
      </c>
      <c r="I599">
        <v>0</v>
      </c>
      <c r="J599" t="str">
        <v>NGUYEN VAN TAI</v>
      </c>
      <c r="K599" t="str">
        <v>グエン　ヴァン　タイ</v>
      </c>
      <c r="L599" t="str">
        <v>男</v>
      </c>
      <c r="M599" t="str">
        <v>ﾍﾞﾄﾅﾑ</v>
      </c>
      <c r="N599">
        <v>34053</v>
      </c>
      <c r="O599">
        <v>30</v>
      </c>
      <c r="P599">
        <v>1400</v>
      </c>
      <c r="Q599">
        <v>0</v>
      </c>
      <c r="R599">
        <v>1800</v>
      </c>
      <c r="S599">
        <v>0</v>
      </c>
      <c r="T599">
        <v>400</v>
      </c>
      <c r="U599">
        <v>280000</v>
      </c>
      <c r="V599">
        <v>14014</v>
      </c>
      <c r="W599" t="str">
        <v>0</v>
      </c>
      <c r="X599">
        <v>25620</v>
      </c>
      <c r="Y599">
        <v>46421</v>
      </c>
      <c r="Z599" t="str">
        <v/>
      </c>
      <c r="AA599" t="str">
        <v>技術・人文知識・国際業務</v>
      </c>
      <c r="AB599" t="str">
        <v>433-8111</v>
      </c>
      <c r="AC599" t="str">
        <v>静岡県浜松市中区葵西6丁目22-12</v>
      </c>
      <c r="AD599" t="str">
        <v>県営葵団地2棟206号</v>
      </c>
      <c r="AE599" t="str">
        <v>個人</v>
      </c>
      <c r="AF599">
        <v>44809</v>
      </c>
      <c r="AG599">
        <v>45229</v>
      </c>
      <c r="AH599">
        <v>0</v>
      </c>
      <c r="AI599" t="str">
        <v>22.9.5</v>
      </c>
      <c r="AJ599" t="str">
        <v>グエン　ヴアン　タイ</v>
      </c>
      <c r="AK599" t="str">
        <v>静岡銀行</v>
      </c>
      <c r="AL599">
        <v>356</v>
      </c>
      <c r="AM599" t="str">
        <v>浜松高丘</v>
      </c>
      <c r="AN599" t="str">
        <v>0598361</v>
      </c>
      <c r="AO599" t="str">
        <v>9/5林</v>
      </c>
      <c r="AP599">
        <v>0</v>
      </c>
    </row>
    <row r="600" spans="1:42">
      <c r="A600" t="str">
        <f>H600&amp;COUNTIF($H$2:H600,H600)</f>
        <v>等速ジョイント9</v>
      </c>
      <c r="B600" t="str">
        <f>F600&amp;COUNTIF($F$2:F600,F600)</f>
        <v>瑞陵精機21</v>
      </c>
      <c r="C600" t="str">
        <v>在職中</v>
      </c>
      <c r="D600">
        <v>220903</v>
      </c>
      <c r="E600">
        <v>0</v>
      </c>
      <c r="F600" t="str">
        <v>瑞陵精機</v>
      </c>
      <c r="G600" t="str">
        <v>製造課</v>
      </c>
      <c r="H600" t="str">
        <v>等速ジョイント</v>
      </c>
      <c r="I600" t="str">
        <v>ＮＣ旋盤、マシニングセンター等の工作機械を使いオペレーターとして製造ラインで製品を加工</v>
      </c>
      <c r="J600" t="str">
        <v>NGUYEN HUU THANG</v>
      </c>
      <c r="K600" t="str">
        <v>グエン　フゥ　タン</v>
      </c>
      <c r="L600" t="str">
        <v>男</v>
      </c>
      <c r="M600" t="str">
        <v>ﾍﾞﾄﾅﾑ</v>
      </c>
      <c r="N600">
        <v>35833</v>
      </c>
      <c r="O600">
        <v>25</v>
      </c>
      <c r="P600">
        <v>1300</v>
      </c>
      <c r="Q600">
        <v>0</v>
      </c>
      <c r="R600">
        <v>1700</v>
      </c>
      <c r="S600">
        <v>0</v>
      </c>
      <c r="T600">
        <v>400</v>
      </c>
      <c r="U600">
        <v>320000</v>
      </c>
      <c r="V600">
        <v>16015.999999999998</v>
      </c>
      <c r="W600" t="str">
        <v>0</v>
      </c>
      <c r="X600">
        <v>29280</v>
      </c>
      <c r="Y600">
        <v>45549</v>
      </c>
      <c r="Z600" t="str">
        <v/>
      </c>
      <c r="AA600" t="str">
        <v>技術・人文知識・国際業務</v>
      </c>
      <c r="AB600" t="str">
        <v>509-7201</v>
      </c>
      <c r="AC600" t="str">
        <v>岐阜県恵那市大井町1120-303</v>
      </c>
      <c r="AD600" t="str">
        <v>各務ﾊｲﾂ7I</v>
      </c>
      <c r="AE600">
        <v>44805</v>
      </c>
      <c r="AF600">
        <v>44810</v>
      </c>
      <c r="AG600">
        <v>0</v>
      </c>
      <c r="AH600">
        <v>0</v>
      </c>
      <c r="AI600" t="str">
        <v>22.10.01</v>
      </c>
      <c r="AJ600" t="str">
        <v>グエン　フゥ　タン</v>
      </c>
      <c r="AK600" t="str">
        <v>ゆうちょ銀行</v>
      </c>
      <c r="AL600">
        <v>248</v>
      </c>
      <c r="AM600" t="str">
        <v>二四八</v>
      </c>
      <c r="AN600" t="str">
        <v>3584749</v>
      </c>
      <c r="AO600" t="str">
        <v>9/15林</v>
      </c>
      <c r="AP600">
        <v>0</v>
      </c>
    </row>
    <row r="601" spans="1:42">
      <c r="A601" t="str">
        <f>H601&amp;COUNTIF($H$2:H601,H601)</f>
        <v>0210</v>
      </c>
      <c r="B601" t="str">
        <f>F601&amp;COUNTIF($F$2:F601,F601)</f>
        <v>PATEC17</v>
      </c>
      <c r="C601" t="str">
        <v>在職中</v>
      </c>
      <c r="D601">
        <v>220908</v>
      </c>
      <c r="E601">
        <v>0</v>
      </c>
      <c r="F601" t="str">
        <v>PATEC</v>
      </c>
      <c r="G601">
        <v>0</v>
      </c>
      <c r="H601">
        <v>0</v>
      </c>
      <c r="I601">
        <v>0</v>
      </c>
      <c r="J601" t="str">
        <v>THAI HUY DUC</v>
      </c>
      <c r="K601" t="str">
        <v>タイ　フィ　ドゥック</v>
      </c>
      <c r="L601" t="str">
        <v>男</v>
      </c>
      <c r="M601" t="str">
        <v>ﾍﾞﾄﾅﾑ</v>
      </c>
      <c r="N601">
        <v>36139</v>
      </c>
      <c r="O601">
        <v>25</v>
      </c>
      <c r="P601">
        <v>1400</v>
      </c>
      <c r="Q601">
        <v>0</v>
      </c>
      <c r="R601">
        <v>2000</v>
      </c>
      <c r="S601">
        <v>0</v>
      </c>
      <c r="T601">
        <v>600</v>
      </c>
      <c r="U601">
        <v>300000</v>
      </c>
      <c r="V601">
        <v>15014.999999999998</v>
      </c>
      <c r="W601" t="str">
        <v>0</v>
      </c>
      <c r="X601">
        <v>27450</v>
      </c>
      <c r="Y601">
        <v>45549</v>
      </c>
      <c r="Z601" t="str">
        <v/>
      </c>
      <c r="AA601" t="str">
        <v>技術・人文知識・国際業務</v>
      </c>
      <c r="AB601" t="str">
        <v>747-0833</v>
      </c>
      <c r="AC601" t="str">
        <v>山口県防府市大字浜方716-15</v>
      </c>
      <c r="AD601" t="str">
        <v>ｱﾙｿｰﾚD102</v>
      </c>
      <c r="AE601">
        <v>44816</v>
      </c>
      <c r="AF601">
        <v>44818</v>
      </c>
      <c r="AG601">
        <v>0</v>
      </c>
      <c r="AH601">
        <v>0</v>
      </c>
      <c r="AI601" t="str">
        <v>22.10.01</v>
      </c>
      <c r="AJ601" t="str">
        <v>タイ　フィ　ドゥック</v>
      </c>
      <c r="AK601" t="str">
        <v>ゆうちょ銀行</v>
      </c>
      <c r="AL601">
        <v>558</v>
      </c>
      <c r="AM601" t="str">
        <v>五五八</v>
      </c>
      <c r="AN601" t="str">
        <v>2641707</v>
      </c>
      <c r="AO601">
        <v>0</v>
      </c>
      <c r="AP601">
        <v>0</v>
      </c>
    </row>
    <row r="602" spans="1:42">
      <c r="A602" t="str">
        <f>H602&amp;COUNTIF($H$2:H602,H602)</f>
        <v>0211</v>
      </c>
      <c r="B602" t="str">
        <f>F602&amp;COUNTIF($F$2:F602,F602)</f>
        <v>PATEC18</v>
      </c>
      <c r="C602" t="str">
        <v>在職中</v>
      </c>
      <c r="D602">
        <v>220911</v>
      </c>
      <c r="E602">
        <v>0</v>
      </c>
      <c r="F602" t="str">
        <v>PATEC</v>
      </c>
      <c r="G602">
        <v>0</v>
      </c>
      <c r="H602">
        <v>0</v>
      </c>
      <c r="I602">
        <v>0</v>
      </c>
      <c r="J602" t="str">
        <v>NGUYEN VAN THAI</v>
      </c>
      <c r="K602" t="str">
        <v>グエン　バン　タイ</v>
      </c>
      <c r="L602" t="str">
        <v>男</v>
      </c>
      <c r="M602" t="str">
        <v>ﾍﾞﾄﾅﾑ</v>
      </c>
      <c r="N602">
        <v>35884</v>
      </c>
      <c r="O602">
        <v>25</v>
      </c>
      <c r="P602">
        <v>1400</v>
      </c>
      <c r="Q602">
        <v>0</v>
      </c>
      <c r="R602">
        <v>2000</v>
      </c>
      <c r="S602">
        <v>0</v>
      </c>
      <c r="T602">
        <v>600</v>
      </c>
      <c r="U602">
        <v>320000</v>
      </c>
      <c r="V602">
        <v>16015.999999999998</v>
      </c>
      <c r="W602" t="str">
        <v>0</v>
      </c>
      <c r="X602">
        <v>29280</v>
      </c>
      <c r="Y602">
        <v>45549</v>
      </c>
      <c r="Z602" t="str">
        <v/>
      </c>
      <c r="AA602" t="str">
        <v>技術・人文知識・国際業務</v>
      </c>
      <c r="AB602" t="str">
        <v>747-0833</v>
      </c>
      <c r="AC602" t="str">
        <v>山口県防府市大字浜方716-15</v>
      </c>
      <c r="AD602" t="str">
        <v>ｱﾙｿｰﾚD102</v>
      </c>
      <c r="AE602">
        <v>44816</v>
      </c>
      <c r="AF602">
        <v>44818</v>
      </c>
      <c r="AG602">
        <v>0</v>
      </c>
      <c r="AH602">
        <v>0</v>
      </c>
      <c r="AI602" t="str">
        <v>22.10.01</v>
      </c>
      <c r="AJ602" t="str">
        <v>グエン　バン　タイ</v>
      </c>
      <c r="AK602" t="str">
        <v>ゆうちょ銀行</v>
      </c>
      <c r="AL602">
        <v>558</v>
      </c>
      <c r="AM602" t="str">
        <v>五五八</v>
      </c>
      <c r="AN602" t="str">
        <v>2641706</v>
      </c>
      <c r="AO602" t="str">
        <v>9/21林</v>
      </c>
      <c r="AP602">
        <v>0</v>
      </c>
    </row>
    <row r="603" spans="1:42">
      <c r="A603" t="str">
        <f>H603&amp;COUNTIF($H$2:H603,H603)</f>
        <v>旋盤ライン18</v>
      </c>
      <c r="B603" t="str">
        <f>F603&amp;COUNTIF($F$2:F603,F603)</f>
        <v>川原鉄工所18</v>
      </c>
      <c r="C603" t="str">
        <v>退社</v>
      </c>
      <c r="D603">
        <v>220913</v>
      </c>
      <c r="E603">
        <v>0</v>
      </c>
      <c r="F603" t="str">
        <v>川原鉄工所</v>
      </c>
      <c r="G603" t="str">
        <v>製造部</v>
      </c>
      <c r="H603" t="str">
        <v>旋盤ライン</v>
      </c>
      <c r="I603" t="str">
        <v>ATミッション部品をはじめとする、各種自動車部品の製造</v>
      </c>
      <c r="J603" t="str">
        <v>田村　誠吾</v>
      </c>
      <c r="K603" t="str">
        <v>タムラ　セイゴ</v>
      </c>
      <c r="L603" t="str">
        <v>男</v>
      </c>
      <c r="M603" t="str">
        <v>日本</v>
      </c>
      <c r="N603">
        <v>23650</v>
      </c>
      <c r="O603">
        <v>59</v>
      </c>
      <c r="P603">
        <v>1250</v>
      </c>
      <c r="Q603">
        <v>0</v>
      </c>
      <c r="R603">
        <v>1650</v>
      </c>
      <c r="S603">
        <v>0</v>
      </c>
      <c r="T603">
        <v>400</v>
      </c>
      <c r="U603">
        <v>0</v>
      </c>
      <c r="V603" t="str">
        <v/>
      </c>
      <c r="W603" t="str">
        <v/>
      </c>
      <c r="X603" t="str">
        <v/>
      </c>
      <c r="Y603">
        <v>0</v>
      </c>
      <c r="Z603" t="str">
        <v/>
      </c>
      <c r="AA603">
        <v>0</v>
      </c>
      <c r="AB603" t="str">
        <v>462-0012</v>
      </c>
      <c r="AC603" t="str">
        <v>愛知県名古屋市北区楠2-119</v>
      </c>
      <c r="AD603" t="str">
        <v>中あじま荘5棟206号</v>
      </c>
      <c r="AE603" t="str">
        <v>個人</v>
      </c>
      <c r="AF603">
        <v>44823</v>
      </c>
      <c r="AG603">
        <v>44904</v>
      </c>
      <c r="AH603">
        <v>0</v>
      </c>
      <c r="AI603" t="str">
        <v>22.10.01</v>
      </c>
      <c r="AJ603">
        <v>0</v>
      </c>
      <c r="AK603">
        <v>0</v>
      </c>
      <c r="AL603">
        <v>0</v>
      </c>
      <c r="AM603">
        <v>0</v>
      </c>
      <c r="AN603">
        <v>0</v>
      </c>
      <c r="AO603" t="str">
        <v>9/21林</v>
      </c>
      <c r="AP603">
        <v>0</v>
      </c>
    </row>
    <row r="604" spans="1:42">
      <c r="A604" t="str">
        <f>H604&amp;COUNTIF($H$2:H604,H604)</f>
        <v>0212</v>
      </c>
      <c r="B604" t="str">
        <f>F604&amp;COUNTIF($F$2:F604,F604)</f>
        <v>PATEC19</v>
      </c>
      <c r="C604" t="str">
        <v>在職中</v>
      </c>
      <c r="D604">
        <v>220916</v>
      </c>
      <c r="E604">
        <v>0</v>
      </c>
      <c r="F604" t="str">
        <v>PATEC</v>
      </c>
      <c r="G604" t="str">
        <v>製造部素材課</v>
      </c>
      <c r="H604">
        <v>0</v>
      </c>
      <c r="I604">
        <v>0</v>
      </c>
      <c r="J604" t="str">
        <v>NGUYEN CUONG</v>
      </c>
      <c r="K604" t="str">
        <v>グエン　クオン</v>
      </c>
      <c r="L604" t="str">
        <v>男</v>
      </c>
      <c r="M604" t="str">
        <v>ﾍﾞﾄﾅﾑ</v>
      </c>
      <c r="N604">
        <v>34617</v>
      </c>
      <c r="O604">
        <v>29</v>
      </c>
      <c r="P604">
        <v>1500</v>
      </c>
      <c r="Q604">
        <v>0</v>
      </c>
      <c r="R604">
        <v>2100</v>
      </c>
      <c r="S604">
        <v>0</v>
      </c>
      <c r="T604">
        <v>600</v>
      </c>
      <c r="U604">
        <v>380000</v>
      </c>
      <c r="V604">
        <v>19019</v>
      </c>
      <c r="W604" t="str">
        <v>0</v>
      </c>
      <c r="X604">
        <v>34770</v>
      </c>
      <c r="Y604">
        <v>45549</v>
      </c>
      <c r="Z604" t="str">
        <v/>
      </c>
      <c r="AA604" t="str">
        <v>技術・人文知識・国際業務</v>
      </c>
      <c r="AB604" t="str">
        <v>747-0833</v>
      </c>
      <c r="AC604" t="str">
        <v>山口県防府市大字浜方716-15</v>
      </c>
      <c r="AD604" t="str">
        <v>ｱﾙｿｰﾚD101</v>
      </c>
      <c r="AE604">
        <v>44816</v>
      </c>
      <c r="AF604">
        <v>44825</v>
      </c>
      <c r="AG604">
        <v>0</v>
      </c>
      <c r="AH604">
        <v>0</v>
      </c>
      <c r="AI604" t="str">
        <v>22.10.01</v>
      </c>
      <c r="AJ604">
        <v>0</v>
      </c>
      <c r="AK604">
        <v>0</v>
      </c>
      <c r="AL604">
        <v>0</v>
      </c>
      <c r="AM604">
        <v>0</v>
      </c>
      <c r="AN604">
        <v>0</v>
      </c>
      <c r="AO604" t="str">
        <v>9/22林</v>
      </c>
      <c r="AP604" t="str">
        <v>2022/11/30～アルソーレＤ101へ移動</v>
      </c>
    </row>
    <row r="605" spans="1:42">
      <c r="A605" t="str">
        <f>H605&amp;COUNTIF($H$2:H605,H605)</f>
        <v>0213</v>
      </c>
      <c r="B605" t="str">
        <f>F605&amp;COUNTIF($F$2:F605,F605)</f>
        <v>PATEC20</v>
      </c>
      <c r="C605" t="str">
        <v>在職中</v>
      </c>
      <c r="D605">
        <v>220917</v>
      </c>
      <c r="E605">
        <v>0</v>
      </c>
      <c r="F605" t="str">
        <v>PATEC</v>
      </c>
      <c r="G605">
        <v>0</v>
      </c>
      <c r="H605">
        <v>0</v>
      </c>
      <c r="I605">
        <v>0</v>
      </c>
      <c r="J605" t="str">
        <v>DINH NHO SANG</v>
      </c>
      <c r="K605" t="str">
        <v>ディン　ノー　サン</v>
      </c>
      <c r="L605" t="str">
        <v>男</v>
      </c>
      <c r="M605" t="str">
        <v>ﾍﾞﾄﾅﾑ</v>
      </c>
      <c r="N605">
        <v>33963</v>
      </c>
      <c r="O605">
        <v>30</v>
      </c>
      <c r="P605">
        <v>1400</v>
      </c>
      <c r="Q605">
        <v>0</v>
      </c>
      <c r="R605">
        <v>2000</v>
      </c>
      <c r="S605">
        <v>0</v>
      </c>
      <c r="T605">
        <v>600</v>
      </c>
      <c r="U605">
        <v>340000</v>
      </c>
      <c r="V605">
        <v>17017</v>
      </c>
      <c r="W605" t="str">
        <v>0</v>
      </c>
      <c r="X605">
        <v>31110</v>
      </c>
      <c r="Y605">
        <v>45549</v>
      </c>
      <c r="Z605" t="str">
        <v/>
      </c>
      <c r="AA605" t="str">
        <v>技術・人文知識・国際業務</v>
      </c>
      <c r="AB605" t="str">
        <v>747-0833</v>
      </c>
      <c r="AC605" t="str">
        <v>山口県防府市大字浜方716-15</v>
      </c>
      <c r="AD605" t="str">
        <v>ｱﾙｿｰﾚC201</v>
      </c>
      <c r="AE605">
        <v>44816</v>
      </c>
      <c r="AF605">
        <v>44825</v>
      </c>
      <c r="AG605">
        <v>0</v>
      </c>
      <c r="AH605">
        <v>0</v>
      </c>
      <c r="AI605" t="str">
        <v>22.10.01</v>
      </c>
      <c r="AJ605">
        <v>0</v>
      </c>
      <c r="AK605">
        <v>0</v>
      </c>
      <c r="AL605">
        <v>0</v>
      </c>
      <c r="AM605">
        <v>0</v>
      </c>
      <c r="AN605">
        <v>0</v>
      </c>
      <c r="AO605" t="str">
        <v>9/22林</v>
      </c>
      <c r="AP605">
        <v>0</v>
      </c>
    </row>
    <row r="606" spans="1:42">
      <c r="A606" t="str">
        <f>H606&amp;COUNTIF($H$2:H606,H606)</f>
        <v>成型ライン7</v>
      </c>
      <c r="B606" t="str">
        <f>F606&amp;COUNTIF($F$2:F606,F606)</f>
        <v>ピーエムアイ17</v>
      </c>
      <c r="C606" t="str">
        <v>在職中</v>
      </c>
      <c r="D606">
        <v>220921</v>
      </c>
      <c r="E606">
        <v>0</v>
      </c>
      <c r="F606" t="str">
        <v>ピーエムアイ</v>
      </c>
      <c r="G606" t="str">
        <v>製造1</v>
      </c>
      <c r="H606" t="str">
        <v>成型ライン</v>
      </c>
      <c r="I606" t="str">
        <v>プラスチック製品の製造におけるすべての行為</v>
      </c>
      <c r="J606" t="str">
        <v>HO DINH DUONG</v>
      </c>
      <c r="K606" t="str">
        <v>ホー　ディン　ズオン</v>
      </c>
      <c r="L606" t="str">
        <v>男</v>
      </c>
      <c r="M606" t="str">
        <v>ﾍﾞﾄﾅﾑ</v>
      </c>
      <c r="N606">
        <v>35737</v>
      </c>
      <c r="O606">
        <v>26</v>
      </c>
      <c r="P606">
        <v>1300</v>
      </c>
      <c r="Q606">
        <v>0</v>
      </c>
      <c r="R606">
        <v>1800</v>
      </c>
      <c r="S606">
        <v>0</v>
      </c>
      <c r="T606">
        <v>500</v>
      </c>
      <c r="U606">
        <v>320000</v>
      </c>
      <c r="V606">
        <v>16015.999999999998</v>
      </c>
      <c r="W606" t="str">
        <v>0</v>
      </c>
      <c r="X606">
        <v>29280</v>
      </c>
      <c r="Y606">
        <v>46281</v>
      </c>
      <c r="Z606" t="str">
        <v/>
      </c>
      <c r="AA606" t="str">
        <v>技術・人文知識・国際業務</v>
      </c>
      <c r="AB606" t="str">
        <v>471-0805</v>
      </c>
      <c r="AC606" t="str">
        <v>愛知県豊田市美里2-6-9</v>
      </c>
      <c r="AD606" t="str">
        <v>ﾚｼﾞｪﾝﾄﾞK301</v>
      </c>
      <c r="AE606">
        <v>44827</v>
      </c>
      <c r="AF606">
        <v>44830</v>
      </c>
      <c r="AG606">
        <v>0</v>
      </c>
      <c r="AH606">
        <v>0</v>
      </c>
      <c r="AI606" t="str">
        <v>22.10.01</v>
      </c>
      <c r="AJ606" t="str">
        <v>レー　ヴァン　ルオン</v>
      </c>
      <c r="AK606">
        <v>0</v>
      </c>
      <c r="AL606">
        <v>0</v>
      </c>
      <c r="AM606">
        <v>0</v>
      </c>
      <c r="AN606">
        <v>0</v>
      </c>
      <c r="AO606" t="str">
        <v>9/29林</v>
      </c>
      <c r="AP606" t="str">
        <v>2023/1/21~1300UP</v>
      </c>
    </row>
    <row r="607" spans="1:42">
      <c r="A607" t="str">
        <f>H607&amp;COUNTIF($H$2:H607,H607)</f>
        <v>0214</v>
      </c>
      <c r="B607" t="str">
        <f>F607&amp;COUNTIF($F$2:F607,F607)</f>
        <v>ﾌｪﾆﾃｯｸｾﾐｺﾝﾀﾞｸﾀｰ 鹿児島19</v>
      </c>
      <c r="C607" t="str">
        <v>在職中</v>
      </c>
      <c r="D607">
        <v>210306</v>
      </c>
      <c r="E607">
        <v>0</v>
      </c>
      <c r="F607" t="str">
        <v>ﾌｪﾆﾃｯｸｾﾐｺﾝﾀﾞｸﾀｰ 鹿児島</v>
      </c>
      <c r="G607">
        <v>0</v>
      </c>
      <c r="H607">
        <v>0</v>
      </c>
      <c r="I607">
        <v>0</v>
      </c>
      <c r="J607" t="str">
        <v>PHUNG VAN NAM</v>
      </c>
      <c r="K607" t="str">
        <v>フン　ヴァン　ナム</v>
      </c>
      <c r="L607" t="str">
        <v>男</v>
      </c>
      <c r="M607" t="str">
        <v>ﾍﾞﾄﾅﾑ</v>
      </c>
      <c r="N607">
        <v>33294</v>
      </c>
      <c r="O607">
        <v>32</v>
      </c>
      <c r="P607">
        <v>1400</v>
      </c>
      <c r="Q607">
        <v>0</v>
      </c>
      <c r="R607">
        <v>2000</v>
      </c>
      <c r="S607">
        <v>0</v>
      </c>
      <c r="T607">
        <v>600</v>
      </c>
      <c r="U607">
        <v>240000</v>
      </c>
      <c r="V607">
        <v>12012</v>
      </c>
      <c r="W607" t="str">
        <v>0</v>
      </c>
      <c r="X607">
        <v>21960</v>
      </c>
      <c r="Y607">
        <v>45850</v>
      </c>
      <c r="Z607" t="str">
        <v/>
      </c>
      <c r="AA607" t="str">
        <v>技術・人文知識・国際業務</v>
      </c>
      <c r="AB607" t="str">
        <v>899-6201</v>
      </c>
      <c r="AC607" t="str">
        <v>鹿児島県姶良郡湧水町木場1218番地</v>
      </c>
      <c r="AD607" t="str">
        <v>尾鉢第2住宅2号棟211号室</v>
      </c>
      <c r="AE607" t="str">
        <v>個人</v>
      </c>
      <c r="AF607">
        <v>44831</v>
      </c>
      <c r="AG607">
        <v>0</v>
      </c>
      <c r="AH607">
        <v>0</v>
      </c>
      <c r="AI607" t="str">
        <v>22.10.01</v>
      </c>
      <c r="AJ607">
        <v>0</v>
      </c>
      <c r="AK607">
        <v>0</v>
      </c>
      <c r="AL607">
        <v>0</v>
      </c>
      <c r="AM607">
        <v>0</v>
      </c>
      <c r="AN607">
        <v>0</v>
      </c>
      <c r="AO607" t="str">
        <v>9/29林</v>
      </c>
      <c r="AP607">
        <v>0</v>
      </c>
    </row>
    <row r="608" spans="1:42">
      <c r="A608" t="str">
        <f>H608&amp;COUNTIF($H$2:H608,H608)</f>
        <v>0215</v>
      </c>
      <c r="B608" t="str">
        <f>F608&amp;COUNTIF($F$2:F608,F608)</f>
        <v>高雄工業 岡山126</v>
      </c>
      <c r="C608" t="str">
        <v>退社</v>
      </c>
      <c r="D608">
        <v>220923</v>
      </c>
      <c r="E608">
        <v>0</v>
      </c>
      <c r="F608" t="str">
        <v>高雄工業 岡山</v>
      </c>
      <c r="G608">
        <v>0</v>
      </c>
      <c r="H608">
        <v>0</v>
      </c>
      <c r="I608">
        <v>0</v>
      </c>
      <c r="J608" t="str">
        <v>LE VAN LUONG</v>
      </c>
      <c r="K608" t="str">
        <v>レー　ヴァン　ルオン</v>
      </c>
      <c r="L608" t="str">
        <v>男</v>
      </c>
      <c r="M608" t="str">
        <v>ﾍﾞﾄﾅﾑ</v>
      </c>
      <c r="N608">
        <v>36686</v>
      </c>
      <c r="O608">
        <v>23</v>
      </c>
      <c r="P608">
        <v>1200</v>
      </c>
      <c r="Q608">
        <v>0</v>
      </c>
      <c r="R608">
        <v>1650</v>
      </c>
      <c r="S608">
        <v>0</v>
      </c>
      <c r="T608">
        <v>450</v>
      </c>
      <c r="U608">
        <v>0</v>
      </c>
      <c r="V608" t="str">
        <v/>
      </c>
      <c r="W608" t="str">
        <v>0</v>
      </c>
      <c r="X608" t="str">
        <v/>
      </c>
      <c r="Y608">
        <v>45192</v>
      </c>
      <c r="Z608" t="str">
        <v>残り期限90日!</v>
      </c>
      <c r="AA608" t="str">
        <v>技術・人文知識・国際業務</v>
      </c>
      <c r="AB608" t="str">
        <v>709-2132</v>
      </c>
      <c r="AC608" t="str">
        <v>岡山県岡山市北区御津草生2169番地2</v>
      </c>
      <c r="AD608" t="str">
        <v>草生一軒家</v>
      </c>
      <c r="AE608">
        <v>0</v>
      </c>
      <c r="AF608">
        <v>44834</v>
      </c>
      <c r="AG608">
        <v>44839</v>
      </c>
      <c r="AH608">
        <v>0</v>
      </c>
      <c r="AI608" t="str">
        <v>22.10.01</v>
      </c>
      <c r="AJ608" t="str">
        <v>レー　ヴァン　ルオン</v>
      </c>
      <c r="AK608" t="str">
        <v>ゆうちょ銀行</v>
      </c>
      <c r="AL608">
        <v>0</v>
      </c>
      <c r="AM608">
        <v>0</v>
      </c>
      <c r="AN608" t="str">
        <v>3998526</v>
      </c>
      <c r="AO608" t="str">
        <v>9/29林</v>
      </c>
      <c r="AP608">
        <v>0</v>
      </c>
    </row>
    <row r="609" spans="1:42">
      <c r="A609" t="str">
        <f>H609&amp;COUNTIF($H$2:H609,H609)</f>
        <v>製造1課2</v>
      </c>
      <c r="B609" t="str">
        <f>F609&amp;COUNTIF($F$2:F609,F609)</f>
        <v>ユアサ工機 本社2</v>
      </c>
      <c r="C609" t="str">
        <v>在職中</v>
      </c>
      <c r="D609">
        <v>221004</v>
      </c>
      <c r="E609">
        <v>0</v>
      </c>
      <c r="F609" t="str">
        <v>ユアサ工機 本社</v>
      </c>
      <c r="G609" t="str">
        <v>本社製造部製造1課</v>
      </c>
      <c r="H609" t="str">
        <v>製造1課</v>
      </c>
      <c r="I609" t="str">
        <v>クランクシャフトの旋盤、マシニング、研磨、仕上げ加工など</v>
      </c>
      <c r="J609" t="str">
        <v>DANG VAN QUANG</v>
      </c>
      <c r="K609" t="str">
        <v>ダン　ヴァン　クアン</v>
      </c>
      <c r="L609" t="str">
        <v>男</v>
      </c>
      <c r="M609" t="str">
        <v>ﾍﾞﾄﾅﾑ</v>
      </c>
      <c r="N609">
        <v>35966</v>
      </c>
      <c r="O609">
        <v>25</v>
      </c>
      <c r="P609">
        <v>1300</v>
      </c>
      <c r="Q609">
        <v>0</v>
      </c>
      <c r="R609">
        <v>1800</v>
      </c>
      <c r="S609">
        <v>0</v>
      </c>
      <c r="T609">
        <v>500</v>
      </c>
      <c r="U609">
        <v>260000</v>
      </c>
      <c r="V609">
        <v>13013</v>
      </c>
      <c r="W609" t="str">
        <v>0</v>
      </c>
      <c r="X609">
        <v>23790</v>
      </c>
      <c r="Y609">
        <v>45429</v>
      </c>
      <c r="Z609" t="str">
        <v/>
      </c>
      <c r="AA609" t="str">
        <v>技術・人文知識・国際業務</v>
      </c>
      <c r="AB609" t="str">
        <v>701-0143</v>
      </c>
      <c r="AC609" t="str">
        <v>岡山県岡山市北区白石194-1</v>
      </c>
      <c r="AD609" t="str">
        <v>ｻﾝﾊｲﾂいたのC201</v>
      </c>
      <c r="AE609">
        <v>0</v>
      </c>
      <c r="AF609">
        <v>44837</v>
      </c>
      <c r="AG609">
        <v>0</v>
      </c>
      <c r="AH609">
        <v>0</v>
      </c>
      <c r="AI609">
        <v>0</v>
      </c>
      <c r="AJ609">
        <v>0</v>
      </c>
      <c r="AK609">
        <v>0</v>
      </c>
      <c r="AL609">
        <v>0</v>
      </c>
      <c r="AM609">
        <v>0</v>
      </c>
      <c r="AN609">
        <v>0</v>
      </c>
      <c r="AO609">
        <v>0</v>
      </c>
      <c r="AP609">
        <v>0</v>
      </c>
    </row>
    <row r="610" spans="1:42">
      <c r="A610" t="str">
        <f>H610&amp;COUNTIF($H$2:H610,H610)</f>
        <v>0216</v>
      </c>
      <c r="B610" t="str">
        <f>F610&amp;COUNTIF($F$2:F610,F610)</f>
        <v>ワーク 志紀6</v>
      </c>
      <c r="C610" t="str">
        <v>退社</v>
      </c>
      <c r="D610">
        <v>221003</v>
      </c>
      <c r="E610">
        <v>0</v>
      </c>
      <c r="F610" t="str">
        <v>ワーク 志紀</v>
      </c>
      <c r="G610">
        <v>0</v>
      </c>
      <c r="H610">
        <v>0</v>
      </c>
      <c r="I610">
        <v>0</v>
      </c>
      <c r="J610" t="str">
        <v>DO VAN TRINH</v>
      </c>
      <c r="K610" t="str">
        <v>ド　バン　チン</v>
      </c>
      <c r="L610" t="str">
        <v>男</v>
      </c>
      <c r="M610" t="str">
        <v>ﾍﾞﾄﾅﾑ</v>
      </c>
      <c r="N610">
        <v>33676</v>
      </c>
      <c r="O610">
        <v>31</v>
      </c>
      <c r="P610">
        <v>1400</v>
      </c>
      <c r="Q610">
        <v>0</v>
      </c>
      <c r="R610">
        <v>1900</v>
      </c>
      <c r="S610">
        <v>0</v>
      </c>
      <c r="T610">
        <v>500</v>
      </c>
      <c r="U610">
        <v>0</v>
      </c>
      <c r="V610" t="str">
        <v/>
      </c>
      <c r="W610" t="str">
        <v>0</v>
      </c>
      <c r="X610" t="str">
        <v/>
      </c>
      <c r="Y610">
        <v>45965</v>
      </c>
      <c r="Z610" t="str">
        <v/>
      </c>
      <c r="AA610" t="str">
        <v>技術・人文知識・国際業務</v>
      </c>
      <c r="AB610" t="str">
        <v>581-0875</v>
      </c>
      <c r="AC610" t="str">
        <v>大阪府八尾市高安町南1-69-6</v>
      </c>
      <c r="AD610" t="str">
        <v>高安一番館303号室</v>
      </c>
      <c r="AE610" t="str">
        <v>個人</v>
      </c>
      <c r="AF610">
        <v>44837</v>
      </c>
      <c r="AG610">
        <v>44924</v>
      </c>
      <c r="AH610">
        <v>0</v>
      </c>
      <c r="AI610" t="str">
        <v>22.10.3</v>
      </c>
      <c r="AJ610">
        <v>0</v>
      </c>
      <c r="AK610">
        <v>0</v>
      </c>
      <c r="AL610">
        <v>0</v>
      </c>
      <c r="AM610">
        <v>0</v>
      </c>
      <c r="AN610">
        <v>0</v>
      </c>
      <c r="AO610" t="str">
        <v>11/4原</v>
      </c>
      <c r="AP610">
        <v>0</v>
      </c>
    </row>
    <row r="611" spans="1:42">
      <c r="A611" t="str">
        <f>H611&amp;COUNTIF($H$2:H611,H611)</f>
        <v>等速ジョイント10</v>
      </c>
      <c r="B611" t="str">
        <f>F611&amp;COUNTIF($F$2:F611,F611)</f>
        <v>瑞陵精機22</v>
      </c>
      <c r="C611" t="str">
        <v>在職中</v>
      </c>
      <c r="D611">
        <v>221005</v>
      </c>
      <c r="E611">
        <v>0</v>
      </c>
      <c r="F611" t="str">
        <v>瑞陵精機</v>
      </c>
      <c r="G611" t="str">
        <v>製造課</v>
      </c>
      <c r="H611" t="str">
        <v>等速ジョイント</v>
      </c>
      <c r="I611" t="str">
        <v>ＮＣ旋盤、マシニングセンター等の工作機械を使いオペレーターとして製造ラインで製品を加工</v>
      </c>
      <c r="J611" t="str">
        <v>NGUYEN TAT DIEP</v>
      </c>
      <c r="K611" t="str">
        <v>グエン　タット　デイエップ</v>
      </c>
      <c r="L611" t="str">
        <v>男</v>
      </c>
      <c r="M611" t="str">
        <v>ﾍﾞﾄﾅﾑ</v>
      </c>
      <c r="N611">
        <v>33118</v>
      </c>
      <c r="O611">
        <v>33</v>
      </c>
      <c r="P611">
        <v>1300</v>
      </c>
      <c r="Q611">
        <v>0</v>
      </c>
      <c r="R611">
        <v>1700</v>
      </c>
      <c r="S611">
        <v>0</v>
      </c>
      <c r="T611">
        <v>400</v>
      </c>
      <c r="U611">
        <v>300000</v>
      </c>
      <c r="V611">
        <v>15014.999999999998</v>
      </c>
      <c r="W611" t="str">
        <v>0</v>
      </c>
      <c r="X611">
        <v>27450</v>
      </c>
      <c r="Y611">
        <v>45309</v>
      </c>
      <c r="Z611" t="str">
        <v>残り期限90日!</v>
      </c>
      <c r="AA611" t="str">
        <v>技術・人文知識・国際業務</v>
      </c>
      <c r="AB611" t="str">
        <v>509-7201</v>
      </c>
      <c r="AC611" t="str">
        <v>岐阜県恵那市大井町1120-303</v>
      </c>
      <c r="AD611" t="str">
        <v>各務ﾊｲﾂ3D</v>
      </c>
      <c r="AE611">
        <v>0</v>
      </c>
      <c r="AF611">
        <v>44839</v>
      </c>
      <c r="AG611">
        <v>0</v>
      </c>
      <c r="AH611">
        <v>0</v>
      </c>
      <c r="AI611" t="str">
        <v>22.11.01</v>
      </c>
      <c r="AJ611">
        <v>0</v>
      </c>
      <c r="AK611">
        <v>0</v>
      </c>
      <c r="AL611">
        <v>0</v>
      </c>
      <c r="AM611">
        <v>0</v>
      </c>
      <c r="AN611">
        <v>0</v>
      </c>
      <c r="AO611" t="str">
        <v>10/17林</v>
      </c>
      <c r="AP611">
        <v>0</v>
      </c>
    </row>
    <row r="612" spans="1:42">
      <c r="A612" t="str">
        <f>H612&amp;COUNTIF($H$2:H612,H612)</f>
        <v>0217</v>
      </c>
      <c r="B612" t="str">
        <f>F612&amp;COUNTIF($F$2:F612,F612)</f>
        <v>六甲電子19</v>
      </c>
      <c r="C612" t="str">
        <v>退社</v>
      </c>
      <c r="D612">
        <v>221006</v>
      </c>
      <c r="E612">
        <v>0</v>
      </c>
      <c r="F612" t="str">
        <v>六甲電子</v>
      </c>
      <c r="G612">
        <v>0</v>
      </c>
      <c r="H612">
        <v>0</v>
      </c>
      <c r="I612">
        <v>0</v>
      </c>
      <c r="J612" t="str">
        <v>LE TRONG LINH</v>
      </c>
      <c r="K612" t="str">
        <v>レ　チョン　リン</v>
      </c>
      <c r="L612" t="str">
        <v>男</v>
      </c>
      <c r="M612" t="str">
        <v>ﾍﾞﾄﾅﾑ</v>
      </c>
      <c r="N612">
        <v>32662</v>
      </c>
      <c r="O612">
        <v>34</v>
      </c>
      <c r="P612">
        <v>1400</v>
      </c>
      <c r="Q612">
        <v>0</v>
      </c>
      <c r="R612">
        <v>2000</v>
      </c>
      <c r="S612">
        <v>0</v>
      </c>
      <c r="T612">
        <v>600</v>
      </c>
      <c r="U612">
        <v>0</v>
      </c>
      <c r="V612" t="str">
        <v/>
      </c>
      <c r="W612" t="str">
        <v>0</v>
      </c>
      <c r="X612" t="str">
        <v/>
      </c>
      <c r="Y612">
        <v>45306</v>
      </c>
      <c r="Z612" t="str">
        <v>残り期限90日!</v>
      </c>
      <c r="AA612" t="str">
        <v>技術・人文知識・国際業務</v>
      </c>
      <c r="AB612" t="str">
        <v>663-8122</v>
      </c>
      <c r="AC612" t="str">
        <v>兵庫県西宮市小曽根町1丁目4-28</v>
      </c>
      <c r="AD612" t="str">
        <v>ｸﾞﾘｰﾝﾊｲﾂ小曽根403</v>
      </c>
      <c r="AE612">
        <v>44849</v>
      </c>
      <c r="AF612">
        <v>44841</v>
      </c>
      <c r="AG612">
        <v>44876</v>
      </c>
      <c r="AH612">
        <v>0</v>
      </c>
      <c r="AI612" t="str">
        <v>22.11.01</v>
      </c>
      <c r="AJ612">
        <v>0</v>
      </c>
      <c r="AK612">
        <v>0</v>
      </c>
      <c r="AL612">
        <v>0</v>
      </c>
      <c r="AM612">
        <v>0</v>
      </c>
      <c r="AN612">
        <v>0</v>
      </c>
      <c r="AO612" t="str">
        <v>10/31林</v>
      </c>
      <c r="AP612">
        <v>0</v>
      </c>
    </row>
    <row r="613" spans="1:42">
      <c r="A613" t="str">
        <f>H613&amp;COUNTIF($H$2:H613,H613)</f>
        <v>0218</v>
      </c>
      <c r="B613" t="str">
        <f>F613&amp;COUNTIF($F$2:F613,F613)</f>
        <v>六甲電子20</v>
      </c>
      <c r="C613" t="str">
        <v>退社</v>
      </c>
      <c r="D613">
        <v>221007</v>
      </c>
      <c r="E613">
        <v>0</v>
      </c>
      <c r="F613" t="str">
        <v>六甲電子</v>
      </c>
      <c r="G613">
        <v>0</v>
      </c>
      <c r="H613">
        <v>0</v>
      </c>
      <c r="I613">
        <v>0</v>
      </c>
      <c r="J613" t="str">
        <v>VU DUC THIET</v>
      </c>
      <c r="K613" t="str">
        <v>ヴー　ドゥク　ティエット</v>
      </c>
      <c r="L613" t="str">
        <v>男</v>
      </c>
      <c r="M613" t="str">
        <v>ﾍﾞﾄﾅﾑ</v>
      </c>
      <c r="N613">
        <v>34976</v>
      </c>
      <c r="O613">
        <v>28</v>
      </c>
      <c r="P613">
        <v>1400</v>
      </c>
      <c r="Q613">
        <v>0</v>
      </c>
      <c r="R613">
        <v>2000</v>
      </c>
      <c r="S613">
        <v>0</v>
      </c>
      <c r="T613">
        <v>600</v>
      </c>
      <c r="U613">
        <v>0</v>
      </c>
      <c r="V613" t="str">
        <v/>
      </c>
      <c r="W613" t="str">
        <v>0</v>
      </c>
      <c r="X613" t="str">
        <v/>
      </c>
      <c r="Y613">
        <v>46106</v>
      </c>
      <c r="Z613" t="str">
        <v/>
      </c>
      <c r="AA613" t="str">
        <v>技術・人文知識・国際業務</v>
      </c>
      <c r="AB613" t="str">
        <v>658-0014</v>
      </c>
      <c r="AC613" t="str">
        <v>兵庫県神戸市東灘区北青木3－20－23</v>
      </c>
      <c r="AD613" t="str">
        <v>青木ﾏﾝｼｮﾝ303</v>
      </c>
      <c r="AE613" t="str">
        <v>個人</v>
      </c>
      <c r="AF613">
        <v>44841</v>
      </c>
      <c r="AG613">
        <v>44908</v>
      </c>
      <c r="AH613">
        <v>0</v>
      </c>
      <c r="AI613" t="str">
        <v>22.11.01</v>
      </c>
      <c r="AJ613">
        <v>0</v>
      </c>
      <c r="AK613">
        <v>0</v>
      </c>
      <c r="AL613">
        <v>0</v>
      </c>
      <c r="AM613">
        <v>0</v>
      </c>
      <c r="AN613">
        <v>0</v>
      </c>
      <c r="AO613" t="str">
        <v>10/31林</v>
      </c>
      <c r="AP613">
        <v>0</v>
      </c>
    </row>
    <row r="614" spans="1:42">
      <c r="A614" t="str">
        <f>H614&amp;COUNTIF($H$2:H614,H614)</f>
        <v>0219</v>
      </c>
      <c r="B614" t="str">
        <f>F614&amp;COUNTIF($F$2:F614,F614)</f>
        <v>六甲電子21</v>
      </c>
      <c r="C614" t="str">
        <v>在職中</v>
      </c>
      <c r="D614">
        <v>221008</v>
      </c>
      <c r="E614">
        <v>0</v>
      </c>
      <c r="F614" t="str">
        <v>六甲電子</v>
      </c>
      <c r="G614">
        <v>0</v>
      </c>
      <c r="H614">
        <v>0</v>
      </c>
      <c r="I614">
        <v>0</v>
      </c>
      <c r="J614" t="str">
        <v>DUONG VIET HOANG</v>
      </c>
      <c r="K614" t="str">
        <v>ズオン　ビエット　ホアン</v>
      </c>
      <c r="L614" t="str">
        <v>男</v>
      </c>
      <c r="M614" t="str">
        <v>ﾍﾞﾄﾅﾑ</v>
      </c>
      <c r="N614">
        <v>34670</v>
      </c>
      <c r="O614">
        <v>29</v>
      </c>
      <c r="P614">
        <v>1400</v>
      </c>
      <c r="Q614">
        <v>0</v>
      </c>
      <c r="R614">
        <v>2000</v>
      </c>
      <c r="S614">
        <v>0</v>
      </c>
      <c r="T614">
        <v>600</v>
      </c>
      <c r="U614">
        <v>280000</v>
      </c>
      <c r="V614">
        <v>14014</v>
      </c>
      <c r="W614" t="str">
        <v>0</v>
      </c>
      <c r="X614">
        <v>25620</v>
      </c>
      <c r="Y614">
        <v>45827</v>
      </c>
      <c r="Z614" t="str">
        <v/>
      </c>
      <c r="AA614" t="str">
        <v>技術・人文知識・国際業務</v>
      </c>
      <c r="AB614" t="str">
        <v>660-0084</v>
      </c>
      <c r="AC614" t="str">
        <v>兵庫県尼崎市武庫川町3丁目</v>
      </c>
      <c r="AD614" t="str">
        <v>ｼﾞｮｲﾌﾙﾊｲﾂ204</v>
      </c>
      <c r="AE614" t="str">
        <v>個人</v>
      </c>
      <c r="AF614">
        <v>44841</v>
      </c>
      <c r="AG614">
        <v>0</v>
      </c>
      <c r="AH614">
        <v>0</v>
      </c>
      <c r="AI614" t="str">
        <v>22.11.01</v>
      </c>
      <c r="AJ614">
        <v>0</v>
      </c>
      <c r="AK614">
        <v>0</v>
      </c>
      <c r="AL614">
        <v>0</v>
      </c>
      <c r="AM614">
        <v>0</v>
      </c>
      <c r="AN614">
        <v>0</v>
      </c>
      <c r="AO614" t="str">
        <v>10/31林</v>
      </c>
      <c r="AP614">
        <v>0</v>
      </c>
    </row>
    <row r="615" spans="1:42">
      <c r="A615" t="str">
        <f>H615&amp;COUNTIF($H$2:H615,H615)</f>
        <v>0220</v>
      </c>
      <c r="B615" t="str">
        <f>F615&amp;COUNTIF($F$2:F615,F615)</f>
        <v>PATEC21</v>
      </c>
      <c r="C615" t="str">
        <v>在職中</v>
      </c>
      <c r="D615">
        <v>221009</v>
      </c>
      <c r="E615">
        <v>0</v>
      </c>
      <c r="F615" t="str">
        <v>PATEC</v>
      </c>
      <c r="G615">
        <v>0</v>
      </c>
      <c r="H615">
        <v>0</v>
      </c>
      <c r="I615">
        <v>0</v>
      </c>
      <c r="J615" t="str">
        <v>TRAN DINH MINH</v>
      </c>
      <c r="K615" t="str">
        <v>チャン　ディン　ミン</v>
      </c>
      <c r="L615" t="str">
        <v>男</v>
      </c>
      <c r="M615" t="str">
        <v>ﾍﾞﾄﾅﾑ</v>
      </c>
      <c r="N615">
        <v>34791</v>
      </c>
      <c r="O615">
        <v>28</v>
      </c>
      <c r="P615">
        <v>1600</v>
      </c>
      <c r="Q615">
        <v>0</v>
      </c>
      <c r="R615">
        <v>2100</v>
      </c>
      <c r="S615">
        <v>0</v>
      </c>
      <c r="T615">
        <v>500</v>
      </c>
      <c r="U615">
        <v>410000</v>
      </c>
      <c r="V615">
        <v>20520.5</v>
      </c>
      <c r="W615" t="str">
        <v>0</v>
      </c>
      <c r="X615">
        <v>37515</v>
      </c>
      <c r="Y615">
        <v>45643</v>
      </c>
      <c r="Z615" t="str">
        <v/>
      </c>
      <c r="AA615" t="str">
        <v>技術・人文知識・国際業務</v>
      </c>
      <c r="AB615" t="str">
        <v>747-0833</v>
      </c>
      <c r="AC615" t="str">
        <v>山口県防府市大字浜方716-15</v>
      </c>
      <c r="AD615" t="str">
        <v>ｱﾙｿｰﾚD103</v>
      </c>
      <c r="AE615">
        <v>44846</v>
      </c>
      <c r="AF615">
        <v>44851</v>
      </c>
      <c r="AG615">
        <v>0</v>
      </c>
      <c r="AH615">
        <v>0</v>
      </c>
      <c r="AI615" t="str">
        <v>22.11.01</v>
      </c>
      <c r="AJ615">
        <v>0</v>
      </c>
      <c r="AK615">
        <v>0</v>
      </c>
      <c r="AL615">
        <v>0</v>
      </c>
      <c r="AM615">
        <v>0</v>
      </c>
      <c r="AN615">
        <v>0</v>
      </c>
      <c r="AO615" t="str">
        <v>10/31林</v>
      </c>
      <c r="AP615">
        <v>0</v>
      </c>
    </row>
    <row r="616" spans="1:42">
      <c r="A616" t="str">
        <f>H616&amp;COUNTIF($H$2:H616,H616)</f>
        <v>0221</v>
      </c>
      <c r="B616" t="str">
        <f>F616&amp;COUNTIF($F$2:F616,F616)</f>
        <v>加藤木材工業 本社23</v>
      </c>
      <c r="C616" t="str">
        <v>退社</v>
      </c>
      <c r="D616">
        <v>221011</v>
      </c>
      <c r="E616">
        <v>0</v>
      </c>
      <c r="F616" t="str">
        <v>加藤木材工業 本社</v>
      </c>
      <c r="G616">
        <v>0</v>
      </c>
      <c r="H616">
        <v>0</v>
      </c>
      <c r="I616">
        <v>0</v>
      </c>
      <c r="J616" t="str">
        <v>PHAM VAN DUY</v>
      </c>
      <c r="K616" t="str">
        <v>ファム　バン　ズイ</v>
      </c>
      <c r="L616" t="str">
        <v>男</v>
      </c>
      <c r="M616" t="str">
        <v>ﾍﾞﾄﾅﾑ</v>
      </c>
      <c r="N616">
        <v>35248</v>
      </c>
      <c r="O616">
        <v>27</v>
      </c>
      <c r="P616">
        <v>1300</v>
      </c>
      <c r="Q616">
        <v>0</v>
      </c>
      <c r="R616">
        <v>1700</v>
      </c>
      <c r="S616">
        <v>0</v>
      </c>
      <c r="T616">
        <v>400</v>
      </c>
      <c r="U616">
        <v>180000</v>
      </c>
      <c r="V616">
        <v>9009</v>
      </c>
      <c r="W616" t="str">
        <v>0</v>
      </c>
      <c r="X616">
        <v>16470</v>
      </c>
      <c r="Y616">
        <v>45444</v>
      </c>
      <c r="Z616" t="str">
        <v/>
      </c>
      <c r="AA616" t="str">
        <v>技術・人文知識・国際業務</v>
      </c>
      <c r="AB616" t="str">
        <v>486-0912</v>
      </c>
      <c r="AC616" t="str">
        <v>愛知県春日井市高山町4-13-13</v>
      </c>
      <c r="AD616" t="str">
        <v>ﾒｿﾞﾝ辻山201</v>
      </c>
      <c r="AE616">
        <v>44864</v>
      </c>
      <c r="AF616">
        <v>44865</v>
      </c>
      <c r="AG616">
        <v>44956</v>
      </c>
      <c r="AH616">
        <v>44957</v>
      </c>
      <c r="AI616" t="str">
        <v>22.11.01</v>
      </c>
      <c r="AJ616">
        <v>0</v>
      </c>
      <c r="AK616">
        <v>0</v>
      </c>
      <c r="AL616">
        <v>0</v>
      </c>
      <c r="AM616">
        <v>0</v>
      </c>
      <c r="AN616">
        <v>0</v>
      </c>
      <c r="AO616" t="str">
        <v>11/14林</v>
      </c>
      <c r="AP616">
        <v>0</v>
      </c>
    </row>
    <row r="617" spans="1:42">
      <c r="A617" t="str">
        <f>H617&amp;COUNTIF($H$2:H617,H617)</f>
        <v>0222</v>
      </c>
      <c r="B617" t="str">
        <f>F617&amp;COUNTIF($F$2:F617,F617)</f>
        <v>オーツカ6</v>
      </c>
      <c r="C617" t="str">
        <v>退社</v>
      </c>
      <c r="D617">
        <v>221101</v>
      </c>
      <c r="E617">
        <v>0</v>
      </c>
      <c r="F617" t="str">
        <v>オーツカ</v>
      </c>
      <c r="G617">
        <v>0</v>
      </c>
      <c r="H617">
        <v>0</v>
      </c>
      <c r="I617">
        <v>0</v>
      </c>
      <c r="J617" t="str">
        <v>片山　アンドレ　リカルド</v>
      </c>
      <c r="K617" t="str">
        <v>カタヤマ　アンドレ　リカルド</v>
      </c>
      <c r="L617" t="str">
        <v>男</v>
      </c>
      <c r="M617" t="str">
        <v>ﾌﾞﾗｼﾞﾙ</v>
      </c>
      <c r="N617">
        <v>30501</v>
      </c>
      <c r="O617">
        <v>40</v>
      </c>
      <c r="P617">
        <v>1350</v>
      </c>
      <c r="Q617">
        <v>0</v>
      </c>
      <c r="R617">
        <v>1872</v>
      </c>
      <c r="S617">
        <v>0</v>
      </c>
      <c r="T617">
        <v>522</v>
      </c>
      <c r="U617">
        <v>0</v>
      </c>
      <c r="V617" t="str">
        <v/>
      </c>
      <c r="W617" t="str">
        <v/>
      </c>
      <c r="X617" t="str">
        <v/>
      </c>
      <c r="Y617">
        <v>45759</v>
      </c>
      <c r="Z617" t="str">
        <v/>
      </c>
      <c r="AA617" t="str">
        <v>定住者</v>
      </c>
      <c r="AB617" t="str">
        <v>503-0981</v>
      </c>
      <c r="AC617" t="str">
        <v>岐阜県大垣市桧町847番地</v>
      </c>
      <c r="AD617" t="str">
        <v xml:space="preserve">ｻﾝｼﾃｨ静里B102 </v>
      </c>
      <c r="AE617" t="str">
        <v>個人</v>
      </c>
      <c r="AF617">
        <v>44866</v>
      </c>
      <c r="AG617">
        <v>44894</v>
      </c>
      <c r="AH617">
        <v>0</v>
      </c>
      <c r="AI617" t="str">
        <v>加入なし</v>
      </c>
      <c r="AJ617">
        <v>0</v>
      </c>
      <c r="AK617">
        <v>0</v>
      </c>
      <c r="AL617">
        <v>0</v>
      </c>
      <c r="AM617">
        <v>0</v>
      </c>
      <c r="AN617">
        <v>0</v>
      </c>
      <c r="AO617" t="str">
        <v>11/14林</v>
      </c>
      <c r="AP617">
        <v>0</v>
      </c>
    </row>
    <row r="618" spans="1:42">
      <c r="A618" t="str">
        <f>H618&amp;COUNTIF($H$2:H618,H618)</f>
        <v>0223</v>
      </c>
      <c r="B618" t="str">
        <f>F618&amp;COUNTIF($F$2:F618,F618)</f>
        <v>ﾌｪﾆﾃｯｸｾﾐｺﾝﾀﾞｸﾀｰ 鹿児島20</v>
      </c>
      <c r="C618" t="str">
        <v>退社</v>
      </c>
      <c r="D618">
        <v>221107</v>
      </c>
      <c r="E618">
        <v>0</v>
      </c>
      <c r="F618" t="str">
        <v>ﾌｪﾆﾃｯｸｾﾐｺﾝﾀﾞｸﾀｰ 鹿児島</v>
      </c>
      <c r="G618">
        <v>0</v>
      </c>
      <c r="H618">
        <v>0</v>
      </c>
      <c r="I618">
        <v>0</v>
      </c>
      <c r="J618" t="str">
        <v>PHAM TAN LOC</v>
      </c>
      <c r="K618" t="str">
        <v>ファム　タン　ロク</v>
      </c>
      <c r="L618" t="str">
        <v>男</v>
      </c>
      <c r="M618" t="str">
        <v>ﾍﾞﾄﾅﾑ</v>
      </c>
      <c r="N618">
        <v>30982</v>
      </c>
      <c r="O618">
        <v>39</v>
      </c>
      <c r="P618">
        <v>1400</v>
      </c>
      <c r="Q618">
        <v>0</v>
      </c>
      <c r="R618">
        <v>2000</v>
      </c>
      <c r="S618">
        <v>0</v>
      </c>
      <c r="T618">
        <v>600</v>
      </c>
      <c r="U618">
        <v>180000</v>
      </c>
      <c r="V618">
        <v>9009</v>
      </c>
      <c r="W618" t="str">
        <v>0</v>
      </c>
      <c r="X618">
        <v>16470</v>
      </c>
      <c r="Y618">
        <v>46180</v>
      </c>
      <c r="Z618" t="str">
        <v/>
      </c>
      <c r="AA618" t="str">
        <v>技術・人文知識・国際業務</v>
      </c>
      <c r="AB618" t="str">
        <v>899-6201</v>
      </c>
      <c r="AC618" t="str">
        <v>鹿児島県姶良郡湧水町木場189番地</v>
      </c>
      <c r="AD618" t="str">
        <v>ｽｲｰﾄﾀｯﾁD号室</v>
      </c>
      <c r="AE618">
        <v>44885</v>
      </c>
      <c r="AF618">
        <v>44886</v>
      </c>
      <c r="AG618">
        <v>45112</v>
      </c>
      <c r="AH618">
        <v>45107</v>
      </c>
      <c r="AI618" t="str">
        <v>22.12.1</v>
      </c>
      <c r="AJ618">
        <v>0</v>
      </c>
      <c r="AK618">
        <v>0</v>
      </c>
      <c r="AL618">
        <v>0</v>
      </c>
      <c r="AM618">
        <v>0</v>
      </c>
      <c r="AN618">
        <v>0</v>
      </c>
      <c r="AO618" t="str">
        <v>11/28林</v>
      </c>
      <c r="AP618">
        <v>0</v>
      </c>
    </row>
    <row r="619" spans="1:42">
      <c r="A619" t="str">
        <f>H619&amp;COUNTIF($H$2:H619,H619)</f>
        <v>0224</v>
      </c>
      <c r="B619" t="str">
        <f>F619&amp;COUNTIF($F$2:F619,F619)</f>
        <v>加藤木材工業 本社24</v>
      </c>
      <c r="C619" t="str">
        <v>退社</v>
      </c>
      <c r="D619">
        <v>221109</v>
      </c>
      <c r="E619">
        <v>0</v>
      </c>
      <c r="F619" t="str">
        <v>加藤木材工業 本社</v>
      </c>
      <c r="G619">
        <v>0</v>
      </c>
      <c r="H619">
        <v>0</v>
      </c>
      <c r="I619">
        <v>0</v>
      </c>
      <c r="J619" t="str">
        <v>NGUYEN HUY TAI</v>
      </c>
      <c r="K619" t="str">
        <v>グエン　フィ　タイ</v>
      </c>
      <c r="L619" t="str">
        <v>男</v>
      </c>
      <c r="M619" t="str">
        <v>ﾍﾞﾄﾅﾑ</v>
      </c>
      <c r="N619">
        <v>33220</v>
      </c>
      <c r="O619">
        <v>32</v>
      </c>
      <c r="P619">
        <v>1300</v>
      </c>
      <c r="Q619">
        <v>0</v>
      </c>
      <c r="R619">
        <v>1700</v>
      </c>
      <c r="S619">
        <v>0</v>
      </c>
      <c r="T619">
        <v>400</v>
      </c>
      <c r="U619">
        <v>0</v>
      </c>
      <c r="V619" t="str">
        <v/>
      </c>
      <c r="W619" t="str">
        <v>0</v>
      </c>
      <c r="X619" t="str">
        <v/>
      </c>
      <c r="Y619">
        <v>45115</v>
      </c>
      <c r="Z619" t="str">
        <v>残り期限90日!</v>
      </c>
      <c r="AA619" t="str">
        <v>技術・人文知識・国際業務</v>
      </c>
      <c r="AB619" t="str">
        <v>486-0807</v>
      </c>
      <c r="AC619" t="str">
        <v>愛知県春日井市大手町2-53-1</v>
      </c>
      <c r="AD619" t="str">
        <v>ﾊﾟｰｸｻｲﾄﾞ泉</v>
      </c>
      <c r="AE619">
        <v>44887</v>
      </c>
      <c r="AF619">
        <v>44888</v>
      </c>
      <c r="AG619">
        <v>44915</v>
      </c>
      <c r="AH619">
        <v>44922</v>
      </c>
      <c r="AI619" t="str">
        <v>22.12.1</v>
      </c>
      <c r="AJ619">
        <v>0</v>
      </c>
      <c r="AK619">
        <v>0</v>
      </c>
      <c r="AL619">
        <v>0</v>
      </c>
      <c r="AM619">
        <v>0</v>
      </c>
      <c r="AN619">
        <v>0</v>
      </c>
      <c r="AO619" t="str">
        <v>11/28林</v>
      </c>
      <c r="AP619">
        <v>0</v>
      </c>
    </row>
    <row r="620" spans="1:42">
      <c r="A620" t="str">
        <f>H620&amp;COUNTIF($H$2:H620,H620)</f>
        <v>0225</v>
      </c>
      <c r="B620" t="str">
        <f>F620&amp;COUNTIF($F$2:F620,F620)</f>
        <v>高雄工業 本社41</v>
      </c>
      <c r="C620" t="str">
        <v>退社</v>
      </c>
      <c r="D620">
        <v>221201</v>
      </c>
      <c r="E620">
        <v>0</v>
      </c>
      <c r="F620" t="str">
        <v>高雄工業 本社</v>
      </c>
      <c r="G620">
        <v>0</v>
      </c>
      <c r="H620">
        <v>0</v>
      </c>
      <c r="I620">
        <v>0</v>
      </c>
      <c r="J620" t="str">
        <v>NGUYEN THANH DAT</v>
      </c>
      <c r="K620" t="str">
        <v>グエン　タイン　ダット</v>
      </c>
      <c r="L620" t="str">
        <v>男</v>
      </c>
      <c r="M620" t="str">
        <v>ﾍﾞﾄﾅﾑ</v>
      </c>
      <c r="N620">
        <v>36517</v>
      </c>
      <c r="O620">
        <v>23</v>
      </c>
      <c r="P620">
        <v>1200</v>
      </c>
      <c r="Q620">
        <v>0</v>
      </c>
      <c r="R620">
        <v>1650</v>
      </c>
      <c r="S620">
        <v>0</v>
      </c>
      <c r="T620">
        <v>450</v>
      </c>
      <c r="U620">
        <v>180000</v>
      </c>
      <c r="V620">
        <v>9009</v>
      </c>
      <c r="W620" t="str">
        <v>0</v>
      </c>
      <c r="X620">
        <v>16470</v>
      </c>
      <c r="Y620">
        <v>45258</v>
      </c>
      <c r="Z620" t="str">
        <v>残り期限90日!</v>
      </c>
      <c r="AA620" t="str">
        <v>技術・人文知識・国際業務</v>
      </c>
      <c r="AB620" t="str">
        <v>498-0032</v>
      </c>
      <c r="AC620" t="str">
        <v>愛知県弥富市平島中4丁目128</v>
      </c>
      <c r="AD620" t="str">
        <v>村上貸家</v>
      </c>
      <c r="AE620">
        <v>44893</v>
      </c>
      <c r="AF620">
        <v>44896</v>
      </c>
      <c r="AG620">
        <v>44985</v>
      </c>
      <c r="AH620">
        <v>0</v>
      </c>
      <c r="AI620" t="str">
        <v>23.1.1</v>
      </c>
      <c r="AJ620">
        <v>0</v>
      </c>
      <c r="AK620">
        <v>0</v>
      </c>
      <c r="AL620">
        <v>0</v>
      </c>
      <c r="AM620">
        <v>0</v>
      </c>
      <c r="AN620">
        <v>0</v>
      </c>
      <c r="AO620" t="str">
        <v>12/19林</v>
      </c>
      <c r="AP620">
        <v>0</v>
      </c>
    </row>
    <row r="621" spans="1:42">
      <c r="A621" t="str">
        <f>H621&amp;COUNTIF($H$2:H621,H621)</f>
        <v>等速ジョイント11</v>
      </c>
      <c r="B621" t="str">
        <f>F621&amp;COUNTIF($F$2:F621,F621)</f>
        <v>瑞陵精機23</v>
      </c>
      <c r="C621" t="str">
        <v>在職中</v>
      </c>
      <c r="D621">
        <v>221203</v>
      </c>
      <c r="E621">
        <v>0</v>
      </c>
      <c r="F621" t="str">
        <v>瑞陵精機</v>
      </c>
      <c r="G621" t="str">
        <v>製造課</v>
      </c>
      <c r="H621" t="str">
        <v>等速ジョイント</v>
      </c>
      <c r="I621" t="str">
        <v>ＮＣ旋盤、マシニングセンター等の工作機械を使いオペレーターとして製造ラインで製品を加工</v>
      </c>
      <c r="J621" t="str">
        <v>LE NHU ANH</v>
      </c>
      <c r="K621" t="str">
        <v>レー　ヌー　アイン</v>
      </c>
      <c r="L621" t="str">
        <v>男</v>
      </c>
      <c r="M621" t="str">
        <v>ﾍﾞﾄﾅﾑ</v>
      </c>
      <c r="N621">
        <v>36484</v>
      </c>
      <c r="O621">
        <v>24</v>
      </c>
      <c r="P621">
        <v>1250</v>
      </c>
      <c r="Q621">
        <v>0</v>
      </c>
      <c r="R621">
        <v>1700</v>
      </c>
      <c r="S621">
        <v>0</v>
      </c>
      <c r="T621">
        <v>450</v>
      </c>
      <c r="U621">
        <v>340000</v>
      </c>
      <c r="V621">
        <v>17017</v>
      </c>
      <c r="W621" t="str">
        <v>0</v>
      </c>
      <c r="X621">
        <v>31110</v>
      </c>
      <c r="Y621">
        <v>45258</v>
      </c>
      <c r="Z621" t="str">
        <v>残り期限90日!</v>
      </c>
      <c r="AA621" t="str">
        <v>技術・人文知識・国際業務</v>
      </c>
      <c r="AB621" t="str">
        <v>509-7201</v>
      </c>
      <c r="AC621" t="str">
        <v>岐阜県恵那市大井町1120-303</v>
      </c>
      <c r="AD621" t="str">
        <v>各務ﾊｲﾂ7I</v>
      </c>
      <c r="AE621">
        <v>0</v>
      </c>
      <c r="AF621">
        <v>44896</v>
      </c>
      <c r="AG621">
        <v>0</v>
      </c>
      <c r="AH621">
        <v>0</v>
      </c>
      <c r="AI621" t="str">
        <v>23.1.1</v>
      </c>
      <c r="AJ621">
        <v>0</v>
      </c>
      <c r="AK621">
        <v>0</v>
      </c>
      <c r="AL621">
        <v>0</v>
      </c>
      <c r="AM621">
        <v>0</v>
      </c>
      <c r="AN621">
        <v>0</v>
      </c>
      <c r="AO621" t="str">
        <v>12/14林</v>
      </c>
      <c r="AP621">
        <v>0</v>
      </c>
    </row>
    <row r="622" spans="1:42">
      <c r="A622" t="str">
        <f>H622&amp;COUNTIF($H$2:H622,H622)</f>
        <v>0226</v>
      </c>
      <c r="B622" t="str">
        <f>F622&amp;COUNTIF($F$2:F622,F622)</f>
        <v>三幸技研6</v>
      </c>
      <c r="C622" t="str">
        <v>在職中</v>
      </c>
      <c r="D622">
        <v>221206</v>
      </c>
      <c r="E622">
        <v>0</v>
      </c>
      <c r="F622" t="str">
        <v>三幸技研</v>
      </c>
      <c r="G622">
        <v>0</v>
      </c>
      <c r="H622">
        <v>0</v>
      </c>
      <c r="I622">
        <v>0</v>
      </c>
      <c r="J622" t="str">
        <v>DANG THE DONG</v>
      </c>
      <c r="K622" t="str">
        <v>ダン　テー　ドン</v>
      </c>
      <c r="L622" t="str">
        <v>男</v>
      </c>
      <c r="M622" t="str">
        <v>ﾍﾞﾄﾅﾑ</v>
      </c>
      <c r="N622">
        <v>33248</v>
      </c>
      <c r="O622">
        <v>32</v>
      </c>
      <c r="P622">
        <v>1400</v>
      </c>
      <c r="Q622">
        <v>0</v>
      </c>
      <c r="R622">
        <v>1800</v>
      </c>
      <c r="S622">
        <v>0</v>
      </c>
      <c r="T622">
        <v>400</v>
      </c>
      <c r="U622">
        <v>280000</v>
      </c>
      <c r="V622">
        <v>14014</v>
      </c>
      <c r="W622" t="str">
        <v>0</v>
      </c>
      <c r="X622">
        <v>25620</v>
      </c>
      <c r="Y622">
        <v>45745</v>
      </c>
      <c r="Z622" t="str">
        <v/>
      </c>
      <c r="AA622" t="str">
        <v>技術・人文知識・国際業務</v>
      </c>
      <c r="AB622" t="str">
        <v>474-0022</v>
      </c>
      <c r="AC622" t="str">
        <v>愛知県大府市若草町2丁目160番地</v>
      </c>
      <c r="AD622" t="str">
        <v>ｺｰﾎﾟ下村203号</v>
      </c>
      <c r="AE622" t="str">
        <v>個人</v>
      </c>
      <c r="AF622">
        <v>44896</v>
      </c>
      <c r="AG622">
        <v>0</v>
      </c>
      <c r="AH622">
        <v>0</v>
      </c>
      <c r="AI622" t="str">
        <v>23.1.1</v>
      </c>
      <c r="AJ622">
        <v>0</v>
      </c>
      <c r="AK622">
        <v>0</v>
      </c>
      <c r="AL622">
        <v>0</v>
      </c>
      <c r="AM622">
        <v>0</v>
      </c>
      <c r="AN622">
        <v>0</v>
      </c>
      <c r="AO622" t="str">
        <v>12/14林</v>
      </c>
      <c r="AP622">
        <v>0</v>
      </c>
    </row>
    <row r="623" spans="1:42">
      <c r="A623" t="str">
        <f>H623&amp;COUNTIF($H$2:H623,H623)</f>
        <v>0227</v>
      </c>
      <c r="B623" t="str">
        <f>F623&amp;COUNTIF($F$2:F623,F623)</f>
        <v>瑞陵精機24</v>
      </c>
      <c r="C623" t="str">
        <v>退社</v>
      </c>
      <c r="D623">
        <v>221204</v>
      </c>
      <c r="E623">
        <v>0</v>
      </c>
      <c r="F623" t="str">
        <v>瑞陵精機</v>
      </c>
      <c r="G623">
        <v>0</v>
      </c>
      <c r="H623">
        <v>0</v>
      </c>
      <c r="I623">
        <v>0</v>
      </c>
      <c r="J623" t="str">
        <v>HOANG TUAN ANH</v>
      </c>
      <c r="K623" t="str">
        <v>ホアン　トゥアン　アイン</v>
      </c>
      <c r="L623" t="str">
        <v>男</v>
      </c>
      <c r="M623" t="str">
        <v>ﾍﾞﾄﾅﾑ</v>
      </c>
      <c r="N623">
        <v>37233</v>
      </c>
      <c r="O623">
        <v>22</v>
      </c>
      <c r="P623">
        <v>1200</v>
      </c>
      <c r="Q623">
        <v>0</v>
      </c>
      <c r="R623">
        <v>1700</v>
      </c>
      <c r="S623">
        <v>0</v>
      </c>
      <c r="T623">
        <v>500</v>
      </c>
      <c r="U623">
        <v>180000</v>
      </c>
      <c r="V623">
        <v>9009</v>
      </c>
      <c r="W623" t="str">
        <v>0</v>
      </c>
      <c r="X623">
        <v>16470</v>
      </c>
      <c r="Y623">
        <v>45258</v>
      </c>
      <c r="Z623" t="str">
        <v>残り期限90日!</v>
      </c>
      <c r="AA623" t="str">
        <v>技術・人文知識・国際業務</v>
      </c>
      <c r="AB623" t="str">
        <v>509-7201</v>
      </c>
      <c r="AC623" t="str">
        <v>岐阜県岐阜市大井町1120-303</v>
      </c>
      <c r="AD623" t="str">
        <v>各務ﾊｲﾂ2D</v>
      </c>
      <c r="AE623">
        <v>0</v>
      </c>
      <c r="AF623">
        <v>44896</v>
      </c>
      <c r="AG623">
        <v>45034</v>
      </c>
      <c r="AH623">
        <v>0</v>
      </c>
      <c r="AI623" t="str">
        <v>23.1.1</v>
      </c>
      <c r="AJ623">
        <v>0</v>
      </c>
      <c r="AK623">
        <v>0</v>
      </c>
      <c r="AL623">
        <v>0</v>
      </c>
      <c r="AM623">
        <v>0</v>
      </c>
      <c r="AN623">
        <v>0</v>
      </c>
      <c r="AO623" t="str">
        <v>12/14林</v>
      </c>
      <c r="AP623">
        <v>0</v>
      </c>
    </row>
    <row r="624" spans="1:42">
      <c r="A624" t="str">
        <f>H624&amp;COUNTIF($H$2:H624,H624)</f>
        <v>等速ジョイント12</v>
      </c>
      <c r="B624" t="str">
        <f>F624&amp;COUNTIF($F$2:F624,F624)</f>
        <v>瑞陵精機25</v>
      </c>
      <c r="C624" t="str">
        <v>退社</v>
      </c>
      <c r="D624">
        <v>221205</v>
      </c>
      <c r="E624">
        <v>0</v>
      </c>
      <c r="F624" t="str">
        <v>瑞陵精機</v>
      </c>
      <c r="G624" t="str">
        <v>製造課</v>
      </c>
      <c r="H624" t="str">
        <v>等速ジョイント</v>
      </c>
      <c r="I624" t="str">
        <v>ＮＣ旋盤、マシニングセンター等の工作機械を使いオペレーターとして製造ラインで製品を加工</v>
      </c>
      <c r="J624" t="str">
        <v>DUONG HOANG ANH</v>
      </c>
      <c r="K624" t="str">
        <v>ズオン　ホアン　アイン</v>
      </c>
      <c r="L624" t="str">
        <v>男</v>
      </c>
      <c r="M624" t="str">
        <v>ﾍﾞﾄﾅﾑ</v>
      </c>
      <c r="N624">
        <v>35980</v>
      </c>
      <c r="O624">
        <v>25</v>
      </c>
      <c r="P624">
        <v>1200</v>
      </c>
      <c r="Q624">
        <v>0</v>
      </c>
      <c r="R624">
        <v>1700</v>
      </c>
      <c r="S624">
        <v>0</v>
      </c>
      <c r="T624">
        <v>500</v>
      </c>
      <c r="U624">
        <v>180000</v>
      </c>
      <c r="V624">
        <v>9009</v>
      </c>
      <c r="W624" t="str">
        <v>0</v>
      </c>
      <c r="X624">
        <v>16470</v>
      </c>
      <c r="Y624">
        <v>45258</v>
      </c>
      <c r="Z624" t="str">
        <v>残り期限90日!</v>
      </c>
      <c r="AA624" t="str">
        <v>技術・人文知識・国際業務</v>
      </c>
      <c r="AB624" t="str">
        <v>509-7201</v>
      </c>
      <c r="AC624" t="str">
        <v>岐阜県岐阜市大井町1120-303</v>
      </c>
      <c r="AD624" t="str">
        <v>各務ﾊｲﾂ4H</v>
      </c>
      <c r="AE624">
        <v>0</v>
      </c>
      <c r="AF624">
        <v>44896</v>
      </c>
      <c r="AG624">
        <v>45150</v>
      </c>
      <c r="AH624">
        <v>0</v>
      </c>
      <c r="AI624" t="str">
        <v>23.1.1</v>
      </c>
      <c r="AJ624">
        <v>0</v>
      </c>
      <c r="AK624">
        <v>0</v>
      </c>
      <c r="AL624">
        <v>0</v>
      </c>
      <c r="AM624">
        <v>0</v>
      </c>
      <c r="AN624">
        <v>0</v>
      </c>
      <c r="AO624" t="str">
        <v>12/14林</v>
      </c>
      <c r="AP624">
        <v>0</v>
      </c>
    </row>
    <row r="625" spans="1:42">
      <c r="A625" t="str">
        <f>H625&amp;COUNTIF($H$2:H625,H625)</f>
        <v>等速ジョイント13</v>
      </c>
      <c r="B625" t="str">
        <f>F625&amp;COUNTIF($F$2:F625,F625)</f>
        <v>瑞陵精機26</v>
      </c>
      <c r="C625" t="str">
        <v>在職中</v>
      </c>
      <c r="D625">
        <v>221212</v>
      </c>
      <c r="E625">
        <v>0</v>
      </c>
      <c r="F625" t="str">
        <v>瑞陵精機</v>
      </c>
      <c r="G625" t="str">
        <v>製造課</v>
      </c>
      <c r="H625" t="str">
        <v>等速ジョイント</v>
      </c>
      <c r="I625" t="str">
        <v>ＮＣ旋盤、マシニングセンター等の工作機械を使いオペレーターとして製造ラインで製品を加工</v>
      </c>
      <c r="J625" t="str">
        <v>NGUYEN MANH KHAI</v>
      </c>
      <c r="K625" t="str">
        <v>グエン　マン　カイ</v>
      </c>
      <c r="L625" t="str">
        <v>男</v>
      </c>
      <c r="M625" t="str">
        <v>ﾍﾞﾄﾅﾑ</v>
      </c>
      <c r="N625">
        <v>35771</v>
      </c>
      <c r="O625">
        <v>26</v>
      </c>
      <c r="P625">
        <v>1250</v>
      </c>
      <c r="Q625">
        <v>0</v>
      </c>
      <c r="R625">
        <v>1700</v>
      </c>
      <c r="S625">
        <v>0</v>
      </c>
      <c r="T625">
        <v>450</v>
      </c>
      <c r="U625">
        <v>340000</v>
      </c>
      <c r="V625">
        <v>17017</v>
      </c>
      <c r="W625" t="str">
        <v>0</v>
      </c>
      <c r="X625">
        <v>31110</v>
      </c>
      <c r="Y625">
        <v>45267</v>
      </c>
      <c r="Z625" t="str">
        <v>残り期限90日!</v>
      </c>
      <c r="AA625" t="str">
        <v>技術・人文知識・国際業務</v>
      </c>
      <c r="AB625" t="str">
        <v>509-7201</v>
      </c>
      <c r="AC625" t="str">
        <v>岐阜県恵那市大井町1454-1</v>
      </c>
      <c r="AD625" t="str">
        <v>社宅　一軒家</v>
      </c>
      <c r="AE625">
        <v>0</v>
      </c>
      <c r="AF625">
        <v>44907</v>
      </c>
      <c r="AG625">
        <v>0</v>
      </c>
      <c r="AH625">
        <v>0</v>
      </c>
      <c r="AI625" t="str">
        <v>23.1.1</v>
      </c>
      <c r="AJ625">
        <v>0</v>
      </c>
      <c r="AK625">
        <v>0</v>
      </c>
      <c r="AL625">
        <v>0</v>
      </c>
      <c r="AM625">
        <v>0</v>
      </c>
      <c r="AN625">
        <v>0</v>
      </c>
      <c r="AO625" t="str">
        <v>12/14林</v>
      </c>
      <c r="AP625">
        <v>0</v>
      </c>
    </row>
    <row r="626" spans="1:42">
      <c r="A626" t="str">
        <f>H626&amp;COUNTIF($H$2:H626,H626)</f>
        <v>等速ジョイント14</v>
      </c>
      <c r="B626" t="str">
        <f>F626&amp;COUNTIF($F$2:F626,F626)</f>
        <v>瑞陵精機27</v>
      </c>
      <c r="C626" t="str">
        <v>在職中</v>
      </c>
      <c r="D626">
        <v>221213</v>
      </c>
      <c r="E626">
        <v>0</v>
      </c>
      <c r="F626" t="str">
        <v>瑞陵精機</v>
      </c>
      <c r="G626" t="str">
        <v>製造課</v>
      </c>
      <c r="H626" t="str">
        <v>等速ジョイント</v>
      </c>
      <c r="I626" t="str">
        <v>ＮＣ旋盤、マシニングセンター等の工作機械を使いオペレーターとして製造ラインで製品を加工</v>
      </c>
      <c r="J626" t="str">
        <v>TRAN KHUONG DUY</v>
      </c>
      <c r="K626" t="str">
        <v>チャン　クオン　ズイ</v>
      </c>
      <c r="L626" t="str">
        <v>男</v>
      </c>
      <c r="M626" t="str">
        <v>ﾍﾞﾄﾅﾑ</v>
      </c>
      <c r="N626">
        <v>36231</v>
      </c>
      <c r="O626">
        <v>24</v>
      </c>
      <c r="P626">
        <v>1250</v>
      </c>
      <c r="Q626">
        <v>0</v>
      </c>
      <c r="R626">
        <v>1700</v>
      </c>
      <c r="S626">
        <v>0</v>
      </c>
      <c r="T626">
        <v>450</v>
      </c>
      <c r="U626">
        <v>240000</v>
      </c>
      <c r="V626">
        <v>12012</v>
      </c>
      <c r="W626" t="str">
        <v>0</v>
      </c>
      <c r="X626">
        <v>21960</v>
      </c>
      <c r="Y626">
        <v>45267</v>
      </c>
      <c r="Z626" t="str">
        <v>残り期限90日!</v>
      </c>
      <c r="AA626" t="str">
        <v>技術・人文知識・国際業務</v>
      </c>
      <c r="AB626" t="str">
        <v>509-7201</v>
      </c>
      <c r="AC626" t="str">
        <v>岐阜県恵那市大井町1454-1</v>
      </c>
      <c r="AD626" t="str">
        <v>社宅　一軒家</v>
      </c>
      <c r="AE626">
        <v>0</v>
      </c>
      <c r="AF626">
        <v>44907</v>
      </c>
      <c r="AG626">
        <v>0</v>
      </c>
      <c r="AH626">
        <v>0</v>
      </c>
      <c r="AI626" t="str">
        <v>23.1.1</v>
      </c>
      <c r="AJ626">
        <v>0</v>
      </c>
      <c r="AK626">
        <v>0</v>
      </c>
      <c r="AL626">
        <v>0</v>
      </c>
      <c r="AM626">
        <v>0</v>
      </c>
      <c r="AN626">
        <v>0</v>
      </c>
      <c r="AO626" t="str">
        <v>12/14林</v>
      </c>
      <c r="AP626">
        <v>0</v>
      </c>
    </row>
    <row r="627" spans="1:42">
      <c r="A627" t="str">
        <f>H627&amp;COUNTIF($H$2:H627,H627)</f>
        <v>等速ジョイント15</v>
      </c>
      <c r="B627" t="str">
        <f>F627&amp;COUNTIF($F$2:F627,F627)</f>
        <v>瑞陵精機28</v>
      </c>
      <c r="C627" t="str">
        <v>在職中</v>
      </c>
      <c r="D627">
        <v>221214</v>
      </c>
      <c r="E627">
        <v>0</v>
      </c>
      <c r="F627" t="str">
        <v>瑞陵精機</v>
      </c>
      <c r="G627" t="str">
        <v>製造課</v>
      </c>
      <c r="H627" t="str">
        <v>等速ジョイント</v>
      </c>
      <c r="I627" t="str">
        <v>ＮＣ旋盤、マシニングセンター等の工作機械を使いオペレーターとして製造ラインで製品を加工</v>
      </c>
      <c r="J627" t="str">
        <v>NGUYEN QUY TOAN</v>
      </c>
      <c r="K627" t="str">
        <v>グエン　クイ　トアン</v>
      </c>
      <c r="L627" t="str">
        <v>男</v>
      </c>
      <c r="M627" t="str">
        <v>ﾍﾞﾄﾅﾑ</v>
      </c>
      <c r="N627">
        <v>32183</v>
      </c>
      <c r="O627">
        <v>35</v>
      </c>
      <c r="P627">
        <v>1250</v>
      </c>
      <c r="Q627">
        <v>0</v>
      </c>
      <c r="R627">
        <v>1700</v>
      </c>
      <c r="S627">
        <v>0</v>
      </c>
      <c r="T627">
        <v>450</v>
      </c>
      <c r="U627">
        <v>340000</v>
      </c>
      <c r="V627">
        <v>17017</v>
      </c>
      <c r="W627" t="str">
        <v>0</v>
      </c>
      <c r="X627">
        <v>31110</v>
      </c>
      <c r="Y627">
        <v>45267</v>
      </c>
      <c r="Z627" t="str">
        <v>残り期限90日!</v>
      </c>
      <c r="AA627" t="str">
        <v>技術・人文知識・国際業務</v>
      </c>
      <c r="AB627" t="str">
        <v>509-7201</v>
      </c>
      <c r="AC627" t="str">
        <v>岐阜県恵那市大井町2087-170</v>
      </c>
      <c r="AD627" t="str">
        <v>ﾋﾞﾚｯｼﾞﾊｳｽ恵那1号棟403</v>
      </c>
      <c r="AE627" t="str">
        <v>個人</v>
      </c>
      <c r="AF627">
        <v>44907</v>
      </c>
      <c r="AG627">
        <v>0</v>
      </c>
      <c r="AH627">
        <v>0</v>
      </c>
      <c r="AI627" t="str">
        <v>23.1.1</v>
      </c>
      <c r="AJ627">
        <v>0</v>
      </c>
      <c r="AK627">
        <v>0</v>
      </c>
      <c r="AL627">
        <v>0</v>
      </c>
      <c r="AM627">
        <v>0</v>
      </c>
      <c r="AN627">
        <v>0</v>
      </c>
      <c r="AO627" t="str">
        <v>12/14林</v>
      </c>
      <c r="AP627">
        <v>0</v>
      </c>
    </row>
    <row r="628" spans="1:42">
      <c r="A628" t="str">
        <f>H628&amp;COUNTIF($H$2:H628,H628)</f>
        <v>等速ジョイント16</v>
      </c>
      <c r="B628" t="str">
        <f>F628&amp;COUNTIF($F$2:F628,F628)</f>
        <v>瑞陵精機29</v>
      </c>
      <c r="C628" t="str">
        <v>在職中</v>
      </c>
      <c r="D628">
        <v>221215</v>
      </c>
      <c r="E628">
        <v>0</v>
      </c>
      <c r="F628" t="str">
        <v>瑞陵精機</v>
      </c>
      <c r="G628" t="str">
        <v>製造課</v>
      </c>
      <c r="H628" t="str">
        <v>等速ジョイント</v>
      </c>
      <c r="I628" t="str">
        <v>ＮＣ旋盤、マシニングセンター等の工作機械を使いオペレーターとして製造ラインで製品を加工</v>
      </c>
      <c r="J628" t="str">
        <v>DINH PHU HUNG</v>
      </c>
      <c r="K628" t="str">
        <v>ディン　フー　フン</v>
      </c>
      <c r="L628" t="str">
        <v>男</v>
      </c>
      <c r="M628" t="str">
        <v>ﾍﾞﾄﾅﾑ</v>
      </c>
      <c r="N628">
        <v>36848</v>
      </c>
      <c r="O628">
        <v>23</v>
      </c>
      <c r="P628">
        <v>1250</v>
      </c>
      <c r="Q628">
        <v>0</v>
      </c>
      <c r="R628">
        <v>1700</v>
      </c>
      <c r="S628">
        <v>0</v>
      </c>
      <c r="T628">
        <v>450</v>
      </c>
      <c r="U628">
        <v>320000</v>
      </c>
      <c r="V628">
        <v>16015.999999999998</v>
      </c>
      <c r="W628" t="str">
        <v>0</v>
      </c>
      <c r="X628">
        <v>29280</v>
      </c>
      <c r="Y628">
        <v>45267</v>
      </c>
      <c r="Z628" t="str">
        <v>残り期限90日!</v>
      </c>
      <c r="AA628" t="str">
        <v>技術・人文知識・国際業務</v>
      </c>
      <c r="AB628" t="str">
        <v>509-7201</v>
      </c>
      <c r="AC628" t="str">
        <v>岐阜県恵那市大井町1454-1</v>
      </c>
      <c r="AD628" t="str">
        <v>社宅　一軒家</v>
      </c>
      <c r="AE628">
        <v>0</v>
      </c>
      <c r="AF628">
        <v>44907</v>
      </c>
      <c r="AG628">
        <v>0</v>
      </c>
      <c r="AH628">
        <v>0</v>
      </c>
      <c r="AI628" t="str">
        <v>23.1.1</v>
      </c>
      <c r="AJ628">
        <v>0</v>
      </c>
      <c r="AK628">
        <v>0</v>
      </c>
      <c r="AL628">
        <v>0</v>
      </c>
      <c r="AM628">
        <v>0</v>
      </c>
      <c r="AN628">
        <v>0</v>
      </c>
      <c r="AO628" t="str">
        <v>12/14林</v>
      </c>
      <c r="AP628">
        <v>0</v>
      </c>
    </row>
    <row r="629" spans="1:42">
      <c r="A629" t="str">
        <f>H629&amp;COUNTIF($H$2:H629,H629)</f>
        <v>等速ジョイント17</v>
      </c>
      <c r="B629" t="str">
        <f>F629&amp;COUNTIF($F$2:F629,F629)</f>
        <v>瑞陵精機30</v>
      </c>
      <c r="C629" t="str">
        <v>在職中</v>
      </c>
      <c r="D629">
        <v>221216</v>
      </c>
      <c r="E629">
        <v>0</v>
      </c>
      <c r="F629" t="str">
        <v>瑞陵精機</v>
      </c>
      <c r="G629" t="str">
        <v>製造課</v>
      </c>
      <c r="H629" t="str">
        <v>等速ジョイント</v>
      </c>
      <c r="I629" t="str">
        <v>ＮＣ旋盤、マシニングセンター等の工作機械を使いオペレーターとして製造ラインで製品を加工</v>
      </c>
      <c r="J629" t="str">
        <v>KIEU DUC TUAN</v>
      </c>
      <c r="K629" t="str">
        <v>キエウ　ドゥック　トゥアン</v>
      </c>
      <c r="L629" t="str">
        <v>男</v>
      </c>
      <c r="M629" t="str">
        <v>ﾍﾞﾄﾅﾑ</v>
      </c>
      <c r="N629">
        <v>36698</v>
      </c>
      <c r="O629">
        <v>23</v>
      </c>
      <c r="P629">
        <v>1250</v>
      </c>
      <c r="Q629">
        <v>0</v>
      </c>
      <c r="R629">
        <v>1700</v>
      </c>
      <c r="S629">
        <v>0</v>
      </c>
      <c r="T629">
        <v>450</v>
      </c>
      <c r="U629">
        <v>320000</v>
      </c>
      <c r="V629">
        <v>16015.999999999998</v>
      </c>
      <c r="W629" t="str">
        <v>0</v>
      </c>
      <c r="X629">
        <v>29280</v>
      </c>
      <c r="Y629">
        <v>45267</v>
      </c>
      <c r="Z629" t="str">
        <v>残り期限90日!</v>
      </c>
      <c r="AA629" t="str">
        <v>技術・人文知識・国際業務</v>
      </c>
      <c r="AB629" t="str">
        <v>509-7201</v>
      </c>
      <c r="AC629" t="str">
        <v>岐阜県恵那市大井町1454-1</v>
      </c>
      <c r="AD629" t="str">
        <v>社宅　一軒家</v>
      </c>
      <c r="AE629">
        <v>0</v>
      </c>
      <c r="AF629">
        <v>44907</v>
      </c>
      <c r="AG629">
        <v>0</v>
      </c>
      <c r="AH629">
        <v>0</v>
      </c>
      <c r="AI629" t="str">
        <v>23.1.1</v>
      </c>
      <c r="AJ629">
        <v>0</v>
      </c>
      <c r="AK629">
        <v>0</v>
      </c>
      <c r="AL629">
        <v>0</v>
      </c>
      <c r="AM629">
        <v>0</v>
      </c>
      <c r="AN629">
        <v>0</v>
      </c>
      <c r="AO629" t="str">
        <v>12/14林</v>
      </c>
      <c r="AP629">
        <v>0</v>
      </c>
    </row>
    <row r="630" spans="1:42">
      <c r="A630" t="str">
        <f>H630&amp;COUNTIF($H$2:H630,H630)</f>
        <v>成型ライン8</v>
      </c>
      <c r="B630" t="str">
        <f>F630&amp;COUNTIF($F$2:F630,F630)</f>
        <v>ピーエムアイ18</v>
      </c>
      <c r="C630" t="str">
        <v>在職中</v>
      </c>
      <c r="D630">
        <v>230104</v>
      </c>
      <c r="E630">
        <v>0</v>
      </c>
      <c r="F630" t="str">
        <v>ピーエムアイ</v>
      </c>
      <c r="G630" t="str">
        <v>製造1</v>
      </c>
      <c r="H630" t="str">
        <v>成型ライン</v>
      </c>
      <c r="I630" t="str">
        <v>プラスチック製品の製造におけるすべての行為</v>
      </c>
      <c r="J630" t="str">
        <v>LE THI HIEN</v>
      </c>
      <c r="K630" t="str">
        <v>レー　ティ　ヒエン</v>
      </c>
      <c r="L630" t="str">
        <v>女</v>
      </c>
      <c r="M630" t="str">
        <v>ﾍﾞﾄﾅﾑ</v>
      </c>
      <c r="N630">
        <v>31362</v>
      </c>
      <c r="O630">
        <v>38</v>
      </c>
      <c r="P630">
        <v>1300</v>
      </c>
      <c r="Q630">
        <v>0</v>
      </c>
      <c r="R630">
        <v>1800</v>
      </c>
      <c r="S630">
        <v>0</v>
      </c>
      <c r="T630">
        <v>500</v>
      </c>
      <c r="U630">
        <v>280000</v>
      </c>
      <c r="V630">
        <v>14014</v>
      </c>
      <c r="W630" t="str">
        <v>0</v>
      </c>
      <c r="X630">
        <v>25620</v>
      </c>
      <c r="Y630">
        <v>45465</v>
      </c>
      <c r="Z630" t="str">
        <v/>
      </c>
      <c r="AA630" t="str">
        <v>技術・人文知識・国際業務</v>
      </c>
      <c r="AB630" t="str">
        <v>471-0805</v>
      </c>
      <c r="AC630" t="str">
        <v>愛知県豊田市美里2-6-9</v>
      </c>
      <c r="AD630" t="str">
        <v>ﾚｼﾞｪﾝﾄﾞK204</v>
      </c>
      <c r="AE630">
        <v>44938</v>
      </c>
      <c r="AF630">
        <v>44939</v>
      </c>
      <c r="AG630">
        <v>0</v>
      </c>
      <c r="AH630">
        <v>0</v>
      </c>
      <c r="AI630" t="str">
        <v>23.2.1</v>
      </c>
      <c r="AJ630">
        <v>0</v>
      </c>
      <c r="AK630">
        <v>0</v>
      </c>
      <c r="AL630">
        <v>0</v>
      </c>
      <c r="AM630">
        <v>0</v>
      </c>
      <c r="AN630">
        <v>0</v>
      </c>
      <c r="AO630" t="str">
        <v>1/16林</v>
      </c>
      <c r="AP630">
        <v>0</v>
      </c>
    </row>
    <row r="631" spans="1:42">
      <c r="A631" t="str">
        <f>H631&amp;COUNTIF($H$2:H631,H631)</f>
        <v>0228</v>
      </c>
      <c r="B631" t="str">
        <f>F631&amp;COUNTIF($F$2:F631,F631)</f>
        <v>PATEC22</v>
      </c>
      <c r="C631" t="str">
        <v>在職中</v>
      </c>
      <c r="D631">
        <v>230105</v>
      </c>
      <c r="E631">
        <v>0</v>
      </c>
      <c r="F631" t="str">
        <v>PATEC</v>
      </c>
      <c r="G631">
        <v>0</v>
      </c>
      <c r="H631">
        <v>0</v>
      </c>
      <c r="I631">
        <v>0</v>
      </c>
      <c r="J631" t="str">
        <v>PHAM VAN THANH</v>
      </c>
      <c r="K631" t="str">
        <v>ファム　バン　タイン</v>
      </c>
      <c r="L631" t="str">
        <v>男</v>
      </c>
      <c r="M631" t="str">
        <v>ﾍﾞﾄﾅﾑ</v>
      </c>
      <c r="N631">
        <v>34597</v>
      </c>
      <c r="O631">
        <v>29</v>
      </c>
      <c r="P631">
        <v>1400</v>
      </c>
      <c r="Q631">
        <v>0</v>
      </c>
      <c r="R631">
        <v>2000</v>
      </c>
      <c r="S631">
        <v>0</v>
      </c>
      <c r="T631">
        <v>600</v>
      </c>
      <c r="U631">
        <v>320000</v>
      </c>
      <c r="V631">
        <v>16015.999999999998</v>
      </c>
      <c r="W631" t="str">
        <v>0</v>
      </c>
      <c r="X631">
        <v>29280</v>
      </c>
      <c r="Y631">
        <v>45665</v>
      </c>
      <c r="Z631" t="str">
        <v/>
      </c>
      <c r="AA631" t="str">
        <v>技術・人文知識・国際業務</v>
      </c>
      <c r="AB631" t="str">
        <v>747-0834</v>
      </c>
      <c r="AC631" t="str">
        <v>山口県防府市大字田島1510－5</v>
      </c>
      <c r="AD631" t="str">
        <v>ｱﾒﾆﾃｨﾊｲﾂ田島103</v>
      </c>
      <c r="AE631">
        <v>44943</v>
      </c>
      <c r="AF631">
        <v>44944</v>
      </c>
      <c r="AG631">
        <v>0</v>
      </c>
      <c r="AH631">
        <v>0</v>
      </c>
      <c r="AI631" t="str">
        <v>23.2.1</v>
      </c>
      <c r="AJ631">
        <v>0</v>
      </c>
      <c r="AK631">
        <v>0</v>
      </c>
      <c r="AL631">
        <v>0</v>
      </c>
      <c r="AM631">
        <v>0</v>
      </c>
      <c r="AN631">
        <v>0</v>
      </c>
      <c r="AO631" t="str">
        <v>2/15林</v>
      </c>
      <c r="AP631">
        <v>0</v>
      </c>
    </row>
    <row r="632" spans="1:42">
      <c r="A632" t="str">
        <f>H632&amp;COUNTIF($H$2:H632,H632)</f>
        <v>成型ライン9</v>
      </c>
      <c r="B632" t="str">
        <f>F632&amp;COUNTIF($F$2:F632,F632)</f>
        <v>ピーエムアイ19</v>
      </c>
      <c r="C632" t="str">
        <v>在職中</v>
      </c>
      <c r="D632">
        <v>230109</v>
      </c>
      <c r="E632">
        <v>0</v>
      </c>
      <c r="F632" t="str">
        <v>ピーエムアイ</v>
      </c>
      <c r="G632" t="str">
        <v>製造1</v>
      </c>
      <c r="H632" t="str">
        <v>成型ライン</v>
      </c>
      <c r="I632" t="str">
        <v>プラスチック製品の製造におけるすべての行為</v>
      </c>
      <c r="J632" t="str">
        <v>NGUYEN THI HIEN</v>
      </c>
      <c r="K632" t="str">
        <v>グエン　ティ　ヒエン</v>
      </c>
      <c r="L632" t="str">
        <v>女</v>
      </c>
      <c r="M632" t="str">
        <v>ﾍﾞﾄﾅﾑ</v>
      </c>
      <c r="N632">
        <v>32284</v>
      </c>
      <c r="O632">
        <v>35</v>
      </c>
      <c r="P632">
        <v>1300</v>
      </c>
      <c r="Q632">
        <v>0</v>
      </c>
      <c r="R632">
        <v>1800</v>
      </c>
      <c r="S632">
        <v>0</v>
      </c>
      <c r="T632">
        <v>500</v>
      </c>
      <c r="U632">
        <v>280000</v>
      </c>
      <c r="V632">
        <v>14014</v>
      </c>
      <c r="W632" t="str">
        <v>0</v>
      </c>
      <c r="X632">
        <v>25620</v>
      </c>
      <c r="Y632">
        <v>45563</v>
      </c>
      <c r="Z632" t="str">
        <v/>
      </c>
      <c r="AA632" t="str">
        <v>技術・人文知識・国際業務</v>
      </c>
      <c r="AB632" t="str">
        <v>471-0805</v>
      </c>
      <c r="AC632" t="str">
        <v>愛知県豊田市美里2-6-9</v>
      </c>
      <c r="AD632" t="str">
        <v>ﾚｼﾞｪﾝﾄﾞK204</v>
      </c>
      <c r="AE632">
        <v>44946</v>
      </c>
      <c r="AF632">
        <v>44949</v>
      </c>
      <c r="AG632">
        <v>0</v>
      </c>
      <c r="AH632">
        <v>0</v>
      </c>
      <c r="AI632" t="str">
        <v>23.2.1</v>
      </c>
      <c r="AJ632">
        <v>0</v>
      </c>
      <c r="AK632">
        <v>0</v>
      </c>
      <c r="AL632">
        <v>0</v>
      </c>
      <c r="AM632">
        <v>0</v>
      </c>
      <c r="AN632">
        <v>0</v>
      </c>
      <c r="AO632" t="str">
        <v>1/25林</v>
      </c>
      <c r="AP632">
        <v>0</v>
      </c>
    </row>
    <row r="633" spans="1:42">
      <c r="A633" t="str">
        <f>H633&amp;COUNTIF($H$2:H633,H633)</f>
        <v>0229</v>
      </c>
      <c r="B633" t="str">
        <f>F633&amp;COUNTIF($F$2:F633,F633)</f>
        <v>プレテック6</v>
      </c>
      <c r="C633" t="str">
        <v>退社</v>
      </c>
      <c r="D633">
        <v>210612</v>
      </c>
      <c r="E633">
        <v>0</v>
      </c>
      <c r="F633" t="str">
        <v>プレテック</v>
      </c>
      <c r="G633">
        <v>0</v>
      </c>
      <c r="H633">
        <v>0</v>
      </c>
      <c r="I633">
        <v>0</v>
      </c>
      <c r="J633" t="str">
        <v>NGUYEN THI NGOC LINH</v>
      </c>
      <c r="K633" t="str">
        <v>グエン　ティ　ゴック　リン</v>
      </c>
      <c r="L633" t="str">
        <v>女</v>
      </c>
      <c r="M633" t="str">
        <v>ﾍﾞﾄﾅﾑ</v>
      </c>
      <c r="N633">
        <v>34226</v>
      </c>
      <c r="O633">
        <v>30</v>
      </c>
      <c r="P633">
        <v>1300</v>
      </c>
      <c r="Q633">
        <v>0</v>
      </c>
      <c r="R633">
        <v>1750</v>
      </c>
      <c r="S633">
        <v>0</v>
      </c>
      <c r="T633">
        <v>450</v>
      </c>
      <c r="U633">
        <v>180000</v>
      </c>
      <c r="V633">
        <v>9009</v>
      </c>
      <c r="W633" t="str">
        <v>0</v>
      </c>
      <c r="X633">
        <v>16470</v>
      </c>
      <c r="Y633">
        <v>45325</v>
      </c>
      <c r="Z633" t="str">
        <v>残り期限90日!</v>
      </c>
      <c r="AA633" t="str">
        <v>技術・人文知識・国際業務</v>
      </c>
      <c r="AB633" t="str">
        <v>715-0022</v>
      </c>
      <c r="AC633" t="str">
        <v>岡山県井原市下出部町2丁目8-7</v>
      </c>
      <c r="AD633" t="str">
        <v>ｴｽﾃｰﾄｲﾃﾞﾊﾗB102</v>
      </c>
      <c r="AE633">
        <v>0</v>
      </c>
      <c r="AF633">
        <v>44949</v>
      </c>
      <c r="AG633">
        <v>45061</v>
      </c>
      <c r="AH633">
        <v>0</v>
      </c>
      <c r="AI633" t="str">
        <v>23.1.23</v>
      </c>
      <c r="AJ633">
        <v>0</v>
      </c>
      <c r="AK633">
        <v>0</v>
      </c>
      <c r="AL633">
        <v>0</v>
      </c>
      <c r="AM633">
        <v>0</v>
      </c>
      <c r="AN633">
        <v>0</v>
      </c>
      <c r="AO633" t="str">
        <v>2/27林</v>
      </c>
      <c r="AP633">
        <v>0</v>
      </c>
    </row>
    <row r="634" spans="1:42">
      <c r="A634" t="str">
        <f>H634&amp;COUNTIF($H$2:H634,H634)</f>
        <v>0230</v>
      </c>
      <c r="B634" t="str">
        <f>F634&amp;COUNTIF($F$2:F634,F634)</f>
        <v>PATEC23</v>
      </c>
      <c r="C634" t="str">
        <v>在職中</v>
      </c>
      <c r="D634">
        <v>220413</v>
      </c>
      <c r="E634">
        <v>0</v>
      </c>
      <c r="F634" t="str">
        <v>PATEC</v>
      </c>
      <c r="G634">
        <v>0</v>
      </c>
      <c r="H634">
        <v>0</v>
      </c>
      <c r="I634">
        <v>0</v>
      </c>
      <c r="J634" t="str">
        <v>NGUYEN VAN NINH</v>
      </c>
      <c r="K634" t="str">
        <v>グエン　ヴァン　ニン</v>
      </c>
      <c r="L634" t="str">
        <v>男</v>
      </c>
      <c r="M634" t="str">
        <v>ﾍﾞﾄﾅﾑ</v>
      </c>
      <c r="N634">
        <v>31966</v>
      </c>
      <c r="O634">
        <v>36</v>
      </c>
      <c r="P634">
        <v>1500</v>
      </c>
      <c r="Q634">
        <v>0</v>
      </c>
      <c r="R634">
        <v>2100</v>
      </c>
      <c r="S634">
        <v>0</v>
      </c>
      <c r="T634">
        <v>600</v>
      </c>
      <c r="U634">
        <v>380000</v>
      </c>
      <c r="V634">
        <v>19019</v>
      </c>
      <c r="W634" t="str">
        <v>0</v>
      </c>
      <c r="X634">
        <v>34770</v>
      </c>
      <c r="Y634">
        <v>45350</v>
      </c>
      <c r="Z634" t="str">
        <v>残り期限90日!</v>
      </c>
      <c r="AA634" t="str">
        <v>技術・人文知識・国際業務</v>
      </c>
      <c r="AB634" t="str">
        <v>747-0833</v>
      </c>
      <c r="AC634" t="str">
        <v>山口県防府市大字浜方716-15</v>
      </c>
      <c r="AD634" t="str">
        <v>ｱﾙｿｰﾚD201</v>
      </c>
      <c r="AE634">
        <v>0</v>
      </c>
      <c r="AF634">
        <v>44957</v>
      </c>
      <c r="AG634">
        <v>0</v>
      </c>
      <c r="AH634">
        <v>0</v>
      </c>
      <c r="AI634" t="str">
        <v>23.2.1</v>
      </c>
      <c r="AJ634">
        <v>0</v>
      </c>
      <c r="AK634">
        <v>0</v>
      </c>
      <c r="AL634">
        <v>0</v>
      </c>
      <c r="AM634">
        <v>0</v>
      </c>
      <c r="AN634">
        <v>0</v>
      </c>
      <c r="AO634" t="str">
        <v>2/15林</v>
      </c>
      <c r="AP634">
        <v>0</v>
      </c>
    </row>
    <row r="635" spans="1:42">
      <c r="A635" t="str">
        <f>H635&amp;COUNTIF($H$2:H635,H635)</f>
        <v>0231</v>
      </c>
      <c r="B635" t="str">
        <f>F635&amp;COUNTIF($F$2:F635,F635)</f>
        <v>PATEC24</v>
      </c>
      <c r="C635" t="str">
        <v>退社</v>
      </c>
      <c r="D635">
        <v>230112</v>
      </c>
      <c r="E635">
        <v>0</v>
      </c>
      <c r="F635" t="str">
        <v>PATEC</v>
      </c>
      <c r="G635">
        <v>0</v>
      </c>
      <c r="H635">
        <v>0</v>
      </c>
      <c r="I635">
        <v>0</v>
      </c>
      <c r="J635" t="str">
        <v>TRAN VAN PHONG</v>
      </c>
      <c r="K635" t="str">
        <v>チャン　ヴァン　フォン</v>
      </c>
      <c r="L635" t="str">
        <v>男</v>
      </c>
      <c r="M635" t="str">
        <v>ﾍﾞﾄﾅﾑ</v>
      </c>
      <c r="N635">
        <v>34322</v>
      </c>
      <c r="O635">
        <v>29</v>
      </c>
      <c r="P635">
        <v>1400</v>
      </c>
      <c r="Q635">
        <v>0</v>
      </c>
      <c r="R635">
        <v>2000</v>
      </c>
      <c r="S635">
        <v>0</v>
      </c>
      <c r="T635">
        <v>600</v>
      </c>
      <c r="U635">
        <v>320000</v>
      </c>
      <c r="V635">
        <v>16015.999999999998</v>
      </c>
      <c r="W635" t="str">
        <v>0</v>
      </c>
      <c r="X635">
        <v>29280</v>
      </c>
      <c r="Y635">
        <v>45608</v>
      </c>
      <c r="Z635" t="str">
        <v/>
      </c>
      <c r="AA635" t="str">
        <v>技術・人文知識・国際業務</v>
      </c>
      <c r="AB635" t="str">
        <v>747-0834</v>
      </c>
      <c r="AC635" t="str">
        <v>山口県防府市大字田島1510－5</v>
      </c>
      <c r="AD635" t="str">
        <v>ｱﾒﾆﾃｨﾊｲﾂ田島101</v>
      </c>
      <c r="AE635">
        <v>44956</v>
      </c>
      <c r="AF635">
        <v>44957</v>
      </c>
      <c r="AG635">
        <v>45219</v>
      </c>
      <c r="AH635">
        <v>0</v>
      </c>
      <c r="AI635" t="str">
        <v>23.2.1</v>
      </c>
      <c r="AJ635">
        <v>0</v>
      </c>
      <c r="AK635">
        <v>0</v>
      </c>
      <c r="AL635">
        <v>0</v>
      </c>
      <c r="AM635">
        <v>0</v>
      </c>
      <c r="AN635">
        <v>0</v>
      </c>
      <c r="AO635" t="str">
        <v>2/15林</v>
      </c>
      <c r="AP635">
        <v>0</v>
      </c>
    </row>
    <row r="636" spans="1:42">
      <c r="A636" t="str">
        <f>H636&amp;COUNTIF($H$2:H636,H636)</f>
        <v>0232</v>
      </c>
      <c r="B636" t="str">
        <f>F636&amp;COUNTIF($F$2:F636,F636)</f>
        <v>六甲電子22</v>
      </c>
      <c r="C636" t="str">
        <v>退社</v>
      </c>
      <c r="D636">
        <v>230111</v>
      </c>
      <c r="E636">
        <v>0</v>
      </c>
      <c r="F636" t="str">
        <v>六甲電子</v>
      </c>
      <c r="G636">
        <v>0</v>
      </c>
      <c r="H636">
        <v>0</v>
      </c>
      <c r="I636">
        <v>0</v>
      </c>
      <c r="J636" t="str">
        <v>LE TRUNG DUC</v>
      </c>
      <c r="K636" t="str">
        <v>レ　チュン　ジク</v>
      </c>
      <c r="L636" t="str">
        <v>男</v>
      </c>
      <c r="M636" t="str">
        <v>ﾍﾞﾄﾅﾑ</v>
      </c>
      <c r="N636">
        <v>33646</v>
      </c>
      <c r="O636">
        <v>31</v>
      </c>
      <c r="P636">
        <v>1400</v>
      </c>
      <c r="Q636">
        <v>0</v>
      </c>
      <c r="R636">
        <v>2000</v>
      </c>
      <c r="S636">
        <v>0</v>
      </c>
      <c r="T636">
        <v>600</v>
      </c>
      <c r="U636">
        <v>180000</v>
      </c>
      <c r="V636">
        <v>9009</v>
      </c>
      <c r="W636" t="str">
        <v>0</v>
      </c>
      <c r="X636">
        <v>16470</v>
      </c>
      <c r="Y636">
        <v>45029</v>
      </c>
      <c r="Z636" t="str">
        <v>残り期限90日!</v>
      </c>
      <c r="AA636" t="str">
        <v>技術・人文知識・国際業務</v>
      </c>
      <c r="AB636" t="str">
        <v>663-8021</v>
      </c>
      <c r="AC636" t="str">
        <v>兵庫県西宮市上之町25-54</v>
      </c>
      <c r="AD636" t="str">
        <v>西宮ｵﾘｴﾝﾀﾙﾏﾝｼｮﾝ102</v>
      </c>
      <c r="AE636">
        <v>44953</v>
      </c>
      <c r="AF636">
        <v>44957</v>
      </c>
      <c r="AG636">
        <v>44964</v>
      </c>
      <c r="AH636">
        <v>44966</v>
      </c>
      <c r="AI636">
        <v>0</v>
      </c>
      <c r="AJ636">
        <v>0</v>
      </c>
      <c r="AK636">
        <v>0</v>
      </c>
      <c r="AL636">
        <v>0</v>
      </c>
      <c r="AM636">
        <v>0</v>
      </c>
      <c r="AN636">
        <v>0</v>
      </c>
      <c r="AO636">
        <v>0</v>
      </c>
      <c r="AP636">
        <v>0</v>
      </c>
    </row>
    <row r="637" spans="1:42">
      <c r="A637" t="str">
        <f>H637&amp;COUNTIF($H$2:H637,H637)</f>
        <v>0233</v>
      </c>
      <c r="B637" t="str">
        <f>F637&amp;COUNTIF($F$2:F637,F637)</f>
        <v>六甲電子23</v>
      </c>
      <c r="C637" t="str">
        <v>在職中</v>
      </c>
      <c r="D637">
        <v>230110</v>
      </c>
      <c r="E637">
        <v>0</v>
      </c>
      <c r="F637" t="str">
        <v>六甲電子</v>
      </c>
      <c r="G637">
        <v>0</v>
      </c>
      <c r="H637">
        <v>0</v>
      </c>
      <c r="I637">
        <v>0</v>
      </c>
      <c r="J637" t="str">
        <v>NGUYEN VAN TRUONG</v>
      </c>
      <c r="K637" t="str">
        <v>グエン　ヴァン　チュオン</v>
      </c>
      <c r="L637" t="str">
        <v>男</v>
      </c>
      <c r="M637" t="str">
        <v>ﾍﾞﾄﾅﾑ</v>
      </c>
      <c r="N637">
        <v>35258</v>
      </c>
      <c r="O637">
        <v>27</v>
      </c>
      <c r="P637">
        <v>1400</v>
      </c>
      <c r="Q637">
        <v>0</v>
      </c>
      <c r="R637">
        <v>2000</v>
      </c>
      <c r="S637">
        <v>0</v>
      </c>
      <c r="T637">
        <v>600</v>
      </c>
      <c r="U637">
        <v>280000</v>
      </c>
      <c r="V637">
        <v>14014</v>
      </c>
      <c r="W637" t="str">
        <v>0</v>
      </c>
      <c r="X637">
        <v>25620</v>
      </c>
      <c r="Y637">
        <v>45505</v>
      </c>
      <c r="Z637" t="str">
        <v/>
      </c>
      <c r="AA637" t="str">
        <v>技術・人文知識・国際業務</v>
      </c>
      <c r="AB637" t="str">
        <v>663-8105</v>
      </c>
      <c r="AC637" t="str">
        <v>兵庫県西宮市中島町7-5</v>
      </c>
      <c r="AD637" t="str">
        <v>ｼｬﾙﾑ三田303</v>
      </c>
      <c r="AE637">
        <v>45192</v>
      </c>
      <c r="AF637">
        <v>44957</v>
      </c>
      <c r="AG637">
        <v>0</v>
      </c>
      <c r="AH637">
        <v>0</v>
      </c>
      <c r="AI637" t="str">
        <v>23.2.1</v>
      </c>
      <c r="AJ637">
        <v>0</v>
      </c>
      <c r="AK637">
        <v>0</v>
      </c>
      <c r="AL637">
        <v>0</v>
      </c>
      <c r="AM637">
        <v>0</v>
      </c>
      <c r="AN637">
        <v>0</v>
      </c>
      <c r="AO637" t="str">
        <v>2/15林</v>
      </c>
      <c r="AP637">
        <v>0</v>
      </c>
    </row>
    <row r="638" spans="1:42">
      <c r="A638" t="str">
        <f>H638&amp;COUNTIF($H$2:H638,H638)</f>
        <v>成型ライン10</v>
      </c>
      <c r="B638" t="str">
        <f>F638&amp;COUNTIF($F$2:F638,F638)</f>
        <v>ピーエムアイ20</v>
      </c>
      <c r="C638" t="str">
        <v>在職中</v>
      </c>
      <c r="D638">
        <v>230205</v>
      </c>
      <c r="E638">
        <v>0</v>
      </c>
      <c r="F638" t="str">
        <v>ピーエムアイ</v>
      </c>
      <c r="G638" t="str">
        <v>製造1</v>
      </c>
      <c r="H638" t="str">
        <v>成型ライン</v>
      </c>
      <c r="I638" t="str">
        <v>プラスチック製品の製造におけるすべての行為</v>
      </c>
      <c r="J638" t="str">
        <v>NGUYEN TRUONG GIANG</v>
      </c>
      <c r="K638" t="str">
        <v>グエン　トゥオン　ジャン</v>
      </c>
      <c r="L638" t="str">
        <v>男</v>
      </c>
      <c r="M638" t="str">
        <v>ﾍﾞﾄﾅﾑ</v>
      </c>
      <c r="N638">
        <v>35363</v>
      </c>
      <c r="O638">
        <v>27</v>
      </c>
      <c r="P638">
        <v>1300</v>
      </c>
      <c r="Q638">
        <v>0</v>
      </c>
      <c r="R638">
        <v>1800</v>
      </c>
      <c r="S638">
        <v>0</v>
      </c>
      <c r="T638">
        <v>500</v>
      </c>
      <c r="U638">
        <v>300000</v>
      </c>
      <c r="V638">
        <v>15014.999999999998</v>
      </c>
      <c r="W638" t="str">
        <v>0</v>
      </c>
      <c r="X638">
        <v>27450</v>
      </c>
      <c r="Y638">
        <v>45363</v>
      </c>
      <c r="Z638" t="str">
        <v/>
      </c>
      <c r="AA638" t="str">
        <v>技術・人文知識・国際業務</v>
      </c>
      <c r="AB638" t="str">
        <v>471-0805</v>
      </c>
      <c r="AC638" t="str">
        <v>愛知県豊田市美里2-6-9</v>
      </c>
      <c r="AD638" t="str">
        <v>ﾚｼﾞｪﾝﾄﾞK301</v>
      </c>
      <c r="AE638">
        <v>44967</v>
      </c>
      <c r="AF638">
        <v>44970</v>
      </c>
      <c r="AG638">
        <v>0</v>
      </c>
      <c r="AH638">
        <v>0</v>
      </c>
      <c r="AI638" t="str">
        <v>23.2.13</v>
      </c>
      <c r="AJ638">
        <v>0</v>
      </c>
      <c r="AK638">
        <v>0</v>
      </c>
      <c r="AL638">
        <v>0</v>
      </c>
      <c r="AM638">
        <v>0</v>
      </c>
      <c r="AN638">
        <v>0</v>
      </c>
      <c r="AO638" t="str">
        <v>2/27林</v>
      </c>
      <c r="AP638">
        <v>0</v>
      </c>
    </row>
    <row r="639" spans="1:42">
      <c r="A639" t="str">
        <f>H639&amp;COUNTIF($H$2:H639,H639)</f>
        <v>成型ライン11</v>
      </c>
      <c r="B639" t="str">
        <f>F639&amp;COUNTIF($F$2:F639,F639)</f>
        <v>ピーエムアイ21</v>
      </c>
      <c r="C639" t="str">
        <v>在職中</v>
      </c>
      <c r="D639">
        <v>230206</v>
      </c>
      <c r="E639">
        <v>0</v>
      </c>
      <c r="F639" t="str">
        <v>ピーエムアイ</v>
      </c>
      <c r="G639" t="str">
        <v>製造1</v>
      </c>
      <c r="H639" t="str">
        <v>成型ライン</v>
      </c>
      <c r="I639" t="str">
        <v>プラスチック製品の製造におけるすべての行為</v>
      </c>
      <c r="J639" t="str">
        <v>PHAM HONG CUONG</v>
      </c>
      <c r="K639" t="str">
        <v>ファン　ホン　クオン</v>
      </c>
      <c r="L639" t="str">
        <v>男</v>
      </c>
      <c r="M639" t="str">
        <v>ﾍﾞﾄﾅﾑ</v>
      </c>
      <c r="N639">
        <v>33303</v>
      </c>
      <c r="O639">
        <v>32</v>
      </c>
      <c r="P639">
        <v>1300</v>
      </c>
      <c r="Q639">
        <v>0</v>
      </c>
      <c r="R639">
        <v>1800</v>
      </c>
      <c r="S639">
        <v>0</v>
      </c>
      <c r="T639">
        <v>500</v>
      </c>
      <c r="U639">
        <v>260000</v>
      </c>
      <c r="V639">
        <v>13013</v>
      </c>
      <c r="W639" t="str">
        <v>0</v>
      </c>
      <c r="X639">
        <v>23790</v>
      </c>
      <c r="Y639">
        <v>45590</v>
      </c>
      <c r="Z639" t="str">
        <v/>
      </c>
      <c r="AA639" t="str">
        <v>技術・人文知識・国際業務</v>
      </c>
      <c r="AB639" t="str">
        <v>471-0805</v>
      </c>
      <c r="AC639" t="str">
        <v>愛知県豊田市美里2-6-9</v>
      </c>
      <c r="AD639" t="str">
        <v>ﾚｼﾞｪﾝﾄﾞK203</v>
      </c>
      <c r="AE639">
        <v>44982</v>
      </c>
      <c r="AF639">
        <v>44978</v>
      </c>
      <c r="AG639">
        <v>0</v>
      </c>
      <c r="AH639">
        <v>0</v>
      </c>
      <c r="AI639" t="str">
        <v>23.3.1</v>
      </c>
      <c r="AJ639">
        <v>0</v>
      </c>
      <c r="AK639">
        <v>0</v>
      </c>
      <c r="AL639">
        <v>0</v>
      </c>
      <c r="AM639">
        <v>0</v>
      </c>
      <c r="AN639">
        <v>0</v>
      </c>
      <c r="AO639" t="str">
        <v>3/24原</v>
      </c>
      <c r="AP639">
        <v>0</v>
      </c>
    </row>
    <row r="640" spans="1:42">
      <c r="A640" t="str">
        <f>H640&amp;COUNTIF($H$2:H640,H640)</f>
        <v>0234</v>
      </c>
      <c r="B640" t="str">
        <f>F640&amp;COUNTIF($F$2:F640,F640)</f>
        <v>PATEC25</v>
      </c>
      <c r="C640" t="str">
        <v>退社</v>
      </c>
      <c r="D640">
        <v>230207</v>
      </c>
      <c r="E640">
        <v>0</v>
      </c>
      <c r="F640" t="str">
        <v>PATEC</v>
      </c>
      <c r="G640">
        <v>0</v>
      </c>
      <c r="H640">
        <v>0</v>
      </c>
      <c r="I640">
        <v>0</v>
      </c>
      <c r="J640" t="str">
        <v>TRAN NHU CANH</v>
      </c>
      <c r="K640" t="str">
        <v>チャン　ニュ　カン</v>
      </c>
      <c r="L640" t="str">
        <v>男</v>
      </c>
      <c r="M640" t="str">
        <v>ﾍﾞﾄﾅﾑ</v>
      </c>
      <c r="N640">
        <v>32586</v>
      </c>
      <c r="O640">
        <v>34</v>
      </c>
      <c r="P640">
        <v>1400</v>
      </c>
      <c r="Q640">
        <v>0</v>
      </c>
      <c r="R640">
        <v>2000</v>
      </c>
      <c r="S640">
        <v>0</v>
      </c>
      <c r="T640">
        <v>600</v>
      </c>
      <c r="U640">
        <v>300000</v>
      </c>
      <c r="V640">
        <v>15014.999999999998</v>
      </c>
      <c r="W640" t="str">
        <v>0</v>
      </c>
      <c r="X640">
        <v>27450</v>
      </c>
      <c r="Y640">
        <v>45321</v>
      </c>
      <c r="Z640" t="str">
        <v>残り期限90日!</v>
      </c>
      <c r="AA640" t="str">
        <v>技術・人文知識・国際業務</v>
      </c>
      <c r="AB640" t="str">
        <v>747-0834</v>
      </c>
      <c r="AC640" t="str">
        <v>山口県防府市大字田島531-1</v>
      </c>
      <c r="AD640" t="str">
        <v>ﾛｼﾞｭﾏﾝ千希A201号</v>
      </c>
      <c r="AE640">
        <v>44977</v>
      </c>
      <c r="AF640">
        <v>44979</v>
      </c>
      <c r="AG640">
        <v>45201</v>
      </c>
      <c r="AH640">
        <v>0</v>
      </c>
      <c r="AI640" t="str">
        <v>23.3.1</v>
      </c>
      <c r="AJ640">
        <v>0</v>
      </c>
      <c r="AK640">
        <v>0</v>
      </c>
      <c r="AL640">
        <v>0</v>
      </c>
      <c r="AM640">
        <v>0</v>
      </c>
      <c r="AN640">
        <v>0</v>
      </c>
      <c r="AO640" t="str">
        <v>3/30林</v>
      </c>
      <c r="AP640">
        <v>0</v>
      </c>
    </row>
    <row r="641" spans="1:42">
      <c r="A641" t="str">
        <f>H641&amp;COUNTIF($H$2:H641,H641)</f>
        <v>0235</v>
      </c>
      <c r="B641" t="str">
        <f>F641&amp;COUNTIF($F$2:F641,F641)</f>
        <v>PATEC26</v>
      </c>
      <c r="C641" t="str">
        <v>在職中</v>
      </c>
      <c r="D641">
        <v>230208</v>
      </c>
      <c r="E641">
        <v>0</v>
      </c>
      <c r="F641" t="str">
        <v>PATEC</v>
      </c>
      <c r="G641">
        <v>0</v>
      </c>
      <c r="H641">
        <v>0</v>
      </c>
      <c r="I641">
        <v>0</v>
      </c>
      <c r="J641" t="str">
        <v>DANG NGOC SON</v>
      </c>
      <c r="K641" t="str">
        <v>ダン　ゴック　ソン</v>
      </c>
      <c r="L641" t="str">
        <v>男</v>
      </c>
      <c r="M641" t="str">
        <v>ﾍﾞﾄﾅﾑ</v>
      </c>
      <c r="N641">
        <v>30351</v>
      </c>
      <c r="O641">
        <v>40</v>
      </c>
      <c r="P641">
        <v>1500</v>
      </c>
      <c r="Q641">
        <v>0</v>
      </c>
      <c r="R641">
        <v>2000</v>
      </c>
      <c r="S641">
        <v>0</v>
      </c>
      <c r="T641">
        <v>500</v>
      </c>
      <c r="U641">
        <v>280000</v>
      </c>
      <c r="V641">
        <v>14014</v>
      </c>
      <c r="W641">
        <v>2548</v>
      </c>
      <c r="X641">
        <v>25620</v>
      </c>
      <c r="Y641">
        <v>46234</v>
      </c>
      <c r="Z641" t="str">
        <v/>
      </c>
      <c r="AA641" t="str">
        <v>技術・人文知識・国際業務</v>
      </c>
      <c r="AB641" t="str">
        <v>747-0833</v>
      </c>
      <c r="AC641" t="str">
        <v>山口県防府市大字浜方716-15</v>
      </c>
      <c r="AD641" t="str">
        <v>ｱﾙｿｰﾚD203</v>
      </c>
      <c r="AE641">
        <v>44977</v>
      </c>
      <c r="AF641">
        <v>44979</v>
      </c>
      <c r="AG641">
        <v>0</v>
      </c>
      <c r="AH641">
        <v>0</v>
      </c>
      <c r="AI641" t="str">
        <v>23.3.1</v>
      </c>
      <c r="AJ641">
        <v>0</v>
      </c>
      <c r="AK641">
        <v>0</v>
      </c>
      <c r="AL641">
        <v>0</v>
      </c>
      <c r="AM641">
        <v>0</v>
      </c>
      <c r="AN641">
        <v>0</v>
      </c>
      <c r="AO641" t="str">
        <v>3/30林</v>
      </c>
      <c r="AP641">
        <v>0</v>
      </c>
    </row>
    <row r="642" spans="1:42">
      <c r="A642" t="str">
        <f>H642&amp;COUNTIF($H$2:H642,H642)</f>
        <v>0236</v>
      </c>
      <c r="B642" t="str">
        <f>F642&amp;COUNTIF($F$2:F642,F642)</f>
        <v>PATEC27</v>
      </c>
      <c r="C642" t="str">
        <v>在職中</v>
      </c>
      <c r="D642">
        <v>230209</v>
      </c>
      <c r="E642">
        <v>0</v>
      </c>
      <c r="F642" t="str">
        <v>PATEC</v>
      </c>
      <c r="G642">
        <v>0</v>
      </c>
      <c r="H642">
        <v>0</v>
      </c>
      <c r="I642">
        <v>0</v>
      </c>
      <c r="J642" t="str">
        <v>LE  VAN THAO</v>
      </c>
      <c r="K642" t="str">
        <v>レ　ヴァン　タオ</v>
      </c>
      <c r="L642" t="str">
        <v>男</v>
      </c>
      <c r="M642" t="str">
        <v>ﾍﾞﾄﾅﾑ</v>
      </c>
      <c r="N642">
        <v>33629</v>
      </c>
      <c r="O642">
        <v>31</v>
      </c>
      <c r="P642">
        <v>1500</v>
      </c>
      <c r="Q642">
        <v>0</v>
      </c>
      <c r="R642">
        <v>2000</v>
      </c>
      <c r="S642">
        <v>0</v>
      </c>
      <c r="T642">
        <v>500</v>
      </c>
      <c r="U642">
        <v>320000</v>
      </c>
      <c r="V642">
        <v>16015.999999999998</v>
      </c>
      <c r="W642" t="str">
        <v>0</v>
      </c>
      <c r="X642">
        <v>29280</v>
      </c>
      <c r="Y642">
        <v>45805</v>
      </c>
      <c r="Z642" t="str">
        <v/>
      </c>
      <c r="AA642" t="str">
        <v>技術・人文知識・国際業務</v>
      </c>
      <c r="AB642" t="str">
        <v>747-0834</v>
      </c>
      <c r="AC642" t="str">
        <v>山口県防府市大字田島531-1</v>
      </c>
      <c r="AD642" t="str">
        <v>ﾛｼﾞｭﾏﾝ千希A202号</v>
      </c>
      <c r="AE642">
        <v>44977</v>
      </c>
      <c r="AF642">
        <v>44979</v>
      </c>
      <c r="AG642">
        <v>0</v>
      </c>
      <c r="AH642">
        <v>0</v>
      </c>
      <c r="AI642" t="str">
        <v>23.2.22</v>
      </c>
      <c r="AJ642">
        <v>0</v>
      </c>
      <c r="AK642">
        <v>0</v>
      </c>
      <c r="AL642">
        <v>0</v>
      </c>
      <c r="AM642">
        <v>0</v>
      </c>
      <c r="AN642">
        <v>0</v>
      </c>
      <c r="AO642" t="str">
        <v>2/27林</v>
      </c>
      <c r="AP642">
        <v>0</v>
      </c>
    </row>
    <row r="643" spans="1:42">
      <c r="A643" t="str">
        <f>H643&amp;COUNTIF($H$2:H643,H643)</f>
        <v>0237</v>
      </c>
      <c r="B643" t="str">
        <f>F643&amp;COUNTIF($F$2:F643,F643)</f>
        <v>PATEC28</v>
      </c>
      <c r="C643" t="str">
        <v>在職中</v>
      </c>
      <c r="D643">
        <v>230210</v>
      </c>
      <c r="E643">
        <v>0</v>
      </c>
      <c r="F643" t="str">
        <v>PATEC</v>
      </c>
      <c r="G643">
        <v>0</v>
      </c>
      <c r="H643">
        <v>0</v>
      </c>
      <c r="I643">
        <v>0</v>
      </c>
      <c r="J643" t="str">
        <v>TRAN NGOC DINH</v>
      </c>
      <c r="K643" t="str">
        <v>チャン　ノック　ディン</v>
      </c>
      <c r="L643" t="str">
        <v>男</v>
      </c>
      <c r="M643" t="str">
        <v>ﾍﾞﾄﾅﾑ</v>
      </c>
      <c r="N643">
        <v>32567</v>
      </c>
      <c r="O643">
        <v>34</v>
      </c>
      <c r="P643">
        <v>1500</v>
      </c>
      <c r="Q643">
        <v>0</v>
      </c>
      <c r="R643">
        <v>2000</v>
      </c>
      <c r="S643">
        <v>0</v>
      </c>
      <c r="T643">
        <v>500</v>
      </c>
      <c r="U643">
        <v>320000</v>
      </c>
      <c r="V643">
        <v>16015.999999999998</v>
      </c>
      <c r="W643" t="str">
        <v>0</v>
      </c>
      <c r="X643">
        <v>29280</v>
      </c>
      <c r="Y643">
        <v>46334</v>
      </c>
      <c r="Z643" t="str">
        <v/>
      </c>
      <c r="AA643" t="str">
        <v>技術・人文知識・国際業務</v>
      </c>
      <c r="AB643" t="str">
        <v>747-0834</v>
      </c>
      <c r="AC643" t="str">
        <v>山口県防府市大字田島545-2</v>
      </c>
      <c r="AD643" t="str">
        <v>ﾋﾞﾚｯｼﾞﾊｳｽ田島2棟404号</v>
      </c>
      <c r="AE643" t="str">
        <v>個人</v>
      </c>
      <c r="AF643">
        <v>44979</v>
      </c>
      <c r="AG643">
        <v>0</v>
      </c>
      <c r="AH643">
        <v>0</v>
      </c>
      <c r="AI643" t="str">
        <v>23.3.1</v>
      </c>
      <c r="AJ643">
        <v>0</v>
      </c>
      <c r="AK643">
        <v>0</v>
      </c>
      <c r="AL643">
        <v>0</v>
      </c>
      <c r="AM643">
        <v>0</v>
      </c>
      <c r="AN643">
        <v>0</v>
      </c>
      <c r="AO643" t="str">
        <v>3/16林</v>
      </c>
      <c r="AP643">
        <v>0</v>
      </c>
    </row>
    <row r="644" spans="1:42">
      <c r="A644" t="str">
        <f>H644&amp;COUNTIF($H$2:H644,H644)</f>
        <v>0238</v>
      </c>
      <c r="B644" t="str">
        <f>F644&amp;COUNTIF($F$2:F644,F644)</f>
        <v>PATEC29</v>
      </c>
      <c r="C644" t="str">
        <v>在職中</v>
      </c>
      <c r="D644">
        <v>230211</v>
      </c>
      <c r="E644">
        <v>0</v>
      </c>
      <c r="F644" t="str">
        <v>PATEC</v>
      </c>
      <c r="G644">
        <v>0</v>
      </c>
      <c r="H644">
        <v>0</v>
      </c>
      <c r="I644">
        <v>0</v>
      </c>
      <c r="J644" t="str">
        <v>LE NGOC HOI</v>
      </c>
      <c r="K644" t="str">
        <v>レ　ゴック　ホイ</v>
      </c>
      <c r="L644" t="str">
        <v>男</v>
      </c>
      <c r="M644" t="str">
        <v>ﾍﾞﾄﾅﾑ</v>
      </c>
      <c r="N644">
        <v>32022</v>
      </c>
      <c r="O644">
        <v>36</v>
      </c>
      <c r="P644">
        <v>1600</v>
      </c>
      <c r="Q644">
        <v>0</v>
      </c>
      <c r="R644">
        <v>2100</v>
      </c>
      <c r="S644">
        <v>0</v>
      </c>
      <c r="T644">
        <v>500</v>
      </c>
      <c r="U644">
        <v>360000</v>
      </c>
      <c r="V644">
        <v>18018</v>
      </c>
      <c r="W644" t="str">
        <v>0</v>
      </c>
      <c r="X644">
        <v>32940</v>
      </c>
      <c r="Y644">
        <v>46230</v>
      </c>
      <c r="Z644" t="str">
        <v/>
      </c>
      <c r="AA644" t="str">
        <v>技術・人文知識・国際業務</v>
      </c>
      <c r="AB644" t="str">
        <v>747-0833</v>
      </c>
      <c r="AC644" t="str">
        <v>山口県防府市大字浜方716-15</v>
      </c>
      <c r="AD644" t="str">
        <v>ｱﾙｿｰﾚD203</v>
      </c>
      <c r="AE644">
        <v>44977</v>
      </c>
      <c r="AF644">
        <v>44979</v>
      </c>
      <c r="AG644">
        <v>0</v>
      </c>
      <c r="AH644">
        <v>0</v>
      </c>
      <c r="AI644" t="str">
        <v>23.3.1</v>
      </c>
      <c r="AJ644">
        <v>0</v>
      </c>
      <c r="AK644">
        <v>0</v>
      </c>
      <c r="AL644">
        <v>0</v>
      </c>
      <c r="AM644">
        <v>0</v>
      </c>
      <c r="AN644">
        <v>0</v>
      </c>
      <c r="AO644" t="str">
        <v>3/16林</v>
      </c>
      <c r="AP644">
        <v>0</v>
      </c>
    </row>
    <row r="645" spans="1:42">
      <c r="A645" t="str">
        <f>H645&amp;COUNTIF($H$2:H645,H645)</f>
        <v>0239</v>
      </c>
      <c r="B645" t="str">
        <f>F645&amp;COUNTIF($F$2:F645,F645)</f>
        <v>六甲電子24</v>
      </c>
      <c r="C645" t="str">
        <v>退社</v>
      </c>
      <c r="D645">
        <v>230221</v>
      </c>
      <c r="E645">
        <v>0</v>
      </c>
      <c r="F645" t="str">
        <v>六甲電子</v>
      </c>
      <c r="G645">
        <v>0</v>
      </c>
      <c r="H645">
        <v>0</v>
      </c>
      <c r="I645">
        <v>0</v>
      </c>
      <c r="J645" t="str">
        <v>NGUYEN THI TRANG</v>
      </c>
      <c r="K645" t="str">
        <v>グエン　ティ　チャン</v>
      </c>
      <c r="L645" t="str">
        <v>女</v>
      </c>
      <c r="M645" t="str">
        <v>ﾍﾞﾄﾅﾑ</v>
      </c>
      <c r="N645">
        <v>33120</v>
      </c>
      <c r="O645">
        <v>33</v>
      </c>
      <c r="P645">
        <v>1500</v>
      </c>
      <c r="Q645">
        <v>0</v>
      </c>
      <c r="R645">
        <v>2200</v>
      </c>
      <c r="S645">
        <v>0</v>
      </c>
      <c r="T645">
        <v>700</v>
      </c>
      <c r="U645">
        <v>300000</v>
      </c>
      <c r="V645">
        <v>15014.999999999998</v>
      </c>
      <c r="W645" t="str">
        <v>0</v>
      </c>
      <c r="X645">
        <v>27450</v>
      </c>
      <c r="Y645">
        <v>45451</v>
      </c>
      <c r="Z645" t="str">
        <v/>
      </c>
      <c r="AA645" t="str">
        <v>技術・人文知識・国際業務</v>
      </c>
      <c r="AB645" t="str">
        <v>663-8122</v>
      </c>
      <c r="AC645" t="str">
        <v>兵庫県西宮市小曽根町1丁目4-28</v>
      </c>
      <c r="AD645" t="str">
        <v>ｸﾞﾘｰﾝﾊｲﾂ小曽根403</v>
      </c>
      <c r="AE645">
        <v>44984</v>
      </c>
      <c r="AF645">
        <v>44985</v>
      </c>
      <c r="AG645">
        <v>45208</v>
      </c>
      <c r="AH645">
        <v>0</v>
      </c>
      <c r="AI645" t="str">
        <v>23.3.1</v>
      </c>
      <c r="AJ645">
        <v>0</v>
      </c>
      <c r="AK645">
        <v>0</v>
      </c>
      <c r="AL645">
        <v>0</v>
      </c>
      <c r="AM645">
        <v>0</v>
      </c>
      <c r="AN645">
        <v>0</v>
      </c>
      <c r="AO645" t="str">
        <v>3/24原</v>
      </c>
      <c r="AP645">
        <v>0</v>
      </c>
    </row>
    <row r="646" spans="1:42">
      <c r="A646" t="str">
        <f>H646&amp;COUNTIF($H$2:H646,H646)</f>
        <v>0240</v>
      </c>
      <c r="B646" t="str">
        <f>F646&amp;COUNTIF($F$2:F646,F646)</f>
        <v>ワーク 志紀7</v>
      </c>
      <c r="C646" t="str">
        <v>在職中</v>
      </c>
      <c r="D646">
        <v>230311</v>
      </c>
      <c r="E646">
        <v>0</v>
      </c>
      <c r="F646" t="str">
        <v>ワーク 志紀</v>
      </c>
      <c r="G646">
        <v>0</v>
      </c>
      <c r="H646">
        <v>0</v>
      </c>
      <c r="I646">
        <v>0</v>
      </c>
      <c r="J646" t="str">
        <v>NGUYEN VAN TRUYEN</v>
      </c>
      <c r="K646" t="str">
        <v>グエン　ヴァン　チュエン</v>
      </c>
      <c r="L646" t="str">
        <v>男</v>
      </c>
      <c r="M646" t="str">
        <v>ﾍﾞﾄﾅﾑ</v>
      </c>
      <c r="N646">
        <v>35364</v>
      </c>
      <c r="O646">
        <v>27</v>
      </c>
      <c r="P646">
        <v>1400</v>
      </c>
      <c r="Q646">
        <v>0</v>
      </c>
      <c r="R646">
        <v>1900</v>
      </c>
      <c r="S646">
        <v>0</v>
      </c>
      <c r="T646">
        <v>500</v>
      </c>
      <c r="U646">
        <v>240000</v>
      </c>
      <c r="V646">
        <v>12012</v>
      </c>
      <c r="W646" t="str">
        <v>0</v>
      </c>
      <c r="X646">
        <v>21960</v>
      </c>
      <c r="Y646">
        <v>45643</v>
      </c>
      <c r="Z646" t="str">
        <v/>
      </c>
      <c r="AA646" t="str">
        <v>技術・人文知識・国際業務</v>
      </c>
      <c r="AB646" t="str">
        <v>581-0875</v>
      </c>
      <c r="AC646" t="str">
        <v>大阪府八尾市高安町南1-69-6</v>
      </c>
      <c r="AD646" t="str">
        <v>高安一番館403</v>
      </c>
      <c r="AE646">
        <v>44993</v>
      </c>
      <c r="AF646">
        <v>44994</v>
      </c>
      <c r="AG646">
        <v>0</v>
      </c>
      <c r="AH646">
        <v>0</v>
      </c>
      <c r="AI646" t="str">
        <v>23.4.1</v>
      </c>
      <c r="AJ646">
        <v>0</v>
      </c>
      <c r="AK646">
        <v>0</v>
      </c>
      <c r="AL646">
        <v>0</v>
      </c>
      <c r="AM646">
        <v>0</v>
      </c>
      <c r="AN646">
        <v>0</v>
      </c>
      <c r="AO646" t="str">
        <v>3/30林</v>
      </c>
      <c r="AP646">
        <v>0</v>
      </c>
    </row>
    <row r="647" spans="1:42">
      <c r="A647" t="str">
        <f>H647&amp;COUNTIF($H$2:H647,H647)</f>
        <v>0241</v>
      </c>
      <c r="B647" t="str">
        <f>F647&amp;COUNTIF($F$2:F647,F647)</f>
        <v>ワーク 堺8</v>
      </c>
      <c r="C647" t="str">
        <v>在職中</v>
      </c>
      <c r="D647">
        <v>230312</v>
      </c>
      <c r="E647">
        <v>0</v>
      </c>
      <c r="F647" t="str">
        <v>ワーク 堺</v>
      </c>
      <c r="G647">
        <v>0</v>
      </c>
      <c r="H647">
        <v>0</v>
      </c>
      <c r="I647">
        <v>0</v>
      </c>
      <c r="J647" t="str">
        <v>VO VAN XUAN</v>
      </c>
      <c r="K647" t="str">
        <v>ヴォ　ヴァン　スアン</v>
      </c>
      <c r="L647" t="str">
        <v>男</v>
      </c>
      <c r="M647" t="str">
        <v>ﾍﾞﾄﾅﾑ</v>
      </c>
      <c r="N647">
        <v>34862</v>
      </c>
      <c r="O647">
        <v>28</v>
      </c>
      <c r="P647">
        <v>1400</v>
      </c>
      <c r="Q647">
        <v>0</v>
      </c>
      <c r="R647">
        <v>1900</v>
      </c>
      <c r="S647">
        <v>0</v>
      </c>
      <c r="T647">
        <v>500</v>
      </c>
      <c r="U647">
        <v>260000</v>
      </c>
      <c r="V647">
        <v>13013</v>
      </c>
      <c r="W647" t="str">
        <v>0</v>
      </c>
      <c r="X647">
        <v>23790</v>
      </c>
      <c r="Y647">
        <v>45769</v>
      </c>
      <c r="Z647" t="str">
        <v/>
      </c>
      <c r="AA647" t="str">
        <v>技術・人文知識・国際業務</v>
      </c>
      <c r="AB647" t="str">
        <v>559-0013</v>
      </c>
      <c r="AC647" t="str">
        <v>大阪府大阪市住之江区御崎3-3-20</v>
      </c>
      <c r="AD647" t="str">
        <v>岩本ﾏﾝｼｮﾝ402</v>
      </c>
      <c r="AE647">
        <v>0</v>
      </c>
      <c r="AF647">
        <v>44995</v>
      </c>
      <c r="AG647">
        <v>0</v>
      </c>
      <c r="AH647">
        <v>0</v>
      </c>
      <c r="AI647" t="str">
        <v>23.4.1</v>
      </c>
      <c r="AJ647">
        <v>0</v>
      </c>
      <c r="AK647">
        <v>0</v>
      </c>
      <c r="AL647">
        <v>0</v>
      </c>
      <c r="AM647">
        <v>0</v>
      </c>
      <c r="AN647">
        <v>0</v>
      </c>
      <c r="AO647" t="str">
        <v>3/30林</v>
      </c>
      <c r="AP647">
        <v>0</v>
      </c>
    </row>
    <row r="648" spans="1:42">
      <c r="A648" t="str">
        <f>H648&amp;COUNTIF($H$2:H648,H648)</f>
        <v>0242</v>
      </c>
      <c r="B648" t="str">
        <f>F648&amp;COUNTIF($F$2:F648,F648)</f>
        <v>PATEC30</v>
      </c>
      <c r="C648" t="str">
        <v>在職中</v>
      </c>
      <c r="D648">
        <v>230314</v>
      </c>
      <c r="E648">
        <v>0</v>
      </c>
      <c r="F648" t="str">
        <v>PATEC</v>
      </c>
      <c r="G648">
        <v>0</v>
      </c>
      <c r="H648">
        <v>0</v>
      </c>
      <c r="I648">
        <v>0</v>
      </c>
      <c r="J648" t="str">
        <v>HA THO HOAN</v>
      </c>
      <c r="K648" t="str">
        <v>ハ　ト　ホアン</v>
      </c>
      <c r="L648" t="str">
        <v>男</v>
      </c>
      <c r="M648" t="str">
        <v>ﾍﾞﾄﾅﾑ</v>
      </c>
      <c r="N648">
        <v>32551</v>
      </c>
      <c r="O648">
        <v>34</v>
      </c>
      <c r="P648">
        <v>1500</v>
      </c>
      <c r="Q648">
        <v>0</v>
      </c>
      <c r="R648">
        <v>2000</v>
      </c>
      <c r="S648">
        <v>0</v>
      </c>
      <c r="T648">
        <v>500</v>
      </c>
      <c r="U648">
        <v>320000</v>
      </c>
      <c r="V648">
        <v>16015.999999999998</v>
      </c>
      <c r="W648" t="str">
        <v>0</v>
      </c>
      <c r="X648">
        <v>29280</v>
      </c>
      <c r="Y648">
        <v>45965</v>
      </c>
      <c r="Z648" t="str">
        <v/>
      </c>
      <c r="AA648" t="str">
        <v>技術・人文知識・国際業務</v>
      </c>
      <c r="AB648" t="str">
        <v>747-0834</v>
      </c>
      <c r="AC648" t="str">
        <v>山口県防府市大字田島531-1</v>
      </c>
      <c r="AD648" t="str">
        <v>ﾛｼﾞｭﾏﾝ千希A201号</v>
      </c>
      <c r="AE648">
        <v>44998</v>
      </c>
      <c r="AF648">
        <v>44999</v>
      </c>
      <c r="AG648">
        <v>0</v>
      </c>
      <c r="AH648">
        <v>0</v>
      </c>
      <c r="AI648" t="str">
        <v>23.4.1</v>
      </c>
      <c r="AJ648">
        <v>0</v>
      </c>
      <c r="AK648">
        <v>0</v>
      </c>
      <c r="AL648">
        <v>0</v>
      </c>
      <c r="AM648">
        <v>0</v>
      </c>
      <c r="AN648">
        <v>0</v>
      </c>
      <c r="AO648" t="str">
        <v>3/20林</v>
      </c>
      <c r="AP648">
        <v>0</v>
      </c>
    </row>
    <row r="649" spans="1:42">
      <c r="A649" t="str">
        <f>H649&amp;COUNTIF($H$2:H649,H649)</f>
        <v>0243</v>
      </c>
      <c r="B649" t="str">
        <f>F649&amp;COUNTIF($F$2:F649,F649)</f>
        <v>PATEC31</v>
      </c>
      <c r="C649" t="str">
        <v>在職中</v>
      </c>
      <c r="D649">
        <v>230316</v>
      </c>
      <c r="E649">
        <v>0</v>
      </c>
      <c r="F649" t="str">
        <v>PATEC</v>
      </c>
      <c r="G649">
        <v>0</v>
      </c>
      <c r="H649">
        <v>0</v>
      </c>
      <c r="I649">
        <v>0</v>
      </c>
      <c r="J649" t="str">
        <v>LE DINH BINH</v>
      </c>
      <c r="K649" t="str">
        <v>レー　ディン　ビン</v>
      </c>
      <c r="L649" t="str">
        <v>男</v>
      </c>
      <c r="M649" t="str">
        <v>ﾍﾞﾄﾅﾑ</v>
      </c>
      <c r="N649">
        <v>30667</v>
      </c>
      <c r="O649">
        <v>39</v>
      </c>
      <c r="P649">
        <v>1600</v>
      </c>
      <c r="Q649">
        <v>0</v>
      </c>
      <c r="R649">
        <v>2100</v>
      </c>
      <c r="S649">
        <v>0</v>
      </c>
      <c r="T649">
        <v>500</v>
      </c>
      <c r="U649">
        <v>360000</v>
      </c>
      <c r="V649">
        <v>18018</v>
      </c>
      <c r="W649" t="str">
        <v>0</v>
      </c>
      <c r="X649">
        <v>32940</v>
      </c>
      <c r="Y649">
        <v>45549</v>
      </c>
      <c r="Z649" t="str">
        <v/>
      </c>
      <c r="AA649" t="str">
        <v>技術・人文知識・国際業務</v>
      </c>
      <c r="AB649" t="str">
        <v>747-0834</v>
      </c>
      <c r="AC649" t="str">
        <v>山口県防府市大字田島531-1</v>
      </c>
      <c r="AD649" t="str">
        <v>ﾛｼﾞｭﾏﾝ千希A201号</v>
      </c>
      <c r="AE649">
        <v>45007</v>
      </c>
      <c r="AF649">
        <v>45007</v>
      </c>
      <c r="AG649">
        <v>0</v>
      </c>
      <c r="AH649">
        <v>0</v>
      </c>
      <c r="AI649" t="str">
        <v>23.4.1</v>
      </c>
      <c r="AJ649">
        <v>0</v>
      </c>
      <c r="AK649">
        <v>0</v>
      </c>
      <c r="AL649">
        <v>0</v>
      </c>
      <c r="AM649">
        <v>0</v>
      </c>
      <c r="AN649">
        <v>0</v>
      </c>
      <c r="AO649" t="str">
        <v>4/12林</v>
      </c>
      <c r="AP649">
        <v>0</v>
      </c>
    </row>
    <row r="650" spans="1:42">
      <c r="A650" t="str">
        <f>H650&amp;COUNTIF($H$2:H650,H650)</f>
        <v>等速ジョイント18</v>
      </c>
      <c r="B650" t="str">
        <f>F650&amp;COUNTIF($F$2:F650,F650)</f>
        <v>瑞陵精機31</v>
      </c>
      <c r="C650" t="str">
        <v>在職中</v>
      </c>
      <c r="D650">
        <v>230326</v>
      </c>
      <c r="E650">
        <v>0</v>
      </c>
      <c r="F650" t="str">
        <v>瑞陵精機</v>
      </c>
      <c r="G650" t="str">
        <v>製造課</v>
      </c>
      <c r="H650" t="str">
        <v>等速ジョイント</v>
      </c>
      <c r="I650" t="str">
        <v>ＮＣ旋盤、マシニングセンター等の工作機械を使いオペレーターとして製造ラインで製品を加工</v>
      </c>
      <c r="J650" t="str">
        <v>NGUYEN VAN DUNG</v>
      </c>
      <c r="K650" t="str">
        <v>グエン　ヴァン　ズン</v>
      </c>
      <c r="L650" t="str">
        <v>男</v>
      </c>
      <c r="M650" t="str">
        <v>ﾍﾞﾄﾅﾑ</v>
      </c>
      <c r="N650">
        <v>33252</v>
      </c>
      <c r="O650">
        <v>32</v>
      </c>
      <c r="P650">
        <v>1300</v>
      </c>
      <c r="Q650">
        <v>0</v>
      </c>
      <c r="R650">
        <v>1700</v>
      </c>
      <c r="S650">
        <v>0</v>
      </c>
      <c r="T650">
        <v>400</v>
      </c>
      <c r="U650">
        <v>240000</v>
      </c>
      <c r="V650">
        <v>12012</v>
      </c>
      <c r="W650" t="str">
        <v>0</v>
      </c>
      <c r="X650">
        <v>21960</v>
      </c>
      <c r="Y650">
        <v>45421</v>
      </c>
      <c r="Z650" t="str">
        <v/>
      </c>
      <c r="AA650" t="str">
        <v>技術・人文知識・国際業務</v>
      </c>
      <c r="AB650" t="str">
        <v>509-7201</v>
      </c>
      <c r="AC650" t="str">
        <v>岐阜県恵那市大井町2087-170</v>
      </c>
      <c r="AD650" t="str">
        <v>ﾋﾞﾚｯｼﾞﾊｳｽ恵那2号棟309</v>
      </c>
      <c r="AE650">
        <v>0</v>
      </c>
      <c r="AF650">
        <v>45014</v>
      </c>
      <c r="AG650">
        <v>0</v>
      </c>
      <c r="AH650">
        <v>0</v>
      </c>
      <c r="AI650" t="str">
        <v>23.4.1</v>
      </c>
      <c r="AJ650">
        <v>0</v>
      </c>
      <c r="AK650">
        <v>0</v>
      </c>
      <c r="AL650">
        <v>0</v>
      </c>
      <c r="AM650">
        <v>0</v>
      </c>
      <c r="AN650">
        <v>0</v>
      </c>
      <c r="AO650" t="str">
        <v>4/12林</v>
      </c>
      <c r="AP650">
        <v>0</v>
      </c>
    </row>
    <row r="651" spans="1:42">
      <c r="A651" t="str">
        <f>H651&amp;COUNTIF($H$2:H651,H651)</f>
        <v>等速ジョイント19</v>
      </c>
      <c r="B651" t="str">
        <f>F651&amp;COUNTIF($F$2:F651,F651)</f>
        <v>瑞陵精機32</v>
      </c>
      <c r="C651" t="str">
        <v>在職中</v>
      </c>
      <c r="D651">
        <v>230402</v>
      </c>
      <c r="E651">
        <v>0</v>
      </c>
      <c r="F651" t="str">
        <v>瑞陵精機</v>
      </c>
      <c r="G651" t="str">
        <v>製造課</v>
      </c>
      <c r="H651" t="str">
        <v>等速ジョイント</v>
      </c>
      <c r="I651" t="str">
        <v>ＮＣ旋盤、マシニングセンター等の工作機械を使いオペレーターとして製造ラインで製品を加工</v>
      </c>
      <c r="J651" t="str">
        <v>LE VIET TRUNG</v>
      </c>
      <c r="K651" t="str">
        <v>レー　ヴィエット　チュン</v>
      </c>
      <c r="L651" t="str">
        <v>男</v>
      </c>
      <c r="M651" t="str">
        <v>ﾍﾞﾄﾅﾑ</v>
      </c>
      <c r="N651">
        <v>36751</v>
      </c>
      <c r="O651">
        <v>23</v>
      </c>
      <c r="P651">
        <v>1200</v>
      </c>
      <c r="Q651">
        <v>0</v>
      </c>
      <c r="R651">
        <v>1700</v>
      </c>
      <c r="S651">
        <v>0</v>
      </c>
      <c r="T651">
        <v>500</v>
      </c>
      <c r="U651">
        <v>220000</v>
      </c>
      <c r="V651">
        <v>11011</v>
      </c>
      <c r="W651" t="str">
        <v>0</v>
      </c>
      <c r="X651">
        <v>20130</v>
      </c>
      <c r="Y651">
        <v>45387</v>
      </c>
      <c r="Z651" t="str">
        <v/>
      </c>
      <c r="AA651" t="str">
        <v>技術・人文知識・国際業務</v>
      </c>
      <c r="AB651" t="str">
        <v>509-7201</v>
      </c>
      <c r="AC651" t="str">
        <v>岐阜県恵那市大井町2087-170</v>
      </c>
      <c r="AD651" t="str">
        <v>ﾋﾞﾚｯｼﾞﾊｳｽ恵那2号棟309</v>
      </c>
      <c r="AE651">
        <v>0</v>
      </c>
      <c r="AF651">
        <v>45026</v>
      </c>
      <c r="AG651">
        <v>0</v>
      </c>
      <c r="AH651">
        <v>0</v>
      </c>
      <c r="AI651" t="str">
        <v>23.5.1</v>
      </c>
      <c r="AJ651">
        <v>0</v>
      </c>
      <c r="AK651">
        <v>0</v>
      </c>
      <c r="AL651">
        <v>0</v>
      </c>
      <c r="AM651">
        <v>0</v>
      </c>
      <c r="AN651">
        <v>0</v>
      </c>
      <c r="AO651" t="str">
        <v>4/13林</v>
      </c>
      <c r="AP651">
        <v>0</v>
      </c>
    </row>
    <row r="652" spans="1:42">
      <c r="A652" t="str">
        <f>H652&amp;COUNTIF($H$2:H652,H652)</f>
        <v>旋盤ライン19</v>
      </c>
      <c r="B652" t="str">
        <f>F652&amp;COUNTIF($F$2:F652,F652)</f>
        <v>川原鉄工所19</v>
      </c>
      <c r="C652" t="str">
        <v>在職中</v>
      </c>
      <c r="D652">
        <v>230405</v>
      </c>
      <c r="E652">
        <v>0</v>
      </c>
      <c r="F652" t="str">
        <v>川原鉄工所</v>
      </c>
      <c r="G652" t="str">
        <v>製造部</v>
      </c>
      <c r="H652" t="str">
        <v>旋盤ライン</v>
      </c>
      <c r="I652" t="str">
        <v>ATミッション部品をはじめとする、各種自動車部品の製造</v>
      </c>
      <c r="J652" t="str">
        <v>NGUYEN NGOC HUNG</v>
      </c>
      <c r="K652" t="str">
        <v>グエン　ゴック　フン</v>
      </c>
      <c r="L652" t="str">
        <v>男</v>
      </c>
      <c r="M652" t="str">
        <v>ﾍﾞﾄﾅﾑ</v>
      </c>
      <c r="N652">
        <v>32613</v>
      </c>
      <c r="O652">
        <v>34</v>
      </c>
      <c r="P652">
        <v>1300</v>
      </c>
      <c r="Q652">
        <v>0</v>
      </c>
      <c r="R652">
        <v>1650</v>
      </c>
      <c r="S652">
        <v>0</v>
      </c>
      <c r="T652">
        <v>350</v>
      </c>
      <c r="U652">
        <v>180000</v>
      </c>
      <c r="V652">
        <v>9009</v>
      </c>
      <c r="W652" t="str">
        <v>0</v>
      </c>
      <c r="X652">
        <v>16470</v>
      </c>
      <c r="Y652">
        <v>45732</v>
      </c>
      <c r="Z652" t="str">
        <v/>
      </c>
      <c r="AA652" t="str">
        <v>技術・人文知識・国際業務</v>
      </c>
      <c r="AB652" t="str">
        <v>455-0046</v>
      </c>
      <c r="AC652" t="str">
        <v>愛知県名古屋市港区大手町2丁目31</v>
      </c>
      <c r="AD652" t="str">
        <v>ﾀﾞｲｺｰﾏﾝｼｮﾝ302</v>
      </c>
      <c r="AE652">
        <v>45034</v>
      </c>
      <c r="AF652">
        <v>45034</v>
      </c>
      <c r="AG652">
        <v>0</v>
      </c>
      <c r="AH652">
        <v>0</v>
      </c>
      <c r="AI652" t="str">
        <v>23.5.1</v>
      </c>
      <c r="AJ652">
        <v>0</v>
      </c>
      <c r="AK652">
        <v>0</v>
      </c>
      <c r="AL652">
        <v>0</v>
      </c>
      <c r="AM652">
        <v>0</v>
      </c>
      <c r="AN652">
        <v>0</v>
      </c>
      <c r="AO652" t="str">
        <v>4/24林</v>
      </c>
      <c r="AP652">
        <v>0</v>
      </c>
    </row>
    <row r="653" spans="1:42">
      <c r="A653" t="str">
        <f>H653&amp;COUNTIF($H$2:H653,H653)</f>
        <v>等速ジョイント20</v>
      </c>
      <c r="B653" t="str">
        <f>F653&amp;COUNTIF($F$2:F653,F653)</f>
        <v>瑞陵精機33</v>
      </c>
      <c r="C653" t="str">
        <v>退社</v>
      </c>
      <c r="D653">
        <v>230407</v>
      </c>
      <c r="E653">
        <v>0</v>
      </c>
      <c r="F653" t="str">
        <v>瑞陵精機</v>
      </c>
      <c r="G653" t="str">
        <v>製造課</v>
      </c>
      <c r="H653" t="str">
        <v>等速ジョイント</v>
      </c>
      <c r="I653" t="str">
        <v>ＮＣ旋盤、マシニングセンター等の工作機械を使いオペレーターとして製造ラインで製品を加工</v>
      </c>
      <c r="J653" t="str">
        <v>NGUYEN DINH HUAN</v>
      </c>
      <c r="K653" t="str">
        <v>グエン　ディン　ファン</v>
      </c>
      <c r="L653" t="str">
        <v>男</v>
      </c>
      <c r="M653" t="str">
        <v>ﾍﾞﾄﾅﾑ</v>
      </c>
      <c r="N653">
        <v>30803</v>
      </c>
      <c r="O653">
        <v>39</v>
      </c>
      <c r="P653">
        <v>1300</v>
      </c>
      <c r="Q653">
        <v>0</v>
      </c>
      <c r="R653">
        <v>1700</v>
      </c>
      <c r="S653">
        <v>0</v>
      </c>
      <c r="T653">
        <v>400</v>
      </c>
      <c r="U653">
        <v>180000</v>
      </c>
      <c r="V653">
        <v>9009</v>
      </c>
      <c r="W653" t="str">
        <v>0</v>
      </c>
      <c r="X653">
        <v>16470</v>
      </c>
      <c r="Y653">
        <v>45548</v>
      </c>
      <c r="Z653" t="str">
        <v/>
      </c>
      <c r="AA653" t="str">
        <v>技術・人文知識・国際業務</v>
      </c>
      <c r="AB653" t="str">
        <v>509-7201</v>
      </c>
      <c r="AC653" t="str">
        <v>岐阜県岐阜市大井町1120-303</v>
      </c>
      <c r="AD653" t="str">
        <v>各務ﾊｲﾂ2D</v>
      </c>
      <c r="AE653">
        <v>0</v>
      </c>
      <c r="AF653">
        <v>45040</v>
      </c>
      <c r="AG653">
        <v>45190</v>
      </c>
      <c r="AH653">
        <v>0</v>
      </c>
      <c r="AI653" t="str">
        <v>23.5.1</v>
      </c>
      <c r="AJ653">
        <v>0</v>
      </c>
      <c r="AK653">
        <v>0</v>
      </c>
      <c r="AL653">
        <v>0</v>
      </c>
      <c r="AM653">
        <v>0</v>
      </c>
      <c r="AN653">
        <v>0</v>
      </c>
      <c r="AO653" t="str">
        <v>5/15林</v>
      </c>
      <c r="AP653">
        <v>0</v>
      </c>
    </row>
    <row r="654" spans="1:42">
      <c r="A654" t="str">
        <f>H654&amp;COUNTIF($H$2:H654,H654)</f>
        <v>旋盤ライン20</v>
      </c>
      <c r="B654" t="str">
        <f>F654&amp;COUNTIF($F$2:F654,F654)</f>
        <v>川原鉄工所20</v>
      </c>
      <c r="C654" t="str">
        <v>在職中</v>
      </c>
      <c r="D654">
        <v>230406</v>
      </c>
      <c r="E654">
        <v>0</v>
      </c>
      <c r="F654" t="str">
        <v>川原鉄工所</v>
      </c>
      <c r="G654" t="str">
        <v>製造部</v>
      </c>
      <c r="H654" t="str">
        <v>旋盤ライン</v>
      </c>
      <c r="I654" t="str">
        <v>ATミッション部品をはじめとする、各種自動車部品の製造</v>
      </c>
      <c r="J654" t="str">
        <v>TRAN XUAN DAT</v>
      </c>
      <c r="K654" t="str">
        <v>チャン　スアン　ダット</v>
      </c>
      <c r="L654" t="str">
        <v>男</v>
      </c>
      <c r="M654" t="str">
        <v>ﾍﾞﾄﾅﾑ</v>
      </c>
      <c r="N654">
        <v>35515</v>
      </c>
      <c r="O654">
        <v>26</v>
      </c>
      <c r="P654">
        <v>1300</v>
      </c>
      <c r="Q654">
        <v>0</v>
      </c>
      <c r="R654">
        <v>1650</v>
      </c>
      <c r="S654">
        <v>0</v>
      </c>
      <c r="T654">
        <v>350</v>
      </c>
      <c r="U654">
        <v>180000</v>
      </c>
      <c r="V654">
        <v>9009</v>
      </c>
      <c r="W654" t="str">
        <v>0</v>
      </c>
      <c r="X654">
        <v>16470</v>
      </c>
      <c r="Y654">
        <v>45796</v>
      </c>
      <c r="Z654" t="str">
        <v/>
      </c>
      <c r="AA654" t="str">
        <v>技術・人文知識・国際業務</v>
      </c>
      <c r="AB654" t="str">
        <v>455-0831</v>
      </c>
      <c r="AC654" t="str">
        <v>愛知県名古屋市港区十一屋3丁目24-1</v>
      </c>
      <c r="AD654" t="str">
        <v>ｸﾞﾛｰﾘｨ十一屋304号</v>
      </c>
      <c r="AE654">
        <v>45042</v>
      </c>
      <c r="AF654">
        <v>45040</v>
      </c>
      <c r="AG654">
        <v>0</v>
      </c>
      <c r="AH654">
        <v>0</v>
      </c>
      <c r="AI654" t="str">
        <v>23.5.1</v>
      </c>
      <c r="AJ654">
        <v>0</v>
      </c>
      <c r="AK654">
        <v>0</v>
      </c>
      <c r="AL654">
        <v>0</v>
      </c>
      <c r="AM654">
        <v>0</v>
      </c>
      <c r="AN654">
        <v>0</v>
      </c>
      <c r="AO654" t="str">
        <v>5/15林</v>
      </c>
      <c r="AP654">
        <v>0</v>
      </c>
    </row>
    <row r="655" spans="1:42">
      <c r="A655" t="str">
        <f>H655&amp;COUNTIF($H$2:H655,H655)</f>
        <v>旋盤ライン21</v>
      </c>
      <c r="B655" t="str">
        <f>F655&amp;COUNTIF($F$2:F655,F655)</f>
        <v>川原鉄工所21</v>
      </c>
      <c r="C655" t="str">
        <v>退社</v>
      </c>
      <c r="D655">
        <v>230408</v>
      </c>
      <c r="E655">
        <v>0</v>
      </c>
      <c r="F655" t="str">
        <v>川原鉄工所</v>
      </c>
      <c r="G655" t="str">
        <v>製造部</v>
      </c>
      <c r="H655" t="str">
        <v>旋盤ライン</v>
      </c>
      <c r="I655" t="str">
        <v>ATミッション部品をはじめとする、各種自動車部品の製造</v>
      </c>
      <c r="J655" t="str">
        <v>TRAN NGOC HOAI</v>
      </c>
      <c r="K655" t="str">
        <v>チャン　ゴック　ホアイ</v>
      </c>
      <c r="L655" t="str">
        <v>男</v>
      </c>
      <c r="M655" t="str">
        <v>ﾍﾞﾄﾅﾑ</v>
      </c>
      <c r="N655">
        <v>34351</v>
      </c>
      <c r="O655">
        <v>29</v>
      </c>
      <c r="P655">
        <v>1300</v>
      </c>
      <c r="Q655">
        <v>0</v>
      </c>
      <c r="R655">
        <v>1650</v>
      </c>
      <c r="S655">
        <v>0</v>
      </c>
      <c r="T655">
        <v>350</v>
      </c>
      <c r="U655">
        <v>180000</v>
      </c>
      <c r="V655">
        <v>9009</v>
      </c>
      <c r="W655" t="str">
        <v>0</v>
      </c>
      <c r="X655">
        <v>16470</v>
      </c>
      <c r="Y655">
        <v>45459</v>
      </c>
      <c r="Z655" t="str">
        <v/>
      </c>
      <c r="AA655" t="str">
        <v>技術・人文知識・国際業務</v>
      </c>
      <c r="AB655" t="str">
        <v>455-0831</v>
      </c>
      <c r="AC655" t="str">
        <v>愛知県名古屋市港区十一屋3丁目24-1</v>
      </c>
      <c r="AD655" t="str">
        <v>ｸﾞﾛｰﾘｨ十一屋304号</v>
      </c>
      <c r="AE655">
        <v>45042</v>
      </c>
      <c r="AF655">
        <v>45043</v>
      </c>
      <c r="AG655">
        <v>45065</v>
      </c>
      <c r="AH655">
        <v>0</v>
      </c>
      <c r="AI655" t="str">
        <v>23.5.1</v>
      </c>
      <c r="AJ655">
        <v>0</v>
      </c>
      <c r="AK655">
        <v>0</v>
      </c>
      <c r="AL655">
        <v>0</v>
      </c>
      <c r="AM655">
        <v>0</v>
      </c>
      <c r="AN655">
        <v>0</v>
      </c>
      <c r="AO655" t="str">
        <v>5/15林</v>
      </c>
      <c r="AP655">
        <v>0</v>
      </c>
    </row>
    <row r="656" spans="1:42">
      <c r="A656" t="str">
        <f>H656&amp;COUNTIF($H$2:H656,H656)</f>
        <v>本社製造部製造3課4</v>
      </c>
      <c r="B656" t="str">
        <f>F656&amp;COUNTIF($F$2:F656,F656)</f>
        <v>ユアサ工機 新城4</v>
      </c>
      <c r="C656" t="str">
        <v>在職中</v>
      </c>
      <c r="D656">
        <v>230501</v>
      </c>
      <c r="E656">
        <v>0</v>
      </c>
      <c r="F656" t="str">
        <v>ユアサ工機 新城</v>
      </c>
      <c r="G656" t="str">
        <v>本社製造部製造3課</v>
      </c>
      <c r="H656" t="str">
        <v>本社製造部製造3課</v>
      </c>
      <c r="I656" t="str">
        <v>クランクシャフトの旋盤、マシニング、研磨、仕上げ加工など</v>
      </c>
      <c r="J656" t="str">
        <v>LE DINH PHUC</v>
      </c>
      <c r="K656" t="str">
        <v>レ　ディン　フック</v>
      </c>
      <c r="L656" t="str">
        <v>男</v>
      </c>
      <c r="M656" t="str">
        <v>ﾍﾞﾄﾅﾑ</v>
      </c>
      <c r="N656">
        <v>34695</v>
      </c>
      <c r="O656">
        <v>28</v>
      </c>
      <c r="P656">
        <v>1350</v>
      </c>
      <c r="Q656">
        <v>0</v>
      </c>
      <c r="R656">
        <v>1800</v>
      </c>
      <c r="S656">
        <v>0</v>
      </c>
      <c r="T656">
        <v>450</v>
      </c>
      <c r="U656">
        <v>180000</v>
      </c>
      <c r="V656">
        <v>9009</v>
      </c>
      <c r="W656" t="str">
        <v>0</v>
      </c>
      <c r="X656">
        <v>16470</v>
      </c>
      <c r="Y656">
        <v>46119</v>
      </c>
      <c r="Z656" t="str">
        <v/>
      </c>
      <c r="AA656" t="str">
        <v>技術・人文知識・国際業務</v>
      </c>
      <c r="AB656" t="str">
        <v>441-1231</v>
      </c>
      <c r="AC656" t="str">
        <v>愛知県豊川市一宮町宮前125</v>
      </c>
      <c r="AD656" t="str">
        <v>ﾌｫﾝﾃｲﾝ宮前203</v>
      </c>
      <c r="AE656">
        <v>45055</v>
      </c>
      <c r="AF656">
        <v>45056</v>
      </c>
      <c r="AG656">
        <v>0</v>
      </c>
      <c r="AH656">
        <v>0</v>
      </c>
      <c r="AI656" t="str">
        <v>23.6.1</v>
      </c>
      <c r="AJ656">
        <v>0</v>
      </c>
      <c r="AK656">
        <v>0</v>
      </c>
      <c r="AL656">
        <v>0</v>
      </c>
      <c r="AM656">
        <v>0</v>
      </c>
      <c r="AN656">
        <v>0</v>
      </c>
      <c r="AO656" t="str">
        <v>5/29林</v>
      </c>
      <c r="AP656">
        <v>0</v>
      </c>
    </row>
    <row r="657" spans="1:42">
      <c r="A657" t="str">
        <f>H657&amp;COUNTIF($H$2:H657,H657)</f>
        <v>等速ジョイント21</v>
      </c>
      <c r="B657" t="str">
        <f>F657&amp;COUNTIF($F$2:F657,F657)</f>
        <v>瑞陵精機34</v>
      </c>
      <c r="C657" t="str">
        <v>在職中</v>
      </c>
      <c r="D657">
        <v>230507</v>
      </c>
      <c r="E657">
        <v>0</v>
      </c>
      <c r="F657" t="str">
        <v>瑞陵精機</v>
      </c>
      <c r="G657" t="str">
        <v>製造課</v>
      </c>
      <c r="H657" t="str">
        <v>等速ジョイント</v>
      </c>
      <c r="I657" t="str">
        <v>ＮＣ旋盤、マシニングセンター等の工作機械を使いオペレーターとして製造ラインで製品を加工</v>
      </c>
      <c r="J657" t="str">
        <v>DAU DUC NGUYEN</v>
      </c>
      <c r="K657" t="str">
        <v>ダウ　ドゥック　グエン</v>
      </c>
      <c r="L657" t="str">
        <v>男</v>
      </c>
      <c r="M657" t="str">
        <v>ﾍﾞﾄﾅﾑ</v>
      </c>
      <c r="N657">
        <v>36566</v>
      </c>
      <c r="O657">
        <v>23</v>
      </c>
      <c r="P657">
        <v>1200</v>
      </c>
      <c r="Q657">
        <v>0</v>
      </c>
      <c r="R657">
        <v>1700</v>
      </c>
      <c r="S657">
        <v>0</v>
      </c>
      <c r="T657">
        <v>500</v>
      </c>
      <c r="U657">
        <v>180000</v>
      </c>
      <c r="V657">
        <v>9009</v>
      </c>
      <c r="W657" t="str">
        <v>0</v>
      </c>
      <c r="X657">
        <v>16470</v>
      </c>
      <c r="Y657">
        <v>45429</v>
      </c>
      <c r="Z657" t="str">
        <v/>
      </c>
      <c r="AA657" t="str">
        <v>技術・人文知識・国際業務</v>
      </c>
      <c r="AB657" t="str">
        <v>509-7201</v>
      </c>
      <c r="AC657" t="str">
        <v>岐阜県恵那市大井町1120-303</v>
      </c>
      <c r="AD657" t="str">
        <v>各務ﾊｲﾂ4I</v>
      </c>
      <c r="AE657">
        <v>45063</v>
      </c>
      <c r="AF657">
        <v>45068</v>
      </c>
      <c r="AG657">
        <v>0</v>
      </c>
      <c r="AH657">
        <v>0</v>
      </c>
      <c r="AI657" t="str">
        <v>23.5.22</v>
      </c>
      <c r="AJ657">
        <v>0</v>
      </c>
      <c r="AK657">
        <v>0</v>
      </c>
      <c r="AL657">
        <v>0</v>
      </c>
      <c r="AM657">
        <v>0</v>
      </c>
      <c r="AN657">
        <v>0</v>
      </c>
      <c r="AO657" t="str">
        <v>6/12林</v>
      </c>
      <c r="AP657">
        <v>0</v>
      </c>
    </row>
    <row r="658" spans="1:42">
      <c r="A658" t="str">
        <f>H658&amp;COUNTIF($H$2:H658,H658)</f>
        <v>等速ジョイント22</v>
      </c>
      <c r="B658" t="str">
        <f>F658&amp;COUNTIF($F$2:F658,F658)</f>
        <v>瑞陵精機35</v>
      </c>
      <c r="C658" t="str">
        <v>在職中</v>
      </c>
      <c r="D658">
        <v>230508</v>
      </c>
      <c r="E658">
        <v>0</v>
      </c>
      <c r="F658" t="str">
        <v>瑞陵精機</v>
      </c>
      <c r="G658" t="str">
        <v>製造課</v>
      </c>
      <c r="H658" t="str">
        <v>等速ジョイント</v>
      </c>
      <c r="I658" t="str">
        <v>ＮＣ旋盤、マシニングセンター等の工作機械を使いオペレーターとして製造ラインで製品を加工</v>
      </c>
      <c r="J658" t="str">
        <v>NGUYEN XUAN QUYET</v>
      </c>
      <c r="K658" t="str">
        <v>グエン　スアン　クエット</v>
      </c>
      <c r="L658" t="str">
        <v>男</v>
      </c>
      <c r="M658" t="str">
        <v>ﾍﾞﾄﾅﾑ</v>
      </c>
      <c r="N658">
        <v>37185</v>
      </c>
      <c r="O658">
        <v>22</v>
      </c>
      <c r="P658">
        <v>1200</v>
      </c>
      <c r="Q658">
        <v>0</v>
      </c>
      <c r="R658">
        <v>1700</v>
      </c>
      <c r="S658">
        <v>0</v>
      </c>
      <c r="T658">
        <v>500</v>
      </c>
      <c r="U658">
        <v>180000</v>
      </c>
      <c r="V658">
        <v>9009</v>
      </c>
      <c r="W658" t="str">
        <v>0</v>
      </c>
      <c r="X658">
        <v>16470</v>
      </c>
      <c r="Y658">
        <v>45429</v>
      </c>
      <c r="Z658" t="str">
        <v/>
      </c>
      <c r="AA658" t="str">
        <v>技術・人文知識・国際業務</v>
      </c>
      <c r="AB658" t="str">
        <v>509-7201</v>
      </c>
      <c r="AC658" t="str">
        <v>岐阜県恵那市大井町1120-303</v>
      </c>
      <c r="AD658" t="str">
        <v>各務ﾊｲﾂ4I</v>
      </c>
      <c r="AE658">
        <v>45063</v>
      </c>
      <c r="AF658">
        <v>45068</v>
      </c>
      <c r="AG658">
        <v>0</v>
      </c>
      <c r="AH658">
        <v>0</v>
      </c>
      <c r="AI658" t="str">
        <v>23.5.22</v>
      </c>
      <c r="AJ658">
        <v>0</v>
      </c>
      <c r="AK658">
        <v>0</v>
      </c>
      <c r="AL658">
        <v>0</v>
      </c>
      <c r="AM658">
        <v>0</v>
      </c>
      <c r="AN658">
        <v>0</v>
      </c>
      <c r="AO658" t="str">
        <v>6/12林</v>
      </c>
      <c r="AP658">
        <v>0</v>
      </c>
    </row>
    <row r="659" spans="1:42">
      <c r="A659" t="str">
        <f>H659&amp;COUNTIF($H$2:H659,H659)</f>
        <v>等速ジョイント23</v>
      </c>
      <c r="B659" t="str">
        <f>F659&amp;COUNTIF($F$2:F659,F659)</f>
        <v>瑞陵精機36</v>
      </c>
      <c r="C659" t="str">
        <v>在職中</v>
      </c>
      <c r="D659">
        <v>230509</v>
      </c>
      <c r="E659">
        <v>0</v>
      </c>
      <c r="F659" t="str">
        <v>瑞陵精機</v>
      </c>
      <c r="G659" t="str">
        <v>製造課</v>
      </c>
      <c r="H659" t="str">
        <v>等速ジョイント</v>
      </c>
      <c r="I659" t="str">
        <v>ＮＣ旋盤、マシニングセンター等の工作機械を使いオペレーターとして製造ラインで製品を加工</v>
      </c>
      <c r="J659" t="str">
        <v>LE VAN NAM</v>
      </c>
      <c r="K659" t="str">
        <v>レー　ヴァン　ナム</v>
      </c>
      <c r="L659" t="str">
        <v>男</v>
      </c>
      <c r="M659" t="str">
        <v>ﾍﾞﾄﾅﾑ</v>
      </c>
      <c r="N659">
        <v>33983</v>
      </c>
      <c r="O659">
        <v>30</v>
      </c>
      <c r="P659">
        <v>1200</v>
      </c>
      <c r="Q659">
        <v>0</v>
      </c>
      <c r="R659">
        <v>1700</v>
      </c>
      <c r="S659">
        <v>0</v>
      </c>
      <c r="T659">
        <v>500</v>
      </c>
      <c r="U659">
        <v>180000</v>
      </c>
      <c r="V659">
        <v>9009</v>
      </c>
      <c r="W659" t="str">
        <v>0</v>
      </c>
      <c r="X659">
        <v>16470</v>
      </c>
      <c r="Y659">
        <v>45429</v>
      </c>
      <c r="Z659" t="str">
        <v/>
      </c>
      <c r="AA659" t="str">
        <v>技術・人文知識・国際業務</v>
      </c>
      <c r="AB659" t="str">
        <v>509-7201</v>
      </c>
      <c r="AC659" t="str">
        <v>岐阜県恵那市大井町1120-303</v>
      </c>
      <c r="AD659" t="str">
        <v>各務ﾊｲﾂ3F</v>
      </c>
      <c r="AE659">
        <v>45077</v>
      </c>
      <c r="AF659">
        <v>45068</v>
      </c>
      <c r="AG659">
        <v>0</v>
      </c>
      <c r="AH659">
        <v>0</v>
      </c>
      <c r="AI659" t="str">
        <v>23.5.22</v>
      </c>
      <c r="AJ659">
        <v>0</v>
      </c>
      <c r="AK659">
        <v>0</v>
      </c>
      <c r="AL659">
        <v>0</v>
      </c>
      <c r="AM659">
        <v>0</v>
      </c>
      <c r="AN659">
        <v>0</v>
      </c>
      <c r="AO659" t="str">
        <v>6/12林</v>
      </c>
      <c r="AP659">
        <v>0</v>
      </c>
    </row>
    <row r="660" spans="1:42">
      <c r="A660" t="str">
        <f>H660&amp;COUNTIF($H$2:H660,H660)</f>
        <v>等速ジョイント24</v>
      </c>
      <c r="B660" t="str">
        <f>F660&amp;COUNTIF($F$2:F660,F660)</f>
        <v>瑞陵精機37</v>
      </c>
      <c r="C660" t="str">
        <v>在職中</v>
      </c>
      <c r="D660">
        <v>230510</v>
      </c>
      <c r="E660">
        <v>0</v>
      </c>
      <c r="F660" t="str">
        <v>瑞陵精機</v>
      </c>
      <c r="G660" t="str">
        <v>製造課</v>
      </c>
      <c r="H660" t="str">
        <v>等速ジョイント</v>
      </c>
      <c r="I660" t="str">
        <v>ＮＣ旋盤、マシニングセンター等の工作機械を使いオペレーターとして製造ラインで製品を加工</v>
      </c>
      <c r="J660" t="str">
        <v>PHAN VAN CANH</v>
      </c>
      <c r="K660" t="str">
        <v>ファム　ヴァン　カン</v>
      </c>
      <c r="L660" t="str">
        <v>男</v>
      </c>
      <c r="M660" t="str">
        <v>ﾍﾞﾄﾅﾑ</v>
      </c>
      <c r="N660">
        <v>35086</v>
      </c>
      <c r="O660">
        <v>27</v>
      </c>
      <c r="P660">
        <v>1200</v>
      </c>
      <c r="Q660">
        <v>0</v>
      </c>
      <c r="R660">
        <v>1700</v>
      </c>
      <c r="S660">
        <v>0</v>
      </c>
      <c r="T660">
        <v>500</v>
      </c>
      <c r="U660">
        <v>180000</v>
      </c>
      <c r="V660">
        <v>9009</v>
      </c>
      <c r="W660" t="str">
        <v>0</v>
      </c>
      <c r="X660">
        <v>16470</v>
      </c>
      <c r="Y660">
        <v>45429</v>
      </c>
      <c r="Z660" t="str">
        <v/>
      </c>
      <c r="AA660" t="str">
        <v>技術・人文知識・国際業務</v>
      </c>
      <c r="AB660" t="str">
        <v>509-7201</v>
      </c>
      <c r="AC660" t="str">
        <v>岐阜県恵那市大井町1120-303</v>
      </c>
      <c r="AD660" t="str">
        <v>各務ﾊｲﾂ3F</v>
      </c>
      <c r="AE660">
        <v>45077</v>
      </c>
      <c r="AF660">
        <v>45068</v>
      </c>
      <c r="AG660">
        <v>0</v>
      </c>
      <c r="AH660">
        <v>0</v>
      </c>
      <c r="AI660" t="str">
        <v>23.5.22</v>
      </c>
      <c r="AJ660">
        <v>0</v>
      </c>
      <c r="AK660">
        <v>0</v>
      </c>
      <c r="AL660">
        <v>0</v>
      </c>
      <c r="AM660">
        <v>0</v>
      </c>
      <c r="AN660">
        <v>0</v>
      </c>
      <c r="AO660" t="str">
        <v>6/12林</v>
      </c>
      <c r="AP660">
        <v>0</v>
      </c>
    </row>
    <row r="661" spans="1:42">
      <c r="A661" t="str">
        <f>H661&amp;COUNTIF($H$2:H661,H661)</f>
        <v>成型ライン12</v>
      </c>
      <c r="B661" t="str">
        <f>F661&amp;COUNTIF($F$2:F661,F661)</f>
        <v>ピーエムアイ22</v>
      </c>
      <c r="C661" t="str">
        <v>在職中</v>
      </c>
      <c r="D661">
        <v>220208</v>
      </c>
      <c r="E661">
        <v>0</v>
      </c>
      <c r="F661" t="str">
        <v>ピーエムアイ</v>
      </c>
      <c r="G661" t="str">
        <v>製造1</v>
      </c>
      <c r="H661" t="str">
        <v>成型ライン</v>
      </c>
      <c r="I661" t="str">
        <v>プラスチック製品の製造におけるすべての行為</v>
      </c>
      <c r="J661" t="str">
        <v>NGO QUOC THINH</v>
      </c>
      <c r="K661" t="str">
        <v>ゴ　クオック　テイン</v>
      </c>
      <c r="L661" t="str">
        <v>男</v>
      </c>
      <c r="M661" t="str">
        <v>ﾍﾞﾄﾅﾑ</v>
      </c>
      <c r="N661">
        <v>35358</v>
      </c>
      <c r="O661">
        <v>27</v>
      </c>
      <c r="P661">
        <v>1300</v>
      </c>
      <c r="Q661">
        <v>0</v>
      </c>
      <c r="R661">
        <v>1800</v>
      </c>
      <c r="S661">
        <v>0</v>
      </c>
      <c r="T661">
        <v>500</v>
      </c>
      <c r="U661">
        <v>200000</v>
      </c>
      <c r="V661">
        <v>10010</v>
      </c>
      <c r="W661" t="str">
        <v>0</v>
      </c>
      <c r="X661">
        <v>18300</v>
      </c>
      <c r="Y661">
        <v>45281</v>
      </c>
      <c r="Z661" t="str">
        <v>残り期限90日!</v>
      </c>
      <c r="AA661" t="str">
        <v>技術・人文知識・国際業務</v>
      </c>
      <c r="AB661" t="str">
        <v>471-0805</v>
      </c>
      <c r="AC661" t="str">
        <v>愛知県豊田市美里2-6-9</v>
      </c>
      <c r="AD661" t="str">
        <v>ﾚｼﾞｪﾝﾄﾞK305</v>
      </c>
      <c r="AE661">
        <v>45101</v>
      </c>
      <c r="AF661">
        <v>45093</v>
      </c>
      <c r="AG661">
        <v>0</v>
      </c>
      <c r="AH661">
        <v>0</v>
      </c>
      <c r="AI661" t="str">
        <v>23.6.16</v>
      </c>
      <c r="AJ661">
        <v>0</v>
      </c>
      <c r="AK661">
        <v>0</v>
      </c>
      <c r="AL661">
        <v>0</v>
      </c>
      <c r="AM661">
        <v>0</v>
      </c>
      <c r="AN661">
        <v>0</v>
      </c>
      <c r="AO661" t="str">
        <v>7/3林</v>
      </c>
      <c r="AP661" t="str">
        <v>2023/7/8～205へ移動</v>
      </c>
    </row>
    <row r="662" spans="1:42">
      <c r="A662" t="str">
        <f>H662&amp;COUNTIF($H$2:H662,H662)</f>
        <v>本社製造部製造3課5</v>
      </c>
      <c r="B662" t="str">
        <f>F662&amp;COUNTIF($F$2:F662,F662)</f>
        <v>ユアサ工機 新城5</v>
      </c>
      <c r="C662" t="str">
        <v>在職中</v>
      </c>
      <c r="D662">
        <v>230701</v>
      </c>
      <c r="E662">
        <v>0</v>
      </c>
      <c r="F662" t="str">
        <v>ユアサ工機 新城</v>
      </c>
      <c r="G662" t="str">
        <v>本社製造部製造3課</v>
      </c>
      <c r="H662" t="str">
        <v>本社製造部製造3課</v>
      </c>
      <c r="I662" t="str">
        <v>クランクシャフトの旋盤、マシニング、研磨、仕上げ加工など</v>
      </c>
      <c r="J662" t="str">
        <v>HOANG ANH DUNG</v>
      </c>
      <c r="K662" t="str">
        <v>ホアン　アイン　ズン</v>
      </c>
      <c r="L662" t="str">
        <v>男</v>
      </c>
      <c r="M662" t="str">
        <v>ﾍﾞﾄﾅﾑ</v>
      </c>
      <c r="N662">
        <v>31876</v>
      </c>
      <c r="O662">
        <v>36</v>
      </c>
      <c r="P662">
        <v>1350</v>
      </c>
      <c r="Q662">
        <v>0</v>
      </c>
      <c r="R662">
        <v>1800</v>
      </c>
      <c r="S662">
        <v>0</v>
      </c>
      <c r="T662">
        <v>450</v>
      </c>
      <c r="U662">
        <v>220000</v>
      </c>
      <c r="V662">
        <v>11011</v>
      </c>
      <c r="W662" t="str">
        <v>0</v>
      </c>
      <c r="X662">
        <v>20130</v>
      </c>
      <c r="Y662">
        <v>46096</v>
      </c>
      <c r="Z662" t="str">
        <v/>
      </c>
      <c r="AA662" t="str">
        <v>技術・人文知識・国際業務</v>
      </c>
      <c r="AB662" t="str">
        <v>441-1231</v>
      </c>
      <c r="AC662" t="str">
        <v>愛知県豊川市一宮町宮前125</v>
      </c>
      <c r="AD662" t="str">
        <v>ﾌｫﾝﾃｲﾝ宮前203</v>
      </c>
      <c r="AE662">
        <v>45104</v>
      </c>
      <c r="AF662">
        <v>45110</v>
      </c>
      <c r="AG662">
        <v>0</v>
      </c>
      <c r="AH662">
        <v>0</v>
      </c>
      <c r="AI662" t="str">
        <v>23.7.3</v>
      </c>
      <c r="AJ662">
        <v>0</v>
      </c>
      <c r="AK662">
        <v>0</v>
      </c>
      <c r="AL662">
        <v>0</v>
      </c>
      <c r="AM662">
        <v>0</v>
      </c>
      <c r="AN662">
        <v>0</v>
      </c>
      <c r="AO662" t="str">
        <v>7/13林</v>
      </c>
      <c r="AP662">
        <v>0</v>
      </c>
    </row>
    <row r="663" spans="1:42">
      <c r="A663" t="str">
        <f>H663&amp;COUNTIF($H$2:H663,H663)</f>
        <v>第５工場1</v>
      </c>
      <c r="B663" t="str">
        <f>F663&amp;COUNTIF($F$2:F663,F663)</f>
        <v>オーツカ7</v>
      </c>
      <c r="C663" t="str">
        <v>退社</v>
      </c>
      <c r="D663">
        <v>230705</v>
      </c>
      <c r="E663">
        <v>0</v>
      </c>
      <c r="F663" t="str">
        <v>オーツカ</v>
      </c>
      <c r="G663" t="str">
        <v>製造部関ヶ原第三製造課</v>
      </c>
      <c r="H663" t="str">
        <v>第５工場</v>
      </c>
      <c r="I663" t="str">
        <v>ラインオペレーター</v>
      </c>
      <c r="J663" t="str">
        <v>JONDA RAMOS VICTOR ADOLFO0</v>
      </c>
      <c r="K663" t="str">
        <v>ホンダ　ビクトル</v>
      </c>
      <c r="L663" t="str">
        <v>男</v>
      </c>
      <c r="M663" t="str">
        <v>ﾍﾟﾙｰ</v>
      </c>
      <c r="N663">
        <v>28516</v>
      </c>
      <c r="O663">
        <v>45</v>
      </c>
      <c r="P663">
        <v>1400</v>
      </c>
      <c r="Q663">
        <v>0</v>
      </c>
      <c r="R663">
        <v>1872</v>
      </c>
      <c r="S663">
        <v>0</v>
      </c>
      <c r="T663">
        <v>472</v>
      </c>
      <c r="U663">
        <v>220000</v>
      </c>
      <c r="V663">
        <v>11011</v>
      </c>
      <c r="W663">
        <v>2001.9999999999984</v>
      </c>
      <c r="X663">
        <v>20130</v>
      </c>
      <c r="Y663">
        <v>46081</v>
      </c>
      <c r="Z663" t="str">
        <v/>
      </c>
      <c r="AA663" t="str">
        <v>日本人の配偶者等</v>
      </c>
      <c r="AB663" t="str">
        <v>526-0803</v>
      </c>
      <c r="AC663" t="str">
        <v>滋賀県長浜市東上坂町524-1</v>
      </c>
      <c r="AD663" t="str">
        <v xml:space="preserve"> </v>
      </c>
      <c r="AE663" t="str">
        <v>個人</v>
      </c>
      <c r="AF663">
        <v>45112</v>
      </c>
      <c r="AG663">
        <v>45229</v>
      </c>
      <c r="AH663">
        <v>0</v>
      </c>
      <c r="AI663" t="str">
        <v>23.7.5</v>
      </c>
      <c r="AJ663">
        <v>0</v>
      </c>
      <c r="AK663">
        <v>0</v>
      </c>
      <c r="AL663">
        <v>0</v>
      </c>
      <c r="AM663">
        <v>0</v>
      </c>
      <c r="AN663">
        <v>0</v>
      </c>
      <c r="AO663" t="str">
        <v>7/13林</v>
      </c>
      <c r="AP663">
        <v>0</v>
      </c>
    </row>
    <row r="664" spans="1:42">
      <c r="A664" t="str">
        <f>H664&amp;COUNTIF($H$2:H664,H664)</f>
        <v>0244</v>
      </c>
      <c r="B664" t="str">
        <f>F664&amp;COUNTIF($F$2:F664,F664)</f>
        <v>ピーエムアイ23</v>
      </c>
      <c r="C664" t="str">
        <v>在職中</v>
      </c>
      <c r="D664">
        <v>230704</v>
      </c>
      <c r="E664">
        <v>0</v>
      </c>
      <c r="F664" t="str">
        <v>ピーエムアイ</v>
      </c>
      <c r="G664">
        <v>0</v>
      </c>
      <c r="H664">
        <v>0</v>
      </c>
      <c r="I664">
        <v>0</v>
      </c>
      <c r="J664" t="str">
        <v>DO VAN HIEP</v>
      </c>
      <c r="K664" t="str">
        <v>ド　ヴァン　ヒエップ</v>
      </c>
      <c r="L664" t="str">
        <v>男</v>
      </c>
      <c r="M664" t="str">
        <v>ﾍﾞﾄﾅﾑ</v>
      </c>
      <c r="N664">
        <v>34363</v>
      </c>
      <c r="O664">
        <v>29</v>
      </c>
      <c r="P664">
        <v>1300</v>
      </c>
      <c r="Q664">
        <v>0</v>
      </c>
      <c r="R664">
        <v>1800</v>
      </c>
      <c r="S664">
        <v>0</v>
      </c>
      <c r="T664">
        <v>500</v>
      </c>
      <c r="U664">
        <v>200000</v>
      </c>
      <c r="V664">
        <v>10010</v>
      </c>
      <c r="W664" t="str">
        <v>0</v>
      </c>
      <c r="X664">
        <v>18300</v>
      </c>
      <c r="Y664">
        <v>45451</v>
      </c>
      <c r="Z664" t="str">
        <v/>
      </c>
      <c r="AA664" t="str">
        <v>技術・人文知識・国際業務</v>
      </c>
      <c r="AB664" t="str">
        <v>471-0805</v>
      </c>
      <c r="AC664" t="str">
        <v>愛知県豊田市美里1-14-18</v>
      </c>
      <c r="AD664" t="str">
        <v>ﾊｲﾂ長嶋201</v>
      </c>
      <c r="AE664">
        <v>45207</v>
      </c>
      <c r="AF664">
        <v>45112</v>
      </c>
      <c r="AG664">
        <v>0</v>
      </c>
      <c r="AH664">
        <v>0</v>
      </c>
      <c r="AI664" t="str">
        <v>23.7.5</v>
      </c>
      <c r="AJ664">
        <v>0</v>
      </c>
      <c r="AK664">
        <v>0</v>
      </c>
      <c r="AL664">
        <v>0</v>
      </c>
      <c r="AM664">
        <v>0</v>
      </c>
      <c r="AN664">
        <v>0</v>
      </c>
      <c r="AO664" t="str">
        <v>7/13林</v>
      </c>
      <c r="AP664">
        <v>0</v>
      </c>
    </row>
    <row r="665" spans="1:42">
      <c r="A665" t="str">
        <f>H665&amp;COUNTIF($H$2:H665,H665)</f>
        <v>本社製造部製造3課6</v>
      </c>
      <c r="B665" t="str">
        <f>F665&amp;COUNTIF($F$2:F665,F665)</f>
        <v>ユアサ工機 新城6</v>
      </c>
      <c r="C665" t="str">
        <v>在職中</v>
      </c>
      <c r="D665">
        <v>230709</v>
      </c>
      <c r="E665">
        <v>0</v>
      </c>
      <c r="F665" t="str">
        <v>ユアサ工機 新城</v>
      </c>
      <c r="G665" t="str">
        <v>本社製造部製造3課</v>
      </c>
      <c r="H665" t="str">
        <v>本社製造部製造3課</v>
      </c>
      <c r="I665" t="str">
        <v>クランクシャフトの旋盤、マシニング、研磨、仕上げ加工など</v>
      </c>
      <c r="J665" t="str">
        <v>DANG VAN BINH</v>
      </c>
      <c r="K665" t="str">
        <v>ダン　ヴァン　ビン</v>
      </c>
      <c r="L665" t="str">
        <v>男</v>
      </c>
      <c r="M665" t="str">
        <v>ﾍﾞﾄﾅﾑ</v>
      </c>
      <c r="N665">
        <v>35288</v>
      </c>
      <c r="O665">
        <v>27</v>
      </c>
      <c r="P665">
        <v>1350</v>
      </c>
      <c r="Q665">
        <v>0</v>
      </c>
      <c r="R665">
        <v>1800</v>
      </c>
      <c r="S665">
        <v>0</v>
      </c>
      <c r="T665">
        <v>450</v>
      </c>
      <c r="U665">
        <v>200000</v>
      </c>
      <c r="V665">
        <v>10010</v>
      </c>
      <c r="W665" t="str">
        <v>0</v>
      </c>
      <c r="X665">
        <v>18300</v>
      </c>
      <c r="Y665">
        <v>45369</v>
      </c>
      <c r="Z665" t="str">
        <v/>
      </c>
      <c r="AA665" t="str">
        <v>技術・人文知識・国際業務</v>
      </c>
      <c r="AB665" t="str">
        <v>441-1342</v>
      </c>
      <c r="AC665" t="str">
        <v>愛知県新城市石田字南畑51-1</v>
      </c>
      <c r="AD665" t="str">
        <v>ﾌﾞﾗﾝｼｪHiroB</v>
      </c>
      <c r="AE665">
        <v>45123</v>
      </c>
      <c r="AF665">
        <v>45132</v>
      </c>
      <c r="AG665">
        <v>0</v>
      </c>
      <c r="AH665">
        <v>0</v>
      </c>
      <c r="AI665" t="str">
        <v>23.7.25</v>
      </c>
      <c r="AJ665">
        <v>0</v>
      </c>
      <c r="AK665">
        <v>0</v>
      </c>
      <c r="AL665">
        <v>0</v>
      </c>
      <c r="AM665">
        <v>0</v>
      </c>
      <c r="AN665">
        <v>0</v>
      </c>
      <c r="AO665" t="str">
        <v>8/1原</v>
      </c>
      <c r="AP665">
        <v>0</v>
      </c>
    </row>
    <row r="666" spans="1:42">
      <c r="A666" t="str">
        <f>H666&amp;COUNTIF($H$2:H666,H666)</f>
        <v>本社製造部製造3課7</v>
      </c>
      <c r="B666" t="str">
        <f>F666&amp;COUNTIF($F$2:F666,F666)</f>
        <v>ユアサ工機 新城7</v>
      </c>
      <c r="C666" t="str">
        <v>在職中</v>
      </c>
      <c r="D666">
        <v>230710</v>
      </c>
      <c r="E666">
        <v>0</v>
      </c>
      <c r="F666" t="str">
        <v>ユアサ工機 新城</v>
      </c>
      <c r="G666" t="str">
        <v>本社製造部製造3課</v>
      </c>
      <c r="H666" t="str">
        <v>本社製造部製造3課</v>
      </c>
      <c r="I666" t="str">
        <v>クランクシャフトの旋盤、マシニング、研磨、仕上げ加工など</v>
      </c>
      <c r="J666" t="str">
        <v>LE XUAN HOANG</v>
      </c>
      <c r="K666" t="str">
        <v>レ　スアン　ホアン</v>
      </c>
      <c r="L666" t="str">
        <v>男</v>
      </c>
      <c r="M666" t="str">
        <v>ﾍﾞﾄﾅﾑ</v>
      </c>
      <c r="N666">
        <v>35502</v>
      </c>
      <c r="O666">
        <v>26</v>
      </c>
      <c r="P666">
        <v>1350</v>
      </c>
      <c r="Q666">
        <v>0</v>
      </c>
      <c r="R666">
        <v>1800</v>
      </c>
      <c r="S666">
        <v>0</v>
      </c>
      <c r="T666">
        <v>450</v>
      </c>
      <c r="U666">
        <v>200000</v>
      </c>
      <c r="V666">
        <v>10010</v>
      </c>
      <c r="W666" t="str">
        <v>0</v>
      </c>
      <c r="X666">
        <v>18300</v>
      </c>
      <c r="Y666">
        <v>45634</v>
      </c>
      <c r="Z666" t="str">
        <v/>
      </c>
      <c r="AA666" t="str">
        <v>技術・人文知識・国際業務</v>
      </c>
      <c r="AB666" t="str">
        <v>441-1342</v>
      </c>
      <c r="AC666" t="str">
        <v>愛知県新城市石田字南畑51-1</v>
      </c>
      <c r="AD666" t="str">
        <v>ﾌﾞﾗﾝｼｪHiroB</v>
      </c>
      <c r="AE666">
        <v>45123</v>
      </c>
      <c r="AF666">
        <v>45132</v>
      </c>
      <c r="AG666">
        <v>0</v>
      </c>
      <c r="AH666">
        <v>0</v>
      </c>
      <c r="AI666" t="str">
        <v>23.7.25</v>
      </c>
      <c r="AJ666">
        <v>0</v>
      </c>
      <c r="AK666">
        <v>0</v>
      </c>
      <c r="AL666">
        <v>0</v>
      </c>
      <c r="AM666">
        <v>0</v>
      </c>
      <c r="AN666">
        <v>0</v>
      </c>
      <c r="AO666" t="str">
        <v>8/1原</v>
      </c>
      <c r="AP666">
        <v>0</v>
      </c>
    </row>
    <row r="667" spans="1:42">
      <c r="A667" t="str">
        <f>H667&amp;COUNTIF($H$2:H667,H667)</f>
        <v>0245</v>
      </c>
      <c r="B667" t="str">
        <f>F667&amp;COUNTIF($F$2:F667,F667)</f>
        <v>瑞陵精機38</v>
      </c>
      <c r="C667" t="str">
        <v>在職中</v>
      </c>
      <c r="D667">
        <v>230713</v>
      </c>
      <c r="E667">
        <v>0</v>
      </c>
      <c r="F667" t="str">
        <v>瑞陵精機</v>
      </c>
      <c r="G667">
        <v>0</v>
      </c>
      <c r="H667">
        <v>0</v>
      </c>
      <c r="I667">
        <v>0</v>
      </c>
      <c r="J667" t="str">
        <v>NGUYEN VAN NAM</v>
      </c>
      <c r="K667" t="str">
        <v>グエン　ヴァン　ナム</v>
      </c>
      <c r="L667" t="str">
        <v>男</v>
      </c>
      <c r="M667" t="str">
        <v>ﾍﾞﾄﾅﾑ</v>
      </c>
      <c r="N667">
        <v>37078</v>
      </c>
      <c r="O667">
        <v>22</v>
      </c>
      <c r="P667">
        <v>1200</v>
      </c>
      <c r="Q667">
        <v>0</v>
      </c>
      <c r="R667">
        <v>1700</v>
      </c>
      <c r="S667">
        <v>0</v>
      </c>
      <c r="T667">
        <v>500</v>
      </c>
      <c r="U667">
        <v>190000</v>
      </c>
      <c r="V667">
        <v>9509.5</v>
      </c>
      <c r="W667" t="str">
        <v>0</v>
      </c>
      <c r="X667">
        <v>17385</v>
      </c>
      <c r="Y667">
        <v>45499</v>
      </c>
      <c r="Z667" t="str">
        <v/>
      </c>
      <c r="AA667" t="str">
        <v>技術・人文知識・国際業務</v>
      </c>
      <c r="AB667" t="str">
        <v>509-7201</v>
      </c>
      <c r="AC667" t="str">
        <v>岐阜県恵那市大井町1120-303</v>
      </c>
      <c r="AD667" t="str">
        <v>各務ﾊｲﾂ3E</v>
      </c>
      <c r="AE667">
        <v>45133</v>
      </c>
      <c r="AF667">
        <v>45138</v>
      </c>
      <c r="AG667">
        <v>0</v>
      </c>
      <c r="AH667">
        <v>0</v>
      </c>
      <c r="AI667" t="str">
        <v>23.8.1</v>
      </c>
      <c r="AJ667">
        <v>0</v>
      </c>
      <c r="AK667">
        <v>0</v>
      </c>
      <c r="AL667">
        <v>0</v>
      </c>
      <c r="AM667">
        <v>0</v>
      </c>
      <c r="AN667">
        <v>0</v>
      </c>
      <c r="AO667" t="str">
        <v>8/9林</v>
      </c>
      <c r="AP667">
        <v>0</v>
      </c>
    </row>
    <row r="668" spans="1:42">
      <c r="A668" t="str">
        <f>H668&amp;COUNTIF($H$2:H668,H668)</f>
        <v>0246</v>
      </c>
      <c r="B668" t="str">
        <f>F668&amp;COUNTIF($F$2:F668,F668)</f>
        <v>瑞陵精機39</v>
      </c>
      <c r="C668" t="str">
        <v>在職中</v>
      </c>
      <c r="D668">
        <v>230714</v>
      </c>
      <c r="E668">
        <v>0</v>
      </c>
      <c r="F668" t="str">
        <v>瑞陵精機</v>
      </c>
      <c r="G668">
        <v>0</v>
      </c>
      <c r="H668">
        <v>0</v>
      </c>
      <c r="I668">
        <v>0</v>
      </c>
      <c r="J668" t="str">
        <v>THAI VAN HUNG</v>
      </c>
      <c r="K668" t="str">
        <v>タイ　ヴァン　フン</v>
      </c>
      <c r="L668" t="str">
        <v>男</v>
      </c>
      <c r="M668" t="str">
        <v>ﾍﾞﾄﾅﾑ</v>
      </c>
      <c r="N668">
        <v>35400</v>
      </c>
      <c r="O668">
        <v>27</v>
      </c>
      <c r="P668">
        <v>1200</v>
      </c>
      <c r="Q668">
        <v>0</v>
      </c>
      <c r="R668">
        <v>1700</v>
      </c>
      <c r="S668">
        <v>0</v>
      </c>
      <c r="T668">
        <v>500</v>
      </c>
      <c r="U668">
        <v>190000</v>
      </c>
      <c r="V668">
        <v>9509.5</v>
      </c>
      <c r="W668" t="str">
        <v>0</v>
      </c>
      <c r="X668">
        <v>17385</v>
      </c>
      <c r="Y668">
        <v>45499</v>
      </c>
      <c r="Z668" t="str">
        <v/>
      </c>
      <c r="AA668" t="str">
        <v>技術・人文知識・国際業務</v>
      </c>
      <c r="AB668" t="str">
        <v>509-7201</v>
      </c>
      <c r="AC668" t="str">
        <v>岐阜県恵那市大井町1120-303</v>
      </c>
      <c r="AD668" t="str">
        <v>各務ﾊｲﾂ3E</v>
      </c>
      <c r="AE668">
        <v>45133</v>
      </c>
      <c r="AF668">
        <v>45138</v>
      </c>
      <c r="AG668">
        <v>0</v>
      </c>
      <c r="AH668">
        <v>0</v>
      </c>
      <c r="AI668" t="str">
        <v>23.8.1</v>
      </c>
      <c r="AJ668">
        <v>0</v>
      </c>
      <c r="AK668">
        <v>0</v>
      </c>
      <c r="AL668">
        <v>0</v>
      </c>
      <c r="AM668">
        <v>0</v>
      </c>
      <c r="AN668">
        <v>0</v>
      </c>
      <c r="AO668" t="str">
        <v>8/9林</v>
      </c>
      <c r="AP668">
        <v>0</v>
      </c>
    </row>
    <row r="669" spans="1:42">
      <c r="A669" t="str">
        <f>H669&amp;COUNTIF($H$2:H669,H669)</f>
        <v>0247</v>
      </c>
      <c r="B669" t="str">
        <f>F669&amp;COUNTIF($F$2:F669,F669)</f>
        <v>瑞陵精機40</v>
      </c>
      <c r="C669" t="str">
        <v>在職中</v>
      </c>
      <c r="D669">
        <v>230715</v>
      </c>
      <c r="E669">
        <v>0</v>
      </c>
      <c r="F669" t="str">
        <v>瑞陵精機</v>
      </c>
      <c r="G669">
        <v>0</v>
      </c>
      <c r="H669">
        <v>0</v>
      </c>
      <c r="I669">
        <v>0</v>
      </c>
      <c r="J669" t="str">
        <v>NGUYEN THANH LONG</v>
      </c>
      <c r="K669" t="str">
        <v>グエン　タイン　ロン</v>
      </c>
      <c r="L669" t="str">
        <v>男</v>
      </c>
      <c r="M669" t="str">
        <v>ﾍﾞﾄﾅﾑ</v>
      </c>
      <c r="N669">
        <v>36146</v>
      </c>
      <c r="O669">
        <v>24</v>
      </c>
      <c r="P669">
        <v>1200</v>
      </c>
      <c r="Q669">
        <v>0</v>
      </c>
      <c r="R669">
        <v>1700</v>
      </c>
      <c r="S669">
        <v>0</v>
      </c>
      <c r="T669">
        <v>500</v>
      </c>
      <c r="U669">
        <v>190000</v>
      </c>
      <c r="V669">
        <v>9509.5</v>
      </c>
      <c r="W669" t="str">
        <v>0</v>
      </c>
      <c r="X669">
        <v>17385</v>
      </c>
      <c r="Y669">
        <v>45499</v>
      </c>
      <c r="Z669" t="str">
        <v/>
      </c>
      <c r="AA669" t="str">
        <v>技術・人文知識・国際業務</v>
      </c>
      <c r="AB669" t="str">
        <v>509-7201</v>
      </c>
      <c r="AC669" t="str">
        <v>岐阜県恵那市大井町1120-303</v>
      </c>
      <c r="AD669" t="str">
        <v>各務ﾊｲﾂ4H</v>
      </c>
      <c r="AE669">
        <v>45133</v>
      </c>
      <c r="AF669">
        <v>45138</v>
      </c>
      <c r="AG669">
        <v>0</v>
      </c>
      <c r="AH669">
        <v>0</v>
      </c>
      <c r="AI669" t="str">
        <v>23.8.1</v>
      </c>
      <c r="AJ669">
        <v>0</v>
      </c>
      <c r="AK669">
        <v>0</v>
      </c>
      <c r="AL669">
        <v>0</v>
      </c>
      <c r="AM669">
        <v>0</v>
      </c>
      <c r="AN669">
        <v>0</v>
      </c>
      <c r="AO669" t="str">
        <v>8/9林</v>
      </c>
      <c r="AP669">
        <v>0</v>
      </c>
    </row>
    <row r="670" spans="1:42">
      <c r="A670" t="str">
        <f>H670&amp;COUNTIF($H$2:H670,H670)</f>
        <v>0248</v>
      </c>
      <c r="B670" t="str">
        <f>F670&amp;COUNTIF($F$2:F670,F670)</f>
        <v>三幸技研7</v>
      </c>
      <c r="C670" t="str">
        <v>在職中</v>
      </c>
      <c r="D670">
        <v>230816</v>
      </c>
      <c r="E670">
        <v>0</v>
      </c>
      <c r="F670" t="str">
        <v>三幸技研</v>
      </c>
      <c r="G670">
        <v>0</v>
      </c>
      <c r="H670">
        <v>0</v>
      </c>
      <c r="I670">
        <v>0</v>
      </c>
      <c r="J670" t="str">
        <v>LE SY HUNG</v>
      </c>
      <c r="K670" t="str">
        <v>レー　シー　フン</v>
      </c>
      <c r="L670" t="str">
        <v>男</v>
      </c>
      <c r="M670" t="str">
        <v>ﾍﾞﾄﾅﾑ</v>
      </c>
      <c r="N670">
        <v>33874</v>
      </c>
      <c r="O670">
        <v>31</v>
      </c>
      <c r="P670">
        <v>1300</v>
      </c>
      <c r="Q670">
        <v>0</v>
      </c>
      <c r="R670">
        <v>1750</v>
      </c>
      <c r="S670">
        <v>0</v>
      </c>
      <c r="T670">
        <v>450</v>
      </c>
      <c r="U670">
        <v>200000</v>
      </c>
      <c r="V670">
        <v>10010</v>
      </c>
      <c r="W670" t="str">
        <v>0</v>
      </c>
      <c r="X670">
        <v>18300</v>
      </c>
      <c r="Y670">
        <v>45298</v>
      </c>
      <c r="Z670" t="str">
        <v>残り期限90日!</v>
      </c>
      <c r="AA670" t="str">
        <v>技術・人文知識・国際業務</v>
      </c>
      <c r="AB670" t="str">
        <v>474-0056</v>
      </c>
      <c r="AC670" t="str">
        <v>愛知県大府市明成町2丁目176番地</v>
      </c>
      <c r="AD670" t="str">
        <v>ｻﾝﾋﾟｱ清野205</v>
      </c>
      <c r="AE670">
        <v>45140</v>
      </c>
      <c r="AF670">
        <v>45141</v>
      </c>
      <c r="AG670">
        <v>0</v>
      </c>
      <c r="AH670">
        <v>0</v>
      </c>
      <c r="AI670" t="str">
        <v>23.8.2</v>
      </c>
      <c r="AJ670">
        <v>0</v>
      </c>
      <c r="AK670">
        <v>0</v>
      </c>
      <c r="AL670">
        <v>0</v>
      </c>
      <c r="AM670">
        <v>0</v>
      </c>
      <c r="AN670">
        <v>0</v>
      </c>
      <c r="AO670" t="str">
        <v>8/23林</v>
      </c>
      <c r="AP670">
        <v>0</v>
      </c>
    </row>
    <row r="671" spans="1:42">
      <c r="A671" t="str">
        <f>H671&amp;COUNTIF($H$2:H671,H671)</f>
        <v>0249</v>
      </c>
      <c r="B671" t="str">
        <f>F671&amp;COUNTIF($F$2:F671,F671)</f>
        <v>三幸技研8</v>
      </c>
      <c r="C671" t="str">
        <v>退社</v>
      </c>
      <c r="D671">
        <v>230903</v>
      </c>
      <c r="E671">
        <v>0</v>
      </c>
      <c r="F671" t="str">
        <v>三幸技研</v>
      </c>
      <c r="G671">
        <v>0</v>
      </c>
      <c r="H671">
        <v>0</v>
      </c>
      <c r="I671">
        <v>0</v>
      </c>
      <c r="J671" t="str">
        <v>VU VAN DUNG</v>
      </c>
      <c r="K671" t="str">
        <v>ブ　バン　ズン</v>
      </c>
      <c r="L671" t="str">
        <v>男</v>
      </c>
      <c r="M671" t="str">
        <v>ﾍﾞﾄﾅﾑ</v>
      </c>
      <c r="N671">
        <v>31674</v>
      </c>
      <c r="O671">
        <v>37</v>
      </c>
      <c r="P671">
        <v>1300</v>
      </c>
      <c r="Q671">
        <v>0</v>
      </c>
      <c r="R671">
        <v>1750</v>
      </c>
      <c r="S671">
        <v>0</v>
      </c>
      <c r="T671">
        <v>450</v>
      </c>
      <c r="U671">
        <v>220000</v>
      </c>
      <c r="V671">
        <v>11011</v>
      </c>
      <c r="W671" t="str">
        <v>0</v>
      </c>
      <c r="X671">
        <v>20130</v>
      </c>
      <c r="Y671">
        <v>45427</v>
      </c>
      <c r="Z671" t="str">
        <v/>
      </c>
      <c r="AA671" t="str">
        <v>技術・人文知識・国際業務</v>
      </c>
      <c r="AB671" t="str">
        <v>476-0011</v>
      </c>
      <c r="AC671" t="str">
        <v>愛知県東海市冨木島町山中80-1</v>
      </c>
      <c r="AD671" t="str">
        <v>ﾋﾞﾚｯｼﾞﾊｳｽ山中2-304</v>
      </c>
      <c r="AE671" t="str">
        <v>個人</v>
      </c>
      <c r="AF671">
        <v>45170</v>
      </c>
      <c r="AG671">
        <v>45239</v>
      </c>
      <c r="AH671">
        <v>0</v>
      </c>
      <c r="AI671" t="str">
        <v>23.9.1</v>
      </c>
      <c r="AJ671">
        <v>0</v>
      </c>
      <c r="AK671">
        <v>0</v>
      </c>
      <c r="AL671">
        <v>0</v>
      </c>
      <c r="AM671">
        <v>0</v>
      </c>
      <c r="AN671">
        <v>0</v>
      </c>
      <c r="AO671" t="str">
        <v>9/8林</v>
      </c>
      <c r="AP671">
        <v>0</v>
      </c>
    </row>
    <row r="672" spans="1:42">
      <c r="A672" t="str">
        <f>H672&amp;COUNTIF($H$2:H672,H672)</f>
        <v>0250</v>
      </c>
      <c r="B672" t="str">
        <f>F672&amp;COUNTIF($F$2:F672,F672)</f>
        <v>加藤木材工業 本社25</v>
      </c>
      <c r="C672" t="str">
        <v>退社</v>
      </c>
      <c r="D672">
        <v>230904</v>
      </c>
      <c r="E672">
        <v>0</v>
      </c>
      <c r="F672" t="str">
        <v>加藤木材工業 本社</v>
      </c>
      <c r="G672">
        <v>0</v>
      </c>
      <c r="H672">
        <v>0</v>
      </c>
      <c r="I672">
        <v>0</v>
      </c>
      <c r="J672" t="str">
        <v>TRAN QUOC QUAN</v>
      </c>
      <c r="K672" t="str">
        <v>チャン　クオック　クアン</v>
      </c>
      <c r="L672" t="str">
        <v>男</v>
      </c>
      <c r="M672" t="str">
        <v>ﾍﾞﾄﾅﾑ</v>
      </c>
      <c r="N672">
        <v>35730</v>
      </c>
      <c r="O672">
        <v>26</v>
      </c>
      <c r="P672">
        <v>1300</v>
      </c>
      <c r="Q672">
        <v>0</v>
      </c>
      <c r="R672">
        <v>1700</v>
      </c>
      <c r="S672">
        <v>0</v>
      </c>
      <c r="T672">
        <v>400</v>
      </c>
      <c r="U672">
        <v>0</v>
      </c>
      <c r="V672">
        <v>0</v>
      </c>
      <c r="W672" t="str">
        <v>0</v>
      </c>
      <c r="X672">
        <v>0</v>
      </c>
      <c r="Y672">
        <v>45387</v>
      </c>
      <c r="Z672" t="str">
        <v/>
      </c>
      <c r="AA672" t="str">
        <v>技術・人文知識・国際業務</v>
      </c>
      <c r="AB672" t="str">
        <v>486-0918</v>
      </c>
      <c r="AC672" t="str">
        <v>愛知県春日井市如意申町3丁目3－4</v>
      </c>
      <c r="AD672" t="str">
        <v>Residence Enfinity M1 201</v>
      </c>
      <c r="AE672">
        <v>45173</v>
      </c>
      <c r="AF672">
        <v>45175</v>
      </c>
      <c r="AG672">
        <v>45181</v>
      </c>
      <c r="AH672">
        <v>0</v>
      </c>
      <c r="AI672" t="str">
        <v>23.9.6</v>
      </c>
      <c r="AJ672">
        <v>0</v>
      </c>
      <c r="AK672">
        <v>0</v>
      </c>
      <c r="AL672">
        <v>0</v>
      </c>
      <c r="AM672">
        <v>0</v>
      </c>
      <c r="AN672">
        <v>0</v>
      </c>
      <c r="AO672" t="str">
        <v>9/8林</v>
      </c>
      <c r="AP672">
        <v>0</v>
      </c>
    </row>
    <row r="673" spans="1:42">
      <c r="A673" t="str">
        <f>H673&amp;COUNTIF($H$2:H673,H673)</f>
        <v>0251</v>
      </c>
      <c r="B673" t="str">
        <f>F673&amp;COUNTIF($F$2:F673,F673)</f>
        <v>ピーエムアイ24</v>
      </c>
      <c r="C673" t="str">
        <v>在職中</v>
      </c>
      <c r="D673">
        <v>231001</v>
      </c>
      <c r="E673">
        <v>0</v>
      </c>
      <c r="F673" t="str">
        <v>ピーエムアイ</v>
      </c>
      <c r="G673">
        <v>0</v>
      </c>
      <c r="H673">
        <v>0</v>
      </c>
      <c r="I673">
        <v>0</v>
      </c>
      <c r="J673" t="str">
        <v>VO MINH KHANG</v>
      </c>
      <c r="K673" t="str">
        <v>ヴォ　ミン　カン</v>
      </c>
      <c r="L673" t="str">
        <v>男</v>
      </c>
      <c r="M673" t="str">
        <v>ﾍﾞﾄﾅﾑ</v>
      </c>
      <c r="N673">
        <v>36675</v>
      </c>
      <c r="O673">
        <v>23</v>
      </c>
      <c r="P673">
        <v>1300</v>
      </c>
      <c r="Q673">
        <v>0</v>
      </c>
      <c r="R673">
        <v>1800</v>
      </c>
      <c r="S673">
        <v>0</v>
      </c>
      <c r="T673">
        <v>500</v>
      </c>
      <c r="U673">
        <v>240000</v>
      </c>
      <c r="V673">
        <v>12012</v>
      </c>
      <c r="W673" t="str">
        <v>0</v>
      </c>
      <c r="X673">
        <v>21960</v>
      </c>
      <c r="Y673">
        <v>45353</v>
      </c>
      <c r="Z673" t="str">
        <v>残り期限90日!</v>
      </c>
      <c r="AA673" t="str">
        <v>技術・人文知識・国際業務</v>
      </c>
      <c r="AB673" t="str">
        <v>471-0805</v>
      </c>
      <c r="AC673" t="str">
        <v>愛知県豊田市美里1-14-18</v>
      </c>
      <c r="AD673" t="str">
        <v>ﾊｲﾂ長嶋201</v>
      </c>
      <c r="AE673">
        <v>45199</v>
      </c>
      <c r="AF673">
        <v>45201</v>
      </c>
      <c r="AG673">
        <v>0</v>
      </c>
      <c r="AH673">
        <v>0</v>
      </c>
      <c r="AI673" t="str">
        <v>23.10.2</v>
      </c>
      <c r="AJ673">
        <v>0</v>
      </c>
      <c r="AK673">
        <v>0</v>
      </c>
      <c r="AL673">
        <v>0</v>
      </c>
      <c r="AM673">
        <v>0</v>
      </c>
      <c r="AN673">
        <v>0</v>
      </c>
      <c r="AO673" t="str">
        <v>10/30林</v>
      </c>
      <c r="AP673">
        <v>0</v>
      </c>
    </row>
    <row r="674" spans="1:42">
      <c r="A674" t="str">
        <f>H674&amp;COUNTIF($H$2:H674,H674)</f>
        <v>0252</v>
      </c>
      <c r="B674" t="str">
        <f>F674&amp;COUNTIF($F$2:F674,F674)</f>
        <v>川原鉄工所22</v>
      </c>
      <c r="C674" t="str">
        <v>退社</v>
      </c>
      <c r="D674">
        <v>231009</v>
      </c>
      <c r="E674">
        <v>0</v>
      </c>
      <c r="F674" t="str">
        <v>川原鉄工所</v>
      </c>
      <c r="G674">
        <v>0</v>
      </c>
      <c r="H674">
        <v>0</v>
      </c>
      <c r="I674">
        <v>0</v>
      </c>
      <c r="J674" t="str">
        <v>NGUYEN DUC QUANG 　</v>
      </c>
      <c r="K674" t="str">
        <v>グエン　ドック　クアン</v>
      </c>
      <c r="L674" t="str">
        <v>男</v>
      </c>
      <c r="M674" t="str">
        <v>ﾍﾞﾄﾅﾑ</v>
      </c>
      <c r="N674">
        <v>33095</v>
      </c>
      <c r="O674">
        <v>33</v>
      </c>
      <c r="P674">
        <v>1300</v>
      </c>
      <c r="Q674">
        <v>0</v>
      </c>
      <c r="R674">
        <v>1650</v>
      </c>
      <c r="S674">
        <v>0</v>
      </c>
      <c r="T674">
        <v>350</v>
      </c>
      <c r="U674">
        <v>0</v>
      </c>
      <c r="V674">
        <v>0</v>
      </c>
      <c r="W674" t="str">
        <v>0</v>
      </c>
      <c r="X674">
        <v>0</v>
      </c>
      <c r="Y674">
        <v>45542</v>
      </c>
      <c r="Z674" t="str">
        <v/>
      </c>
      <c r="AA674" t="str">
        <v>技術・人文知識・国際業務</v>
      </c>
      <c r="AB674" t="str">
        <v>455-0831</v>
      </c>
      <c r="AC674" t="str">
        <v>愛知県名古屋市港区十一屋3丁目24-1</v>
      </c>
      <c r="AD674" t="str">
        <v>ｸﾞﾛｰﾘｨ十一屋304号</v>
      </c>
      <c r="AE674">
        <v>0</v>
      </c>
      <c r="AF674">
        <v>45201</v>
      </c>
      <c r="AG674">
        <v>45202</v>
      </c>
      <c r="AH674">
        <v>0</v>
      </c>
      <c r="AI674">
        <v>0</v>
      </c>
      <c r="AJ674">
        <v>0</v>
      </c>
      <c r="AK674">
        <v>0</v>
      </c>
      <c r="AL674">
        <v>0</v>
      </c>
      <c r="AM674">
        <v>0</v>
      </c>
      <c r="AN674">
        <v>0</v>
      </c>
      <c r="AO674" t="str">
        <v>10/18林</v>
      </c>
      <c r="AP674">
        <v>0</v>
      </c>
    </row>
    <row r="675" spans="1:42">
      <c r="A675" t="str">
        <f>H675&amp;COUNTIF($H$2:H675,H675)</f>
        <v>0253</v>
      </c>
      <c r="B675" t="str">
        <f>F675&amp;COUNTIF($F$2:F675,F675)</f>
        <v>川原鉄工所23</v>
      </c>
      <c r="C675" t="str">
        <v>在職中</v>
      </c>
      <c r="D675">
        <v>231006</v>
      </c>
      <c r="E675">
        <v>0</v>
      </c>
      <c r="F675" t="str">
        <v>川原鉄工所</v>
      </c>
      <c r="G675">
        <v>0</v>
      </c>
      <c r="H675">
        <v>0</v>
      </c>
      <c r="I675">
        <v>0</v>
      </c>
      <c r="J675" t="str">
        <v>NGUYEN THANH SANG</v>
      </c>
      <c r="K675" t="str">
        <v>グエン　タイン　サン</v>
      </c>
      <c r="L675" t="str">
        <v>男</v>
      </c>
      <c r="M675" t="str">
        <v>ﾍﾞﾄﾅﾑ</v>
      </c>
      <c r="N675">
        <v>35593</v>
      </c>
      <c r="O675">
        <v>26</v>
      </c>
      <c r="P675">
        <v>1300</v>
      </c>
      <c r="Q675">
        <v>0</v>
      </c>
      <c r="R675">
        <v>1650</v>
      </c>
      <c r="S675">
        <v>0</v>
      </c>
      <c r="T675">
        <v>350</v>
      </c>
      <c r="U675">
        <v>220000</v>
      </c>
      <c r="V675">
        <v>11011</v>
      </c>
      <c r="W675" t="str">
        <v>0</v>
      </c>
      <c r="X675">
        <v>20130</v>
      </c>
      <c r="Y675">
        <v>45354</v>
      </c>
      <c r="Z675" t="str">
        <v>残り期限90日!</v>
      </c>
      <c r="AA675" t="str">
        <v>技術・人文知識・国際業務</v>
      </c>
      <c r="AB675" t="str">
        <v>455-0831</v>
      </c>
      <c r="AC675" t="str">
        <v>愛知県名古屋市港区十一屋3丁目24-1</v>
      </c>
      <c r="AD675" t="str">
        <v>ｸﾞﾛｰﾘｨ十一屋304号</v>
      </c>
      <c r="AE675">
        <v>45215</v>
      </c>
      <c r="AF675">
        <v>45216</v>
      </c>
      <c r="AG675">
        <v>0</v>
      </c>
      <c r="AH675">
        <v>0</v>
      </c>
      <c r="AI675" t="str">
        <v>23.10.17</v>
      </c>
      <c r="AJ675">
        <v>0</v>
      </c>
      <c r="AK675">
        <v>0</v>
      </c>
      <c r="AL675">
        <v>0</v>
      </c>
      <c r="AM675">
        <v>0</v>
      </c>
      <c r="AN675">
        <v>0</v>
      </c>
      <c r="AO675" t="str">
        <v>10/30林</v>
      </c>
      <c r="AP675">
        <v>0</v>
      </c>
    </row>
    <row r="676" spans="1:42">
      <c r="A676" t="str">
        <f>H676&amp;COUNTIF($H$2:H676,H676)</f>
        <v>0254</v>
      </c>
      <c r="B676" t="str">
        <f>F676&amp;COUNTIF($F$2:F676,F676)</f>
        <v>ピーエムアイ25</v>
      </c>
      <c r="C676" t="str">
        <v>在職中</v>
      </c>
      <c r="D676">
        <v>231007</v>
      </c>
      <c r="E676">
        <v>0</v>
      </c>
      <c r="F676" t="str">
        <v>ピーエムアイ</v>
      </c>
      <c r="G676">
        <v>0</v>
      </c>
      <c r="H676">
        <v>0</v>
      </c>
      <c r="I676">
        <v>0</v>
      </c>
      <c r="J676" t="str">
        <v>DUONG THI THANH NGUYET</v>
      </c>
      <c r="K676" t="str">
        <v>ズオン　ティ　タイン　グエット</v>
      </c>
      <c r="L676" t="str">
        <v>女</v>
      </c>
      <c r="M676" t="str">
        <v>ﾍﾞﾄﾅﾑ</v>
      </c>
      <c r="N676">
        <v>33632</v>
      </c>
      <c r="O676">
        <v>31</v>
      </c>
      <c r="P676">
        <v>1300</v>
      </c>
      <c r="Q676">
        <v>0</v>
      </c>
      <c r="R676">
        <v>1800</v>
      </c>
      <c r="S676">
        <v>0</v>
      </c>
      <c r="T676">
        <v>500</v>
      </c>
      <c r="U676">
        <v>240000</v>
      </c>
      <c r="V676">
        <v>12012</v>
      </c>
      <c r="W676" t="str">
        <v>0</v>
      </c>
      <c r="X676">
        <v>21960</v>
      </c>
      <c r="Y676">
        <v>45511</v>
      </c>
      <c r="Z676" t="str">
        <v/>
      </c>
      <c r="AA676" t="str">
        <v>技術・人文知識・国際業務</v>
      </c>
      <c r="AB676" t="str">
        <v>471-0805</v>
      </c>
      <c r="AC676" t="str">
        <v>愛知県豊田市美里2-6-9</v>
      </c>
      <c r="AD676" t="str">
        <v>ﾚｼﾞｪﾝﾄﾞK304</v>
      </c>
      <c r="AE676">
        <v>0</v>
      </c>
      <c r="AF676">
        <v>45217</v>
      </c>
      <c r="AG676">
        <v>0</v>
      </c>
      <c r="AH676">
        <v>0</v>
      </c>
      <c r="AI676" t="str">
        <v>23.10.18</v>
      </c>
      <c r="AJ676">
        <v>0</v>
      </c>
      <c r="AK676">
        <v>0</v>
      </c>
      <c r="AL676">
        <v>0</v>
      </c>
      <c r="AM676">
        <v>0</v>
      </c>
      <c r="AN676">
        <v>0</v>
      </c>
      <c r="AO676" t="str">
        <v>10/30林</v>
      </c>
      <c r="AP676">
        <v>0</v>
      </c>
    </row>
    <row r="677" spans="1:42">
      <c r="A677" t="str">
        <f>H677&amp;COUNTIF($H$2:H677,H677)</f>
        <v>製造1課3</v>
      </c>
      <c r="B677" t="str">
        <f>F677&amp;COUNTIF($F$2:F677,F677)</f>
        <v>ユアサ工機 本社3</v>
      </c>
      <c r="C677" t="str">
        <v>在職中</v>
      </c>
      <c r="D677">
        <v>231012</v>
      </c>
      <c r="E677">
        <v>0</v>
      </c>
      <c r="F677" t="str">
        <v>ユアサ工機 本社</v>
      </c>
      <c r="G677" t="str">
        <v>本社製造部製造1課</v>
      </c>
      <c r="H677" t="str">
        <v>製造1課</v>
      </c>
      <c r="I677" t="str">
        <v>クランクシャフトの旋盤、マシニング、研磨、仕上げ加工など</v>
      </c>
      <c r="J677" t="str">
        <v>TRAN VAN TUAN</v>
      </c>
      <c r="K677" t="str">
        <v>トラン　バン　トゥアン</v>
      </c>
      <c r="L677" t="str">
        <v>男</v>
      </c>
      <c r="M677" t="str">
        <v>ﾍﾞﾄﾅﾑ</v>
      </c>
      <c r="N677">
        <v>34320</v>
      </c>
      <c r="O677">
        <v>29</v>
      </c>
      <c r="P677">
        <v>1300</v>
      </c>
      <c r="Q677">
        <v>0</v>
      </c>
      <c r="R677">
        <v>1900</v>
      </c>
      <c r="S677">
        <v>0</v>
      </c>
      <c r="T677">
        <v>600</v>
      </c>
      <c r="U677">
        <v>240000</v>
      </c>
      <c r="V677">
        <v>12012</v>
      </c>
      <c r="W677" t="str">
        <v>0</v>
      </c>
      <c r="X677">
        <v>21960</v>
      </c>
      <c r="Y677">
        <v>45597</v>
      </c>
      <c r="Z677" t="str">
        <v/>
      </c>
      <c r="AA677" t="str">
        <v>技術・人文知識・国際業務</v>
      </c>
      <c r="AB677" t="str">
        <v>706-0014</v>
      </c>
      <c r="AC677" t="str">
        <v>岡山県玉野市玉原2-11-3</v>
      </c>
      <c r="AD677" t="str">
        <v>ﾋﾞﾚｯｼﾞﾊｳｽ玉原208</v>
      </c>
      <c r="AE677" t="str">
        <v>個人</v>
      </c>
      <c r="AF677">
        <v>45230</v>
      </c>
      <c r="AG677">
        <v>0</v>
      </c>
      <c r="AH677">
        <v>0</v>
      </c>
      <c r="AI677" t="str">
        <v>23.10.31</v>
      </c>
      <c r="AJ677">
        <v>0</v>
      </c>
      <c r="AK677">
        <v>0</v>
      </c>
      <c r="AL677">
        <v>0</v>
      </c>
      <c r="AM677">
        <v>0</v>
      </c>
      <c r="AN677">
        <v>0</v>
      </c>
      <c r="AO677" t="str">
        <v>11/9林</v>
      </c>
      <c r="AP677">
        <v>0</v>
      </c>
    </row>
    <row r="678" spans="1:42">
      <c r="A678" t="str">
        <f>H678&amp;COUNTIF($H$2:H678,H678)</f>
        <v>0255</v>
      </c>
      <c r="B678" t="str">
        <f>F678&amp;COUNTIF($F$2:F678,F678)</f>
        <v>三幸技研9</v>
      </c>
      <c r="C678" t="str">
        <v>在職中</v>
      </c>
      <c r="D678">
        <v>231101</v>
      </c>
      <c r="E678">
        <v>0</v>
      </c>
      <c r="F678" t="str">
        <v>三幸技研</v>
      </c>
      <c r="G678">
        <v>0</v>
      </c>
      <c r="H678">
        <v>0</v>
      </c>
      <c r="I678">
        <v>0</v>
      </c>
      <c r="J678" t="str">
        <v>PHAM DINH TUNG</v>
      </c>
      <c r="K678" t="str">
        <v>ファム　ディン　トゥン</v>
      </c>
      <c r="L678" t="str">
        <v>男</v>
      </c>
      <c r="M678" t="str">
        <v>ﾍﾞﾄﾅﾑ</v>
      </c>
      <c r="N678">
        <v>33417</v>
      </c>
      <c r="O678">
        <v>32</v>
      </c>
      <c r="P678">
        <v>1300</v>
      </c>
      <c r="Q678">
        <v>0</v>
      </c>
      <c r="R678">
        <v>1750</v>
      </c>
      <c r="S678">
        <v>0</v>
      </c>
      <c r="T678">
        <v>450</v>
      </c>
      <c r="U678">
        <v>220000</v>
      </c>
      <c r="V678">
        <v>11011</v>
      </c>
      <c r="W678" t="str">
        <v>0</v>
      </c>
      <c r="X678">
        <v>20130</v>
      </c>
      <c r="Y678">
        <v>45408</v>
      </c>
      <c r="Z678" t="str">
        <v/>
      </c>
      <c r="AA678" t="str">
        <v>技術・人文知識・国際業務</v>
      </c>
      <c r="AB678" t="str">
        <v>474-0057</v>
      </c>
      <c r="AC678" t="str">
        <v>愛知県大府市共和町2-18-8</v>
      </c>
      <c r="AD678" t="str">
        <v>共和ﾌﾟﾗｻﾞﾋﾞﾙ1号館203</v>
      </c>
      <c r="AE678">
        <v>0</v>
      </c>
      <c r="AF678">
        <v>45231</v>
      </c>
      <c r="AG678">
        <v>0</v>
      </c>
      <c r="AH678">
        <v>0</v>
      </c>
      <c r="AI678" t="str">
        <v>23.11.1</v>
      </c>
      <c r="AJ678">
        <v>0</v>
      </c>
      <c r="AK678">
        <v>0</v>
      </c>
      <c r="AL678">
        <v>0</v>
      </c>
      <c r="AM678">
        <v>0</v>
      </c>
      <c r="AN678">
        <v>0</v>
      </c>
      <c r="AO678" t="str">
        <v>11/20林</v>
      </c>
      <c r="AP678">
        <v>0</v>
      </c>
    </row>
    <row r="679" spans="1:42">
      <c r="A679" t="str">
        <f>H679&amp;COUNTIF($H$2:H679,H679)</f>
        <v>H_2次旋10</v>
      </c>
      <c r="B679" t="str">
        <f>F679&amp;COUNTIF($F$2:F679,F679)</f>
        <v>高雄工業 海南第一42</v>
      </c>
      <c r="C679" t="str">
        <v>在職中</v>
      </c>
      <c r="D679">
        <v>231106</v>
      </c>
      <c r="E679">
        <v>0</v>
      </c>
      <c r="F679" t="str">
        <v>高雄工業 海南第一</v>
      </c>
      <c r="G679" t="str">
        <v>高雄工業株式会社 海南第一工場製作1課</v>
      </c>
      <c r="H679" t="str">
        <v>H_2次旋</v>
      </c>
      <c r="I679" t="str">
        <v>ハブ加工品の2次施削、手動機械オペレーターNCプログラム修正</v>
      </c>
      <c r="J679" t="str">
        <v>LUU THANH HAI</v>
      </c>
      <c r="K679" t="str">
        <v>リュ　タイン　ハイ</v>
      </c>
      <c r="L679" t="str">
        <v>男</v>
      </c>
      <c r="M679" t="str">
        <v>ﾍﾞﾄﾅﾑ</v>
      </c>
      <c r="N679">
        <v>33137</v>
      </c>
      <c r="O679">
        <v>33</v>
      </c>
      <c r="P679">
        <v>1200</v>
      </c>
      <c r="Q679">
        <v>0</v>
      </c>
      <c r="R679">
        <v>1650</v>
      </c>
      <c r="S679">
        <v>0</v>
      </c>
      <c r="T679">
        <v>450</v>
      </c>
      <c r="U679">
        <v>200000</v>
      </c>
      <c r="V679">
        <v>10010</v>
      </c>
      <c r="W679" t="str">
        <v>0</v>
      </c>
      <c r="X679">
        <v>18300</v>
      </c>
      <c r="Y679">
        <v>45592</v>
      </c>
      <c r="Z679" t="str">
        <v/>
      </c>
      <c r="AA679" t="str">
        <v>技術・人文知識・国際業務</v>
      </c>
      <c r="AB679" t="str">
        <v>498-0031</v>
      </c>
      <c r="AC679" t="str">
        <v>愛知県弥富市平島町甲新田82番地１</v>
      </c>
      <c r="AD679" t="str">
        <v>ﾊﾟｰｸﾀｳﾝ平島D201</v>
      </c>
      <c r="AE679">
        <v>0</v>
      </c>
      <c r="AF679">
        <v>45232</v>
      </c>
      <c r="AG679">
        <v>0</v>
      </c>
      <c r="AH679">
        <v>0</v>
      </c>
      <c r="AI679" t="str">
        <v>23.11.2</v>
      </c>
      <c r="AJ679">
        <v>0</v>
      </c>
      <c r="AK679">
        <v>0</v>
      </c>
      <c r="AL679">
        <v>0</v>
      </c>
      <c r="AM679">
        <v>0</v>
      </c>
      <c r="AN679">
        <v>0</v>
      </c>
      <c r="AO679" t="str">
        <v>11/20林</v>
      </c>
      <c r="AP679">
        <v>0</v>
      </c>
    </row>
    <row r="680" spans="1:42">
      <c r="A680" t="str">
        <f>H680&amp;COUNTIF($H$2:H680,H680)</f>
        <v>H_2次旋11</v>
      </c>
      <c r="B680" t="str">
        <f>F680&amp;COUNTIF($F$2:F680,F680)</f>
        <v>高雄工業 海南第一43</v>
      </c>
      <c r="C680" t="str">
        <v>在職中</v>
      </c>
      <c r="D680">
        <v>231107</v>
      </c>
      <c r="E680">
        <v>0</v>
      </c>
      <c r="F680" t="str">
        <v>高雄工業 海南第一</v>
      </c>
      <c r="G680" t="str">
        <v>高雄工業株式会社 海南第一工場製作1課</v>
      </c>
      <c r="H680" t="str">
        <v>H_2次旋</v>
      </c>
      <c r="I680" t="str">
        <v>ハブ加工品の2次施削、手動機械オペレーターNCプログラム修正</v>
      </c>
      <c r="J680" t="str">
        <v>NGUYEN VAN LONG</v>
      </c>
      <c r="K680" t="str">
        <v>グエン　ヴァン　ロン</v>
      </c>
      <c r="L680" t="str">
        <v>男</v>
      </c>
      <c r="M680" t="str">
        <v>ﾍﾞﾄﾅﾑ</v>
      </c>
      <c r="N680">
        <v>36408</v>
      </c>
      <c r="O680">
        <v>24</v>
      </c>
      <c r="P680">
        <v>1200</v>
      </c>
      <c r="Q680">
        <v>0</v>
      </c>
      <c r="R680">
        <v>1650</v>
      </c>
      <c r="S680">
        <v>0</v>
      </c>
      <c r="T680">
        <v>450</v>
      </c>
      <c r="U680">
        <v>200000</v>
      </c>
      <c r="V680">
        <v>10010</v>
      </c>
      <c r="W680" t="str">
        <v>0</v>
      </c>
      <c r="X680">
        <v>18300</v>
      </c>
      <c r="Y680">
        <v>45592</v>
      </c>
      <c r="Z680" t="str">
        <v/>
      </c>
      <c r="AA680" t="str">
        <v>技術・人文知識・国際業務</v>
      </c>
      <c r="AB680" t="str">
        <v>498-0034</v>
      </c>
      <c r="AC680" t="str">
        <v>愛知県弥富市平島東2-18</v>
      </c>
      <c r="AD680" t="str">
        <v>ｸﾞﾗﾝﾂｺｰﾄ402</v>
      </c>
      <c r="AE680">
        <v>0</v>
      </c>
      <c r="AF680">
        <v>45232</v>
      </c>
      <c r="AG680">
        <v>0</v>
      </c>
      <c r="AH680">
        <v>0</v>
      </c>
      <c r="AI680" t="str">
        <v>23.11.2</v>
      </c>
      <c r="AJ680">
        <v>0</v>
      </c>
      <c r="AK680">
        <v>0</v>
      </c>
      <c r="AL680">
        <v>0</v>
      </c>
      <c r="AM680">
        <v>0</v>
      </c>
      <c r="AN680">
        <v>0</v>
      </c>
      <c r="AO680" t="str">
        <v>11/20林</v>
      </c>
      <c r="AP680">
        <v>0</v>
      </c>
    </row>
    <row r="681" spans="1:42">
      <c r="A681" t="str">
        <f>H681&amp;COUNTIF($H$2:H681,H681)</f>
        <v>H_2次旋12</v>
      </c>
      <c r="B681" t="str">
        <f>F681&amp;COUNTIF($F$2:F681,F681)</f>
        <v>高雄工業 海南第一44</v>
      </c>
      <c r="C681" t="str">
        <v>在職中</v>
      </c>
      <c r="D681">
        <v>231108</v>
      </c>
      <c r="E681">
        <v>0</v>
      </c>
      <c r="F681" t="str">
        <v>高雄工業 海南第一</v>
      </c>
      <c r="G681" t="str">
        <v>高雄工業株式会社 海南第一工場製作1課</v>
      </c>
      <c r="H681" t="str">
        <v>H_2次旋</v>
      </c>
      <c r="I681" t="str">
        <v>ハブ加工品の2次施削、手動機械オペレーターNCプログラム修正</v>
      </c>
      <c r="J681" t="str">
        <v>HIRATA AIZAWA RODRIGO HIROSHI</v>
      </c>
      <c r="K681" t="str">
        <v>ヒラタ　ロドリゴ　ヒロシ</v>
      </c>
      <c r="L681" t="str">
        <v>男</v>
      </c>
      <c r="M681" t="str">
        <v>ﾌﾞﾗｼﾞﾙ</v>
      </c>
      <c r="N681">
        <v>36615</v>
      </c>
      <c r="O681">
        <v>23</v>
      </c>
      <c r="P681">
        <v>1200</v>
      </c>
      <c r="Q681">
        <v>0</v>
      </c>
      <c r="R681">
        <v>1650</v>
      </c>
      <c r="S681">
        <v>0</v>
      </c>
      <c r="T681">
        <v>450</v>
      </c>
      <c r="U681">
        <v>200000</v>
      </c>
      <c r="V681">
        <v>10010</v>
      </c>
      <c r="W681" t="str">
        <v>0</v>
      </c>
      <c r="X681">
        <v>18300</v>
      </c>
      <c r="Y681">
        <v>45590</v>
      </c>
      <c r="Z681" t="str">
        <v/>
      </c>
      <c r="AA681" t="str">
        <v>定住者</v>
      </c>
      <c r="AB681" t="str">
        <v>498-0031</v>
      </c>
      <c r="AC681" t="str">
        <v>愛知県弥富市平島町中新田196-1</v>
      </c>
      <c r="AD681" t="str">
        <v>ｺﾝﾂｪﾙﾊｳｽB106</v>
      </c>
      <c r="AE681">
        <v>0</v>
      </c>
      <c r="AF681">
        <v>45232</v>
      </c>
      <c r="AG681">
        <v>0</v>
      </c>
      <c r="AH681">
        <v>0</v>
      </c>
      <c r="AI681" t="str">
        <v>23.11.2</v>
      </c>
      <c r="AJ681">
        <v>0</v>
      </c>
      <c r="AK681">
        <v>0</v>
      </c>
      <c r="AL681">
        <v>0</v>
      </c>
      <c r="AM681">
        <v>0</v>
      </c>
      <c r="AN681">
        <v>0</v>
      </c>
      <c r="AO681" t="str">
        <v>11/20林</v>
      </c>
      <c r="AP681">
        <v>0</v>
      </c>
    </row>
    <row r="682" spans="1:42">
      <c r="A682" t="str">
        <f>H682&amp;COUNTIF($H$2:H682,H682)</f>
        <v>0256</v>
      </c>
      <c r="B682" t="str">
        <f>F682&amp;COUNTIF($F$2:F682,F682)</f>
        <v>ピーエムアイ26</v>
      </c>
      <c r="C682" t="str">
        <v>在職中</v>
      </c>
      <c r="D682">
        <v>231111</v>
      </c>
      <c r="E682">
        <v>0</v>
      </c>
      <c r="F682" t="str">
        <v>ピーエムアイ</v>
      </c>
      <c r="G682">
        <v>0</v>
      </c>
      <c r="H682">
        <v>0</v>
      </c>
      <c r="I682">
        <v>0</v>
      </c>
      <c r="J682" t="str">
        <v>NGUYEN THI NGOC ANH</v>
      </c>
      <c r="K682" t="str">
        <v>グエン　ティ　ゴック　アイン</v>
      </c>
      <c r="L682" t="str">
        <v>女</v>
      </c>
      <c r="M682" t="str">
        <v>ﾍﾞﾄﾅﾑ</v>
      </c>
      <c r="N682">
        <v>36383</v>
      </c>
      <c r="O682">
        <v>24</v>
      </c>
      <c r="P682">
        <v>1300</v>
      </c>
      <c r="Q682">
        <v>0</v>
      </c>
      <c r="R682">
        <v>1800</v>
      </c>
      <c r="S682">
        <v>0</v>
      </c>
      <c r="T682">
        <v>500</v>
      </c>
      <c r="U682">
        <v>240000</v>
      </c>
      <c r="V682">
        <v>12012</v>
      </c>
      <c r="W682" t="str">
        <v>0</v>
      </c>
      <c r="X682">
        <v>21960</v>
      </c>
      <c r="Y682">
        <v>45564</v>
      </c>
      <c r="Z682" t="str">
        <v/>
      </c>
      <c r="AA682" t="str">
        <v>技術・人文知識・国際業務</v>
      </c>
      <c r="AB682" t="str">
        <v>471-0804</v>
      </c>
      <c r="AC682" t="str">
        <v>愛知県豊田市神池町２丁目1236-98</v>
      </c>
      <c r="AD682" t="str">
        <v>ﾌｫｰﾌﾞﾙ神池102</v>
      </c>
      <c r="AE682">
        <v>0</v>
      </c>
      <c r="AF682">
        <v>45232</v>
      </c>
      <c r="AG682">
        <v>0</v>
      </c>
      <c r="AH682">
        <v>0</v>
      </c>
      <c r="AI682" t="str">
        <v>23.11.2</v>
      </c>
      <c r="AJ682">
        <v>0</v>
      </c>
      <c r="AK682">
        <v>0</v>
      </c>
      <c r="AL682">
        <v>0</v>
      </c>
      <c r="AM682">
        <v>0</v>
      </c>
      <c r="AN682">
        <v>0</v>
      </c>
      <c r="AO682" t="str">
        <v>11/20林</v>
      </c>
      <c r="AP682">
        <v>0</v>
      </c>
    </row>
    <row r="683" spans="1:42">
      <c r="A683" t="str">
        <f>H683&amp;COUNTIF($H$2:H683,H683)</f>
        <v>0257</v>
      </c>
      <c r="B683" t="str">
        <f>F683&amp;COUNTIF($F$2:F683,F683)</f>
        <v>三幸技研10</v>
      </c>
      <c r="C683" t="str">
        <v>在職中</v>
      </c>
      <c r="D683">
        <v>220804</v>
      </c>
      <c r="E683">
        <v>0</v>
      </c>
      <c r="F683" t="str">
        <v>三幸技研</v>
      </c>
      <c r="G683">
        <v>0</v>
      </c>
      <c r="H683">
        <v>0</v>
      </c>
      <c r="I683">
        <v>0</v>
      </c>
      <c r="J683" t="str">
        <v>HOANG VAN HUNG</v>
      </c>
      <c r="K683" t="str">
        <v>ホアン　ヴァン　フン</v>
      </c>
      <c r="L683" t="str">
        <v>男</v>
      </c>
      <c r="M683" t="str">
        <v>ﾍﾞﾄﾅﾑ</v>
      </c>
      <c r="N683">
        <v>34471</v>
      </c>
      <c r="O683">
        <v>29</v>
      </c>
      <c r="P683">
        <v>1400</v>
      </c>
      <c r="Q683">
        <v>0</v>
      </c>
      <c r="R683">
        <v>1800</v>
      </c>
      <c r="S683">
        <v>0</v>
      </c>
      <c r="T683">
        <v>400</v>
      </c>
      <c r="U683">
        <v>240000</v>
      </c>
      <c r="V683">
        <v>12012</v>
      </c>
      <c r="W683" t="str">
        <v>0</v>
      </c>
      <c r="X683">
        <v>21960</v>
      </c>
      <c r="Y683">
        <v>45361</v>
      </c>
      <c r="Z683" t="str">
        <v/>
      </c>
      <c r="AA683" t="str">
        <v>技術・人文知識・国際業務</v>
      </c>
      <c r="AB683" t="str">
        <v>474-0056</v>
      </c>
      <c r="AC683" t="str">
        <v>愛知県大府市明成町2丁目176番地</v>
      </c>
      <c r="AD683" t="str">
        <v>ｻﾝﾋﾟｱ清野205</v>
      </c>
      <c r="AE683">
        <v>0</v>
      </c>
      <c r="AF683">
        <v>45236</v>
      </c>
      <c r="AG683">
        <v>0</v>
      </c>
      <c r="AH683">
        <v>0</v>
      </c>
      <c r="AI683" t="str">
        <v>23.11.6</v>
      </c>
      <c r="AJ683">
        <v>0</v>
      </c>
      <c r="AK683">
        <v>0</v>
      </c>
      <c r="AL683">
        <v>0</v>
      </c>
      <c r="AM683">
        <v>0</v>
      </c>
      <c r="AN683">
        <v>0</v>
      </c>
      <c r="AO683" t="str">
        <v>11/20林</v>
      </c>
      <c r="AP683">
        <v>0</v>
      </c>
    </row>
    <row r="684" spans="1:42">
      <c r="A684" t="str">
        <f>H684&amp;COUNTIF($H$2:H684,H684)</f>
        <v>0258</v>
      </c>
      <c r="B684" t="str">
        <f>F684&amp;COUNTIF($F$2:F684,F684)</f>
        <v>セイビテック13</v>
      </c>
      <c r="C684" t="str">
        <v>在職中</v>
      </c>
      <c r="D684">
        <v>210420</v>
      </c>
      <c r="E684">
        <v>0</v>
      </c>
      <c r="F684" t="str">
        <v>セイビテック</v>
      </c>
      <c r="G684" t="str">
        <v>製造部DCG課検査CHIP</v>
      </c>
      <c r="H684">
        <v>0</v>
      </c>
      <c r="I684">
        <v>0</v>
      </c>
      <c r="J684" t="str">
        <v>TRAN VAN HUY</v>
      </c>
      <c r="K684" t="str">
        <v>チャン　バン　フィ</v>
      </c>
      <c r="L684" t="str">
        <v>男</v>
      </c>
      <c r="M684" t="str">
        <v>ﾍﾞﾄﾅﾑ</v>
      </c>
      <c r="N684">
        <v>33714</v>
      </c>
      <c r="O684">
        <v>31</v>
      </c>
      <c r="P684">
        <v>1400</v>
      </c>
      <c r="Q684">
        <v>0</v>
      </c>
      <c r="R684">
        <v>2000</v>
      </c>
      <c r="S684">
        <v>0</v>
      </c>
      <c r="T684">
        <v>600</v>
      </c>
      <c r="U684">
        <v>220000</v>
      </c>
      <c r="V684">
        <v>11011</v>
      </c>
      <c r="W684" t="str">
        <v>0</v>
      </c>
      <c r="X684">
        <v>20130</v>
      </c>
      <c r="Y684">
        <v>46073</v>
      </c>
      <c r="Z684" t="str">
        <v/>
      </c>
      <c r="AA684" t="str">
        <v>技術・人文知識・国際業務</v>
      </c>
      <c r="AB684" t="str">
        <v>715-0014</v>
      </c>
      <c r="AC684" t="str">
        <v>岡山県井原市七日市町696-2</v>
      </c>
      <c r="AD684" t="str">
        <v>Florence1997 201</v>
      </c>
      <c r="AE684">
        <v>45231</v>
      </c>
      <c r="AF684">
        <v>45243</v>
      </c>
      <c r="AG684">
        <v>0</v>
      </c>
      <c r="AH684">
        <v>0</v>
      </c>
      <c r="AI684" t="str">
        <v>23.11.13</v>
      </c>
      <c r="AJ684">
        <v>0</v>
      </c>
      <c r="AK684">
        <v>0</v>
      </c>
      <c r="AL684">
        <v>0</v>
      </c>
      <c r="AM684">
        <v>0</v>
      </c>
      <c r="AN684">
        <v>0</v>
      </c>
      <c r="AO684" t="str">
        <v>12/5林</v>
      </c>
      <c r="AP684">
        <v>0</v>
      </c>
    </row>
    <row r="685" spans="1:42">
      <c r="A685" t="str">
        <f>H685&amp;COUNTIF($H$2:H685,H685)</f>
        <v>0259</v>
      </c>
      <c r="B685" t="str">
        <f>F685&amp;COUNTIF($F$2:F685,F685)</f>
        <v>川原鉄工所24</v>
      </c>
      <c r="C685" t="str">
        <v>在職中</v>
      </c>
      <c r="D685">
        <v>231118</v>
      </c>
      <c r="E685">
        <v>0</v>
      </c>
      <c r="F685" t="str">
        <v>川原鉄工所</v>
      </c>
      <c r="G685">
        <v>0</v>
      </c>
      <c r="H685">
        <v>0</v>
      </c>
      <c r="I685">
        <v>0</v>
      </c>
      <c r="J685" t="str">
        <v>TRAN HUY CONG</v>
      </c>
      <c r="K685" t="str">
        <v>チャン　フイ　コン</v>
      </c>
      <c r="L685" t="str">
        <v>男</v>
      </c>
      <c r="M685" t="str">
        <v>ﾍﾞﾄﾅﾑ</v>
      </c>
      <c r="N685">
        <v>33449</v>
      </c>
      <c r="O685">
        <v>32</v>
      </c>
      <c r="P685">
        <v>1300</v>
      </c>
      <c r="Q685">
        <v>0</v>
      </c>
      <c r="R685">
        <v>1650</v>
      </c>
      <c r="S685">
        <v>0</v>
      </c>
      <c r="T685">
        <v>350</v>
      </c>
      <c r="U685">
        <v>0</v>
      </c>
      <c r="V685">
        <v>0</v>
      </c>
      <c r="W685" t="str">
        <v>0</v>
      </c>
      <c r="X685">
        <v>0</v>
      </c>
      <c r="Y685">
        <v>45344</v>
      </c>
      <c r="Z685" t="str">
        <v>残り期限90日!</v>
      </c>
      <c r="AA685" t="str">
        <v>技術・人文知識・国際業務</v>
      </c>
      <c r="AB685">
        <v>0</v>
      </c>
      <c r="AC685">
        <v>0</v>
      </c>
      <c r="AD685">
        <v>0</v>
      </c>
      <c r="AE685">
        <v>0</v>
      </c>
      <c r="AF685">
        <v>45254</v>
      </c>
      <c r="AG685">
        <v>0</v>
      </c>
      <c r="AH685">
        <v>0</v>
      </c>
      <c r="AI685">
        <v>0</v>
      </c>
      <c r="AJ685">
        <v>0</v>
      </c>
      <c r="AK685">
        <v>0</v>
      </c>
      <c r="AL685">
        <v>0</v>
      </c>
      <c r="AM685">
        <v>0</v>
      </c>
      <c r="AN685">
        <v>0</v>
      </c>
      <c r="AO685">
        <v>0</v>
      </c>
      <c r="AP685">
        <v>0</v>
      </c>
    </row>
    <row r="686" spans="1:42">
      <c r="A686" t="str">
        <f>H686&amp;COUNTIF($H$2:H686,H686)</f>
        <v>0260</v>
      </c>
      <c r="B686" t="str">
        <f>F686&amp;COUNTIF($F$2:F686,F686)</f>
        <v>川原鉄工所25</v>
      </c>
      <c r="C686" t="str">
        <v>在職中</v>
      </c>
      <c r="D686">
        <v>231119</v>
      </c>
      <c r="E686">
        <v>0</v>
      </c>
      <c r="F686" t="str">
        <v>川原鉄工所</v>
      </c>
      <c r="G686">
        <v>0</v>
      </c>
      <c r="H686">
        <v>0</v>
      </c>
      <c r="I686">
        <v>0</v>
      </c>
      <c r="J686" t="str">
        <v>BUI ANH TUAN</v>
      </c>
      <c r="K686" t="str">
        <v>ブイ　アイン　トゥアン</v>
      </c>
      <c r="L686" t="str">
        <v>男</v>
      </c>
      <c r="M686" t="str">
        <v>ﾍﾞﾄﾅﾑ</v>
      </c>
      <c r="N686">
        <v>36246</v>
      </c>
      <c r="O686">
        <v>24</v>
      </c>
      <c r="P686">
        <v>1300</v>
      </c>
      <c r="Q686">
        <v>0</v>
      </c>
      <c r="R686">
        <v>1650</v>
      </c>
      <c r="S686">
        <v>0</v>
      </c>
      <c r="T686">
        <v>350</v>
      </c>
      <c r="U686">
        <v>0</v>
      </c>
      <c r="V686">
        <v>0</v>
      </c>
      <c r="W686" t="str">
        <v>0</v>
      </c>
      <c r="X686">
        <v>0</v>
      </c>
      <c r="Y686">
        <v>45422</v>
      </c>
      <c r="Z686" t="str">
        <v/>
      </c>
      <c r="AA686" t="str">
        <v>技術・人文知識・国際業務</v>
      </c>
      <c r="AB686">
        <v>0</v>
      </c>
      <c r="AC686">
        <v>0</v>
      </c>
      <c r="AD686">
        <v>0</v>
      </c>
      <c r="AE686">
        <v>0</v>
      </c>
      <c r="AF686">
        <v>45254</v>
      </c>
      <c r="AG686">
        <v>0</v>
      </c>
      <c r="AH686">
        <v>0</v>
      </c>
      <c r="AI686">
        <v>0</v>
      </c>
      <c r="AJ686">
        <v>0</v>
      </c>
      <c r="AK686">
        <v>0</v>
      </c>
      <c r="AL686">
        <v>0</v>
      </c>
      <c r="AM686">
        <v>0</v>
      </c>
      <c r="AN686">
        <v>0</v>
      </c>
      <c r="AO686">
        <v>0</v>
      </c>
      <c r="AP686">
        <v>0</v>
      </c>
    </row>
    <row r="687" spans="1:42">
      <c r="A687" t="str">
        <f>H687&amp;COUNTIF($H$2:H687,H687)</f>
        <v>0261</v>
      </c>
      <c r="B687" t="str">
        <f>F687&amp;COUNTIF($F$2:F687,F687)</f>
        <v>ユアサ工機 御津1</v>
      </c>
      <c r="C687" t="str">
        <v>在職中</v>
      </c>
      <c r="D687">
        <v>231120</v>
      </c>
      <c r="E687">
        <v>0</v>
      </c>
      <c r="F687" t="str">
        <v>ユアサ工機 御津</v>
      </c>
      <c r="G687">
        <v>0</v>
      </c>
      <c r="H687">
        <v>0</v>
      </c>
      <c r="I687">
        <v>0</v>
      </c>
      <c r="J687" t="str">
        <v>PHAM VAN QUY</v>
      </c>
      <c r="K687" t="str">
        <v>ファム　ヴァン　クイ</v>
      </c>
      <c r="L687" t="str">
        <v>男</v>
      </c>
      <c r="M687" t="str">
        <v>ﾍﾞﾄﾅﾑ</v>
      </c>
      <c r="N687">
        <v>34858</v>
      </c>
      <c r="O687">
        <v>28</v>
      </c>
      <c r="P687">
        <v>1300</v>
      </c>
      <c r="Q687">
        <v>0</v>
      </c>
      <c r="R687">
        <v>1900</v>
      </c>
      <c r="S687">
        <v>0</v>
      </c>
      <c r="T687">
        <v>600</v>
      </c>
      <c r="U687">
        <v>0</v>
      </c>
      <c r="V687">
        <v>0</v>
      </c>
      <c r="W687" t="str">
        <v>0</v>
      </c>
      <c r="X687">
        <v>0</v>
      </c>
      <c r="Y687">
        <v>45323</v>
      </c>
      <c r="Z687" t="str">
        <v>残り期限90日!</v>
      </c>
      <c r="AA687" t="str">
        <v>技術・人文知識・国際業務</v>
      </c>
      <c r="AB687">
        <v>0</v>
      </c>
      <c r="AC687">
        <v>0</v>
      </c>
      <c r="AD687">
        <v>0</v>
      </c>
      <c r="AE687">
        <v>0</v>
      </c>
      <c r="AF687">
        <v>45258</v>
      </c>
      <c r="AG687">
        <v>0</v>
      </c>
      <c r="AH687">
        <v>0</v>
      </c>
      <c r="AI687">
        <v>0</v>
      </c>
      <c r="AJ687">
        <v>0</v>
      </c>
      <c r="AK687">
        <v>0</v>
      </c>
      <c r="AL687">
        <v>0</v>
      </c>
      <c r="AM687">
        <v>0</v>
      </c>
      <c r="AN687">
        <v>0</v>
      </c>
      <c r="AO687">
        <v>0</v>
      </c>
      <c r="AP687">
        <v>0</v>
      </c>
    </row>
    <row r="688" spans="1:42">
      <c r="A688" t="str">
        <f>H688&amp;COUNTIF($H$2:H688,H688)</f>
        <v>0262</v>
      </c>
      <c r="B688" t="str">
        <f>F688&amp;COUNTIF($F$2:F688,F688)</f>
        <v>川原鉄工所26</v>
      </c>
      <c r="C688" t="str">
        <v>在職中</v>
      </c>
      <c r="D688">
        <v>231202</v>
      </c>
      <c r="E688">
        <v>0</v>
      </c>
      <c r="F688" t="str">
        <v>川原鉄工所</v>
      </c>
      <c r="G688">
        <v>0</v>
      </c>
      <c r="H688">
        <v>0</v>
      </c>
      <c r="I688">
        <v>0</v>
      </c>
      <c r="J688" t="str">
        <v>NGUYEN VAN CONG</v>
      </c>
      <c r="K688" t="str">
        <v>グエン　ヴァン　コン</v>
      </c>
      <c r="L688" t="str">
        <v>男</v>
      </c>
      <c r="M688" t="str">
        <v>ﾍﾞﾄﾅﾑ</v>
      </c>
      <c r="N688">
        <v>34804</v>
      </c>
      <c r="O688">
        <v>28</v>
      </c>
      <c r="P688">
        <v>1300</v>
      </c>
      <c r="Q688">
        <v>0</v>
      </c>
      <c r="R688">
        <v>1650</v>
      </c>
      <c r="S688">
        <v>0</v>
      </c>
      <c r="T688">
        <v>350</v>
      </c>
      <c r="U688">
        <v>0</v>
      </c>
      <c r="V688">
        <v>0</v>
      </c>
      <c r="W688" t="str">
        <v>0</v>
      </c>
      <c r="X688">
        <v>0</v>
      </c>
      <c r="Y688">
        <v>45500</v>
      </c>
      <c r="Z688" t="str">
        <v/>
      </c>
      <c r="AA688" t="str">
        <v>技術・人文知識・国際業務</v>
      </c>
      <c r="AB688">
        <v>0</v>
      </c>
      <c r="AC688">
        <v>0</v>
      </c>
      <c r="AD688">
        <v>0</v>
      </c>
      <c r="AE688">
        <v>0</v>
      </c>
      <c r="AF688">
        <v>45261</v>
      </c>
      <c r="AG688">
        <v>0</v>
      </c>
      <c r="AH688">
        <v>0</v>
      </c>
      <c r="AI688">
        <v>0</v>
      </c>
      <c r="AJ688">
        <v>0</v>
      </c>
      <c r="AK688">
        <v>0</v>
      </c>
      <c r="AL688">
        <v>0</v>
      </c>
      <c r="AM688">
        <v>0</v>
      </c>
      <c r="AN688">
        <v>0</v>
      </c>
      <c r="AO688">
        <v>0</v>
      </c>
      <c r="AP688">
        <v>0</v>
      </c>
    </row>
    <row r="689" spans="1:42">
      <c r="A689" t="str">
        <f>H689&amp;COUNTIF($H$2:H689,H689)</f>
        <v>H_2次旋13</v>
      </c>
      <c r="B689" t="str">
        <f>F689&amp;COUNTIF($F$2:F689,F689)</f>
        <v>高雄工業 海南第一45</v>
      </c>
      <c r="C689" t="str">
        <v>在職中</v>
      </c>
      <c r="D689">
        <v>231203</v>
      </c>
      <c r="E689">
        <v>0</v>
      </c>
      <c r="F689" t="str">
        <v>高雄工業 海南第一</v>
      </c>
      <c r="G689" t="str">
        <v>高雄工業株式会社 海南第一工場製作1課</v>
      </c>
      <c r="H689" t="str">
        <v>H_2次旋</v>
      </c>
      <c r="I689" t="str">
        <v>ハブ加工品の2次施削、手動機械オペレーターNCプログラム修正</v>
      </c>
      <c r="J689" t="str">
        <v>NGUYEN VAN ANH</v>
      </c>
      <c r="K689" t="str">
        <v>グエン　ヴァン　アイン</v>
      </c>
      <c r="L689" t="str">
        <v>男</v>
      </c>
      <c r="M689" t="str">
        <v>ﾍﾞﾄﾅﾑ</v>
      </c>
      <c r="N689">
        <v>36803</v>
      </c>
      <c r="O689">
        <v>23</v>
      </c>
      <c r="P689">
        <v>1200</v>
      </c>
      <c r="Q689">
        <v>0</v>
      </c>
      <c r="R689">
        <v>1650</v>
      </c>
      <c r="S689">
        <v>0</v>
      </c>
      <c r="T689">
        <v>450</v>
      </c>
      <c r="U689">
        <v>0</v>
      </c>
      <c r="V689">
        <v>0</v>
      </c>
      <c r="W689" t="str">
        <v>0</v>
      </c>
      <c r="X689">
        <v>0</v>
      </c>
      <c r="Y689">
        <v>45623</v>
      </c>
      <c r="Z689" t="str">
        <v/>
      </c>
      <c r="AA689" t="str">
        <v>技術・人文知識・国際業務</v>
      </c>
      <c r="AB689">
        <v>0</v>
      </c>
      <c r="AC689">
        <v>0</v>
      </c>
      <c r="AD689">
        <v>0</v>
      </c>
      <c r="AE689">
        <v>45257</v>
      </c>
      <c r="AF689">
        <v>45261</v>
      </c>
      <c r="AG689">
        <v>0</v>
      </c>
      <c r="AH689">
        <v>0</v>
      </c>
      <c r="AI689">
        <v>0</v>
      </c>
      <c r="AJ689">
        <v>0</v>
      </c>
      <c r="AK689">
        <v>0</v>
      </c>
      <c r="AL689">
        <v>0</v>
      </c>
      <c r="AM689">
        <v>0</v>
      </c>
      <c r="AN689">
        <v>0</v>
      </c>
      <c r="AO689">
        <v>0</v>
      </c>
      <c r="AP689">
        <v>0</v>
      </c>
    </row>
    <row r="690" spans="1:42">
      <c r="A690" t="str">
        <f>H690&amp;COUNTIF($H$2:H690,H690)</f>
        <v>H_2次旋14</v>
      </c>
      <c r="B690" t="str">
        <f>F690&amp;COUNTIF($F$2:F690,F690)</f>
        <v>高雄工業 海南第一46</v>
      </c>
      <c r="C690" t="str">
        <v>在職中</v>
      </c>
      <c r="D690">
        <v>231204</v>
      </c>
      <c r="E690">
        <v>0</v>
      </c>
      <c r="F690" t="str">
        <v>高雄工業 海南第一</v>
      </c>
      <c r="G690" t="str">
        <v>高雄工業株式会社 海南第一工場製作1課</v>
      </c>
      <c r="H690" t="str">
        <v>H_2次旋</v>
      </c>
      <c r="I690" t="str">
        <v>ハブ加工品の2次施削、手動機械オペレーターNCプログラム修正</v>
      </c>
      <c r="J690" t="str">
        <v>HUYNH THANH LIEM</v>
      </c>
      <c r="K690" t="str">
        <v>フィン　タン　リエム</v>
      </c>
      <c r="L690" t="str">
        <v>男</v>
      </c>
      <c r="M690" t="str">
        <v>ﾍﾞﾄﾅﾑ</v>
      </c>
      <c r="N690">
        <v>36471</v>
      </c>
      <c r="O690">
        <v>24</v>
      </c>
      <c r="P690">
        <v>1200</v>
      </c>
      <c r="Q690">
        <v>0</v>
      </c>
      <c r="R690">
        <v>1650</v>
      </c>
      <c r="S690">
        <v>0</v>
      </c>
      <c r="T690">
        <v>450</v>
      </c>
      <c r="U690">
        <v>0</v>
      </c>
      <c r="V690">
        <v>0</v>
      </c>
      <c r="W690" t="str">
        <v>0</v>
      </c>
      <c r="X690">
        <v>0</v>
      </c>
      <c r="Y690">
        <v>45623</v>
      </c>
      <c r="Z690" t="str">
        <v/>
      </c>
      <c r="AA690" t="str">
        <v>技術・人文知識・国際業務</v>
      </c>
      <c r="AB690">
        <v>0</v>
      </c>
      <c r="AC690">
        <v>0</v>
      </c>
      <c r="AD690">
        <v>0</v>
      </c>
      <c r="AE690">
        <v>45257</v>
      </c>
      <c r="AF690">
        <v>45261</v>
      </c>
      <c r="AG690">
        <v>0</v>
      </c>
      <c r="AH690">
        <v>0</v>
      </c>
      <c r="AI690">
        <v>0</v>
      </c>
      <c r="AJ690">
        <v>0</v>
      </c>
      <c r="AK690">
        <v>0</v>
      </c>
      <c r="AL690">
        <v>0</v>
      </c>
      <c r="AM690">
        <v>0</v>
      </c>
      <c r="AN690">
        <v>0</v>
      </c>
      <c r="AO690">
        <v>0</v>
      </c>
      <c r="AP690">
        <v>0</v>
      </c>
    </row>
    <row r="691" spans="1:42">
      <c r="A691" t="str">
        <f>H691&amp;COUNTIF($H$2:H691,H691)</f>
        <v>W研磨3</v>
      </c>
      <c r="B691" t="str">
        <f>F691&amp;COUNTIF($F$2:F691,F691)</f>
        <v>高雄工業 海南第二13</v>
      </c>
      <c r="C691" t="str">
        <v>在職中</v>
      </c>
      <c r="D691">
        <v>231205</v>
      </c>
      <c r="E691">
        <v>0</v>
      </c>
      <c r="F691" t="str">
        <v>高雄工業 海南第二</v>
      </c>
      <c r="G691" t="str">
        <v>高雄工業株式会社 海南第二工場製作課</v>
      </c>
      <c r="H691" t="str">
        <v>W研磨</v>
      </c>
      <c r="I691" t="str">
        <v>産業機械部品の研磨加工、MCプログラム修正</v>
      </c>
      <c r="J691" t="str">
        <v>TRAN VAN TRUONG DUY</v>
      </c>
      <c r="K691" t="str">
        <v>チャン　ヴァン　チュオン　ズイ</v>
      </c>
      <c r="L691" t="str">
        <v>男</v>
      </c>
      <c r="M691" t="str">
        <v>ﾍﾞﾄﾅﾑ</v>
      </c>
      <c r="N691">
        <v>35805</v>
      </c>
      <c r="O691">
        <v>25</v>
      </c>
      <c r="P691">
        <v>1200</v>
      </c>
      <c r="Q691">
        <v>0</v>
      </c>
      <c r="R691">
        <v>1650</v>
      </c>
      <c r="S691">
        <v>0</v>
      </c>
      <c r="T691">
        <v>450</v>
      </c>
      <c r="U691">
        <v>0</v>
      </c>
      <c r="V691">
        <v>0</v>
      </c>
      <c r="W691" t="str">
        <v>0</v>
      </c>
      <c r="X691">
        <v>0</v>
      </c>
      <c r="Y691">
        <v>45623</v>
      </c>
      <c r="Z691" t="str">
        <v/>
      </c>
      <c r="AA691" t="str">
        <v>技術・人文知識・国際業務</v>
      </c>
      <c r="AB691">
        <v>0</v>
      </c>
      <c r="AC691">
        <v>0</v>
      </c>
      <c r="AD691">
        <v>0</v>
      </c>
      <c r="AE691">
        <v>45257</v>
      </c>
      <c r="AF691">
        <v>45261</v>
      </c>
      <c r="AG691">
        <v>0</v>
      </c>
      <c r="AH691">
        <v>0</v>
      </c>
      <c r="AI691">
        <v>0</v>
      </c>
      <c r="AJ691">
        <v>0</v>
      </c>
      <c r="AK691">
        <v>0</v>
      </c>
      <c r="AL691">
        <v>0</v>
      </c>
      <c r="AM691">
        <v>0</v>
      </c>
      <c r="AN691">
        <v>0</v>
      </c>
      <c r="AO691">
        <v>0</v>
      </c>
      <c r="AP691">
        <v>0</v>
      </c>
    </row>
    <row r="692" spans="1:42">
      <c r="A692" t="str">
        <f>H692&amp;COUNTIF($H$2:H692,H692)</f>
        <v>0263</v>
      </c>
      <c r="B692" t="str">
        <f>F692&amp;COUNTIF($F$2:F692,F692)</f>
        <v>瑞陵精機41</v>
      </c>
      <c r="C692" t="str">
        <v>在職中</v>
      </c>
      <c r="D692">
        <v>231207</v>
      </c>
      <c r="E692">
        <v>0</v>
      </c>
      <c r="F692" t="str">
        <v>瑞陵精機</v>
      </c>
      <c r="G692">
        <v>0</v>
      </c>
      <c r="H692">
        <v>0</v>
      </c>
      <c r="I692">
        <v>0</v>
      </c>
      <c r="J692" t="str">
        <v>HO VAN PHUONG</v>
      </c>
      <c r="K692" t="str">
        <v>ホ　ヴァン　フォン</v>
      </c>
      <c r="L692" t="str">
        <v>男</v>
      </c>
      <c r="M692" t="str">
        <v>ﾍﾞﾄﾅﾑ</v>
      </c>
      <c r="N692">
        <v>36161</v>
      </c>
      <c r="O692">
        <v>24</v>
      </c>
      <c r="P692">
        <v>1200</v>
      </c>
      <c r="Q692">
        <v>0</v>
      </c>
      <c r="R692">
        <v>1700</v>
      </c>
      <c r="S692">
        <v>0</v>
      </c>
      <c r="T692">
        <v>500</v>
      </c>
      <c r="U692">
        <v>0</v>
      </c>
      <c r="V692">
        <v>0</v>
      </c>
      <c r="W692" t="str">
        <v>0</v>
      </c>
      <c r="X692">
        <v>0</v>
      </c>
      <c r="Y692">
        <v>45623</v>
      </c>
      <c r="Z692" t="str">
        <v/>
      </c>
      <c r="AA692" t="str">
        <v>技術・人文知識・国際業務</v>
      </c>
      <c r="AB692" t="str">
        <v>509-7201</v>
      </c>
      <c r="AC692" t="str">
        <v>岐阜県恵那市大井町1120-303</v>
      </c>
      <c r="AD692" t="str">
        <v>各務ﾊｲﾂ4E</v>
      </c>
      <c r="AE692">
        <v>45257</v>
      </c>
      <c r="AF692">
        <v>45261</v>
      </c>
      <c r="AG692">
        <v>0</v>
      </c>
      <c r="AH692">
        <v>0</v>
      </c>
      <c r="AI692">
        <v>0</v>
      </c>
      <c r="AJ692">
        <v>0</v>
      </c>
      <c r="AK692">
        <v>0</v>
      </c>
      <c r="AL692">
        <v>0</v>
      </c>
      <c r="AM692">
        <v>0</v>
      </c>
      <c r="AN692">
        <v>0</v>
      </c>
      <c r="AO692">
        <v>0</v>
      </c>
      <c r="AP692">
        <v>0</v>
      </c>
    </row>
    <row r="693" spans="1:42">
      <c r="A693" t="str">
        <f>H693&amp;COUNTIF($H$2:H693,H693)</f>
        <v>0264</v>
      </c>
      <c r="B693" t="str">
        <f>F693&amp;COUNTIF($F$2:F693,F693)</f>
        <v>瑞陵精機42</v>
      </c>
      <c r="C693" t="str">
        <v>在職中</v>
      </c>
      <c r="D693">
        <v>231208</v>
      </c>
      <c r="E693">
        <v>0</v>
      </c>
      <c r="F693" t="str">
        <v>瑞陵精機</v>
      </c>
      <c r="G693">
        <v>0</v>
      </c>
      <c r="H693">
        <v>0</v>
      </c>
      <c r="I693">
        <v>0</v>
      </c>
      <c r="J693" t="str">
        <v>DANG MAU THIEN</v>
      </c>
      <c r="K693" t="str">
        <v>ダン　マウ　ティエン</v>
      </c>
      <c r="L693" t="str">
        <v>男</v>
      </c>
      <c r="M693" t="str">
        <v>ﾍﾞﾄﾅﾑ</v>
      </c>
      <c r="N693">
        <v>36021</v>
      </c>
      <c r="O693">
        <v>25</v>
      </c>
      <c r="P693">
        <v>1200</v>
      </c>
      <c r="Q693">
        <v>0</v>
      </c>
      <c r="R693">
        <v>1700</v>
      </c>
      <c r="S693">
        <v>0</v>
      </c>
      <c r="T693">
        <v>500</v>
      </c>
      <c r="U693">
        <v>0</v>
      </c>
      <c r="V693">
        <v>0</v>
      </c>
      <c r="W693" t="str">
        <v>0</v>
      </c>
      <c r="X693">
        <v>0</v>
      </c>
      <c r="Y693">
        <v>45626</v>
      </c>
      <c r="Z693" t="str">
        <v/>
      </c>
      <c r="AA693" t="str">
        <v>技術・人文知識・国際業務</v>
      </c>
      <c r="AB693">
        <v>0</v>
      </c>
      <c r="AC693">
        <v>0</v>
      </c>
      <c r="AD693">
        <v>0</v>
      </c>
      <c r="AE693">
        <v>45260</v>
      </c>
      <c r="AF693">
        <v>45261</v>
      </c>
      <c r="AG693">
        <v>0</v>
      </c>
      <c r="AH693">
        <v>0</v>
      </c>
      <c r="AI693">
        <v>0</v>
      </c>
      <c r="AJ693">
        <v>0</v>
      </c>
      <c r="AK693">
        <v>0</v>
      </c>
      <c r="AL693">
        <v>0</v>
      </c>
      <c r="AM693">
        <v>0</v>
      </c>
      <c r="AN693">
        <v>0</v>
      </c>
      <c r="AO693">
        <v>0</v>
      </c>
      <c r="AP693">
        <v>0</v>
      </c>
    </row>
    <row r="694" spans="1:42">
      <c r="A694" t="str">
        <f>H694&amp;COUNTIF($H$2:H694,H694)</f>
        <v>0265</v>
      </c>
      <c r="B694" t="str">
        <f>F694&amp;COUNTIF($F$2:F694,F694)</f>
        <v>高雄工業 岡山127</v>
      </c>
      <c r="C694" t="str">
        <v>在職中</v>
      </c>
      <c r="D694">
        <v>231214</v>
      </c>
      <c r="E694">
        <v>0</v>
      </c>
      <c r="F694" t="str">
        <v>高雄工業 岡山</v>
      </c>
      <c r="G694">
        <v>0</v>
      </c>
      <c r="H694">
        <v>0</v>
      </c>
      <c r="I694">
        <v>0</v>
      </c>
      <c r="J694" t="str">
        <v>PHAM MINH LUC</v>
      </c>
      <c r="K694" t="str">
        <v>ファム　ミン　ルック</v>
      </c>
      <c r="L694" t="str">
        <v>男</v>
      </c>
      <c r="M694" t="str">
        <v>ﾍﾞﾄﾅﾑ</v>
      </c>
      <c r="N694">
        <v>37519</v>
      </c>
      <c r="O694">
        <v>21</v>
      </c>
      <c r="P694">
        <v>1200</v>
      </c>
      <c r="Q694">
        <v>0</v>
      </c>
      <c r="R694">
        <v>1650</v>
      </c>
      <c r="S694">
        <v>0</v>
      </c>
      <c r="T694">
        <v>450</v>
      </c>
      <c r="U694">
        <v>0</v>
      </c>
      <c r="V694">
        <v>0</v>
      </c>
      <c r="W694" t="str">
        <v>0</v>
      </c>
      <c r="X694">
        <v>0</v>
      </c>
      <c r="Y694">
        <v>45623</v>
      </c>
      <c r="Z694" t="str">
        <v/>
      </c>
      <c r="AA694" t="str">
        <v>技術・人文知識・国際業務</v>
      </c>
      <c r="AB694">
        <v>0</v>
      </c>
      <c r="AC694">
        <v>0</v>
      </c>
      <c r="AD694">
        <v>0</v>
      </c>
      <c r="AE694">
        <v>45257</v>
      </c>
      <c r="AF694">
        <v>45264</v>
      </c>
      <c r="AG694">
        <v>0</v>
      </c>
      <c r="AH694">
        <v>0</v>
      </c>
      <c r="AI694">
        <v>0</v>
      </c>
      <c r="AJ694">
        <v>0</v>
      </c>
      <c r="AK694">
        <v>0</v>
      </c>
      <c r="AL694">
        <v>0</v>
      </c>
      <c r="AM694">
        <v>0</v>
      </c>
      <c r="AN694">
        <v>0</v>
      </c>
      <c r="AO694">
        <v>0</v>
      </c>
      <c r="AP694">
        <v>0</v>
      </c>
    </row>
    <row r="695" spans="1:42">
      <c r="A695" t="str">
        <f>H695&amp;COUNTIF($H$2:H695,H695)</f>
        <v>0266</v>
      </c>
      <c r="B695" t="str">
        <f>F695&amp;COUNTIF($F$2:F695,F695)</f>
        <v>高雄工業 静岡90</v>
      </c>
      <c r="C695" t="str">
        <v>在職中</v>
      </c>
      <c r="D695">
        <v>231215</v>
      </c>
      <c r="E695">
        <v>0</v>
      </c>
      <c r="F695" t="str">
        <v>高雄工業 静岡</v>
      </c>
      <c r="G695">
        <v>0</v>
      </c>
      <c r="H695">
        <v>0</v>
      </c>
      <c r="I695">
        <v>0</v>
      </c>
      <c r="J695" t="str">
        <v>VU NGOC LONG</v>
      </c>
      <c r="K695" t="str">
        <v>ブ　ゴック　ロン</v>
      </c>
      <c r="L695" t="str">
        <v>男</v>
      </c>
      <c r="M695" t="str">
        <v>ﾍﾞﾄﾅﾑ</v>
      </c>
      <c r="N695">
        <v>37082</v>
      </c>
      <c r="O695">
        <v>22</v>
      </c>
      <c r="P695">
        <v>1200</v>
      </c>
      <c r="Q695">
        <v>0</v>
      </c>
      <c r="R695">
        <v>1650</v>
      </c>
      <c r="S695">
        <v>0</v>
      </c>
      <c r="T695">
        <v>450</v>
      </c>
      <c r="U695">
        <v>0</v>
      </c>
      <c r="V695">
        <v>0</v>
      </c>
      <c r="W695" t="str">
        <v>0</v>
      </c>
      <c r="X695">
        <v>0</v>
      </c>
      <c r="Y695">
        <v>45632</v>
      </c>
      <c r="Z695" t="str">
        <v/>
      </c>
      <c r="AA695" t="str">
        <v>技術・人文知識・国際業務</v>
      </c>
      <c r="AB695">
        <v>0</v>
      </c>
      <c r="AC695">
        <v>0</v>
      </c>
      <c r="AD695">
        <v>0</v>
      </c>
      <c r="AE695">
        <v>0</v>
      </c>
      <c r="AF695">
        <v>45272</v>
      </c>
      <c r="AG695">
        <v>0</v>
      </c>
      <c r="AH695">
        <v>0</v>
      </c>
      <c r="AI695">
        <v>0</v>
      </c>
      <c r="AJ695">
        <v>0</v>
      </c>
      <c r="AK695">
        <v>0</v>
      </c>
      <c r="AL695">
        <v>0</v>
      </c>
      <c r="AM695">
        <v>0</v>
      </c>
      <c r="AN695">
        <v>0</v>
      </c>
      <c r="AO695">
        <v>0</v>
      </c>
      <c r="AP695">
        <v>0</v>
      </c>
    </row>
    <row r="696" spans="1:42">
      <c r="A696" t="str">
        <f>H696&amp;COUNTIF($H$2:H696,H696)</f>
        <v>0267</v>
      </c>
      <c r="B696" t="str">
        <f>F696&amp;COUNTIF($F$2:F696,F696)</f>
        <v>高雄工業 静岡91</v>
      </c>
      <c r="C696" t="str">
        <v>在職中</v>
      </c>
      <c r="D696">
        <v>231216</v>
      </c>
      <c r="E696">
        <v>0</v>
      </c>
      <c r="F696" t="str">
        <v>高雄工業 静岡</v>
      </c>
      <c r="G696">
        <v>0</v>
      </c>
      <c r="H696">
        <v>0</v>
      </c>
      <c r="I696">
        <v>0</v>
      </c>
      <c r="J696" t="str">
        <v>NGUYEN DUY HIEU</v>
      </c>
      <c r="K696" t="str">
        <v>グエン　ズイ　ヒエウ</v>
      </c>
      <c r="L696" t="str">
        <v>男</v>
      </c>
      <c r="M696" t="str">
        <v>ﾍﾞﾄﾅﾑ</v>
      </c>
      <c r="N696">
        <v>35325</v>
      </c>
      <c r="O696">
        <v>27</v>
      </c>
      <c r="P696">
        <v>1200</v>
      </c>
      <c r="Q696">
        <v>0</v>
      </c>
      <c r="R696">
        <v>1650</v>
      </c>
      <c r="S696">
        <v>0</v>
      </c>
      <c r="T696">
        <v>450</v>
      </c>
      <c r="U696">
        <v>0</v>
      </c>
      <c r="V696">
        <v>0</v>
      </c>
      <c r="W696" t="str">
        <v>0</v>
      </c>
      <c r="X696">
        <v>0</v>
      </c>
      <c r="Y696">
        <v>45632</v>
      </c>
      <c r="Z696" t="str">
        <v/>
      </c>
      <c r="AA696" t="str">
        <v>技術・人文知識・国際業務</v>
      </c>
      <c r="AB696">
        <v>0</v>
      </c>
      <c r="AC696">
        <v>0</v>
      </c>
      <c r="AD696">
        <v>0</v>
      </c>
      <c r="AE696">
        <v>0</v>
      </c>
      <c r="AF696">
        <v>45272</v>
      </c>
      <c r="AG696">
        <v>0</v>
      </c>
      <c r="AH696">
        <v>0</v>
      </c>
      <c r="AI696">
        <v>0</v>
      </c>
      <c r="AJ696">
        <v>0</v>
      </c>
      <c r="AK696">
        <v>0</v>
      </c>
      <c r="AL696">
        <v>0</v>
      </c>
      <c r="AM696">
        <v>0</v>
      </c>
      <c r="AN696">
        <v>0</v>
      </c>
      <c r="AO696">
        <v>0</v>
      </c>
      <c r="AP696">
        <v>0</v>
      </c>
    </row>
    <row r="697" spans="1:42">
      <c r="A697" t="str">
        <f>H697&amp;COUNTIF($H$2:H697,H697)</f>
        <v>0268</v>
      </c>
      <c r="B697" t="str">
        <f>F697&amp;COUNTIF($F$2:F697,F697)</f>
        <v>高雄工業 岡山128</v>
      </c>
      <c r="C697" t="str">
        <v>待機中</v>
      </c>
      <c r="D697">
        <v>0</v>
      </c>
      <c r="E697">
        <v>0</v>
      </c>
      <c r="F697" t="str">
        <v>高雄工業 岡山</v>
      </c>
      <c r="G697">
        <v>0</v>
      </c>
      <c r="H697">
        <v>0</v>
      </c>
      <c r="I697">
        <v>0</v>
      </c>
      <c r="J697" t="str">
        <v>DUONG THI PHUONG</v>
      </c>
      <c r="K697" t="str">
        <v>ズオン　ティ　フォン</v>
      </c>
      <c r="L697" t="str">
        <v>女</v>
      </c>
      <c r="M697" t="str">
        <v>ﾍﾞﾄﾅﾑ</v>
      </c>
      <c r="N697">
        <v>35212</v>
      </c>
      <c r="O697">
        <v>27</v>
      </c>
      <c r="P697">
        <v>1110</v>
      </c>
      <c r="Q697">
        <v>0</v>
      </c>
      <c r="R697">
        <v>1610</v>
      </c>
      <c r="S697">
        <v>0</v>
      </c>
      <c r="T697">
        <v>500</v>
      </c>
      <c r="U697">
        <v>0</v>
      </c>
      <c r="V697">
        <v>0</v>
      </c>
      <c r="W697" t="str">
        <v>0</v>
      </c>
      <c r="X697">
        <v>0</v>
      </c>
      <c r="Y697">
        <v>46185</v>
      </c>
      <c r="Z697" t="str">
        <v/>
      </c>
      <c r="AA697" t="str">
        <v>家族滞在</v>
      </c>
      <c r="AB697">
        <v>0</v>
      </c>
      <c r="AC697">
        <v>0</v>
      </c>
      <c r="AD697">
        <v>0</v>
      </c>
      <c r="AE697">
        <v>0</v>
      </c>
      <c r="AF697">
        <v>45278</v>
      </c>
      <c r="AG697">
        <v>0</v>
      </c>
      <c r="AH697">
        <v>0</v>
      </c>
      <c r="AI697">
        <v>0</v>
      </c>
      <c r="AJ697">
        <v>0</v>
      </c>
      <c r="AK697">
        <v>0</v>
      </c>
      <c r="AL697">
        <v>0</v>
      </c>
      <c r="AM697">
        <v>0</v>
      </c>
      <c r="AN697">
        <v>0</v>
      </c>
      <c r="AO697">
        <v>0</v>
      </c>
      <c r="AP697">
        <v>0</v>
      </c>
    </row>
    <row r="698" spans="1:42">
      <c r="A698" t="str">
        <f>H698&amp;COUNTIF($H$2:H698,H698)</f>
        <v>0269</v>
      </c>
      <c r="B698" t="str">
        <f>F698&amp;COUNTIF($F$2:F698,F698)</f>
        <v>高雄工業 岡山129</v>
      </c>
      <c r="C698" t="str">
        <v>待機中</v>
      </c>
      <c r="D698">
        <v>0</v>
      </c>
      <c r="E698">
        <v>0</v>
      </c>
      <c r="F698" t="str">
        <v>高雄工業 岡山</v>
      </c>
      <c r="G698">
        <v>0</v>
      </c>
      <c r="H698">
        <v>0</v>
      </c>
      <c r="I698">
        <v>0</v>
      </c>
      <c r="J698" t="str">
        <v>LE DINH TUU</v>
      </c>
      <c r="K698" t="str">
        <v>レ　ディン トゥー</v>
      </c>
      <c r="L698" t="str">
        <v>男</v>
      </c>
      <c r="M698" t="str">
        <v>ﾍﾞﾄﾅﾑ</v>
      </c>
      <c r="N698">
        <v>35883</v>
      </c>
      <c r="O698">
        <v>25</v>
      </c>
      <c r="P698">
        <v>1200</v>
      </c>
      <c r="Q698">
        <v>0</v>
      </c>
      <c r="R698">
        <v>1650</v>
      </c>
      <c r="S698">
        <v>0</v>
      </c>
      <c r="T698">
        <v>450</v>
      </c>
      <c r="U698">
        <v>0</v>
      </c>
      <c r="V698">
        <v>0</v>
      </c>
      <c r="W698" t="str">
        <v>0</v>
      </c>
      <c r="X698">
        <v>0</v>
      </c>
      <c r="Y698">
        <v>45634</v>
      </c>
      <c r="Z698" t="str">
        <v/>
      </c>
      <c r="AA698" t="str">
        <v>技術・人文知識・国際業務</v>
      </c>
      <c r="AB698">
        <v>0</v>
      </c>
      <c r="AC698">
        <v>0</v>
      </c>
      <c r="AD698">
        <v>0</v>
      </c>
      <c r="AE698">
        <v>0</v>
      </c>
      <c r="AF698">
        <v>0</v>
      </c>
      <c r="AG698">
        <v>0</v>
      </c>
      <c r="AH698">
        <v>0</v>
      </c>
      <c r="AI698">
        <v>0</v>
      </c>
      <c r="AJ698">
        <v>0</v>
      </c>
      <c r="AK698">
        <v>0</v>
      </c>
      <c r="AL698">
        <v>0</v>
      </c>
      <c r="AM698">
        <v>0</v>
      </c>
      <c r="AN698">
        <v>0</v>
      </c>
      <c r="AO698">
        <v>0</v>
      </c>
      <c r="AP698">
        <v>0</v>
      </c>
    </row>
    <row r="699" spans="1:42">
      <c r="A699" t="str">
        <f>H699&amp;COUNTIF($H$2:H699,H699)</f>
        <v>0270</v>
      </c>
      <c r="B699" t="str">
        <f>F699&amp;COUNTIF($F$2:F699,F699)</f>
        <v>01</v>
      </c>
      <c r="C699">
        <v>0</v>
      </c>
      <c r="D699">
        <v>0</v>
      </c>
      <c r="E699">
        <v>0</v>
      </c>
      <c r="F699">
        <v>0</v>
      </c>
      <c r="G699">
        <v>0</v>
      </c>
      <c r="H699">
        <v>0</v>
      </c>
      <c r="I699">
        <v>0</v>
      </c>
      <c r="J699">
        <v>0</v>
      </c>
      <c r="K699">
        <v>0</v>
      </c>
      <c r="L699">
        <v>0</v>
      </c>
      <c r="M699">
        <v>0</v>
      </c>
      <c r="N699">
        <v>0</v>
      </c>
      <c r="O699">
        <v>123</v>
      </c>
      <c r="P699">
        <v>0</v>
      </c>
      <c r="Q699">
        <v>0</v>
      </c>
      <c r="R699">
        <v>0</v>
      </c>
      <c r="S699">
        <v>0</v>
      </c>
      <c r="T699">
        <v>0</v>
      </c>
      <c r="U699">
        <v>0</v>
      </c>
      <c r="V699" t="str">
        <v/>
      </c>
      <c r="W699" t="str">
        <v/>
      </c>
      <c r="X699" t="str">
        <v>0</v>
      </c>
      <c r="Y699">
        <v>0</v>
      </c>
      <c r="Z699" t="str">
        <v/>
      </c>
      <c r="AA699">
        <v>0</v>
      </c>
      <c r="AB699">
        <v>0</v>
      </c>
      <c r="AC699">
        <v>0</v>
      </c>
      <c r="AD699">
        <v>0</v>
      </c>
      <c r="AE699">
        <v>0</v>
      </c>
      <c r="AF699">
        <v>0</v>
      </c>
      <c r="AG699">
        <v>0</v>
      </c>
      <c r="AH699">
        <v>0</v>
      </c>
      <c r="AI699">
        <v>0</v>
      </c>
      <c r="AJ699">
        <v>0</v>
      </c>
      <c r="AK699">
        <v>0</v>
      </c>
      <c r="AL699">
        <v>0</v>
      </c>
      <c r="AM699">
        <v>0</v>
      </c>
      <c r="AN699">
        <v>0</v>
      </c>
      <c r="AO699">
        <v>0</v>
      </c>
      <c r="AP699">
        <v>0</v>
      </c>
    </row>
    <row r="700" spans="1:42">
      <c r="A700" t="str">
        <f>H700&amp;COUNTIF($H$2:H700,H700)</f>
        <v>0271</v>
      </c>
      <c r="B700" t="str">
        <f>F700&amp;COUNTIF($F$2:F700,F700)</f>
        <v>02</v>
      </c>
      <c r="C700">
        <v>0</v>
      </c>
      <c r="D700">
        <v>0</v>
      </c>
      <c r="E700">
        <v>0</v>
      </c>
      <c r="F700">
        <v>0</v>
      </c>
      <c r="G700">
        <v>0</v>
      </c>
      <c r="H700">
        <v>0</v>
      </c>
      <c r="I700">
        <v>0</v>
      </c>
      <c r="J700">
        <v>0</v>
      </c>
      <c r="K700">
        <v>0</v>
      </c>
      <c r="L700">
        <v>0</v>
      </c>
      <c r="M700">
        <v>0</v>
      </c>
      <c r="N700">
        <v>0</v>
      </c>
      <c r="O700">
        <v>123</v>
      </c>
      <c r="P700">
        <v>0</v>
      </c>
      <c r="Q700">
        <v>0</v>
      </c>
      <c r="R700">
        <v>0</v>
      </c>
      <c r="S700">
        <v>0</v>
      </c>
      <c r="T700">
        <v>0</v>
      </c>
      <c r="U700">
        <v>0</v>
      </c>
      <c r="V700" t="str">
        <v/>
      </c>
      <c r="W700" t="str">
        <v/>
      </c>
      <c r="X700" t="str">
        <v>0</v>
      </c>
      <c r="Y700">
        <v>0</v>
      </c>
      <c r="Z700" t="str">
        <v/>
      </c>
      <c r="AA700">
        <v>0</v>
      </c>
      <c r="AB700">
        <v>0</v>
      </c>
      <c r="AC700">
        <v>0</v>
      </c>
      <c r="AD700">
        <v>0</v>
      </c>
      <c r="AE700">
        <v>0</v>
      </c>
      <c r="AF700">
        <v>0</v>
      </c>
      <c r="AG700">
        <v>0</v>
      </c>
      <c r="AH700">
        <v>0</v>
      </c>
      <c r="AI700">
        <v>0</v>
      </c>
      <c r="AJ700">
        <v>0</v>
      </c>
      <c r="AK700">
        <v>0</v>
      </c>
      <c r="AL700">
        <v>0</v>
      </c>
      <c r="AM700">
        <v>0</v>
      </c>
      <c r="AN700">
        <v>0</v>
      </c>
      <c r="AO700">
        <v>0</v>
      </c>
      <c r="AP700">
        <v>0</v>
      </c>
    </row>
    <row r="701" spans="1:42">
      <c r="A701" t="str">
        <f>H701&amp;COUNTIF($H$2:H701,H701)</f>
        <v>0272</v>
      </c>
      <c r="B701" t="str">
        <f>F701&amp;COUNTIF($F$2:F701,F701)</f>
        <v>03</v>
      </c>
      <c r="C701">
        <v>0</v>
      </c>
      <c r="D701">
        <v>0</v>
      </c>
      <c r="E701">
        <v>0</v>
      </c>
      <c r="F701">
        <v>0</v>
      </c>
      <c r="G701">
        <v>0</v>
      </c>
      <c r="H701">
        <v>0</v>
      </c>
      <c r="I701">
        <v>0</v>
      </c>
      <c r="J701">
        <v>0</v>
      </c>
      <c r="K701">
        <v>0</v>
      </c>
      <c r="L701">
        <v>0</v>
      </c>
      <c r="M701">
        <v>0</v>
      </c>
      <c r="N701">
        <v>0</v>
      </c>
      <c r="O701">
        <v>123</v>
      </c>
      <c r="P701">
        <v>0</v>
      </c>
      <c r="Q701">
        <v>0</v>
      </c>
      <c r="R701">
        <v>0</v>
      </c>
      <c r="S701">
        <v>0</v>
      </c>
      <c r="T701">
        <v>0</v>
      </c>
      <c r="U701">
        <v>0</v>
      </c>
      <c r="V701" t="str">
        <v/>
      </c>
      <c r="W701" t="str">
        <v/>
      </c>
      <c r="X701" t="str">
        <v>0</v>
      </c>
      <c r="Y701">
        <v>0</v>
      </c>
      <c r="Z701" t="str">
        <v/>
      </c>
      <c r="AA701">
        <v>0</v>
      </c>
      <c r="AB701">
        <v>0</v>
      </c>
      <c r="AC701">
        <v>0</v>
      </c>
      <c r="AD701">
        <v>0</v>
      </c>
      <c r="AE701">
        <v>0</v>
      </c>
      <c r="AF701">
        <v>0</v>
      </c>
      <c r="AG701">
        <v>0</v>
      </c>
      <c r="AH701">
        <v>0</v>
      </c>
      <c r="AI701">
        <v>0</v>
      </c>
      <c r="AJ701">
        <v>0</v>
      </c>
      <c r="AK701">
        <v>0</v>
      </c>
      <c r="AL701">
        <v>0</v>
      </c>
      <c r="AM701">
        <v>0</v>
      </c>
      <c r="AN701">
        <v>0</v>
      </c>
      <c r="AO701">
        <v>0</v>
      </c>
      <c r="AP701">
        <v>0</v>
      </c>
    </row>
    <row r="702" spans="1:42">
      <c r="A702" t="str">
        <f>H702&amp;COUNTIF($H$2:H702,H702)</f>
        <v>0273</v>
      </c>
      <c r="B702" t="str">
        <f>F702&amp;COUNTIF($F$2:F702,F702)</f>
        <v>04</v>
      </c>
      <c r="C702">
        <v>0</v>
      </c>
      <c r="D702">
        <v>0</v>
      </c>
      <c r="E702">
        <v>0</v>
      </c>
      <c r="F702">
        <v>0</v>
      </c>
      <c r="G702">
        <v>0</v>
      </c>
      <c r="H702">
        <v>0</v>
      </c>
      <c r="I702">
        <v>0</v>
      </c>
      <c r="J702">
        <v>0</v>
      </c>
      <c r="K702">
        <v>0</v>
      </c>
      <c r="L702">
        <v>0</v>
      </c>
      <c r="M702">
        <v>0</v>
      </c>
      <c r="N702">
        <v>0</v>
      </c>
      <c r="O702">
        <v>123</v>
      </c>
      <c r="P702">
        <v>0</v>
      </c>
      <c r="Q702">
        <v>0</v>
      </c>
      <c r="R702">
        <v>0</v>
      </c>
      <c r="S702">
        <v>0</v>
      </c>
      <c r="T702">
        <v>0</v>
      </c>
      <c r="U702">
        <v>0</v>
      </c>
      <c r="V702" t="str">
        <v/>
      </c>
      <c r="W702" t="str">
        <v/>
      </c>
      <c r="X702" t="str">
        <v>0</v>
      </c>
      <c r="Y702">
        <v>0</v>
      </c>
      <c r="Z702" t="str">
        <v/>
      </c>
      <c r="AA702">
        <v>0</v>
      </c>
      <c r="AB702">
        <v>0</v>
      </c>
      <c r="AC702">
        <v>0</v>
      </c>
      <c r="AD702">
        <v>0</v>
      </c>
      <c r="AE702">
        <v>0</v>
      </c>
      <c r="AF702">
        <v>0</v>
      </c>
      <c r="AG702">
        <v>0</v>
      </c>
      <c r="AH702">
        <v>0</v>
      </c>
      <c r="AI702">
        <v>0</v>
      </c>
      <c r="AJ702">
        <v>0</v>
      </c>
      <c r="AK702">
        <v>0</v>
      </c>
      <c r="AL702">
        <v>0</v>
      </c>
      <c r="AM702">
        <v>0</v>
      </c>
      <c r="AN702">
        <v>0</v>
      </c>
      <c r="AO702">
        <v>0</v>
      </c>
      <c r="AP702">
        <v>0</v>
      </c>
    </row>
    <row r="703" spans="1:42">
      <c r="A703" t="str">
        <f>H703&amp;COUNTIF($H$2:H703,H703)</f>
        <v>0274</v>
      </c>
      <c r="B703" t="str">
        <f>F703&amp;COUNTIF($F$2:F703,F703)</f>
        <v>05</v>
      </c>
      <c r="C703">
        <v>0</v>
      </c>
      <c r="D703">
        <v>0</v>
      </c>
      <c r="E703">
        <v>0</v>
      </c>
      <c r="F703">
        <v>0</v>
      </c>
      <c r="G703">
        <v>0</v>
      </c>
      <c r="H703">
        <v>0</v>
      </c>
      <c r="I703">
        <v>0</v>
      </c>
      <c r="J703">
        <v>0</v>
      </c>
      <c r="K703">
        <v>0</v>
      </c>
      <c r="L703">
        <v>0</v>
      </c>
      <c r="M703">
        <v>0</v>
      </c>
      <c r="N703">
        <v>0</v>
      </c>
      <c r="O703">
        <v>123</v>
      </c>
      <c r="P703">
        <v>0</v>
      </c>
      <c r="Q703">
        <v>0</v>
      </c>
      <c r="R703">
        <v>0</v>
      </c>
      <c r="S703">
        <v>0</v>
      </c>
      <c r="T703">
        <v>0</v>
      </c>
      <c r="U703">
        <v>0</v>
      </c>
      <c r="V703" t="str">
        <v/>
      </c>
      <c r="W703" t="str">
        <v/>
      </c>
      <c r="X703" t="str">
        <v>0</v>
      </c>
      <c r="Y703">
        <v>0</v>
      </c>
      <c r="Z703" t="str">
        <v/>
      </c>
      <c r="AA703">
        <v>0</v>
      </c>
      <c r="AB703">
        <v>0</v>
      </c>
      <c r="AC703">
        <v>0</v>
      </c>
      <c r="AD703">
        <v>0</v>
      </c>
      <c r="AE703">
        <v>0</v>
      </c>
      <c r="AF703">
        <v>0</v>
      </c>
      <c r="AG703">
        <v>0</v>
      </c>
      <c r="AH703">
        <v>0</v>
      </c>
      <c r="AI703">
        <v>0</v>
      </c>
      <c r="AJ703">
        <v>0</v>
      </c>
      <c r="AK703">
        <v>0</v>
      </c>
      <c r="AL703">
        <v>0</v>
      </c>
      <c r="AM703">
        <v>0</v>
      </c>
      <c r="AN703">
        <v>0</v>
      </c>
      <c r="AO703">
        <v>0</v>
      </c>
      <c r="AP703">
        <v>0</v>
      </c>
    </row>
    <row r="704" spans="1:42">
      <c r="A704" t="str">
        <f>H704&amp;COUNTIF($H$2:H704,H704)</f>
        <v>0275</v>
      </c>
      <c r="B704" t="str">
        <f>F704&amp;COUNTIF($F$2:F704,F704)</f>
        <v>06</v>
      </c>
      <c r="C704">
        <v>0</v>
      </c>
      <c r="D704">
        <v>0</v>
      </c>
      <c r="E704">
        <v>0</v>
      </c>
      <c r="F704">
        <v>0</v>
      </c>
      <c r="G704">
        <v>0</v>
      </c>
      <c r="H704">
        <v>0</v>
      </c>
      <c r="I704">
        <v>0</v>
      </c>
      <c r="J704">
        <v>0</v>
      </c>
      <c r="K704">
        <v>0</v>
      </c>
      <c r="L704">
        <v>0</v>
      </c>
      <c r="M704">
        <v>0</v>
      </c>
      <c r="N704">
        <v>0</v>
      </c>
      <c r="O704">
        <v>123</v>
      </c>
      <c r="P704">
        <v>0</v>
      </c>
      <c r="Q704">
        <v>0</v>
      </c>
      <c r="R704">
        <v>0</v>
      </c>
      <c r="S704">
        <v>0</v>
      </c>
      <c r="T704">
        <v>0</v>
      </c>
      <c r="U704">
        <v>0</v>
      </c>
      <c r="V704" t="str">
        <v/>
      </c>
      <c r="W704" t="str">
        <v/>
      </c>
      <c r="X704" t="str">
        <v>0</v>
      </c>
      <c r="Y704">
        <v>0</v>
      </c>
      <c r="Z704" t="str">
        <v/>
      </c>
      <c r="AA704">
        <v>0</v>
      </c>
      <c r="AB704">
        <v>0</v>
      </c>
      <c r="AC704">
        <v>0</v>
      </c>
      <c r="AD704">
        <v>0</v>
      </c>
      <c r="AE704">
        <v>0</v>
      </c>
      <c r="AF704">
        <v>0</v>
      </c>
      <c r="AG704">
        <v>0</v>
      </c>
      <c r="AH704">
        <v>0</v>
      </c>
      <c r="AI704">
        <v>0</v>
      </c>
      <c r="AJ704">
        <v>0</v>
      </c>
      <c r="AK704">
        <v>0</v>
      </c>
      <c r="AL704">
        <v>0</v>
      </c>
      <c r="AM704">
        <v>0</v>
      </c>
      <c r="AN704">
        <v>0</v>
      </c>
      <c r="AO704">
        <v>0</v>
      </c>
      <c r="AP704">
        <v>0</v>
      </c>
    </row>
    <row r="705" spans="1:42">
      <c r="A705" t="str">
        <f>H705&amp;COUNTIF($H$2:H705,H705)</f>
        <v>0276</v>
      </c>
      <c r="B705" t="str">
        <f>F705&amp;COUNTIF($F$2:F705,F705)</f>
        <v>07</v>
      </c>
      <c r="C705">
        <v>0</v>
      </c>
      <c r="D705">
        <v>0</v>
      </c>
      <c r="E705">
        <v>0</v>
      </c>
      <c r="F705">
        <v>0</v>
      </c>
      <c r="G705">
        <v>0</v>
      </c>
      <c r="H705">
        <v>0</v>
      </c>
      <c r="I705">
        <v>0</v>
      </c>
      <c r="J705">
        <v>0</v>
      </c>
      <c r="K705">
        <v>0</v>
      </c>
      <c r="L705">
        <v>0</v>
      </c>
      <c r="M705">
        <v>0</v>
      </c>
      <c r="N705">
        <v>0</v>
      </c>
      <c r="O705">
        <v>123</v>
      </c>
      <c r="P705">
        <v>0</v>
      </c>
      <c r="Q705">
        <v>0</v>
      </c>
      <c r="R705">
        <v>0</v>
      </c>
      <c r="S705">
        <v>0</v>
      </c>
      <c r="T705">
        <v>0</v>
      </c>
      <c r="U705">
        <v>0</v>
      </c>
      <c r="V705" t="str">
        <v/>
      </c>
      <c r="W705" t="str">
        <v/>
      </c>
      <c r="X705" t="str">
        <v>0</v>
      </c>
      <c r="Y705">
        <v>0</v>
      </c>
      <c r="Z705" t="str">
        <v/>
      </c>
      <c r="AA705">
        <v>0</v>
      </c>
      <c r="AB705">
        <v>0</v>
      </c>
      <c r="AC705">
        <v>0</v>
      </c>
      <c r="AD705">
        <v>0</v>
      </c>
      <c r="AE705">
        <v>0</v>
      </c>
      <c r="AF705">
        <v>0</v>
      </c>
      <c r="AG705">
        <v>0</v>
      </c>
      <c r="AH705">
        <v>0</v>
      </c>
      <c r="AI705">
        <v>0</v>
      </c>
      <c r="AJ705">
        <v>0</v>
      </c>
      <c r="AK705">
        <v>0</v>
      </c>
      <c r="AL705">
        <v>0</v>
      </c>
      <c r="AM705">
        <v>0</v>
      </c>
      <c r="AN705">
        <v>0</v>
      </c>
      <c r="AO705">
        <v>0</v>
      </c>
      <c r="AP705">
        <v>0</v>
      </c>
    </row>
    <row r="706" spans="1:42">
      <c r="A706" t="str">
        <f>H706&amp;COUNTIF($H$2:H706,H706)</f>
        <v>0277</v>
      </c>
      <c r="B706" t="str">
        <f>F706&amp;COUNTIF($F$2:F706,F706)</f>
        <v>08</v>
      </c>
      <c r="C706">
        <v>0</v>
      </c>
      <c r="D706">
        <v>0</v>
      </c>
      <c r="E706">
        <v>0</v>
      </c>
      <c r="F706">
        <v>0</v>
      </c>
      <c r="G706">
        <v>0</v>
      </c>
      <c r="H706">
        <v>0</v>
      </c>
      <c r="I706">
        <v>0</v>
      </c>
      <c r="J706">
        <v>0</v>
      </c>
      <c r="K706">
        <v>0</v>
      </c>
      <c r="L706">
        <v>0</v>
      </c>
      <c r="M706">
        <v>0</v>
      </c>
      <c r="N706">
        <v>0</v>
      </c>
      <c r="O706">
        <v>123</v>
      </c>
      <c r="P706">
        <v>0</v>
      </c>
      <c r="Q706">
        <v>0</v>
      </c>
      <c r="R706">
        <v>0</v>
      </c>
      <c r="S706">
        <v>0</v>
      </c>
      <c r="T706">
        <v>0</v>
      </c>
      <c r="U706">
        <v>0</v>
      </c>
      <c r="V706" t="str">
        <v/>
      </c>
      <c r="W706" t="str">
        <v/>
      </c>
      <c r="X706" t="str">
        <v>0</v>
      </c>
      <c r="Y706">
        <v>0</v>
      </c>
      <c r="Z706" t="str">
        <v/>
      </c>
      <c r="AA706">
        <v>0</v>
      </c>
      <c r="AB706">
        <v>0</v>
      </c>
      <c r="AC706">
        <v>0</v>
      </c>
      <c r="AD706">
        <v>0</v>
      </c>
      <c r="AE706">
        <v>0</v>
      </c>
      <c r="AF706">
        <v>0</v>
      </c>
      <c r="AG706">
        <v>0</v>
      </c>
      <c r="AH706">
        <v>0</v>
      </c>
      <c r="AI706">
        <v>0</v>
      </c>
      <c r="AJ706">
        <v>0</v>
      </c>
      <c r="AK706">
        <v>0</v>
      </c>
      <c r="AL706">
        <v>0</v>
      </c>
      <c r="AM706">
        <v>0</v>
      </c>
      <c r="AN706">
        <v>0</v>
      </c>
      <c r="AO706">
        <v>0</v>
      </c>
      <c r="AP706">
        <v>0</v>
      </c>
    </row>
    <row r="707" spans="1:42">
      <c r="A707" t="str">
        <f>H707&amp;COUNTIF($H$2:H707,H707)</f>
        <v>0278</v>
      </c>
      <c r="B707" t="str">
        <f>F707&amp;COUNTIF($F$2:F707,F707)</f>
        <v>09</v>
      </c>
      <c r="C707">
        <v>0</v>
      </c>
      <c r="D707">
        <v>0</v>
      </c>
      <c r="E707">
        <v>0</v>
      </c>
      <c r="F707">
        <v>0</v>
      </c>
      <c r="G707">
        <v>0</v>
      </c>
      <c r="H707">
        <v>0</v>
      </c>
      <c r="I707">
        <v>0</v>
      </c>
      <c r="J707">
        <v>0</v>
      </c>
      <c r="K707">
        <v>0</v>
      </c>
      <c r="L707">
        <v>0</v>
      </c>
      <c r="M707">
        <v>0</v>
      </c>
      <c r="N707">
        <v>0</v>
      </c>
      <c r="O707">
        <v>123</v>
      </c>
      <c r="P707">
        <v>0</v>
      </c>
      <c r="Q707">
        <v>0</v>
      </c>
      <c r="R707">
        <v>0</v>
      </c>
      <c r="S707">
        <v>0</v>
      </c>
      <c r="T707">
        <v>0</v>
      </c>
      <c r="U707">
        <v>0</v>
      </c>
      <c r="V707" t="str">
        <v/>
      </c>
      <c r="W707" t="str">
        <v/>
      </c>
      <c r="X707" t="str">
        <v>0</v>
      </c>
      <c r="Y707">
        <v>0</v>
      </c>
      <c r="Z707" t="str">
        <v/>
      </c>
      <c r="AA707">
        <v>0</v>
      </c>
      <c r="AB707">
        <v>0</v>
      </c>
      <c r="AC707">
        <v>0</v>
      </c>
      <c r="AD707">
        <v>0</v>
      </c>
      <c r="AE707">
        <v>0</v>
      </c>
      <c r="AF707">
        <v>0</v>
      </c>
      <c r="AG707">
        <v>0</v>
      </c>
      <c r="AH707">
        <v>0</v>
      </c>
      <c r="AI707">
        <v>0</v>
      </c>
      <c r="AJ707">
        <v>0</v>
      </c>
      <c r="AK707">
        <v>0</v>
      </c>
      <c r="AL707">
        <v>0</v>
      </c>
      <c r="AM707">
        <v>0</v>
      </c>
      <c r="AN707">
        <v>0</v>
      </c>
      <c r="AO707">
        <v>0</v>
      </c>
      <c r="AP707">
        <v>0</v>
      </c>
    </row>
    <row r="708" spans="1:42">
      <c r="A708" t="str">
        <f>H708&amp;COUNTIF($H$2:H708,H708)</f>
        <v>0279</v>
      </c>
      <c r="B708" t="str">
        <f>F708&amp;COUNTIF($F$2:F708,F708)</f>
        <v>010</v>
      </c>
      <c r="C708">
        <v>0</v>
      </c>
      <c r="D708">
        <v>0</v>
      </c>
      <c r="E708">
        <v>0</v>
      </c>
      <c r="F708">
        <v>0</v>
      </c>
      <c r="G708">
        <v>0</v>
      </c>
      <c r="H708">
        <v>0</v>
      </c>
      <c r="I708">
        <v>0</v>
      </c>
      <c r="J708">
        <v>0</v>
      </c>
      <c r="K708">
        <v>0</v>
      </c>
      <c r="L708">
        <v>0</v>
      </c>
      <c r="M708">
        <v>0</v>
      </c>
      <c r="N708">
        <v>0</v>
      </c>
      <c r="O708">
        <v>123</v>
      </c>
      <c r="P708">
        <v>0</v>
      </c>
      <c r="Q708">
        <v>0</v>
      </c>
      <c r="R708">
        <v>0</v>
      </c>
      <c r="S708">
        <v>0</v>
      </c>
      <c r="T708">
        <v>0</v>
      </c>
      <c r="U708">
        <v>0</v>
      </c>
      <c r="V708" t="str">
        <v/>
      </c>
      <c r="W708" t="str">
        <v/>
      </c>
      <c r="X708" t="str">
        <v>0</v>
      </c>
      <c r="Y708">
        <v>0</v>
      </c>
      <c r="Z708" t="str">
        <v/>
      </c>
      <c r="AA708">
        <v>0</v>
      </c>
      <c r="AB708">
        <v>0</v>
      </c>
      <c r="AC708">
        <v>0</v>
      </c>
      <c r="AD708">
        <v>0</v>
      </c>
      <c r="AE708">
        <v>0</v>
      </c>
      <c r="AF708">
        <v>0</v>
      </c>
      <c r="AG708">
        <v>0</v>
      </c>
      <c r="AH708">
        <v>0</v>
      </c>
      <c r="AI708">
        <v>0</v>
      </c>
      <c r="AJ708">
        <v>0</v>
      </c>
      <c r="AK708">
        <v>0</v>
      </c>
      <c r="AL708">
        <v>0</v>
      </c>
      <c r="AM708">
        <v>0</v>
      </c>
      <c r="AN708">
        <v>0</v>
      </c>
      <c r="AO708">
        <v>0</v>
      </c>
      <c r="AP708">
        <v>0</v>
      </c>
    </row>
    <row r="709" spans="1:42">
      <c r="A709" t="str">
        <f>H709&amp;COUNTIF($H$2:H709,H709)</f>
        <v>0280</v>
      </c>
      <c r="B709" t="str">
        <f>F709&amp;COUNTIF($F$2:F709,F709)</f>
        <v>011</v>
      </c>
      <c r="C709">
        <v>0</v>
      </c>
      <c r="D709">
        <v>0</v>
      </c>
      <c r="E709">
        <v>0</v>
      </c>
      <c r="F709">
        <v>0</v>
      </c>
      <c r="G709">
        <v>0</v>
      </c>
      <c r="H709">
        <v>0</v>
      </c>
      <c r="I709">
        <v>0</v>
      </c>
      <c r="J709">
        <v>0</v>
      </c>
      <c r="K709">
        <v>0</v>
      </c>
      <c r="L709">
        <v>0</v>
      </c>
      <c r="M709">
        <v>0</v>
      </c>
      <c r="N709">
        <v>0</v>
      </c>
      <c r="O709">
        <v>123</v>
      </c>
      <c r="P709">
        <v>0</v>
      </c>
      <c r="Q709">
        <v>0</v>
      </c>
      <c r="R709">
        <v>0</v>
      </c>
      <c r="S709">
        <v>0</v>
      </c>
      <c r="T709">
        <v>0</v>
      </c>
      <c r="U709">
        <v>0</v>
      </c>
      <c r="V709" t="str">
        <v/>
      </c>
      <c r="W709" t="str">
        <v/>
      </c>
      <c r="X709" t="str">
        <v>0</v>
      </c>
      <c r="Y709">
        <v>0</v>
      </c>
      <c r="Z709" t="str">
        <v/>
      </c>
      <c r="AA709">
        <v>0</v>
      </c>
      <c r="AB709">
        <v>0</v>
      </c>
      <c r="AC709">
        <v>0</v>
      </c>
      <c r="AD709">
        <v>0</v>
      </c>
      <c r="AE709">
        <v>0</v>
      </c>
      <c r="AF709">
        <v>0</v>
      </c>
      <c r="AG709">
        <v>0</v>
      </c>
      <c r="AH709">
        <v>0</v>
      </c>
      <c r="AI709">
        <v>0</v>
      </c>
      <c r="AJ709">
        <v>0</v>
      </c>
      <c r="AK709">
        <v>0</v>
      </c>
      <c r="AL709">
        <v>0</v>
      </c>
      <c r="AM709">
        <v>0</v>
      </c>
      <c r="AN709">
        <v>0</v>
      </c>
      <c r="AO709">
        <v>0</v>
      </c>
      <c r="AP709">
        <v>0</v>
      </c>
    </row>
    <row r="710" spans="1:42">
      <c r="A710" t="str">
        <f>H710&amp;COUNTIF($H$2:H710,H710)</f>
        <v>280</v>
      </c>
      <c r="B710" t="str">
        <f>F710&amp;COUNTIF($F$2:F710,F710)</f>
        <v>11</v>
      </c>
    </row>
    <row r="711" spans="1:42">
      <c r="A711" t="str">
        <f>H711&amp;COUNTIF($H$2:H711,H711)</f>
        <v>280</v>
      </c>
      <c r="B711" t="str">
        <f>F711&amp;COUNTIF($F$2:F711,F711)</f>
        <v>11</v>
      </c>
    </row>
    <row r="712" spans="1:42">
      <c r="A712" t="str">
        <f>H712&amp;COUNTIF($H$2:H712,H712)</f>
        <v>280</v>
      </c>
      <c r="B712" t="str">
        <f>F712&amp;COUNTIF($F$2:F712,F712)</f>
        <v>11</v>
      </c>
    </row>
    <row r="713" spans="1:42">
      <c r="A713" t="str">
        <f>H713&amp;COUNTIF($H$2:H713,H713)</f>
        <v>280</v>
      </c>
      <c r="B713" t="str">
        <f>F713&amp;COUNTIF($F$2:F713,F713)</f>
        <v>11</v>
      </c>
    </row>
    <row r="714" spans="1:42">
      <c r="A714" t="str">
        <f>H714&amp;COUNTIF($H$2:H714,H714)</f>
        <v>280</v>
      </c>
      <c r="B714" t="str">
        <f>F714&amp;COUNTIF($F$2:F714,F714)</f>
        <v>11</v>
      </c>
    </row>
    <row r="715" spans="1:42">
      <c r="A715" t="str">
        <f>H715&amp;COUNTIF($H$2:H715,H715)</f>
        <v>280</v>
      </c>
      <c r="B715" t="str">
        <f>F715&amp;COUNTIF($F$2:F715,F715)</f>
        <v>11</v>
      </c>
    </row>
    <row r="716" spans="1:42">
      <c r="A716" t="str">
        <f>H716&amp;COUNTIF($H$2:H716,H716)</f>
        <v>280</v>
      </c>
      <c r="B716" t="str">
        <f>F716&amp;COUNTIF($F$2:F716,F716)</f>
        <v>11</v>
      </c>
    </row>
    <row r="717" spans="1:42">
      <c r="A717" t="str">
        <f>H717&amp;COUNTIF($H$2:H717,H717)</f>
        <v>280</v>
      </c>
      <c r="B717" t="str">
        <f>F717&amp;COUNTIF($F$2:F717,F717)</f>
        <v>11</v>
      </c>
    </row>
    <row r="718" spans="1:42">
      <c r="A718" t="str">
        <f>H718&amp;COUNTIF($H$2:H718,H718)</f>
        <v>280</v>
      </c>
      <c r="B718" t="str">
        <f>F718&amp;COUNTIF($F$2:F718,F718)</f>
        <v>11</v>
      </c>
    </row>
    <row r="719" spans="1:42">
      <c r="A719" t="str">
        <f>H719&amp;COUNTIF($H$2:H719,H719)</f>
        <v>280</v>
      </c>
      <c r="B719" t="str">
        <f>F719&amp;COUNTIF($F$2:F719,F719)</f>
        <v>11</v>
      </c>
    </row>
    <row r="720" spans="1:42">
      <c r="A720" t="str">
        <f>H720&amp;COUNTIF($H$2:H720,H720)</f>
        <v>280</v>
      </c>
      <c r="B720" t="str">
        <f>F720&amp;COUNTIF($F$2:F720,F720)</f>
        <v>11</v>
      </c>
    </row>
    <row r="721" spans="1:2">
      <c r="A721" t="str">
        <f>H721&amp;COUNTIF($H$2:H721,H721)</f>
        <v>280</v>
      </c>
      <c r="B721" t="str">
        <f>F721&amp;COUNTIF($F$2:F721,F721)</f>
        <v>11</v>
      </c>
    </row>
    <row r="722" spans="1:2">
      <c r="A722" t="str">
        <f>H722&amp;COUNTIF($H$2:H722,H722)</f>
        <v>280</v>
      </c>
      <c r="B722" t="str">
        <f>F722&amp;COUNTIF($F$2:F722,F722)</f>
        <v>11</v>
      </c>
    </row>
    <row r="723" spans="1:2">
      <c r="A723" t="str">
        <f>H723&amp;COUNTIF($H$2:H723,H723)</f>
        <v>280</v>
      </c>
      <c r="B723" t="str">
        <f>F723&amp;COUNTIF($F$2:F723,F723)</f>
        <v>11</v>
      </c>
    </row>
    <row r="724" spans="1:2">
      <c r="A724" t="str">
        <f>H724&amp;COUNTIF($H$2:H724,H724)</f>
        <v>280</v>
      </c>
      <c r="B724" t="str">
        <f>F724&amp;COUNTIF($F$2:F724,F724)</f>
        <v>11</v>
      </c>
    </row>
    <row r="725" spans="1:2">
      <c r="A725" t="str">
        <f>H725&amp;COUNTIF($H$2:H725,H725)</f>
        <v>280</v>
      </c>
      <c r="B725" t="str">
        <f>F725&amp;COUNTIF($F$2:F725,F725)</f>
        <v>11</v>
      </c>
    </row>
    <row r="726" spans="1:2">
      <c r="A726" t="str">
        <f>H726&amp;COUNTIF($H$2:H726,H726)</f>
        <v>280</v>
      </c>
      <c r="B726" t="str">
        <f>F726&amp;COUNTIF($F$2:F726,F726)</f>
        <v>11</v>
      </c>
    </row>
    <row r="727" spans="1:2">
      <c r="A727" t="str">
        <f>H727&amp;COUNTIF($H$2:H727,H727)</f>
        <v>280</v>
      </c>
      <c r="B727" t="str">
        <f>F727&amp;COUNTIF($F$2:F727,F727)</f>
        <v>11</v>
      </c>
    </row>
    <row r="728" spans="1:2">
      <c r="A728" t="str">
        <f>H728&amp;COUNTIF($H$2:H728,H728)</f>
        <v>280</v>
      </c>
      <c r="B728" t="str">
        <f>F728&amp;COUNTIF($F$2:F728,F728)</f>
        <v>11</v>
      </c>
    </row>
    <row r="729" spans="1:2">
      <c r="A729" t="str">
        <f>H729&amp;COUNTIF($H$2:H729,H729)</f>
        <v>280</v>
      </c>
      <c r="B729" t="str">
        <f>F729&amp;COUNTIF($F$2:F729,F729)</f>
        <v>11</v>
      </c>
    </row>
    <row r="730" spans="1:2">
      <c r="A730" t="str">
        <f>H730&amp;COUNTIF($H$2:H730,H730)</f>
        <v>280</v>
      </c>
      <c r="B730" t="str">
        <f>F730&amp;COUNTIF($F$2:F730,F730)</f>
        <v>11</v>
      </c>
    </row>
    <row r="731" spans="1:2">
      <c r="A731" t="str">
        <f>H731&amp;COUNTIF($H$2:H731,H731)</f>
        <v>280</v>
      </c>
      <c r="B731" t="str">
        <f>F731&amp;COUNTIF($F$2:F731,F731)</f>
        <v>11</v>
      </c>
    </row>
    <row r="732" spans="1:2">
      <c r="A732" t="str">
        <f>H732&amp;COUNTIF($H$2:H732,H732)</f>
        <v>280</v>
      </c>
      <c r="B732" t="str">
        <f>F732&amp;COUNTIF($F$2:F732,F732)</f>
        <v>11</v>
      </c>
    </row>
    <row r="733" spans="1:2">
      <c r="A733" t="str">
        <f>H733&amp;COUNTIF($H$2:H733,H733)</f>
        <v>280</v>
      </c>
      <c r="B733" t="str">
        <f>F733&amp;COUNTIF($F$2:F733,F733)</f>
        <v>11</v>
      </c>
    </row>
    <row r="734" spans="1:2">
      <c r="A734" t="str">
        <f>H734&amp;COUNTIF($H$2:H734,H734)</f>
        <v>280</v>
      </c>
      <c r="B734" t="str">
        <f>F734&amp;COUNTIF($F$2:F734,F734)</f>
        <v>11</v>
      </c>
    </row>
    <row r="735" spans="1:2">
      <c r="A735" t="str">
        <f>H735&amp;COUNTIF($H$2:H735,H735)</f>
        <v>280</v>
      </c>
      <c r="B735" t="str">
        <f>F735&amp;COUNTIF($F$2:F735,F735)</f>
        <v>11</v>
      </c>
    </row>
    <row r="736" spans="1:2">
      <c r="A736" t="str">
        <f>H736&amp;COUNTIF($H$2:H736,H736)</f>
        <v>280</v>
      </c>
      <c r="B736" t="str">
        <f>F736&amp;COUNTIF($F$2:F736,F736)</f>
        <v>11</v>
      </c>
    </row>
    <row r="737" spans="1:2">
      <c r="A737" t="str">
        <f>H737&amp;COUNTIF($H$2:H737,H737)</f>
        <v>280</v>
      </c>
      <c r="B737" t="str">
        <f>F737&amp;COUNTIF($F$2:F737,F737)</f>
        <v>11</v>
      </c>
    </row>
    <row r="738" spans="1:2">
      <c r="A738" t="str">
        <f>H738&amp;COUNTIF($H$2:H738,H738)</f>
        <v>280</v>
      </c>
      <c r="B738" t="str">
        <f>F738&amp;COUNTIF($F$2:F738,F738)</f>
        <v>11</v>
      </c>
    </row>
    <row r="739" spans="1:2">
      <c r="A739" t="str">
        <f>H739&amp;COUNTIF($H$2:H739,H739)</f>
        <v>280</v>
      </c>
      <c r="B739" t="str">
        <f>F739&amp;COUNTIF($F$2:F739,F739)</f>
        <v>11</v>
      </c>
    </row>
    <row r="740" spans="1:2">
      <c r="A740" t="str">
        <f>H740&amp;COUNTIF($H$2:H740,H740)</f>
        <v>280</v>
      </c>
      <c r="B740" t="str">
        <f>F740&amp;COUNTIF($F$2:F740,F740)</f>
        <v>11</v>
      </c>
    </row>
    <row r="741" spans="1:2">
      <c r="A741" t="str">
        <f>H741&amp;COUNTIF($H$2:H741,H741)</f>
        <v>280</v>
      </c>
      <c r="B741" t="str">
        <f>F741&amp;COUNTIF($F$2:F741,F741)</f>
        <v>11</v>
      </c>
    </row>
    <row r="742" spans="1:2">
      <c r="A742" t="str">
        <f>H742&amp;COUNTIF($H$2:H742,H742)</f>
        <v>280</v>
      </c>
      <c r="B742" t="str">
        <f>F742&amp;COUNTIF($F$2:F742,F742)</f>
        <v>11</v>
      </c>
    </row>
    <row r="743" spans="1:2">
      <c r="A743" t="str">
        <f>H743&amp;COUNTIF($H$2:H743,H743)</f>
        <v>280</v>
      </c>
      <c r="B743" t="str">
        <f>F743&amp;COUNTIF($F$2:F743,F743)</f>
        <v>11</v>
      </c>
    </row>
    <row r="744" spans="1:2">
      <c r="A744" t="str">
        <f>H744&amp;COUNTIF($H$2:H744,H744)</f>
        <v>280</v>
      </c>
      <c r="B744" t="str">
        <f>F744&amp;COUNTIF($F$2:F744,F744)</f>
        <v>11</v>
      </c>
    </row>
    <row r="745" spans="1:2">
      <c r="A745" t="str">
        <f>H745&amp;COUNTIF($H$2:H745,H745)</f>
        <v>280</v>
      </c>
      <c r="B745" t="str">
        <f>F745&amp;COUNTIF($F$2:F745,F745)</f>
        <v>11</v>
      </c>
    </row>
    <row r="746" spans="1:2">
      <c r="A746" t="str">
        <f>H746&amp;COUNTIF($H$2:H746,H746)</f>
        <v>280</v>
      </c>
      <c r="B746" t="str">
        <f>F746&amp;COUNTIF($F$2:F746,F746)</f>
        <v>11</v>
      </c>
    </row>
    <row r="747" spans="1:2">
      <c r="A747" t="str">
        <f>H747&amp;COUNTIF($H$2:H747,H747)</f>
        <v>280</v>
      </c>
      <c r="B747" t="str">
        <f>F747&amp;COUNTIF($F$2:F747,F747)</f>
        <v>11</v>
      </c>
    </row>
    <row r="748" spans="1:2">
      <c r="A748" t="str">
        <f>H748&amp;COUNTIF($H$2:H748,H748)</f>
        <v>280</v>
      </c>
      <c r="B748" t="str">
        <f>F748&amp;COUNTIF($F$2:F748,F748)</f>
        <v>11</v>
      </c>
    </row>
    <row r="749" spans="1:2">
      <c r="A749" t="str">
        <f>H749&amp;COUNTIF($H$2:H749,H749)</f>
        <v>280</v>
      </c>
      <c r="B749" t="str">
        <f>F749&amp;COUNTIF($F$2:F749,F749)</f>
        <v>11</v>
      </c>
    </row>
    <row r="750" spans="1:2">
      <c r="A750" t="str">
        <f>H750&amp;COUNTIF($H$2:H750,H750)</f>
        <v>280</v>
      </c>
      <c r="B750" t="str">
        <f>F750&amp;COUNTIF($F$2:F750,F750)</f>
        <v>11</v>
      </c>
    </row>
    <row r="751" spans="1:2">
      <c r="A751" t="str">
        <f>H751&amp;COUNTIF($H$2:H751,H751)</f>
        <v>280</v>
      </c>
      <c r="B751" t="str">
        <f>F751&amp;COUNTIF($F$2:F751,F751)</f>
        <v>11</v>
      </c>
    </row>
    <row r="752" spans="1:2">
      <c r="A752" t="str">
        <f>H752&amp;COUNTIF($H$2:H752,H752)</f>
        <v>280</v>
      </c>
      <c r="B752" t="str">
        <f>F752&amp;COUNTIF($F$2:F752,F752)</f>
        <v>11</v>
      </c>
    </row>
    <row r="753" spans="1:2">
      <c r="A753" t="str">
        <f>H753&amp;COUNTIF($H$2:H753,H753)</f>
        <v>280</v>
      </c>
      <c r="B753" t="str">
        <f>F753&amp;COUNTIF($F$2:F753,F753)</f>
        <v>11</v>
      </c>
    </row>
    <row r="754" spans="1:2">
      <c r="A754" t="str">
        <f>H754&amp;COUNTIF($H$2:H754,H754)</f>
        <v>280</v>
      </c>
      <c r="B754" t="str">
        <f>F754&amp;COUNTIF($F$2:F754,F754)</f>
        <v>11</v>
      </c>
    </row>
    <row r="755" spans="1:2">
      <c r="A755" t="str">
        <f>H755&amp;COUNTIF($H$2:H755,H755)</f>
        <v>280</v>
      </c>
      <c r="B755" t="str">
        <f>F755&amp;COUNTIF($F$2:F755,F755)</f>
        <v>11</v>
      </c>
    </row>
    <row r="756" spans="1:2">
      <c r="A756" t="str">
        <f>H756&amp;COUNTIF($H$2:H756,H756)</f>
        <v>280</v>
      </c>
      <c r="B756" t="str">
        <f>F756&amp;COUNTIF($F$2:F756,F756)</f>
        <v>11</v>
      </c>
    </row>
    <row r="757" spans="1:2">
      <c r="A757" t="str">
        <f>H757&amp;COUNTIF($H$2:H757,H757)</f>
        <v>280</v>
      </c>
      <c r="B757" t="str">
        <f>F757&amp;COUNTIF($F$2:F757,F757)</f>
        <v>11</v>
      </c>
    </row>
    <row r="758" spans="1:2">
      <c r="A758" t="str">
        <f>H758&amp;COUNTIF($H$2:H758,H758)</f>
        <v>280</v>
      </c>
      <c r="B758" t="str">
        <f>F758&amp;COUNTIF($F$2:F758,F758)</f>
        <v>11</v>
      </c>
    </row>
    <row r="759" spans="1:2">
      <c r="A759" t="str">
        <f>H759&amp;COUNTIF($H$2:H759,H759)</f>
        <v>280</v>
      </c>
      <c r="B759" t="str">
        <f>F759&amp;COUNTIF($F$2:F759,F759)</f>
        <v>11</v>
      </c>
    </row>
    <row r="760" spans="1:2">
      <c r="A760" t="str">
        <f>H760&amp;COUNTIF($H$2:H760,H760)</f>
        <v>280</v>
      </c>
      <c r="B760" t="str">
        <f>F760&amp;COUNTIF($F$2:F760,F760)</f>
        <v>11</v>
      </c>
    </row>
    <row r="761" spans="1:2">
      <c r="A761" t="str">
        <f>H761&amp;COUNTIF($H$2:H761,H761)</f>
        <v>280</v>
      </c>
      <c r="B761" t="str">
        <f>F761&amp;COUNTIF($F$2:F761,F761)</f>
        <v>11</v>
      </c>
    </row>
    <row r="762" spans="1:2">
      <c r="A762" t="str">
        <f>H762&amp;COUNTIF($H$2:H762,H762)</f>
        <v>280</v>
      </c>
      <c r="B762" t="str">
        <f>F762&amp;COUNTIF($F$2:F762,F762)</f>
        <v>11</v>
      </c>
    </row>
    <row r="763" spans="1:2">
      <c r="A763" t="str">
        <f>H763&amp;COUNTIF($H$2:H763,H763)</f>
        <v>280</v>
      </c>
      <c r="B763" t="str">
        <f>F763&amp;COUNTIF($F$2:F763,F763)</f>
        <v>11</v>
      </c>
    </row>
    <row r="764" spans="1:2">
      <c r="A764" t="str">
        <f>H764&amp;COUNTIF($H$2:H764,H764)</f>
        <v>280</v>
      </c>
      <c r="B764" t="str">
        <f>F764&amp;COUNTIF($F$2:F764,F764)</f>
        <v>11</v>
      </c>
    </row>
    <row r="765" spans="1:2">
      <c r="A765" t="str">
        <f>H765&amp;COUNTIF($H$2:H765,H765)</f>
        <v>280</v>
      </c>
      <c r="B765" t="str">
        <f>F765&amp;COUNTIF($F$2:F765,F765)</f>
        <v>11</v>
      </c>
    </row>
    <row r="766" spans="1:2">
      <c r="A766" t="str">
        <f>H766&amp;COUNTIF($H$2:H766,H766)</f>
        <v>280</v>
      </c>
      <c r="B766" t="str">
        <f>F766&amp;COUNTIF($F$2:F766,F766)</f>
        <v>11</v>
      </c>
    </row>
    <row r="767" spans="1:2">
      <c r="A767" t="str">
        <f>H767&amp;COUNTIF($H$2:H767,H767)</f>
        <v>280</v>
      </c>
      <c r="B767" t="str">
        <f>F767&amp;COUNTIF($F$2:F767,F767)</f>
        <v>11</v>
      </c>
    </row>
    <row r="768" spans="1:2">
      <c r="A768" t="str">
        <f>H768&amp;COUNTIF($H$2:H768,H768)</f>
        <v>280</v>
      </c>
      <c r="B768" t="str">
        <f>F768&amp;COUNTIF($F$2:F768,F768)</f>
        <v>11</v>
      </c>
    </row>
    <row r="769" spans="1:2">
      <c r="A769" t="str">
        <f>H769&amp;COUNTIF($H$2:H769,H769)</f>
        <v>280</v>
      </c>
      <c r="B769" t="str">
        <f>F769&amp;COUNTIF($F$2:F769,F769)</f>
        <v>11</v>
      </c>
    </row>
    <row r="770" spans="1:2">
      <c r="A770" t="str">
        <f>H770&amp;COUNTIF($H$2:H770,H770)</f>
        <v>280</v>
      </c>
      <c r="B770" t="str">
        <f>F770&amp;COUNTIF($F$2:F770,F770)</f>
        <v>11</v>
      </c>
    </row>
    <row r="771" spans="1:2">
      <c r="A771" t="str">
        <f>H771&amp;COUNTIF($H$2:H771,H771)</f>
        <v>280</v>
      </c>
      <c r="B771" t="str">
        <f>F771&amp;COUNTIF($F$2:F771,F771)</f>
        <v>11</v>
      </c>
    </row>
    <row r="772" spans="1:2">
      <c r="A772" t="str">
        <f>H772&amp;COUNTIF($H$2:H772,H772)</f>
        <v>280</v>
      </c>
      <c r="B772" t="str">
        <f>F772&amp;COUNTIF($F$2:F772,F772)</f>
        <v>11</v>
      </c>
    </row>
    <row r="773" spans="1:2">
      <c r="A773" t="str">
        <f>H773&amp;COUNTIF($H$2:H773,H773)</f>
        <v>280</v>
      </c>
      <c r="B773" t="str">
        <f>F773&amp;COUNTIF($F$2:F773,F773)</f>
        <v>11</v>
      </c>
    </row>
    <row r="774" spans="1:2">
      <c r="A774" t="str">
        <f>H774&amp;COUNTIF($H$2:H774,H774)</f>
        <v>280</v>
      </c>
      <c r="B774" t="str">
        <f>F774&amp;COUNTIF($F$2:F774,F774)</f>
        <v>11</v>
      </c>
    </row>
    <row r="775" spans="1:2">
      <c r="A775" t="str">
        <f>H775&amp;COUNTIF($H$2:H775,H775)</f>
        <v>280</v>
      </c>
      <c r="B775" t="str">
        <f>F775&amp;COUNTIF($F$2:F775,F775)</f>
        <v>11</v>
      </c>
    </row>
    <row r="776" spans="1:2">
      <c r="A776" t="str">
        <f>H776&amp;COUNTIF($H$2:H776,H776)</f>
        <v>280</v>
      </c>
      <c r="B776" t="str">
        <f>F776&amp;COUNTIF($F$2:F776,F776)</f>
        <v>11</v>
      </c>
    </row>
    <row r="777" spans="1:2">
      <c r="A777" t="str">
        <f>H777&amp;COUNTIF($H$2:H777,H777)</f>
        <v>280</v>
      </c>
      <c r="B777" t="str">
        <f>F777&amp;COUNTIF($F$2:F777,F777)</f>
        <v>11</v>
      </c>
    </row>
    <row r="778" spans="1:2">
      <c r="A778" t="str">
        <f>H778&amp;COUNTIF($H$2:H778,H778)</f>
        <v>280</v>
      </c>
      <c r="B778" t="str">
        <f>F778&amp;COUNTIF($F$2:F778,F778)</f>
        <v>11</v>
      </c>
    </row>
    <row r="779" spans="1:2">
      <c r="A779" t="str">
        <f>H779&amp;COUNTIF($H$2:H779,H779)</f>
        <v>280</v>
      </c>
      <c r="B779" t="str">
        <f>F779&amp;COUNTIF($F$2:F779,F779)</f>
        <v>11</v>
      </c>
    </row>
    <row r="780" spans="1:2">
      <c r="A780" t="str">
        <f>H780&amp;COUNTIF($H$2:H780,H780)</f>
        <v>280</v>
      </c>
      <c r="B780" t="str">
        <f>F780&amp;COUNTIF($F$2:F780,F780)</f>
        <v>11</v>
      </c>
    </row>
    <row r="781" spans="1:2">
      <c r="A781" t="str">
        <f>H781&amp;COUNTIF($H$2:H781,H781)</f>
        <v>280</v>
      </c>
      <c r="B781" t="str">
        <f>F781&amp;COUNTIF($F$2:F781,F781)</f>
        <v>11</v>
      </c>
    </row>
    <row r="782" spans="1:2">
      <c r="A782" t="str">
        <f>H782&amp;COUNTIF($H$2:H782,H782)</f>
        <v>280</v>
      </c>
      <c r="B782" t="str">
        <f>F782&amp;COUNTIF($F$2:F782,F782)</f>
        <v>11</v>
      </c>
    </row>
    <row r="783" spans="1:2">
      <c r="A783" t="str">
        <f>H783&amp;COUNTIF($H$2:H783,H783)</f>
        <v>280</v>
      </c>
      <c r="B783" t="str">
        <f>F783&amp;COUNTIF($F$2:F783,F783)</f>
        <v>11</v>
      </c>
    </row>
    <row r="784" spans="1:2">
      <c r="A784" t="str">
        <f>H784&amp;COUNTIF($H$2:H784,H784)</f>
        <v>280</v>
      </c>
      <c r="B784" t="str">
        <f>F784&amp;COUNTIF($F$2:F784,F784)</f>
        <v>11</v>
      </c>
    </row>
    <row r="785" spans="1:2">
      <c r="A785" t="str">
        <f>H785&amp;COUNTIF($H$2:H785,H785)</f>
        <v>280</v>
      </c>
      <c r="B785" t="str">
        <f>F785&amp;COUNTIF($F$2:F785,F785)</f>
        <v>11</v>
      </c>
    </row>
    <row r="786" spans="1:2">
      <c r="A786" t="str">
        <f>H786&amp;COUNTIF($H$2:H786,H786)</f>
        <v>280</v>
      </c>
      <c r="B786" t="str">
        <f>F786&amp;COUNTIF($F$2:F786,F786)</f>
        <v>11</v>
      </c>
    </row>
    <row r="787" spans="1:2">
      <c r="A787" t="str">
        <f>H787&amp;COUNTIF($H$2:H787,H787)</f>
        <v>280</v>
      </c>
      <c r="B787" t="str">
        <f>F787&amp;COUNTIF($F$2:F787,F787)</f>
        <v>11</v>
      </c>
    </row>
    <row r="788" spans="1:2">
      <c r="A788" t="str">
        <f>H788&amp;COUNTIF($H$2:H788,H788)</f>
        <v>280</v>
      </c>
      <c r="B788" t="str">
        <f>F788&amp;COUNTIF($F$2:F788,F788)</f>
        <v>11</v>
      </c>
    </row>
    <row r="789" spans="1:2">
      <c r="A789" t="str">
        <f>H789&amp;COUNTIF($H$2:H789,H789)</f>
        <v>280</v>
      </c>
      <c r="B789" t="str">
        <f>F789&amp;COUNTIF($F$2:F789,F789)</f>
        <v>11</v>
      </c>
    </row>
    <row r="790" spans="1:2">
      <c r="A790" t="str">
        <f>H790&amp;COUNTIF($H$2:H790,H790)</f>
        <v>280</v>
      </c>
      <c r="B790" t="str">
        <f>F790&amp;COUNTIF($F$2:F790,F790)</f>
        <v>11</v>
      </c>
    </row>
    <row r="791" spans="1:2">
      <c r="A791" t="str">
        <f>H791&amp;COUNTIF($H$2:H791,H791)</f>
        <v>280</v>
      </c>
      <c r="B791" t="str">
        <f>F791&amp;COUNTIF($F$2:F791,F791)</f>
        <v>11</v>
      </c>
    </row>
    <row r="792" spans="1:2">
      <c r="A792" t="str">
        <f>H792&amp;COUNTIF($H$2:H792,H792)</f>
        <v>280</v>
      </c>
      <c r="B792" t="str">
        <f>F792&amp;COUNTIF($F$2:F792,F792)</f>
        <v>11</v>
      </c>
    </row>
    <row r="793" spans="1:2">
      <c r="A793" t="str">
        <f>H793&amp;COUNTIF($H$2:H793,H793)</f>
        <v>280</v>
      </c>
      <c r="B793" t="str">
        <f>F793&amp;COUNTIF($F$2:F793,F793)</f>
        <v>11</v>
      </c>
    </row>
    <row r="794" spans="1:2">
      <c r="A794" t="str">
        <f>H794&amp;COUNTIF($H$2:H794,H794)</f>
        <v>280</v>
      </c>
      <c r="B794" t="str">
        <f>F794&amp;COUNTIF($F$2:F794,F794)</f>
        <v>11</v>
      </c>
    </row>
    <row r="795" spans="1:2">
      <c r="A795" t="str">
        <f>H795&amp;COUNTIF($H$2:H795,H795)</f>
        <v>280</v>
      </c>
      <c r="B795" t="str">
        <f>F795&amp;COUNTIF($F$2:F795,F795)</f>
        <v>11</v>
      </c>
    </row>
    <row r="796" spans="1:2">
      <c r="A796" t="str">
        <f>H796&amp;COUNTIF($H$2:H796,H796)</f>
        <v>280</v>
      </c>
      <c r="B796" t="str">
        <f>F796&amp;COUNTIF($F$2:F796,F796)</f>
        <v>11</v>
      </c>
    </row>
    <row r="797" spans="1:2">
      <c r="A797" t="str">
        <f>H797&amp;COUNTIF($H$2:H797,H797)</f>
        <v>280</v>
      </c>
      <c r="B797" t="str">
        <f>F797&amp;COUNTIF($F$2:F797,F797)</f>
        <v>11</v>
      </c>
    </row>
    <row r="798" spans="1:2">
      <c r="A798" t="str">
        <f>H798&amp;COUNTIF($H$2:H798,H798)</f>
        <v>280</v>
      </c>
      <c r="B798" t="str">
        <f>F798&amp;COUNTIF($F$2:F798,F798)</f>
        <v>11</v>
      </c>
    </row>
    <row r="799" spans="1:2">
      <c r="A799" t="str">
        <f>H799&amp;COUNTIF($H$2:H799,H799)</f>
        <v>280</v>
      </c>
      <c r="B799" t="str">
        <f>F799&amp;COUNTIF($F$2:F799,F799)</f>
        <v>11</v>
      </c>
    </row>
    <row r="800" spans="1:2">
      <c r="A800" t="str">
        <f>H800&amp;COUNTIF($H$2:H800,H800)</f>
        <v>280</v>
      </c>
      <c r="B800" t="str">
        <f>F800&amp;COUNTIF($F$2:F800,F800)</f>
        <v>11</v>
      </c>
    </row>
    <row r="801" spans="1:2">
      <c r="A801" t="str">
        <f>H801&amp;COUNTIF($H$2:H801,H801)</f>
        <v>280</v>
      </c>
      <c r="B801" t="str">
        <f>F801&amp;COUNTIF($F$2:F801,F801)</f>
        <v>11</v>
      </c>
    </row>
    <row r="802" spans="1:2">
      <c r="A802" t="str">
        <f>H802&amp;COUNTIF($H$2:H802,H802)</f>
        <v>280</v>
      </c>
      <c r="B802" t="str">
        <f>F802&amp;COUNTIF($F$2:F802,F802)</f>
        <v>11</v>
      </c>
    </row>
    <row r="803" spans="1:2">
      <c r="A803" t="str">
        <f>H803&amp;COUNTIF($H$2:H803,H803)</f>
        <v>280</v>
      </c>
      <c r="B803" t="str">
        <f>F803&amp;COUNTIF($F$2:F803,F803)</f>
        <v>11</v>
      </c>
    </row>
    <row r="804" spans="1:2">
      <c r="A804" t="str">
        <f>H804&amp;COUNTIF($H$2:H804,H804)</f>
        <v>280</v>
      </c>
      <c r="B804" t="str">
        <f>F804&amp;COUNTIF($F$2:F804,F804)</f>
        <v>11</v>
      </c>
    </row>
    <row r="805" spans="1:2">
      <c r="A805" t="str">
        <f>H805&amp;COUNTIF($H$2:H805,H805)</f>
        <v>280</v>
      </c>
      <c r="B805" t="str">
        <f>F805&amp;COUNTIF($F$2:F805,F805)</f>
        <v>11</v>
      </c>
    </row>
    <row r="806" spans="1:2">
      <c r="A806" t="str">
        <f>H806&amp;COUNTIF($H$2:H806,H806)</f>
        <v>280</v>
      </c>
      <c r="B806" t="str">
        <f>F806&amp;COUNTIF($F$2:F806,F806)</f>
        <v>11</v>
      </c>
    </row>
    <row r="807" spans="1:2">
      <c r="A807" t="str">
        <f>H807&amp;COUNTIF($H$2:H807,H807)</f>
        <v>280</v>
      </c>
      <c r="B807" t="str">
        <f>F807&amp;COUNTIF($F$2:F807,F807)</f>
        <v>11</v>
      </c>
    </row>
    <row r="808" spans="1:2">
      <c r="A808" t="str">
        <f>H808&amp;COUNTIF($H$2:H808,H808)</f>
        <v>280</v>
      </c>
      <c r="B808" t="str">
        <f>F808&amp;COUNTIF($F$2:F808,F808)</f>
        <v>11</v>
      </c>
    </row>
    <row r="809" spans="1:2">
      <c r="A809" t="str">
        <f>H809&amp;COUNTIF($H$2:H809,H809)</f>
        <v>280</v>
      </c>
      <c r="B809" t="str">
        <f>F809&amp;COUNTIF($F$2:F809,F809)</f>
        <v>11</v>
      </c>
    </row>
    <row r="810" spans="1:2">
      <c r="A810" t="str">
        <f>H810&amp;COUNTIF($H$2:H810,H810)</f>
        <v>280</v>
      </c>
      <c r="B810" t="str">
        <f>F810&amp;COUNTIF($F$2:F810,F810)</f>
        <v>11</v>
      </c>
    </row>
    <row r="811" spans="1:2">
      <c r="A811" t="str">
        <f>H811&amp;COUNTIF($H$2:H811,H811)</f>
        <v>280</v>
      </c>
      <c r="B811" t="str">
        <f>F811&amp;COUNTIF($F$2:F811,F811)</f>
        <v>11</v>
      </c>
    </row>
    <row r="812" spans="1:2">
      <c r="A812" t="str">
        <f>H812&amp;COUNTIF($H$2:H812,H812)</f>
        <v>280</v>
      </c>
      <c r="B812" t="str">
        <f>F812&amp;COUNTIF($F$2:F812,F812)</f>
        <v>11</v>
      </c>
    </row>
    <row r="813" spans="1:2">
      <c r="A813" t="str">
        <f>H813&amp;COUNTIF($H$2:H813,H813)</f>
        <v>280</v>
      </c>
      <c r="B813" t="str">
        <f>F813&amp;COUNTIF($F$2:F813,F813)</f>
        <v>11</v>
      </c>
    </row>
    <row r="814" spans="1:2">
      <c r="A814" t="str">
        <f>H814&amp;COUNTIF($H$2:H814,H814)</f>
        <v>280</v>
      </c>
      <c r="B814" t="str">
        <f>F814&amp;COUNTIF($F$2:F814,F814)</f>
        <v>11</v>
      </c>
    </row>
    <row r="815" spans="1:2">
      <c r="A815" t="str">
        <f>H815&amp;COUNTIF($H$2:H815,H815)</f>
        <v>280</v>
      </c>
      <c r="B815" t="str">
        <f>F815&amp;COUNTIF($F$2:F815,F815)</f>
        <v>11</v>
      </c>
    </row>
    <row r="816" spans="1:2">
      <c r="A816" t="str">
        <f>H816&amp;COUNTIF($H$2:H816,H816)</f>
        <v>280</v>
      </c>
      <c r="B816" t="str">
        <f>F816&amp;COUNTIF($F$2:F816,F816)</f>
        <v>11</v>
      </c>
    </row>
    <row r="817" spans="1:2">
      <c r="A817" t="str">
        <f>H817&amp;COUNTIF($H$2:H817,H817)</f>
        <v>280</v>
      </c>
      <c r="B817" t="str">
        <f>F817&amp;COUNTIF($F$2:F817,F817)</f>
        <v>11</v>
      </c>
    </row>
    <row r="818" spans="1:2">
      <c r="A818" t="str">
        <f>H818&amp;COUNTIF($H$2:H818,H818)</f>
        <v>280</v>
      </c>
      <c r="B818" t="str">
        <f>F818&amp;COUNTIF($F$2:F818,F818)</f>
        <v>11</v>
      </c>
    </row>
    <row r="819" spans="1:2">
      <c r="A819" t="str">
        <f>H819&amp;COUNTIF($H$2:H819,H819)</f>
        <v>280</v>
      </c>
      <c r="B819" t="str">
        <f>F819&amp;COUNTIF($F$2:F819,F819)</f>
        <v>11</v>
      </c>
    </row>
    <row r="820" spans="1:2">
      <c r="A820" t="str">
        <f>H820&amp;COUNTIF($H$2:H820,H820)</f>
        <v>280</v>
      </c>
      <c r="B820" t="str">
        <f>F820&amp;COUNTIF($F$2:F820,F820)</f>
        <v>11</v>
      </c>
    </row>
    <row r="821" spans="1:2">
      <c r="A821" t="str">
        <f>H821&amp;COUNTIF($H$2:H821,H821)</f>
        <v>280</v>
      </c>
      <c r="B821" t="str">
        <f>F821&amp;COUNTIF($F$2:F821,F821)</f>
        <v>11</v>
      </c>
    </row>
    <row r="822" spans="1:2">
      <c r="A822" t="str">
        <f>H822&amp;COUNTIF($H$2:H822,H822)</f>
        <v>280</v>
      </c>
      <c r="B822" t="str">
        <f>F822&amp;COUNTIF($F$2:F822,F822)</f>
        <v>11</v>
      </c>
    </row>
    <row r="823" spans="1:2">
      <c r="A823" t="str">
        <f>H823&amp;COUNTIF($H$2:H823,H823)</f>
        <v>280</v>
      </c>
      <c r="B823" t="str">
        <f>F823&amp;COUNTIF($F$2:F823,F823)</f>
        <v>11</v>
      </c>
    </row>
    <row r="824" spans="1:2">
      <c r="A824" t="str">
        <f>H824&amp;COUNTIF($H$2:H824,H824)</f>
        <v>280</v>
      </c>
      <c r="B824" t="str">
        <f>F824&amp;COUNTIF($F$2:F824,F824)</f>
        <v>11</v>
      </c>
    </row>
    <row r="825" spans="1:2">
      <c r="A825" t="str">
        <f>H825&amp;COUNTIF($H$2:H825,H825)</f>
        <v>280</v>
      </c>
      <c r="B825" t="str">
        <f>F825&amp;COUNTIF($F$2:F825,F825)</f>
        <v>11</v>
      </c>
    </row>
    <row r="826" spans="1:2">
      <c r="A826" t="str">
        <f>H826&amp;COUNTIF($H$2:H826,H826)</f>
        <v>280</v>
      </c>
      <c r="B826" t="str">
        <f>F826&amp;COUNTIF($F$2:F826,F826)</f>
        <v>11</v>
      </c>
    </row>
    <row r="827" spans="1:2">
      <c r="A827" t="str">
        <f>H827&amp;COUNTIF($H$2:H827,H827)</f>
        <v>280</v>
      </c>
      <c r="B827" t="str">
        <f>F827&amp;COUNTIF($F$2:F827,F827)</f>
        <v>11</v>
      </c>
    </row>
    <row r="828" spans="1:2">
      <c r="A828" t="str">
        <f>H828&amp;COUNTIF($H$2:H828,H828)</f>
        <v>280</v>
      </c>
      <c r="B828" t="str">
        <f>F828&amp;COUNTIF($F$2:F828,F828)</f>
        <v>11</v>
      </c>
    </row>
    <row r="829" spans="1:2">
      <c r="A829" t="str">
        <f>H829&amp;COUNTIF($H$2:H829,H829)</f>
        <v>280</v>
      </c>
      <c r="B829" t="str">
        <f>F829&amp;COUNTIF($F$2:F829,F829)</f>
        <v>11</v>
      </c>
    </row>
    <row r="830" spans="1:2">
      <c r="A830" t="str">
        <f>H830&amp;COUNTIF($H$2:H830,H830)</f>
        <v>280</v>
      </c>
      <c r="B830" t="str">
        <f>F830&amp;COUNTIF($F$2:F830,F830)</f>
        <v>11</v>
      </c>
    </row>
    <row r="831" spans="1:2">
      <c r="A831" t="str">
        <f>H831&amp;COUNTIF($H$2:H831,H831)</f>
        <v>280</v>
      </c>
      <c r="B831" t="str">
        <f>F831&amp;COUNTIF($F$2:F831,F831)</f>
        <v>11</v>
      </c>
    </row>
    <row r="832" spans="1:2">
      <c r="A832" t="str">
        <f>H832&amp;COUNTIF($H$2:H832,H832)</f>
        <v>280</v>
      </c>
      <c r="B832" t="str">
        <f>F832&amp;COUNTIF($F$2:F832,F832)</f>
        <v>11</v>
      </c>
    </row>
    <row r="833" spans="1:2">
      <c r="A833" t="str">
        <f>H833&amp;COUNTIF($H$2:H833,H833)</f>
        <v>280</v>
      </c>
      <c r="B833" t="str">
        <f>F833&amp;COUNTIF($F$2:F833,F833)</f>
        <v>11</v>
      </c>
    </row>
    <row r="834" spans="1:2">
      <c r="A834" t="str">
        <f>H834&amp;COUNTIF($H$2:H834,H834)</f>
        <v>280</v>
      </c>
      <c r="B834" t="str">
        <f>F834&amp;COUNTIF($F$2:F834,F834)</f>
        <v>11</v>
      </c>
    </row>
    <row r="835" spans="1:2">
      <c r="A835" t="str">
        <f>H835&amp;COUNTIF($H$2:H835,H835)</f>
        <v>280</v>
      </c>
      <c r="B835" t="str">
        <f>F835&amp;COUNTIF($F$2:F835,F835)</f>
        <v>11</v>
      </c>
    </row>
    <row r="836" spans="1:2">
      <c r="A836" t="str">
        <f>H836&amp;COUNTIF($H$2:H836,H836)</f>
        <v>280</v>
      </c>
      <c r="B836" t="str">
        <f>F836&amp;COUNTIF($F$2:F836,F836)</f>
        <v>11</v>
      </c>
    </row>
    <row r="837" spans="1:2">
      <c r="A837" t="str">
        <f>H837&amp;COUNTIF($H$2:H837,H837)</f>
        <v>280</v>
      </c>
      <c r="B837" t="str">
        <f>F837&amp;COUNTIF($F$2:F837,F837)</f>
        <v>11</v>
      </c>
    </row>
    <row r="838" spans="1:2">
      <c r="A838" t="str">
        <f>H838&amp;COUNTIF($H$2:H838,H838)</f>
        <v>280</v>
      </c>
      <c r="B838" t="str">
        <f>F838&amp;COUNTIF($F$2:F838,F838)</f>
        <v>11</v>
      </c>
    </row>
    <row r="839" spans="1:2">
      <c r="A839" t="str">
        <f>H839&amp;COUNTIF($H$2:H839,H839)</f>
        <v>280</v>
      </c>
      <c r="B839" t="str">
        <f>F839&amp;COUNTIF($F$2:F839,F839)</f>
        <v>11</v>
      </c>
    </row>
    <row r="840" spans="1:2">
      <c r="A840" t="str">
        <f>H840&amp;COUNTIF($H$2:H840,H840)</f>
        <v>280</v>
      </c>
      <c r="B840" t="str">
        <f>F840&amp;COUNTIF($F$2:F840,F840)</f>
        <v>11</v>
      </c>
    </row>
    <row r="841" spans="1:2">
      <c r="A841" t="str">
        <f>H841&amp;COUNTIF($H$2:H841,H841)</f>
        <v>280</v>
      </c>
      <c r="B841" t="str">
        <f>F841&amp;COUNTIF($F$2:F841,F841)</f>
        <v>11</v>
      </c>
    </row>
    <row r="842" spans="1:2">
      <c r="A842" t="str">
        <f>H842&amp;COUNTIF($H$2:H842,H842)</f>
        <v>280</v>
      </c>
      <c r="B842" t="str">
        <f>F842&amp;COUNTIF($F$2:F842,F842)</f>
        <v>11</v>
      </c>
    </row>
    <row r="843" spans="1:2">
      <c r="A843" t="str">
        <f>H843&amp;COUNTIF($H$2:H843,H843)</f>
        <v>280</v>
      </c>
      <c r="B843" t="str">
        <f>F843&amp;COUNTIF($F$2:F843,F843)</f>
        <v>11</v>
      </c>
    </row>
    <row r="844" spans="1:2">
      <c r="A844" t="str">
        <f>H844&amp;COUNTIF($H$2:H844,H844)</f>
        <v>280</v>
      </c>
      <c r="B844" t="str">
        <f>F844&amp;COUNTIF($F$2:F844,F844)</f>
        <v>11</v>
      </c>
    </row>
    <row r="845" spans="1:2">
      <c r="A845" t="str">
        <f>H845&amp;COUNTIF($H$2:H845,H845)</f>
        <v>280</v>
      </c>
      <c r="B845" t="str">
        <f>F845&amp;COUNTIF($F$2:F845,F845)</f>
        <v>11</v>
      </c>
    </row>
    <row r="846" spans="1:2">
      <c r="A846" t="str">
        <f>H846&amp;COUNTIF($H$2:H846,H846)</f>
        <v>280</v>
      </c>
      <c r="B846" t="str">
        <f>F846&amp;COUNTIF($F$2:F846,F846)</f>
        <v>11</v>
      </c>
    </row>
    <row r="847" spans="1:2">
      <c r="A847" t="str">
        <f>H847&amp;COUNTIF($H$2:H847,H847)</f>
        <v>280</v>
      </c>
      <c r="B847" t="str">
        <f>F847&amp;COUNTIF($F$2:F847,F847)</f>
        <v>11</v>
      </c>
    </row>
    <row r="848" spans="1:2">
      <c r="A848" t="str">
        <f>H848&amp;COUNTIF($H$2:H848,H848)</f>
        <v>280</v>
      </c>
      <c r="B848" t="str">
        <f>F848&amp;COUNTIF($F$2:F848,F848)</f>
        <v>11</v>
      </c>
    </row>
    <row r="849" spans="1:2">
      <c r="A849" t="str">
        <f>H849&amp;COUNTIF($H$2:H849,H849)</f>
        <v>280</v>
      </c>
      <c r="B849" t="str">
        <f>F849&amp;COUNTIF($F$2:F849,F849)</f>
        <v>11</v>
      </c>
    </row>
    <row r="850" spans="1:2">
      <c r="A850" t="str">
        <f>H850&amp;COUNTIF($H$2:H850,H850)</f>
        <v>280</v>
      </c>
      <c r="B850" t="str">
        <f>F850&amp;COUNTIF($F$2:F850,F850)</f>
        <v>11</v>
      </c>
    </row>
    <row r="851" spans="1:2">
      <c r="A851" t="str">
        <f>H851&amp;COUNTIF($H$2:H851,H851)</f>
        <v>280</v>
      </c>
      <c r="B851" t="str">
        <f>F851&amp;COUNTIF($F$2:F851,F851)</f>
        <v>11</v>
      </c>
    </row>
    <row r="852" spans="1:2">
      <c r="A852" t="str">
        <f>H852&amp;COUNTIF($H$2:H852,H852)</f>
        <v>280</v>
      </c>
      <c r="B852" t="str">
        <f>F852&amp;COUNTIF($F$2:F852,F852)</f>
        <v>11</v>
      </c>
    </row>
    <row r="853" spans="1:2">
      <c r="A853" t="str">
        <f>H853&amp;COUNTIF($H$2:H853,H853)</f>
        <v>280</v>
      </c>
      <c r="B853" t="str">
        <f>F853&amp;COUNTIF($F$2:F853,F853)</f>
        <v>11</v>
      </c>
    </row>
    <row r="854" spans="1:2">
      <c r="A854" t="str">
        <f>H854&amp;COUNTIF($H$2:H854,H854)</f>
        <v>280</v>
      </c>
      <c r="B854" t="str">
        <f>F854&amp;COUNTIF($F$2:F854,F854)</f>
        <v>11</v>
      </c>
    </row>
    <row r="855" spans="1:2">
      <c r="A855" t="str">
        <f>H855&amp;COUNTIF($H$2:H855,H855)</f>
        <v>280</v>
      </c>
      <c r="B855" t="str">
        <f>F855&amp;COUNTIF($F$2:F855,F855)</f>
        <v>11</v>
      </c>
    </row>
    <row r="856" spans="1:2">
      <c r="A856" t="str">
        <f>H856&amp;COUNTIF($H$2:H856,H856)</f>
        <v>280</v>
      </c>
      <c r="B856" t="str">
        <f>F856&amp;COUNTIF($F$2:F856,F856)</f>
        <v>11</v>
      </c>
    </row>
    <row r="857" spans="1:2">
      <c r="A857" t="str">
        <f>H857&amp;COUNTIF($H$2:H857,H857)</f>
        <v>280</v>
      </c>
      <c r="B857" t="str">
        <f>F857&amp;COUNTIF($F$2:F857,F857)</f>
        <v>11</v>
      </c>
    </row>
    <row r="858" spans="1:2">
      <c r="A858" t="str">
        <f>H858&amp;COUNTIF($H$2:H858,H858)</f>
        <v>280</v>
      </c>
      <c r="B858" t="str">
        <f>F858&amp;COUNTIF($F$2:F858,F858)</f>
        <v>11</v>
      </c>
    </row>
    <row r="859" spans="1:2">
      <c r="A859" t="str">
        <f>H859&amp;COUNTIF($H$2:H859,H859)</f>
        <v>280</v>
      </c>
      <c r="B859" t="str">
        <f>F859&amp;COUNTIF($F$2:F859,F859)</f>
        <v>11</v>
      </c>
    </row>
    <row r="860" spans="1:2">
      <c r="A860" t="str">
        <f>H860&amp;COUNTIF($H$2:H860,H860)</f>
        <v>280</v>
      </c>
      <c r="B860" t="str">
        <f>F860&amp;COUNTIF($F$2:F860,F860)</f>
        <v>11</v>
      </c>
    </row>
    <row r="861" spans="1:2">
      <c r="A861" t="str">
        <f>H861&amp;COUNTIF($H$2:H861,H861)</f>
        <v>280</v>
      </c>
      <c r="B861" t="str">
        <f>F861&amp;COUNTIF($F$2:F861,F861)</f>
        <v>11</v>
      </c>
    </row>
    <row r="862" spans="1:2">
      <c r="A862" t="str">
        <f>H862&amp;COUNTIF($H$2:H862,H862)</f>
        <v>280</v>
      </c>
      <c r="B862" t="str">
        <f>F862&amp;COUNTIF($F$2:F862,F862)</f>
        <v>11</v>
      </c>
    </row>
    <row r="863" spans="1:2">
      <c r="A863" t="str">
        <f>H863&amp;COUNTIF($H$2:H863,H863)</f>
        <v>280</v>
      </c>
      <c r="B863" t="str">
        <f>F863&amp;COUNTIF($F$2:F863,F863)</f>
        <v>11</v>
      </c>
    </row>
    <row r="864" spans="1:2">
      <c r="A864" t="str">
        <f>H864&amp;COUNTIF($H$2:H864,H864)</f>
        <v>280</v>
      </c>
      <c r="B864" t="str">
        <f>F864&amp;COUNTIF($F$2:F864,F864)</f>
        <v>11</v>
      </c>
    </row>
    <row r="865" spans="1:2">
      <c r="A865" t="str">
        <f>H865&amp;COUNTIF($H$2:H865,H865)</f>
        <v>280</v>
      </c>
      <c r="B865" t="str">
        <f>F865&amp;COUNTIF($F$2:F865,F865)</f>
        <v>11</v>
      </c>
    </row>
    <row r="866" spans="1:2">
      <c r="A866" t="str">
        <f>H866&amp;COUNTIF($H$2:H866,H866)</f>
        <v>280</v>
      </c>
      <c r="B866" t="str">
        <f>F866&amp;COUNTIF($F$2:F866,F866)</f>
        <v>11</v>
      </c>
    </row>
    <row r="867" spans="1:2">
      <c r="A867" t="str">
        <f>H867&amp;COUNTIF($H$2:H867,H867)</f>
        <v>280</v>
      </c>
      <c r="B867" t="str">
        <f>F867&amp;COUNTIF($F$2:F867,F867)</f>
        <v>11</v>
      </c>
    </row>
    <row r="868" spans="1:2">
      <c r="A868" t="str">
        <f>H868&amp;COUNTIF($H$2:H868,H868)</f>
        <v>280</v>
      </c>
      <c r="B868" t="str">
        <f>F868&amp;COUNTIF($F$2:F868,F868)</f>
        <v>11</v>
      </c>
    </row>
    <row r="869" spans="1:2">
      <c r="A869" t="str">
        <f>H869&amp;COUNTIF($H$2:H869,H869)</f>
        <v>280</v>
      </c>
      <c r="B869" t="str">
        <f>F869&amp;COUNTIF($F$2:F869,F869)</f>
        <v>11</v>
      </c>
    </row>
    <row r="870" spans="1:2">
      <c r="A870" t="str">
        <f>H870&amp;COUNTIF($H$2:H870,H870)</f>
        <v>280</v>
      </c>
      <c r="B870" t="str">
        <f>F870&amp;COUNTIF($F$2:F870,F870)</f>
        <v>11</v>
      </c>
    </row>
    <row r="871" spans="1:2">
      <c r="A871" t="str">
        <f>H871&amp;COUNTIF($H$2:H871,H871)</f>
        <v>280</v>
      </c>
      <c r="B871" t="str">
        <f>F871&amp;COUNTIF($F$2:F871,F871)</f>
        <v>11</v>
      </c>
    </row>
    <row r="872" spans="1:2">
      <c r="A872" t="str">
        <f>H872&amp;COUNTIF($H$2:H872,H872)</f>
        <v>280</v>
      </c>
      <c r="B872" t="str">
        <f>F872&amp;COUNTIF($F$2:F872,F872)</f>
        <v>11</v>
      </c>
    </row>
    <row r="873" spans="1:2">
      <c r="A873" t="str">
        <f>H873&amp;COUNTIF($H$2:H873,H873)</f>
        <v>280</v>
      </c>
      <c r="B873" t="str">
        <f>F873&amp;COUNTIF($F$2:F873,F873)</f>
        <v>11</v>
      </c>
    </row>
    <row r="874" spans="1:2">
      <c r="A874" t="str">
        <f>H874&amp;COUNTIF($H$2:H874,H874)</f>
        <v>280</v>
      </c>
      <c r="B874" t="str">
        <f>F874&amp;COUNTIF($F$2:F874,F874)</f>
        <v>11</v>
      </c>
    </row>
    <row r="875" spans="1:2">
      <c r="A875" t="str">
        <f>H875&amp;COUNTIF($H$2:H875,H875)</f>
        <v>280</v>
      </c>
      <c r="B875" t="str">
        <f>F875&amp;COUNTIF($F$2:F875,F875)</f>
        <v>11</v>
      </c>
    </row>
    <row r="876" spans="1:2">
      <c r="A876" t="str">
        <f>H876&amp;COUNTIF($H$2:H876,H876)</f>
        <v>280</v>
      </c>
      <c r="B876" t="str">
        <f>F876&amp;COUNTIF($F$2:F876,F876)</f>
        <v>11</v>
      </c>
    </row>
    <row r="877" spans="1:2">
      <c r="A877" t="str">
        <f>H877&amp;COUNTIF($H$2:H877,H877)</f>
        <v>280</v>
      </c>
      <c r="B877" t="str">
        <f>F877&amp;COUNTIF($F$2:F877,F877)</f>
        <v>11</v>
      </c>
    </row>
    <row r="878" spans="1:2">
      <c r="A878" t="str">
        <f>H878&amp;COUNTIF($H$2:H878,H878)</f>
        <v>280</v>
      </c>
      <c r="B878" t="str">
        <f>F878&amp;COUNTIF($F$2:F878,F878)</f>
        <v>11</v>
      </c>
    </row>
    <row r="879" spans="1:2">
      <c r="A879" t="str">
        <f>H879&amp;COUNTIF($H$2:H879,H879)</f>
        <v>280</v>
      </c>
      <c r="B879" t="str">
        <f>F879&amp;COUNTIF($F$2:F879,F879)</f>
        <v>11</v>
      </c>
    </row>
    <row r="880" spans="1:2">
      <c r="A880" t="str">
        <f>H880&amp;COUNTIF($H$2:H880,H880)</f>
        <v>280</v>
      </c>
      <c r="B880" t="str">
        <f>F880&amp;COUNTIF($F$2:F880,F880)</f>
        <v>11</v>
      </c>
    </row>
    <row r="881" spans="1:2">
      <c r="A881" t="str">
        <f>H881&amp;COUNTIF($H$2:H881,H881)</f>
        <v>280</v>
      </c>
      <c r="B881" t="str">
        <f>F881&amp;COUNTIF($F$2:F881,F881)</f>
        <v>11</v>
      </c>
    </row>
    <row r="882" spans="1:2">
      <c r="A882" t="str">
        <f>H882&amp;COUNTIF($H$2:H882,H882)</f>
        <v>280</v>
      </c>
      <c r="B882" t="str">
        <f>F882&amp;COUNTIF($F$2:F882,F882)</f>
        <v>11</v>
      </c>
    </row>
    <row r="883" spans="1:2">
      <c r="A883" t="str">
        <f>H883&amp;COUNTIF($H$2:H883,H883)</f>
        <v>280</v>
      </c>
      <c r="B883" t="str">
        <f>F883&amp;COUNTIF($F$2:F883,F883)</f>
        <v>11</v>
      </c>
    </row>
    <row r="884" spans="1:2">
      <c r="A884" t="str">
        <f>H884&amp;COUNTIF($H$2:H884,H884)</f>
        <v>280</v>
      </c>
      <c r="B884" t="str">
        <f>F884&amp;COUNTIF($F$2:F884,F884)</f>
        <v>11</v>
      </c>
    </row>
    <row r="885" spans="1:2">
      <c r="A885" t="str">
        <f>H885&amp;COUNTIF($H$2:H885,H885)</f>
        <v>280</v>
      </c>
      <c r="B885" t="str">
        <f>F885&amp;COUNTIF($F$2:F885,F885)</f>
        <v>11</v>
      </c>
    </row>
    <row r="886" spans="1:2">
      <c r="A886" t="str">
        <f>H886&amp;COUNTIF($H$2:H886,H886)</f>
        <v>280</v>
      </c>
      <c r="B886" t="str">
        <f>F886&amp;COUNTIF($F$2:F886,F886)</f>
        <v>11</v>
      </c>
    </row>
    <row r="887" spans="1:2">
      <c r="A887" t="str">
        <f>H887&amp;COUNTIF($H$2:H887,H887)</f>
        <v>280</v>
      </c>
      <c r="B887" t="str">
        <f>F887&amp;COUNTIF($F$2:F887,F887)</f>
        <v>11</v>
      </c>
    </row>
    <row r="888" spans="1:2">
      <c r="A888" t="str">
        <f>H888&amp;COUNTIF($H$2:H888,H888)</f>
        <v>280</v>
      </c>
      <c r="B888" t="str">
        <f>F888&amp;COUNTIF($F$2:F888,F888)</f>
        <v>11</v>
      </c>
    </row>
    <row r="889" spans="1:2">
      <c r="A889" t="str">
        <f>H889&amp;COUNTIF($H$2:H889,H889)</f>
        <v>280</v>
      </c>
      <c r="B889" t="str">
        <f>F889&amp;COUNTIF($F$2:F889,F889)</f>
        <v>11</v>
      </c>
    </row>
    <row r="890" spans="1:2">
      <c r="A890" t="str">
        <f>H890&amp;COUNTIF($H$2:H890,H890)</f>
        <v>280</v>
      </c>
      <c r="B890" t="str">
        <f>F890&amp;COUNTIF($F$2:F890,F890)</f>
        <v>11</v>
      </c>
    </row>
    <row r="891" spans="1:2">
      <c r="A891" t="str">
        <f>H891&amp;COUNTIF($H$2:H891,H891)</f>
        <v>280</v>
      </c>
      <c r="B891" t="str">
        <f>F891&amp;COUNTIF($F$2:F891,F891)</f>
        <v>11</v>
      </c>
    </row>
    <row r="892" spans="1:2">
      <c r="A892" t="str">
        <f>H892&amp;COUNTIF($H$2:H892,H892)</f>
        <v>280</v>
      </c>
      <c r="B892" t="str">
        <f>F892&amp;COUNTIF($F$2:F892,F892)</f>
        <v>11</v>
      </c>
    </row>
    <row r="893" spans="1:2">
      <c r="A893" t="str">
        <f>H893&amp;COUNTIF($H$2:H893,H893)</f>
        <v>280</v>
      </c>
      <c r="B893" t="str">
        <f>F893&amp;COUNTIF($F$2:F893,F893)</f>
        <v>11</v>
      </c>
    </row>
    <row r="894" spans="1:2">
      <c r="A894" t="str">
        <f>H894&amp;COUNTIF($H$2:H894,H894)</f>
        <v>280</v>
      </c>
      <c r="B894" t="str">
        <f>F894&amp;COUNTIF($F$2:F894,F894)</f>
        <v>11</v>
      </c>
    </row>
    <row r="895" spans="1:2">
      <c r="A895" t="str">
        <f>H895&amp;COUNTIF($H$2:H895,H895)</f>
        <v>280</v>
      </c>
      <c r="B895" t="str">
        <f>F895&amp;COUNTIF($F$2:F895,F895)</f>
        <v>11</v>
      </c>
    </row>
    <row r="896" spans="1:2">
      <c r="A896" t="str">
        <f>H896&amp;COUNTIF($H$2:H896,H896)</f>
        <v>280</v>
      </c>
      <c r="B896" t="str">
        <f>F896&amp;COUNTIF($F$2:F896,F896)</f>
        <v>11</v>
      </c>
    </row>
    <row r="897" spans="1:2">
      <c r="A897" t="str">
        <f>H897&amp;COUNTIF($H$2:H897,H897)</f>
        <v>280</v>
      </c>
      <c r="B897" t="str">
        <f>F897&amp;COUNTIF($F$2:F897,F897)</f>
        <v>11</v>
      </c>
    </row>
    <row r="898" spans="1:2">
      <c r="A898" t="str">
        <f>H898&amp;COUNTIF($H$2:H898,H898)</f>
        <v>280</v>
      </c>
      <c r="B898" t="str">
        <f>F898&amp;COUNTIF($F$2:F898,F898)</f>
        <v>11</v>
      </c>
    </row>
    <row r="899" spans="1:2">
      <c r="A899" t="str">
        <f>H899&amp;COUNTIF($H$2:H899,H899)</f>
        <v>280</v>
      </c>
      <c r="B899" t="str">
        <f>F899&amp;COUNTIF($F$2:F899,F899)</f>
        <v>11</v>
      </c>
    </row>
    <row r="900" spans="1:2">
      <c r="A900" t="str">
        <f>H900&amp;COUNTIF($H$2:H900,H900)</f>
        <v>280</v>
      </c>
      <c r="B900" t="str">
        <f>F900&amp;COUNTIF($F$2:F900,F900)</f>
        <v>11</v>
      </c>
    </row>
    <row r="901" spans="1:2">
      <c r="A901" t="str">
        <f>H901&amp;COUNTIF($H$2:H901,H901)</f>
        <v>280</v>
      </c>
      <c r="B901" t="str">
        <f>F901&amp;COUNTIF($F$2:F901,F901)</f>
        <v>11</v>
      </c>
    </row>
    <row r="902" spans="1:2">
      <c r="A902" t="str">
        <f>H902&amp;COUNTIF($H$2:H902,H902)</f>
        <v>280</v>
      </c>
      <c r="B902" t="str">
        <f>F902&amp;COUNTIF($F$2:F902,F902)</f>
        <v>11</v>
      </c>
    </row>
    <row r="903" spans="1:2">
      <c r="A903" t="str">
        <f>H903&amp;COUNTIF($H$2:H903,H903)</f>
        <v>280</v>
      </c>
      <c r="B903" t="str">
        <f>F903&amp;COUNTIF($F$2:F903,F903)</f>
        <v>11</v>
      </c>
    </row>
    <row r="904" spans="1:2">
      <c r="A904" t="str">
        <f>H904&amp;COUNTIF($H$2:H904,H904)</f>
        <v>280</v>
      </c>
      <c r="B904" t="str">
        <f>F904&amp;COUNTIF($F$2:F904,F904)</f>
        <v>11</v>
      </c>
    </row>
    <row r="905" spans="1:2">
      <c r="A905" t="str">
        <f>H905&amp;COUNTIF($H$2:H905,H905)</f>
        <v>280</v>
      </c>
      <c r="B905" t="str">
        <f>F905&amp;COUNTIF($F$2:F905,F905)</f>
        <v>11</v>
      </c>
    </row>
    <row r="906" spans="1:2">
      <c r="A906" t="str">
        <f>H906&amp;COUNTIF($H$2:H906,H906)</f>
        <v>280</v>
      </c>
      <c r="B906" t="str">
        <f>F906&amp;COUNTIF($F$2:F906,F906)</f>
        <v>11</v>
      </c>
    </row>
    <row r="907" spans="1:2">
      <c r="A907" t="str">
        <f>H907&amp;COUNTIF($H$2:H907,H907)</f>
        <v>280</v>
      </c>
      <c r="B907" t="str">
        <f>F907&amp;COUNTIF($F$2:F907,F907)</f>
        <v>11</v>
      </c>
    </row>
    <row r="908" spans="1:2">
      <c r="A908" t="str">
        <f>H908&amp;COUNTIF($H$2:H908,H908)</f>
        <v>280</v>
      </c>
      <c r="B908" t="str">
        <f>F908&amp;COUNTIF($F$2:F908,F908)</f>
        <v>11</v>
      </c>
    </row>
    <row r="909" spans="1:2">
      <c r="A909" t="str">
        <f>H909&amp;COUNTIF($H$2:H909,H909)</f>
        <v>280</v>
      </c>
      <c r="B909" t="str">
        <f>F909&amp;COUNTIF($F$2:F909,F909)</f>
        <v>11</v>
      </c>
    </row>
    <row r="910" spans="1:2">
      <c r="A910" t="str">
        <f>H910&amp;COUNTIF($H$2:H910,H910)</f>
        <v>280</v>
      </c>
      <c r="B910" t="str">
        <f>F910&amp;COUNTIF($F$2:F910,F910)</f>
        <v>11</v>
      </c>
    </row>
    <row r="911" spans="1:2">
      <c r="A911" t="str">
        <f>H911&amp;COUNTIF($H$2:H911,H911)</f>
        <v>280</v>
      </c>
      <c r="B911" t="str">
        <f>F911&amp;COUNTIF($F$2:F911,F911)</f>
        <v>11</v>
      </c>
    </row>
    <row r="912" spans="1:2">
      <c r="A912" t="str">
        <f>H912&amp;COUNTIF($H$2:H912,H912)</f>
        <v>280</v>
      </c>
      <c r="B912" t="str">
        <f>F912&amp;COUNTIF($F$2:F912,F912)</f>
        <v>11</v>
      </c>
    </row>
    <row r="913" spans="1:2">
      <c r="A913" t="str">
        <f>H913&amp;COUNTIF($H$2:H913,H913)</f>
        <v>280</v>
      </c>
      <c r="B913" t="str">
        <f>F913&amp;COUNTIF($F$2:F913,F913)</f>
        <v>11</v>
      </c>
    </row>
    <row r="914" spans="1:2">
      <c r="A914" t="str">
        <f>H914&amp;COUNTIF($H$2:H914,H914)</f>
        <v>280</v>
      </c>
      <c r="B914" t="str">
        <f>F914&amp;COUNTIF($F$2:F914,F914)</f>
        <v>11</v>
      </c>
    </row>
    <row r="915" spans="1:2">
      <c r="A915" t="str">
        <f>H915&amp;COUNTIF($H$2:H915,H915)</f>
        <v>280</v>
      </c>
      <c r="B915" t="str">
        <f>F915&amp;COUNTIF($F$2:F915,F915)</f>
        <v>11</v>
      </c>
    </row>
    <row r="916" spans="1:2">
      <c r="A916" t="str">
        <f>H916&amp;COUNTIF($H$2:H916,H916)</f>
        <v>280</v>
      </c>
      <c r="B916" t="str">
        <f>F916&amp;COUNTIF($F$2:F916,F916)</f>
        <v>11</v>
      </c>
    </row>
    <row r="917" spans="1:2">
      <c r="A917" t="str">
        <f>H917&amp;COUNTIF($H$2:H917,H917)</f>
        <v>280</v>
      </c>
      <c r="B917" t="str">
        <f>F917&amp;COUNTIF($F$2:F917,F917)</f>
        <v>11</v>
      </c>
    </row>
    <row r="918" spans="1:2">
      <c r="A918" t="str">
        <f>H918&amp;COUNTIF($H$2:H918,H918)</f>
        <v>280</v>
      </c>
      <c r="B918" t="str">
        <f>F918&amp;COUNTIF($F$2:F918,F918)</f>
        <v>11</v>
      </c>
    </row>
    <row r="919" spans="1:2">
      <c r="A919" t="str">
        <f>H919&amp;COUNTIF($H$2:H919,H919)</f>
        <v>280</v>
      </c>
      <c r="B919" t="str">
        <f>F919&amp;COUNTIF($F$2:F919,F919)</f>
        <v>11</v>
      </c>
    </row>
    <row r="920" spans="1:2">
      <c r="A920" t="str">
        <f>H920&amp;COUNTIF($H$2:H920,H920)</f>
        <v>280</v>
      </c>
      <c r="B920" t="str">
        <f>F920&amp;COUNTIF($F$2:F920,F920)</f>
        <v>11</v>
      </c>
    </row>
    <row r="921" spans="1:2">
      <c r="A921" t="str">
        <f>H921&amp;COUNTIF($H$2:H921,H921)</f>
        <v>280</v>
      </c>
      <c r="B921" t="str">
        <f>F921&amp;COUNTIF($F$2:F921,F921)</f>
        <v>11</v>
      </c>
    </row>
    <row r="922" spans="1:2">
      <c r="A922" t="str">
        <f>H922&amp;COUNTIF($H$2:H922,H922)</f>
        <v>280</v>
      </c>
      <c r="B922" t="str">
        <f>F922&amp;COUNTIF($F$2:F922,F922)</f>
        <v>11</v>
      </c>
    </row>
    <row r="923" spans="1:2">
      <c r="A923" t="str">
        <f>H923&amp;COUNTIF($H$2:H923,H923)</f>
        <v>280</v>
      </c>
      <c r="B923" t="str">
        <f>F923&amp;COUNTIF($F$2:F923,F923)</f>
        <v>11</v>
      </c>
    </row>
    <row r="924" spans="1:2">
      <c r="A924" t="str">
        <f>H924&amp;COUNTIF($H$2:H924,H924)</f>
        <v>280</v>
      </c>
      <c r="B924" t="str">
        <f>F924&amp;COUNTIF($F$2:F924,F924)</f>
        <v>11</v>
      </c>
    </row>
    <row r="925" spans="1:2">
      <c r="A925" t="str">
        <f>H925&amp;COUNTIF($H$2:H925,H925)</f>
        <v>280</v>
      </c>
      <c r="B925" t="str">
        <f>F925&amp;COUNTIF($F$2:F925,F925)</f>
        <v>11</v>
      </c>
    </row>
    <row r="926" spans="1:2">
      <c r="A926" t="str">
        <f>H926&amp;COUNTIF($H$2:H926,H926)</f>
        <v>280</v>
      </c>
      <c r="B926" t="str">
        <f>F926&amp;COUNTIF($F$2:F926,F926)</f>
        <v>11</v>
      </c>
    </row>
    <row r="927" spans="1:2">
      <c r="A927" t="str">
        <f>H927&amp;COUNTIF($H$2:H927,H927)</f>
        <v>280</v>
      </c>
      <c r="B927" t="str">
        <f>F927&amp;COUNTIF($F$2:F927,F927)</f>
        <v>11</v>
      </c>
    </row>
    <row r="928" spans="1:2">
      <c r="A928" t="str">
        <f>H928&amp;COUNTIF($H$2:H928,H928)</f>
        <v>280</v>
      </c>
      <c r="B928" t="str">
        <f>F928&amp;COUNTIF($F$2:F928,F928)</f>
        <v>11</v>
      </c>
    </row>
    <row r="929" spans="1:2">
      <c r="A929" t="str">
        <f>H929&amp;COUNTIF($H$2:H929,H929)</f>
        <v>280</v>
      </c>
      <c r="B929" t="str">
        <f>F929&amp;COUNTIF($F$2:F929,F929)</f>
        <v>11</v>
      </c>
    </row>
    <row r="930" spans="1:2">
      <c r="A930" t="str">
        <f>H930&amp;COUNTIF($H$2:H930,H930)</f>
        <v>280</v>
      </c>
      <c r="B930" t="str">
        <f>F930&amp;COUNTIF($F$2:F930,F930)</f>
        <v>11</v>
      </c>
    </row>
    <row r="931" spans="1:2">
      <c r="A931" t="str">
        <f>H931&amp;COUNTIF($H$2:H931,H931)</f>
        <v>280</v>
      </c>
      <c r="B931" t="str">
        <f>F931&amp;COUNTIF($F$2:F931,F931)</f>
        <v>11</v>
      </c>
    </row>
    <row r="932" spans="1:2">
      <c r="A932" t="str">
        <f>H932&amp;COUNTIF($H$2:H932,H932)</f>
        <v>280</v>
      </c>
      <c r="B932" t="str">
        <f>F932&amp;COUNTIF($F$2:F932,F932)</f>
        <v>11</v>
      </c>
    </row>
    <row r="933" spans="1:2">
      <c r="A933" t="str">
        <f>H933&amp;COUNTIF($H$2:H933,H933)</f>
        <v>280</v>
      </c>
      <c r="B933" t="str">
        <f>F933&amp;COUNTIF($F$2:F933,F933)</f>
        <v>11</v>
      </c>
    </row>
    <row r="934" spans="1:2">
      <c r="A934" t="str">
        <f>H934&amp;COUNTIF($H$2:H934,H934)</f>
        <v>280</v>
      </c>
      <c r="B934" t="str">
        <f>F934&amp;COUNTIF($F$2:F934,F934)</f>
        <v>11</v>
      </c>
    </row>
    <row r="935" spans="1:2">
      <c r="A935" t="str">
        <f>H935&amp;COUNTIF($H$2:H935,H935)</f>
        <v>280</v>
      </c>
      <c r="B935" t="str">
        <f>F935&amp;COUNTIF($F$2:F935,F935)</f>
        <v>11</v>
      </c>
    </row>
    <row r="936" spans="1:2">
      <c r="A936" t="str">
        <f>H936&amp;COUNTIF($H$2:H936,H936)</f>
        <v>280</v>
      </c>
      <c r="B936" t="str">
        <f>F936&amp;COUNTIF($F$2:F936,F936)</f>
        <v>11</v>
      </c>
    </row>
    <row r="937" spans="1:2">
      <c r="A937" t="str">
        <f>H937&amp;COUNTIF($H$2:H937,H937)</f>
        <v>280</v>
      </c>
      <c r="B937" t="str">
        <f>F937&amp;COUNTIF($F$2:F937,F937)</f>
        <v>11</v>
      </c>
    </row>
    <row r="938" spans="1:2">
      <c r="A938" t="str">
        <f>H938&amp;COUNTIF($H$2:H938,H938)</f>
        <v>280</v>
      </c>
      <c r="B938" t="str">
        <f>F938&amp;COUNTIF($F$2:F938,F938)</f>
        <v>11</v>
      </c>
    </row>
    <row r="939" spans="1:2">
      <c r="A939" t="str">
        <f>H939&amp;COUNTIF($H$2:H939,H939)</f>
        <v>280</v>
      </c>
      <c r="B939" t="str">
        <f>F939&amp;COUNTIF($F$2:F939,F939)</f>
        <v>11</v>
      </c>
    </row>
    <row r="940" spans="1:2">
      <c r="A940" t="str">
        <f>H940&amp;COUNTIF($H$2:H940,H940)</f>
        <v>280</v>
      </c>
      <c r="B940" t="str">
        <f>F940&amp;COUNTIF($F$2:F940,F940)</f>
        <v>11</v>
      </c>
    </row>
    <row r="941" spans="1:2">
      <c r="A941" t="str">
        <f>H941&amp;COUNTIF($H$2:H941,H941)</f>
        <v>280</v>
      </c>
      <c r="B941" t="str">
        <f>F941&amp;COUNTIF($F$2:F941,F941)</f>
        <v>11</v>
      </c>
    </row>
    <row r="942" spans="1:2">
      <c r="A942" t="str">
        <f>H942&amp;COUNTIF($H$2:H942,H942)</f>
        <v>280</v>
      </c>
      <c r="B942" t="str">
        <f>F942&amp;COUNTIF($F$2:F942,F942)</f>
        <v>11</v>
      </c>
    </row>
    <row r="943" spans="1:2">
      <c r="A943" t="str">
        <f>H943&amp;COUNTIF($H$2:H943,H943)</f>
        <v>280</v>
      </c>
      <c r="B943" t="str">
        <f>F943&amp;COUNTIF($F$2:F943,F943)</f>
        <v>11</v>
      </c>
    </row>
    <row r="944" spans="1:2">
      <c r="A944" t="str">
        <f>H944&amp;COUNTIF($H$2:H944,H944)</f>
        <v>280</v>
      </c>
      <c r="B944" t="str">
        <f>F944&amp;COUNTIF($F$2:F944,F944)</f>
        <v>11</v>
      </c>
    </row>
    <row r="945" spans="1:2">
      <c r="A945" t="str">
        <f>H945&amp;COUNTIF($H$2:H945,H945)</f>
        <v>280</v>
      </c>
      <c r="B945" t="str">
        <f>F945&amp;COUNTIF($F$2:F945,F945)</f>
        <v>11</v>
      </c>
    </row>
    <row r="946" spans="1:2">
      <c r="A946" t="str">
        <f>H946&amp;COUNTIF($H$2:H946,H946)</f>
        <v>280</v>
      </c>
      <c r="B946" t="str">
        <f>F946&amp;COUNTIF($F$2:F946,F946)</f>
        <v>11</v>
      </c>
    </row>
    <row r="947" spans="1:2">
      <c r="A947" t="str">
        <f>H947&amp;COUNTIF($H$2:H947,H947)</f>
        <v>280</v>
      </c>
      <c r="B947" t="str">
        <f>F947&amp;COUNTIF($F$2:F947,F947)</f>
        <v>11</v>
      </c>
    </row>
    <row r="948" spans="1:2">
      <c r="A948" t="str">
        <f>H948&amp;COUNTIF($H$2:H948,H948)</f>
        <v>280</v>
      </c>
      <c r="B948" t="str">
        <f>F948&amp;COUNTIF($F$2:F948,F948)</f>
        <v>11</v>
      </c>
    </row>
    <row r="949" spans="1:2">
      <c r="A949" t="str">
        <f>H949&amp;COUNTIF($H$2:H949,H949)</f>
        <v>280</v>
      </c>
      <c r="B949" t="str">
        <f>F949&amp;COUNTIF($F$2:F949,F949)</f>
        <v>11</v>
      </c>
    </row>
    <row r="950" spans="1:2">
      <c r="A950" t="str">
        <f>H950&amp;COUNTIF($H$2:H950,H950)</f>
        <v>280</v>
      </c>
      <c r="B950" t="str">
        <f>F950&amp;COUNTIF($F$2:F950,F950)</f>
        <v>11</v>
      </c>
    </row>
    <row r="951" spans="1:2">
      <c r="A951" t="str">
        <f>H951&amp;COUNTIF($H$2:H951,H951)</f>
        <v>280</v>
      </c>
      <c r="B951" t="str">
        <f>F951&amp;COUNTIF($F$2:F951,F951)</f>
        <v>11</v>
      </c>
    </row>
    <row r="952" spans="1:2">
      <c r="A952" t="str">
        <f>H952&amp;COUNTIF($H$2:H952,H952)</f>
        <v>280</v>
      </c>
      <c r="B952" t="str">
        <f>F952&amp;COUNTIF($F$2:F952,F952)</f>
        <v>11</v>
      </c>
    </row>
    <row r="953" spans="1:2">
      <c r="A953" t="str">
        <f>H953&amp;COUNTIF($H$2:H953,H953)</f>
        <v>280</v>
      </c>
      <c r="B953" t="str">
        <f>F953&amp;COUNTIF($F$2:F953,F953)</f>
        <v>11</v>
      </c>
    </row>
    <row r="954" spans="1:2">
      <c r="A954" t="str">
        <f>H954&amp;COUNTIF($H$2:H954,H954)</f>
        <v>280</v>
      </c>
      <c r="B954" t="str">
        <f>F954&amp;COUNTIF($F$2:F954,F954)</f>
        <v>11</v>
      </c>
    </row>
    <row r="955" spans="1:2">
      <c r="A955" t="str">
        <f>H955&amp;COUNTIF($H$2:H955,H955)</f>
        <v>280</v>
      </c>
      <c r="B955" t="str">
        <f>F955&amp;COUNTIF($F$2:F955,F955)</f>
        <v>11</v>
      </c>
    </row>
    <row r="956" spans="1:2">
      <c r="A956" t="str">
        <f>H956&amp;COUNTIF($H$2:H956,H956)</f>
        <v>280</v>
      </c>
      <c r="B956" t="str">
        <f>F956&amp;COUNTIF($F$2:F956,F956)</f>
        <v>11</v>
      </c>
    </row>
    <row r="957" spans="1:2">
      <c r="A957" t="str">
        <f>H957&amp;COUNTIF($H$2:H957,H957)</f>
        <v>280</v>
      </c>
      <c r="B957" t="str">
        <f>F957&amp;COUNTIF($F$2:F957,F957)</f>
        <v>11</v>
      </c>
    </row>
    <row r="958" spans="1:2">
      <c r="A958" t="str">
        <f>H958&amp;COUNTIF($H$2:H958,H958)</f>
        <v>280</v>
      </c>
      <c r="B958" t="str">
        <f>F958&amp;COUNTIF($F$2:F958,F958)</f>
        <v>11</v>
      </c>
    </row>
    <row r="959" spans="1:2">
      <c r="A959" t="str">
        <f>H959&amp;COUNTIF($H$2:H959,H959)</f>
        <v>280</v>
      </c>
      <c r="B959" t="str">
        <f>F959&amp;COUNTIF($F$2:F959,F959)</f>
        <v>11</v>
      </c>
    </row>
    <row r="960" spans="1:2">
      <c r="A960" t="str">
        <f>H960&amp;COUNTIF($H$2:H960,H960)</f>
        <v>280</v>
      </c>
      <c r="B960" t="str">
        <f>F960&amp;COUNTIF($F$2:F960,F960)</f>
        <v>11</v>
      </c>
    </row>
    <row r="961" spans="1:2">
      <c r="A961" t="str">
        <f>H961&amp;COUNTIF($H$2:H961,H961)</f>
        <v>280</v>
      </c>
      <c r="B961" t="str">
        <f>F961&amp;COUNTIF($F$2:F961,F961)</f>
        <v>11</v>
      </c>
    </row>
    <row r="962" spans="1:2">
      <c r="A962" t="str">
        <f>H962&amp;COUNTIF($H$2:H962,H962)</f>
        <v>280</v>
      </c>
      <c r="B962" t="str">
        <f>F962&amp;COUNTIF($F$2:F962,F962)</f>
        <v>11</v>
      </c>
    </row>
    <row r="963" spans="1:2">
      <c r="A963" t="str">
        <f>H963&amp;COUNTIF($H$2:H963,H963)</f>
        <v>280</v>
      </c>
      <c r="B963" t="str">
        <f>F963&amp;COUNTIF($F$2:F963,F963)</f>
        <v>11</v>
      </c>
    </row>
    <row r="964" spans="1:2">
      <c r="A964" t="str">
        <f>H964&amp;COUNTIF($H$2:H964,H964)</f>
        <v>280</v>
      </c>
      <c r="B964" t="str">
        <f>F964&amp;COUNTIF($F$2:F964,F964)</f>
        <v>11</v>
      </c>
    </row>
    <row r="965" spans="1:2">
      <c r="A965" t="str">
        <f>H965&amp;COUNTIF($H$2:H965,H965)</f>
        <v>280</v>
      </c>
      <c r="B965" t="str">
        <f>F965&amp;COUNTIF($F$2:F965,F965)</f>
        <v>11</v>
      </c>
    </row>
    <row r="966" spans="1:2">
      <c r="A966" t="str">
        <f>H966&amp;COUNTIF($H$2:H966,H966)</f>
        <v>280</v>
      </c>
      <c r="B966" t="str">
        <f>F966&amp;COUNTIF($F$2:F966,F966)</f>
        <v>11</v>
      </c>
    </row>
    <row r="967" spans="1:2">
      <c r="A967" t="str">
        <f>H967&amp;COUNTIF($H$2:H967,H967)</f>
        <v>280</v>
      </c>
      <c r="B967" t="str">
        <f>F967&amp;COUNTIF($F$2:F967,F967)</f>
        <v>11</v>
      </c>
    </row>
    <row r="968" spans="1:2">
      <c r="A968" t="str">
        <f>H968&amp;COUNTIF($H$2:H968,H968)</f>
        <v>280</v>
      </c>
      <c r="B968" t="str">
        <f>F968&amp;COUNTIF($F$2:F968,F968)</f>
        <v>11</v>
      </c>
    </row>
    <row r="969" spans="1:2">
      <c r="A969" t="str">
        <f>H969&amp;COUNTIF($H$2:H969,H969)</f>
        <v>280</v>
      </c>
      <c r="B969" t="str">
        <f>F969&amp;COUNTIF($F$2:F969,F969)</f>
        <v>11</v>
      </c>
    </row>
    <row r="970" spans="1:2">
      <c r="A970" t="str">
        <f>H970&amp;COUNTIF($H$2:H970,H970)</f>
        <v>280</v>
      </c>
      <c r="B970" t="str">
        <f>F970&amp;COUNTIF($F$2:F970,F970)</f>
        <v>11</v>
      </c>
    </row>
    <row r="971" spans="1:2">
      <c r="A971" t="str">
        <f>H971&amp;COUNTIF($H$2:H971,H971)</f>
        <v>280</v>
      </c>
      <c r="B971" t="str">
        <f>F971&amp;COUNTIF($F$2:F971,F971)</f>
        <v>11</v>
      </c>
    </row>
    <row r="972" spans="1:2">
      <c r="A972" t="str">
        <f>H972&amp;COUNTIF($H$2:H972,H972)</f>
        <v>280</v>
      </c>
    </row>
    <row r="973" spans="1:2">
      <c r="A973" t="str">
        <f>H973&amp;COUNTIF($H$2:H973,H973)</f>
        <v>280</v>
      </c>
    </row>
    <row r="974" spans="1:2">
      <c r="A974" t="str">
        <f>H974&amp;COUNTIF($H$2:H974,H974)</f>
        <v>280</v>
      </c>
    </row>
    <row r="975" spans="1:2">
      <c r="A975" t="str">
        <f>H975&amp;COUNTIF($H$2:H975,H975)</f>
        <v>280</v>
      </c>
    </row>
    <row r="976" spans="1:2">
      <c r="A976" t="str">
        <f>H976&amp;COUNTIF($H$2:H976,H976)</f>
        <v>280</v>
      </c>
    </row>
    <row r="977" spans="1:1">
      <c r="A977" t="str">
        <f>H977&amp;COUNTIF($H$2:H977,H977)</f>
        <v>280</v>
      </c>
    </row>
    <row r="978" spans="1:1">
      <c r="A978" t="str">
        <f>H978&amp;COUNTIF($H$2:H978,H978)</f>
        <v>280</v>
      </c>
    </row>
    <row r="979" spans="1:1">
      <c r="A979" t="str">
        <f>H979&amp;COUNTIF($H$2:H979,H979)</f>
        <v>280</v>
      </c>
    </row>
    <row r="980" spans="1:1">
      <c r="A980" t="str">
        <f>H980&amp;COUNTIF($H$2:H980,H980)</f>
        <v>280</v>
      </c>
    </row>
    <row r="981" spans="1:1">
      <c r="A981" t="str">
        <f>H981&amp;COUNTIF($H$2:H981,H981)</f>
        <v>280</v>
      </c>
    </row>
    <row r="982" spans="1:1">
      <c r="A982" t="str">
        <f>H982&amp;COUNTIF($H$2:H982,H982)</f>
        <v>280</v>
      </c>
    </row>
    <row r="983" spans="1:1">
      <c r="A983" t="str">
        <f>H983&amp;COUNTIF($H$2:H983,H983)</f>
        <v>280</v>
      </c>
    </row>
    <row r="984" spans="1:1">
      <c r="A984" t="str">
        <f>H984&amp;COUNTIF($H$2:H984,H984)</f>
        <v>280</v>
      </c>
    </row>
    <row r="985" spans="1:1">
      <c r="A985" t="str">
        <f>H985&amp;COUNTIF($H$2:H985,H985)</f>
        <v>280</v>
      </c>
    </row>
    <row r="986" spans="1:1">
      <c r="A986" t="str">
        <f>H986&amp;COUNTIF($H$2:H986,H986)</f>
        <v>280</v>
      </c>
    </row>
    <row r="987" spans="1:1">
      <c r="A987" t="str">
        <f>H987&amp;COUNTIF($H$2:H987,H987)</f>
        <v>280</v>
      </c>
    </row>
    <row r="988" spans="1:1">
      <c r="A988" t="str">
        <f>H988&amp;COUNTIF($H$2:H988,H988)</f>
        <v>280</v>
      </c>
    </row>
    <row r="989" spans="1:1">
      <c r="A989" t="str">
        <f>H989&amp;COUNTIF($H$2:H989,H989)</f>
        <v>280</v>
      </c>
    </row>
    <row r="990" spans="1:1">
      <c r="A990" t="str">
        <f>H990&amp;COUNTIF($H$2:H990,H990)</f>
        <v>280</v>
      </c>
    </row>
    <row r="991" spans="1:1">
      <c r="A991" t="str">
        <f>H991&amp;COUNTIF($H$2:H991,H991)</f>
        <v>280</v>
      </c>
    </row>
    <row r="992" spans="1:1">
      <c r="A992" t="str">
        <f>H992&amp;COUNTIF($H$2:H992,H992)</f>
        <v>280</v>
      </c>
    </row>
    <row r="993" spans="1:1">
      <c r="A993" t="str">
        <f>H993&amp;COUNTIF($H$2:H993,H993)</f>
        <v>280</v>
      </c>
    </row>
    <row r="994" spans="1:1">
      <c r="A994" t="str">
        <f>H994&amp;COUNTIF($H$2:H994,H994)</f>
        <v>280</v>
      </c>
    </row>
    <row r="995" spans="1:1">
      <c r="A995" t="str">
        <f>H995&amp;COUNTIF($H$2:H995,H995)</f>
        <v>280</v>
      </c>
    </row>
    <row r="996" spans="1:1">
      <c r="A996" t="str">
        <f>H996&amp;COUNTIF($H$2:H996,H996)</f>
        <v>280</v>
      </c>
    </row>
    <row r="997" spans="1:1">
      <c r="A997" t="str">
        <f>H997&amp;COUNTIF($H$2:H997,H997)</f>
        <v>280</v>
      </c>
    </row>
    <row r="998" spans="1:1">
      <c r="A998" t="str">
        <f>H998&amp;COUNTIF($H$2:H998,H998)</f>
        <v>280</v>
      </c>
    </row>
    <row r="999" spans="1:1">
      <c r="A999" t="str">
        <f>H999&amp;COUNTIF($H$2:H999,H999)</f>
        <v>280</v>
      </c>
    </row>
    <row r="1000" spans="1:1">
      <c r="A1000" t="str">
        <f>H1000&amp;COUNTIF($H$2:H1000,H1000)</f>
        <v>280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1629C-D558-4B7D-9D69-4B2502F95E25}">
  <sheetPr codeName="Hoja3">
    <tabColor theme="1"/>
    <pageSetUpPr fitToPage="1"/>
  </sheetPr>
  <dimension ref="A1:AG180"/>
  <sheetViews>
    <sheetView view="pageBreakPreview" topLeftCell="F1" zoomScale="98" zoomScaleNormal="100" zoomScaleSheetLayoutView="98" workbookViewId="0">
      <selection activeCell="AE160" sqref="AE160"/>
    </sheetView>
  </sheetViews>
  <sheetFormatPr baseColWidth="10" defaultColWidth="11.375" defaultRowHeight="13.5"/>
  <cols>
    <col min="1" max="1" width="11.375" style="111"/>
    <col min="2" max="2" width="8" style="111" hidden="1" customWidth="1"/>
    <col min="3" max="3" width="7.875" style="111" hidden="1" customWidth="1"/>
    <col min="4" max="4" width="9.5" style="111" bestFit="1" customWidth="1"/>
    <col min="5" max="5" width="7" style="111" customWidth="1"/>
    <col min="6" max="6" width="49" style="111" bestFit="1" customWidth="1"/>
    <col min="7" max="7" width="17.75" style="111" bestFit="1" customWidth="1"/>
    <col min="8" max="8" width="14.5" style="111" bestFit="1" customWidth="1"/>
    <col min="9" max="10" width="19" style="111" customWidth="1"/>
    <col min="11" max="11" width="28.875" style="111" customWidth="1"/>
    <col min="12" max="12" width="32" style="111" customWidth="1"/>
    <col min="13" max="13" width="3.75" style="111" customWidth="1"/>
    <col min="14" max="14" width="8.75" style="111" customWidth="1"/>
    <col min="15" max="15" width="17.125" style="113" hidden="1" customWidth="1"/>
    <col min="16" max="19" width="0" style="111" hidden="1" customWidth="1"/>
    <col min="20" max="20" width="14.25" style="111" hidden="1" customWidth="1"/>
    <col min="21" max="21" width="13.125" style="111" hidden="1" customWidth="1"/>
    <col min="22" max="22" width="17.125" style="113" hidden="1" customWidth="1"/>
    <col min="23" max="23" width="15.5" style="113" customWidth="1"/>
    <col min="24" max="24" width="14.75" style="113" hidden="1" customWidth="1"/>
    <col min="25" max="26" width="0" style="111" hidden="1" customWidth="1"/>
    <col min="27" max="27" width="15.875" style="113" bestFit="1" customWidth="1"/>
    <col min="28" max="28" width="7.25" style="159" customWidth="1"/>
    <col min="29" max="29" width="33.375" style="159" customWidth="1"/>
    <col min="30" max="30" width="11.5" style="111" bestFit="1" customWidth="1"/>
    <col min="31" max="31" width="14.875" style="111" bestFit="1" customWidth="1"/>
    <col min="32" max="32" width="13.625" style="251" customWidth="1"/>
    <col min="33" max="33" width="13.625" style="111" bestFit="1" customWidth="1"/>
    <col min="34" max="16384" width="11.375" style="111"/>
  </cols>
  <sheetData>
    <row r="1" spans="1:33" ht="30" customHeight="1">
      <c r="B1" s="254" t="s">
        <v>775</v>
      </c>
      <c r="C1" s="254"/>
      <c r="D1" s="254"/>
      <c r="E1" s="254"/>
      <c r="F1" s="111" t="s">
        <v>105</v>
      </c>
      <c r="G1" s="111" t="s">
        <v>779</v>
      </c>
      <c r="H1" s="111" t="s">
        <v>780</v>
      </c>
      <c r="Y1" s="114"/>
      <c r="Z1" s="114"/>
      <c r="AA1" s="113">
        <v>45199</v>
      </c>
    </row>
    <row r="2" spans="1:33" s="112" customFormat="1">
      <c r="A2" s="115"/>
      <c r="B2" s="112" t="s">
        <v>665</v>
      </c>
      <c r="C2" s="112" t="s">
        <v>21</v>
      </c>
      <c r="D2" s="112" t="s">
        <v>20</v>
      </c>
      <c r="E2" s="112" t="s">
        <v>22</v>
      </c>
      <c r="F2" s="112" t="s">
        <v>24</v>
      </c>
      <c r="G2" s="112" t="s">
        <v>776</v>
      </c>
      <c r="H2" s="112" t="s">
        <v>778</v>
      </c>
      <c r="I2" s="112" t="s">
        <v>781</v>
      </c>
      <c r="J2" s="112" t="s">
        <v>840</v>
      </c>
      <c r="K2" s="112" t="s">
        <v>25</v>
      </c>
      <c r="L2" s="112" t="s">
        <v>26</v>
      </c>
      <c r="M2" s="112" t="s">
        <v>27</v>
      </c>
      <c r="N2" s="112" t="s">
        <v>28</v>
      </c>
      <c r="O2" s="116" t="s">
        <v>29</v>
      </c>
      <c r="P2" s="112" t="s">
        <v>30</v>
      </c>
      <c r="Q2" s="112" t="s">
        <v>31</v>
      </c>
      <c r="R2" s="112" t="s">
        <v>855</v>
      </c>
      <c r="S2" s="112" t="s">
        <v>39</v>
      </c>
      <c r="T2" s="112" t="s">
        <v>40</v>
      </c>
      <c r="U2" s="112" t="s">
        <v>41</v>
      </c>
      <c r="V2" s="116" t="s">
        <v>42</v>
      </c>
      <c r="W2" s="116" t="s">
        <v>43</v>
      </c>
      <c r="X2" s="116" t="s">
        <v>44</v>
      </c>
      <c r="Y2" s="112" t="s">
        <v>45</v>
      </c>
      <c r="Z2" s="112" t="s">
        <v>53</v>
      </c>
      <c r="AA2" s="116" t="s">
        <v>777</v>
      </c>
      <c r="AB2" s="160" t="s">
        <v>2955</v>
      </c>
      <c r="AC2" s="160" t="s">
        <v>2967</v>
      </c>
      <c r="AD2" s="112" t="s">
        <v>3007</v>
      </c>
      <c r="AE2" s="112" t="s">
        <v>2501</v>
      </c>
      <c r="AF2" s="252" t="s">
        <v>3026</v>
      </c>
      <c r="AG2" s="158">
        <v>45199</v>
      </c>
    </row>
    <row r="3" spans="1:33" hidden="1">
      <c r="A3" s="117">
        <f>SUBTOTAL(103,$C$3:C3)</f>
        <v>0</v>
      </c>
      <c r="B3" s="253">
        <v>8</v>
      </c>
      <c r="C3" s="111">
        <f>_xlfn.XLOOKUP($F$1&amp;B3,Filtro!B:B,Filtro!D:D,"",0,1)</f>
        <v>210105</v>
      </c>
      <c r="D3" s="111" t="str">
        <f>_xlfn.XLOOKUP(C3,DBGenzai[社員№],DBGenzai[現在],"",0,1)</f>
        <v>退社</v>
      </c>
      <c r="E3" s="111">
        <f>_xlfn.XLOOKUP($C3,DBGenzai[社員№],DBGenzai[派遣先ID],"",0,1)</f>
        <v>212019</v>
      </c>
      <c r="F3" s="111" t="str">
        <f>_xlfn.XLOOKUP($C3,DBGenzai[社員№],DBGenzai[配属先],"",0,1)</f>
        <v>高雄工業株式会社 本社工場製作課</v>
      </c>
      <c r="G3" s="111" t="str">
        <f>MID(TablaTransfor[[#This Row],[配属先]],1,8)</f>
        <v>高雄工業株式会社</v>
      </c>
      <c r="H3" s="111" t="str">
        <f>MID(TablaTransfor[[#This Row],[配属先]],9,6)</f>
        <v xml:space="preserve"> 本社工場製</v>
      </c>
      <c r="I3" s="111" t="str">
        <f>MID(TablaTransfor[[#This Row],[配属先]],15,12)</f>
        <v>作課</v>
      </c>
      <c r="J3" s="111" t="str">
        <f>_xlfn.XLOOKUP($C3,DBGenzai[社員№],DBGenzai[配属ライン],"",0,1)</f>
        <v>Aライン</v>
      </c>
      <c r="K3" s="111" t="str">
        <f>_xlfn.XLOOKUP($C3,DBGenzai[社員№],DBGenzai[氏名],"",0,1)</f>
        <v>PHAM CONG HA</v>
      </c>
      <c r="L3" s="111" t="str">
        <f>_xlfn.XLOOKUP($C3,DBGenzai[社員№],DBGenzai[カナ],"",0,1)</f>
        <v>ファム　コン　ハー</v>
      </c>
      <c r="M3" s="111" t="str">
        <f>_xlfn.XLOOKUP($C3,DBGenzai[社員№],DBGenzai[性別],"",0,1)</f>
        <v>男</v>
      </c>
      <c r="N3" s="111" t="str">
        <f>_xlfn.XLOOKUP($C3,DBGenzai[社員№],DBGenzai[国籍],"",0,1)</f>
        <v>ﾍﾞﾄﾅﾑ</v>
      </c>
      <c r="O3" s="113">
        <f>_xlfn.XLOOKUP($C3,DBGenzai[社員№],DBGenzai[生年月日],"",0,1)</f>
        <v>35053</v>
      </c>
      <c r="P3" s="111">
        <f>_xlfn.XLOOKUP($C3,DBGenzai[社員№],DBGenzai[年齢],"",0,1)</f>
        <v>27</v>
      </c>
      <c r="Q3" s="111">
        <f>_xlfn.XLOOKUP($C3,DBGenzai[社員№],DBGenzai[時給],"",0,1)</f>
        <v>1400</v>
      </c>
      <c r="R3" s="111">
        <f>_xlfn.XLOOKUP($C3,DBGenzai[社員№],DBGenzai[請求単価],"",0,1)</f>
        <v>1770</v>
      </c>
      <c r="S3" s="111" t="str">
        <f>_xlfn.XLOOKUP($C3,DBGenzai[社員№],DBGenzai[〒],"",0,1)</f>
        <v>498-0017</v>
      </c>
      <c r="T3" s="111" t="str">
        <f>_xlfn.XLOOKUP($C3,DBGenzai[社員№],DBGenzai[住所],"",0,1)</f>
        <v>愛知県弥富市前ヶ須町西勘助207</v>
      </c>
      <c r="U3" s="111" t="str">
        <f>_xlfn.XLOOKUP($C3,DBGenzai[社員№],DBGenzai[ｱﾊﾟｰﾄ],"",0,1)</f>
        <v>CASA弥冨B203</v>
      </c>
      <c r="V3" s="113">
        <f>_xlfn.XLOOKUP($C3,DBGenzai[社員№],DBGenzai[入居],"",0,1)</f>
        <v>0</v>
      </c>
      <c r="W3" s="209">
        <f>_xlfn.XLOOKUP($C3,DBGenzai[社員№],DBGenzai[入社日],"",0,1)</f>
        <v>44585</v>
      </c>
      <c r="X3" s="113">
        <f>_xlfn.XLOOKUP($C3,DBGenzai[社員№],DBGenzai[退社日],"",0,1)</f>
        <v>44881</v>
      </c>
      <c r="Y3" s="111">
        <f>_xlfn.XLOOKUP($C3,DBGenzai[社員№],DBGenzai[退去],"",0,1)</f>
        <v>0</v>
      </c>
      <c r="Z3" s="111" t="str">
        <f>_xlfn.XLOOKUP($C3,DBGenzai[社員№],DBGenzai[備考],"",0,1)</f>
        <v>2021/1/6～2021/4/23川原鉄工所所属　再入社</v>
      </c>
      <c r="AA3" s="113">
        <f>$AA$1</f>
        <v>45199</v>
      </c>
      <c r="AB3" s="159">
        <f>(TablaTransfor[[#This Row],[unicos]]-TablaTransfor[[#This Row],[入社日]])/364</f>
        <v>1.6868131868131868</v>
      </c>
      <c r="AC3" s="190" t="s">
        <v>3015</v>
      </c>
      <c r="AD3" s="114">
        <v>44365</v>
      </c>
      <c r="AE3" s="116">
        <v>45017</v>
      </c>
      <c r="AF3" s="252">
        <f>_xlfn.XLOOKUP($C3,DBGenzai[社員№],DBGenzai[請求単価],"",0,1)</f>
        <v>1770</v>
      </c>
      <c r="AG3" s="111">
        <f>($AG$2-TablaTransfor[[#This Row],[入社日]])/365</f>
        <v>1.6821917808219178</v>
      </c>
    </row>
    <row r="4" spans="1:33" hidden="1">
      <c r="A4" s="117">
        <f>SUBTOTAL(103,$C$3:C4)</f>
        <v>0</v>
      </c>
      <c r="B4" s="111">
        <v>86</v>
      </c>
      <c r="C4" s="111" t="str">
        <f>_xlfn.XLOOKUP($F$1&amp;B4,Filtro!B:B,Filtro!D:D,"",0,1)</f>
        <v/>
      </c>
      <c r="D4" s="111" t="str">
        <f>_xlfn.XLOOKUP(C4,DBGenzai[社員№],DBGenzai[現在],"",0,1)</f>
        <v/>
      </c>
      <c r="E4" s="111" t="str">
        <f>_xlfn.XLOOKUP($C4,DBGenzai[社員№],DBGenzai[派遣先ID],"",0,1)</f>
        <v/>
      </c>
      <c r="F4" s="111" t="str">
        <f>_xlfn.XLOOKUP($C4,DBGenzai[社員№],DBGenzai[配属先],"",0,1)</f>
        <v/>
      </c>
      <c r="G4" s="111" t="str">
        <f>MID(TablaTransfor[[#This Row],[配属先]],1,8)</f>
        <v/>
      </c>
      <c r="H4" s="186" t="str">
        <f>MID(TablaTransfor[[#This Row],[配属先]],9,6)</f>
        <v/>
      </c>
      <c r="I4" s="186" t="str">
        <f>MID(TablaTransfor[[#This Row],[配属先]],15,12)</f>
        <v/>
      </c>
      <c r="J4" s="186" t="str">
        <f>_xlfn.XLOOKUP($C4,DBGenzai[社員№],DBGenzai[配属ライン],"",0,1)</f>
        <v/>
      </c>
      <c r="K4" s="186" t="str">
        <f>_xlfn.XLOOKUP($C4,DBGenzai[社員№],DBGenzai[氏名],"",0,1)</f>
        <v/>
      </c>
      <c r="L4" s="186" t="str">
        <f>_xlfn.XLOOKUP($C4,DBGenzai[社員№],DBGenzai[カナ],"",0,1)</f>
        <v/>
      </c>
      <c r="M4" s="186" t="str">
        <f>_xlfn.XLOOKUP($C4,DBGenzai[社員№],DBGenzai[性別],"",0,1)</f>
        <v/>
      </c>
      <c r="N4" s="186" t="str">
        <f>_xlfn.XLOOKUP($C4,DBGenzai[社員№],DBGenzai[国籍],"",0,1)</f>
        <v/>
      </c>
      <c r="O4" s="113" t="str">
        <f>_xlfn.XLOOKUP($C4,DBGenzai[社員№],DBGenzai[生年月日],"",0,1)</f>
        <v/>
      </c>
      <c r="P4" s="111" t="str">
        <f>_xlfn.XLOOKUP($C4,DBGenzai[社員№],DBGenzai[年齢],"",0,1)</f>
        <v/>
      </c>
      <c r="Q4" s="111" t="str">
        <f>_xlfn.XLOOKUP($C4,DBGenzai[社員№],DBGenzai[時給],"",0,1)</f>
        <v/>
      </c>
      <c r="R4" s="111" t="str">
        <f>_xlfn.XLOOKUP($C4,DBGenzai[社員№],DBGenzai[請求単価],"",0,1)</f>
        <v/>
      </c>
      <c r="S4" s="111" t="str">
        <f>_xlfn.XLOOKUP($C4,DBGenzai[社員№],DBGenzai[〒],"",0,1)</f>
        <v/>
      </c>
      <c r="T4" s="111" t="str">
        <f>_xlfn.XLOOKUP($C4,DBGenzai[社員№],DBGenzai[住所],"",0,1)</f>
        <v/>
      </c>
      <c r="U4" s="111" t="str">
        <f>_xlfn.XLOOKUP($C4,DBGenzai[社員№],DBGenzai[ｱﾊﾟｰﾄ],"",0,1)</f>
        <v/>
      </c>
      <c r="V4" s="113" t="str">
        <f>_xlfn.XLOOKUP($C4,DBGenzai[社員№],DBGenzai[入居],"",0,1)</f>
        <v/>
      </c>
      <c r="W4" s="187" t="str">
        <f>_xlfn.XLOOKUP($C4,DBGenzai[社員№],DBGenzai[入社日],"",0,1)</f>
        <v/>
      </c>
      <c r="X4" s="113" t="str">
        <f>_xlfn.XLOOKUP($C4,DBGenzai[社員№],DBGenzai[退社日],"",0,1)</f>
        <v/>
      </c>
      <c r="Y4" s="111" t="str">
        <f>_xlfn.XLOOKUP($C4,DBGenzai[社員№],DBGenzai[退去],"",0,1)</f>
        <v/>
      </c>
      <c r="Z4" s="111" t="str">
        <f>_xlfn.XLOOKUP($C4,DBGenzai[社員№],DBGenzai[備考],"",0,1)</f>
        <v/>
      </c>
      <c r="AA4" s="187"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4" s="188" t="e">
        <f>(TablaTransfor[[#This Row],[unicos]]-TablaTransfor[[#This Row],[入社日]])/364</f>
        <v>#VALUE!</v>
      </c>
      <c r="AC4" s="189"/>
      <c r="AF4" s="251" t="str">
        <f>_xlfn.XLOOKUP($C4,DBGenzai[社員№],DBGenzai[請求単価],"",0,1)</f>
        <v/>
      </c>
      <c r="AG4" s="111" t="e">
        <f>($AG$2-TablaTransfor[[#This Row],[入社日]])/365</f>
        <v>#VALUE!</v>
      </c>
    </row>
    <row r="5" spans="1:33" hidden="1">
      <c r="A5" s="117">
        <f>SUBTOTAL(103,$C$3:C5)</f>
        <v>0</v>
      </c>
      <c r="B5" s="111">
        <v>87</v>
      </c>
      <c r="C5" s="111" t="str">
        <f>_xlfn.XLOOKUP($F$1&amp;B5,Filtro!B:B,Filtro!D:D,"",0,1)</f>
        <v/>
      </c>
      <c r="D5" s="111" t="str">
        <f>_xlfn.XLOOKUP(C5,DBGenzai[社員№],DBGenzai[現在],"",0,1)</f>
        <v/>
      </c>
      <c r="E5" s="111" t="str">
        <f>_xlfn.XLOOKUP($C5,DBGenzai[社員№],DBGenzai[派遣先ID],"",0,1)</f>
        <v/>
      </c>
      <c r="F5" s="111" t="str">
        <f>_xlfn.XLOOKUP($C5,DBGenzai[社員№],DBGenzai[配属先],"",0,1)</f>
        <v/>
      </c>
      <c r="G5" s="111" t="str">
        <f>MID(TablaTransfor[[#This Row],[配属先]],1,8)</f>
        <v/>
      </c>
      <c r="H5" s="111" t="str">
        <f>MID(TablaTransfor[[#This Row],[配属先]],9,6)</f>
        <v/>
      </c>
      <c r="I5" s="111" t="str">
        <f>MID(TablaTransfor[[#This Row],[配属先]],15,12)</f>
        <v/>
      </c>
      <c r="J5" s="111" t="str">
        <f>_xlfn.XLOOKUP($C5,DBGenzai[社員№],DBGenzai[配属ライン],"",0,1)</f>
        <v/>
      </c>
      <c r="K5" s="111" t="str">
        <f>_xlfn.XLOOKUP($C5,DBGenzai[社員№],DBGenzai[氏名],"",0,1)</f>
        <v/>
      </c>
      <c r="L5" s="111" t="str">
        <f>_xlfn.XLOOKUP($C5,DBGenzai[社員№],DBGenzai[カナ],"",0,1)</f>
        <v/>
      </c>
      <c r="M5" s="111" t="str">
        <f>_xlfn.XLOOKUP($C5,DBGenzai[社員№],DBGenzai[性別],"",0,1)</f>
        <v/>
      </c>
      <c r="N5" s="111" t="str">
        <f>_xlfn.XLOOKUP($C5,DBGenzai[社員№],DBGenzai[国籍],"",0,1)</f>
        <v/>
      </c>
      <c r="O5" s="113" t="str">
        <f>_xlfn.XLOOKUP($C5,DBGenzai[社員№],DBGenzai[生年月日],"",0,1)</f>
        <v/>
      </c>
      <c r="P5" s="111" t="str">
        <f>_xlfn.XLOOKUP($C5,DBGenzai[社員№],DBGenzai[年齢],"",0,1)</f>
        <v/>
      </c>
      <c r="Q5" s="111" t="str">
        <f>_xlfn.XLOOKUP($C5,DBGenzai[社員№],DBGenzai[時給],"",0,1)</f>
        <v/>
      </c>
      <c r="R5" s="111" t="str">
        <f>_xlfn.XLOOKUP($C5,DBGenzai[社員№],DBGenzai[請求単価],"",0,1)</f>
        <v/>
      </c>
      <c r="S5" s="111" t="str">
        <f>_xlfn.XLOOKUP($C5,DBGenzai[社員№],DBGenzai[〒],"",0,1)</f>
        <v/>
      </c>
      <c r="T5" s="111" t="str">
        <f>_xlfn.XLOOKUP($C5,DBGenzai[社員№],DBGenzai[住所],"",0,1)</f>
        <v/>
      </c>
      <c r="U5" s="111" t="str">
        <f>_xlfn.XLOOKUP($C5,DBGenzai[社員№],DBGenzai[ｱﾊﾟｰﾄ],"",0,1)</f>
        <v/>
      </c>
      <c r="V5" s="113" t="str">
        <f>_xlfn.XLOOKUP($C5,DBGenzai[社員№],DBGenzai[入居],"",0,1)</f>
        <v/>
      </c>
      <c r="W5" s="113" t="str">
        <f>_xlfn.XLOOKUP($C5,DBGenzai[社員№],DBGenzai[入社日],"",0,1)</f>
        <v/>
      </c>
      <c r="X5" s="113" t="str">
        <f>_xlfn.XLOOKUP($C5,DBGenzai[社員№],DBGenzai[退社日],"",0,1)</f>
        <v/>
      </c>
      <c r="Y5" s="111" t="str">
        <f>_xlfn.XLOOKUP($C5,DBGenzai[社員№],DBGenzai[退去],"",0,1)</f>
        <v/>
      </c>
      <c r="Z5" s="111" t="str">
        <f>_xlfn.XLOOKUP($C5,DBGenzai[社員№],DBGenzai[備考],"",0,1)</f>
        <v/>
      </c>
      <c r="AA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5" s="159" t="e">
        <f>(TablaTransfor[[#This Row],[unicos]]-TablaTransfor[[#This Row],[入社日]])/364</f>
        <v>#VALUE!</v>
      </c>
      <c r="AC5" s="173" t="s">
        <v>2968</v>
      </c>
      <c r="AF5" s="251" t="str">
        <f>_xlfn.XLOOKUP($C5,DBGenzai[社員№],DBGenzai[請求単価],"",0,1)</f>
        <v/>
      </c>
      <c r="AG5" s="111" t="e">
        <f>($AG$2-TablaTransfor[[#This Row],[入社日]])/365</f>
        <v>#VALUE!</v>
      </c>
    </row>
    <row r="6" spans="1:33" hidden="1">
      <c r="A6" s="117">
        <f>SUBTOTAL(103,$C$3:C6)</f>
        <v>0</v>
      </c>
      <c r="B6" s="111">
        <v>88</v>
      </c>
      <c r="C6" s="111" t="str">
        <f>_xlfn.XLOOKUP($F$1&amp;B6,Filtro!B:B,Filtro!D:D,"",0,1)</f>
        <v/>
      </c>
      <c r="D6" s="111" t="str">
        <f>_xlfn.XLOOKUP(C6,DBGenzai[社員№],DBGenzai[現在],"",0,1)</f>
        <v/>
      </c>
      <c r="E6" s="111" t="str">
        <f>_xlfn.XLOOKUP($C6,DBGenzai[社員№],DBGenzai[派遣先ID],"",0,1)</f>
        <v/>
      </c>
      <c r="F6" s="111" t="str">
        <f>_xlfn.XLOOKUP($C6,DBGenzai[社員№],DBGenzai[配属先],"",0,1)</f>
        <v/>
      </c>
      <c r="G6" s="111" t="str">
        <f>MID(TablaTransfor[[#This Row],[配属先]],1,8)</f>
        <v/>
      </c>
      <c r="H6" s="111" t="str">
        <f>MID(TablaTransfor[[#This Row],[配属先]],9,6)</f>
        <v/>
      </c>
      <c r="I6" s="111" t="str">
        <f>MID(TablaTransfor[[#This Row],[配属先]],15,12)</f>
        <v/>
      </c>
      <c r="J6" s="111" t="str">
        <f>_xlfn.XLOOKUP($C6,DBGenzai[社員№],DBGenzai[配属ライン],"",0,1)</f>
        <v/>
      </c>
      <c r="K6" s="111" t="str">
        <f>_xlfn.XLOOKUP($C6,DBGenzai[社員№],DBGenzai[氏名],"",0,1)</f>
        <v/>
      </c>
      <c r="L6" s="111" t="str">
        <f>_xlfn.XLOOKUP($C6,DBGenzai[社員№],DBGenzai[カナ],"",0,1)</f>
        <v/>
      </c>
      <c r="M6" s="111" t="str">
        <f>_xlfn.XLOOKUP($C6,DBGenzai[社員№],DBGenzai[性別],"",0,1)</f>
        <v/>
      </c>
      <c r="N6" s="111" t="str">
        <f>_xlfn.XLOOKUP($C6,DBGenzai[社員№],DBGenzai[国籍],"",0,1)</f>
        <v/>
      </c>
      <c r="O6" s="113" t="str">
        <f>_xlfn.XLOOKUP($C6,DBGenzai[社員№],DBGenzai[生年月日],"",0,1)</f>
        <v/>
      </c>
      <c r="P6" s="111" t="str">
        <f>_xlfn.XLOOKUP($C6,DBGenzai[社員№],DBGenzai[年齢],"",0,1)</f>
        <v/>
      </c>
      <c r="Q6" s="111" t="str">
        <f>_xlfn.XLOOKUP($C6,DBGenzai[社員№],DBGenzai[時給],"",0,1)</f>
        <v/>
      </c>
      <c r="R6" s="111" t="str">
        <f>_xlfn.XLOOKUP($C6,DBGenzai[社員№],DBGenzai[請求単価],"",0,1)</f>
        <v/>
      </c>
      <c r="S6" s="111" t="str">
        <f>_xlfn.XLOOKUP($C6,DBGenzai[社員№],DBGenzai[〒],"",0,1)</f>
        <v/>
      </c>
      <c r="T6" s="111" t="str">
        <f>_xlfn.XLOOKUP($C6,DBGenzai[社員№],DBGenzai[住所],"",0,1)</f>
        <v/>
      </c>
      <c r="U6" s="111" t="str">
        <f>_xlfn.XLOOKUP($C6,DBGenzai[社員№],DBGenzai[ｱﾊﾟｰﾄ],"",0,1)</f>
        <v/>
      </c>
      <c r="V6" s="113" t="str">
        <f>_xlfn.XLOOKUP($C6,DBGenzai[社員№],DBGenzai[入居],"",0,1)</f>
        <v/>
      </c>
      <c r="W6" s="113" t="str">
        <f>_xlfn.XLOOKUP($C6,DBGenzai[社員№],DBGenzai[入社日],"",0,1)</f>
        <v/>
      </c>
      <c r="X6" s="113" t="str">
        <f>_xlfn.XLOOKUP($C6,DBGenzai[社員№],DBGenzai[退社日],"",0,1)</f>
        <v/>
      </c>
      <c r="Y6" s="111" t="str">
        <f>_xlfn.XLOOKUP($C6,DBGenzai[社員№],DBGenzai[退去],"",0,1)</f>
        <v/>
      </c>
      <c r="Z6" s="111" t="str">
        <f>_xlfn.XLOOKUP($C6,DBGenzai[社員№],DBGenzai[備考],"",0,1)</f>
        <v/>
      </c>
      <c r="AA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6" s="159" t="e">
        <f>(TablaTransfor[[#This Row],[unicos]]-TablaTransfor[[#This Row],[入社日]])/364</f>
        <v>#VALUE!</v>
      </c>
      <c r="AC6" s="173" t="s">
        <v>2968</v>
      </c>
      <c r="AF6" s="251" t="str">
        <f>_xlfn.XLOOKUP($C6,DBGenzai[社員№],DBGenzai[請求単価],"",0,1)</f>
        <v/>
      </c>
      <c r="AG6" s="111" t="e">
        <f>($AG$2-TablaTransfor[[#This Row],[入社日]])/365</f>
        <v>#VALUE!</v>
      </c>
    </row>
    <row r="7" spans="1:33" hidden="1">
      <c r="A7" s="117">
        <f>SUBTOTAL(103,$C$3:C7)</f>
        <v>0</v>
      </c>
      <c r="B7" s="111">
        <v>5</v>
      </c>
      <c r="C7" s="111">
        <f>_xlfn.XLOOKUP($F$1&amp;B7,Filtro!B:B,Filtro!D:D,"",0,1)</f>
        <v>210410</v>
      </c>
      <c r="D7" s="111" t="str">
        <f>_xlfn.XLOOKUP(C7,DBGenzai[社員№],DBGenzai[現在],"",0,1)</f>
        <v>退社</v>
      </c>
      <c r="E7" s="111">
        <f>_xlfn.XLOOKUP($C7,DBGenzai[社員№],DBGenzai[派遣先ID],"",0,1)</f>
        <v>212011</v>
      </c>
      <c r="F7" s="111" t="str">
        <f>_xlfn.XLOOKUP($C7,DBGenzai[社員№],DBGenzai[配属先],"",0,1)</f>
        <v>高雄工業株式会社 本社工場製作課</v>
      </c>
      <c r="G7" s="111" t="str">
        <f>MID(TablaTransfor[[#This Row],[配属先]],1,8)</f>
        <v>高雄工業株式会社</v>
      </c>
      <c r="H7" s="111" t="str">
        <f>MID(TablaTransfor[[#This Row],[配属先]],9,6)</f>
        <v xml:space="preserve"> 本社工場製</v>
      </c>
      <c r="I7" s="111" t="str">
        <f>MID(TablaTransfor[[#This Row],[配属先]],15,12)</f>
        <v>作課</v>
      </c>
      <c r="J7" s="111" t="str">
        <f>_xlfn.XLOOKUP($C7,DBGenzai[社員№],DBGenzai[配属ライン],"",0,1)</f>
        <v>六面加工</v>
      </c>
      <c r="K7" s="111" t="str">
        <f>_xlfn.XLOOKUP($C7,DBGenzai[社員№],DBGenzai[氏名],"",0,1)</f>
        <v>LE DINH TUAN</v>
      </c>
      <c r="L7" s="111" t="str">
        <f>_xlfn.XLOOKUP($C7,DBGenzai[社員№],DBGenzai[カナ],"",0,1)</f>
        <v>レ　ディン　トゥアン</v>
      </c>
      <c r="M7" s="111" t="str">
        <f>_xlfn.XLOOKUP($C7,DBGenzai[社員№],DBGenzai[性別],"",0,1)</f>
        <v>男</v>
      </c>
      <c r="N7" s="111" t="str">
        <f>_xlfn.XLOOKUP($C7,DBGenzai[社員№],DBGenzai[国籍],"",0,1)</f>
        <v>ﾍﾞﾄﾅﾑ</v>
      </c>
      <c r="O7" s="113">
        <f>_xlfn.XLOOKUP($C7,DBGenzai[社員№],DBGenzai[生年月日],"",0,1)</f>
        <v>35048</v>
      </c>
      <c r="P7" s="111">
        <f>_xlfn.XLOOKUP($C7,DBGenzai[社員№],DBGenzai[年齢],"",0,1)</f>
        <v>27</v>
      </c>
      <c r="Q7" s="111">
        <f>_xlfn.XLOOKUP($C7,DBGenzai[社員№],DBGenzai[時給],"",0,1)</f>
        <v>1400</v>
      </c>
      <c r="R7" s="111">
        <f>_xlfn.XLOOKUP($C7,DBGenzai[社員№],DBGenzai[請求単価],"",0,1)</f>
        <v>1770</v>
      </c>
      <c r="S7" s="111" t="str">
        <f>_xlfn.XLOOKUP($C7,DBGenzai[社員№],DBGenzai[〒],"",0,1)</f>
        <v>498-0017</v>
      </c>
      <c r="T7" s="111" t="str">
        <f>_xlfn.XLOOKUP($C7,DBGenzai[社員№],DBGenzai[住所],"",0,1)</f>
        <v>愛知県弥富市前ヶ須町南本田522-１</v>
      </c>
      <c r="U7" s="111" t="str">
        <f>_xlfn.XLOOKUP($C7,DBGenzai[社員№],DBGenzai[ｱﾊﾟｰﾄ],"",0,1)</f>
        <v>ﾐﾉﾔ弥冨ﾊｲﾂ502</v>
      </c>
      <c r="V7" s="113">
        <f>_xlfn.XLOOKUP($C7,DBGenzai[社員№],DBGenzai[入居],"",0,1)</f>
        <v>44287</v>
      </c>
      <c r="W7" s="113">
        <f>_xlfn.XLOOKUP($C7,DBGenzai[社員№],DBGenzai[入社日],"",0,1)</f>
        <v>44295</v>
      </c>
      <c r="X7" s="113">
        <f>_xlfn.XLOOKUP($C7,DBGenzai[社員№],DBGenzai[退社日],"",0,1)</f>
        <v>44915</v>
      </c>
      <c r="Y7" s="111">
        <f>_xlfn.XLOOKUP($C7,DBGenzai[社員№],DBGenzai[退去],"",0,1)</f>
        <v>0</v>
      </c>
      <c r="Z7" s="111">
        <f>_xlfn.XLOOKUP($C7,DBGenzai[社員№],DBGenzai[備考],"",0,1)</f>
        <v>0</v>
      </c>
      <c r="AA7"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44469</v>
      </c>
      <c r="AB7" s="159">
        <f>(TablaTransfor[[#This Row],[unicos]]-TablaTransfor[[#This Row],[入社日]])/364</f>
        <v>0.47802197802197804</v>
      </c>
      <c r="AF7" s="251">
        <f>_xlfn.XLOOKUP($C7,DBGenzai[社員№],DBGenzai[請求単価],"",0,1)</f>
        <v>1770</v>
      </c>
      <c r="AG7" s="111">
        <f>($AG$2-TablaTransfor[[#This Row],[入社日]])/365</f>
        <v>2.4767123287671233</v>
      </c>
    </row>
    <row r="8" spans="1:33" hidden="1">
      <c r="A8" s="117">
        <f>SUBTOTAL(103,$C$3:C8)</f>
        <v>0</v>
      </c>
      <c r="B8" s="111">
        <v>11</v>
      </c>
      <c r="C8" s="111">
        <f>_xlfn.XLOOKUP($F$1&amp;B8,Filtro!B:B,Filtro!D:D,"",0,1)</f>
        <v>220208</v>
      </c>
      <c r="D8" s="111" t="str">
        <f>_xlfn.XLOOKUP(C8,DBGenzai[社員№],DBGenzai[現在],"",0,1)</f>
        <v>退社</v>
      </c>
      <c r="E8" s="111">
        <f>_xlfn.XLOOKUP($C8,DBGenzai[社員№],DBGenzai[派遣先ID],"",0,1)</f>
        <v>212024</v>
      </c>
      <c r="F8" s="111" t="str">
        <f>_xlfn.XLOOKUP($C8,DBGenzai[社員№],DBGenzai[配属先],"",0,1)</f>
        <v>高雄工業株式会社 本社工場製作課</v>
      </c>
      <c r="G8" s="111" t="str">
        <f>MID(TablaTransfor[[#This Row],[配属先]],1,8)</f>
        <v>高雄工業株式会社</v>
      </c>
      <c r="H8" s="111" t="str">
        <f>MID(TablaTransfor[[#This Row],[配属先]],9,6)</f>
        <v xml:space="preserve"> 本社工場製</v>
      </c>
      <c r="I8" s="111" t="str">
        <f>MID(TablaTransfor[[#This Row],[配属先]],15,12)</f>
        <v>作課</v>
      </c>
      <c r="J8" s="111" t="str">
        <f>_xlfn.XLOOKUP($C8,DBGenzai[社員№],DBGenzai[配属ライン],"",0,1)</f>
        <v>Gライン</v>
      </c>
      <c r="K8" s="111" t="str">
        <f>_xlfn.XLOOKUP($C8,DBGenzai[社員№],DBGenzai[氏名],"",0,1)</f>
        <v>NGO QUOC THINH</v>
      </c>
      <c r="L8" s="111" t="str">
        <f>_xlfn.XLOOKUP($C8,DBGenzai[社員№],DBGenzai[カナ],"",0,1)</f>
        <v>ゴ　クオック　テイン</v>
      </c>
      <c r="M8" s="111" t="str">
        <f>_xlfn.XLOOKUP($C8,DBGenzai[社員№],DBGenzai[性別],"",0,1)</f>
        <v>男</v>
      </c>
      <c r="N8" s="111" t="str">
        <f>_xlfn.XLOOKUP($C8,DBGenzai[社員№],DBGenzai[国籍],"",0,1)</f>
        <v>ﾍﾞﾄﾅﾑ</v>
      </c>
      <c r="O8" s="113">
        <f>_xlfn.XLOOKUP($C8,DBGenzai[社員№],DBGenzai[生年月日],"",0,1)</f>
        <v>35358</v>
      </c>
      <c r="P8" s="111">
        <f>_xlfn.XLOOKUP($C8,DBGenzai[社員№],DBGenzai[年齢],"",0,1)</f>
        <v>27</v>
      </c>
      <c r="Q8" s="111">
        <f>_xlfn.XLOOKUP($C8,DBGenzai[社員№],DBGenzai[時給],"",0,1)</f>
        <v>1400</v>
      </c>
      <c r="R8" s="111">
        <f>_xlfn.XLOOKUP($C8,DBGenzai[社員№],DBGenzai[請求単価],"",0,1)</f>
        <v>1760</v>
      </c>
      <c r="S8" s="111" t="str">
        <f>_xlfn.XLOOKUP($C8,DBGenzai[社員№],DBGenzai[〒],"",0,1)</f>
        <v>498-0031</v>
      </c>
      <c r="T8" s="111" t="str">
        <f>_xlfn.XLOOKUP($C8,DBGenzai[社員№],DBGenzai[住所],"",0,1)</f>
        <v>愛知県弥富市平島町甲新田82番地１</v>
      </c>
      <c r="U8" s="111" t="str">
        <f>_xlfn.XLOOKUP($C8,DBGenzai[社員№],DBGenzai[ｱﾊﾟｰﾄ],"",0,1)</f>
        <v>ﾊﾟｰｸﾀｳﾝ平島D201</v>
      </c>
      <c r="V8" s="113">
        <f>_xlfn.XLOOKUP($C8,DBGenzai[社員№],DBGenzai[入居],"",0,1)</f>
        <v>44632</v>
      </c>
      <c r="W8" s="209">
        <f>_xlfn.XLOOKUP($C8,DBGenzai[社員№],DBGenzai[入社日],"",0,1)</f>
        <v>44599</v>
      </c>
      <c r="X8" s="113">
        <f>_xlfn.XLOOKUP($C8,DBGenzai[社員№],DBGenzai[退社日],"",0,1)</f>
        <v>45002</v>
      </c>
      <c r="Y8" s="111">
        <f>_xlfn.XLOOKUP($C8,DBGenzai[社員№],DBGenzai[退去],"",0,1)</f>
        <v>44995</v>
      </c>
      <c r="Z8" s="111">
        <f>_xlfn.XLOOKUP($C8,DBGenzai[社員№],DBGenzai[備考],"",0,1)</f>
        <v>0</v>
      </c>
      <c r="AA8" s="113">
        <f>$AA$1</f>
        <v>45199</v>
      </c>
      <c r="AB8" s="159">
        <f>(TablaTransfor[[#This Row],[unicos]]-TablaTransfor[[#This Row],[入社日]])/364</f>
        <v>1.6483516483516483</v>
      </c>
      <c r="AC8" s="190" t="s">
        <v>3015</v>
      </c>
      <c r="AD8" s="114">
        <v>44516</v>
      </c>
      <c r="AE8" s="116">
        <v>45017</v>
      </c>
      <c r="AF8" s="252">
        <f>_xlfn.XLOOKUP($C8,DBGenzai[社員№],DBGenzai[請求単価],"",0,1)</f>
        <v>1760</v>
      </c>
      <c r="AG8" s="111">
        <f>($AG$2-TablaTransfor[[#This Row],[入社日]])/365</f>
        <v>1.6438356164383561</v>
      </c>
    </row>
    <row r="9" spans="1:33">
      <c r="A9" s="117">
        <f>SUBTOTAL(103,$C$3:C9)</f>
        <v>1</v>
      </c>
      <c r="B9" s="118">
        <v>2</v>
      </c>
      <c r="C9" s="111">
        <f>_xlfn.XLOOKUP($F$1&amp;B9,Filtro!B:B,Filtro!D:D,"",0,1)</f>
        <v>210121</v>
      </c>
      <c r="D9" s="111" t="str">
        <f>_xlfn.XLOOKUP(C9,DBGenzai[社員№],DBGenzai[現在],"",0,1)</f>
        <v>在職中</v>
      </c>
      <c r="E9" s="111">
        <f>_xlfn.XLOOKUP($C9,DBGenzai[社員№],DBGenzai[派遣先ID],"",0,1)</f>
        <v>212006</v>
      </c>
      <c r="F9" s="111" t="str">
        <f>_xlfn.XLOOKUP($C9,DBGenzai[社員№],DBGenzai[配属先],"",0,1)</f>
        <v>高雄工業株式会社 本社工場製作課</v>
      </c>
      <c r="G9" s="111" t="str">
        <f>MID(TablaTransfor[[#This Row],[配属先]],1,8)</f>
        <v>高雄工業株式会社</v>
      </c>
      <c r="H9" s="111" t="str">
        <f>MID(TablaTransfor[[#This Row],[配属先]],9,6)</f>
        <v xml:space="preserve"> 本社工場製</v>
      </c>
      <c r="I9" s="111" t="str">
        <f>MID(TablaTransfor[[#This Row],[配属先]],15,12)</f>
        <v>作課</v>
      </c>
      <c r="J9" s="111" t="str">
        <f>_xlfn.XLOOKUP($C9,DBGenzai[社員№],DBGenzai[配属ライン],"",0,1)</f>
        <v>Aライン</v>
      </c>
      <c r="K9" s="111" t="str">
        <f>_xlfn.XLOOKUP($C9,DBGenzai[社員№],DBGenzai[氏名],"",0,1)</f>
        <v>NGUYEN VAN THIEN</v>
      </c>
      <c r="L9" s="111" t="str">
        <f>_xlfn.XLOOKUP($C9,DBGenzai[社員№],DBGenzai[カナ],"",0,1)</f>
        <v>グエン　ヴァン　ティエン</v>
      </c>
      <c r="M9" s="111" t="str">
        <f>_xlfn.XLOOKUP($C9,DBGenzai[社員№],DBGenzai[性別],"",0,1)</f>
        <v>男</v>
      </c>
      <c r="N9" s="111" t="str">
        <f>_xlfn.XLOOKUP($C9,DBGenzai[社員№],DBGenzai[国籍],"",0,1)</f>
        <v>ﾍﾞﾄﾅﾑ</v>
      </c>
      <c r="O9" s="113">
        <f>_xlfn.XLOOKUP($C9,DBGenzai[社員№],DBGenzai[生年月日],"",0,1)</f>
        <v>34904</v>
      </c>
      <c r="P9" s="111">
        <f>_xlfn.XLOOKUP($C9,DBGenzai[社員№],DBGenzai[年齢],"",0,1)</f>
        <v>28</v>
      </c>
      <c r="Q9" s="111">
        <f>_xlfn.XLOOKUP($C9,DBGenzai[社員№],DBGenzai[時給],"",0,1)</f>
        <v>1400</v>
      </c>
      <c r="R9" s="111">
        <f>_xlfn.XLOOKUP($C9,DBGenzai[社員№],DBGenzai[請求単価],"",0,1)</f>
        <v>1800</v>
      </c>
      <c r="S9" s="111" t="str">
        <f>_xlfn.XLOOKUP($C9,DBGenzai[社員№],DBGenzai[〒],"",0,1)</f>
        <v>498-0017</v>
      </c>
      <c r="T9" s="111" t="str">
        <f>_xlfn.XLOOKUP($C9,DBGenzai[社員№],DBGenzai[住所],"",0,1)</f>
        <v>愛知県弥富市前ヶ須町西勘助207</v>
      </c>
      <c r="U9" s="111" t="str">
        <f>_xlfn.XLOOKUP($C9,DBGenzai[社員№],DBGenzai[ｱﾊﾟｰﾄ],"",0,1)</f>
        <v>CASA弥冨A203</v>
      </c>
      <c r="V9" s="113">
        <f>_xlfn.XLOOKUP($C9,DBGenzai[社員№],DBGenzai[入居],"",0,1)</f>
        <v>44983</v>
      </c>
      <c r="W9" s="209">
        <f>_xlfn.XLOOKUP($C9,DBGenzai[社員№],DBGenzai[入社日],"",0,1)</f>
        <v>44222</v>
      </c>
      <c r="X9" s="113">
        <f>_xlfn.XLOOKUP($C9,DBGenzai[社員№],DBGenzai[退社日],"",0,1)</f>
        <v>45289</v>
      </c>
      <c r="Y9" s="111">
        <f>_xlfn.XLOOKUP($C9,DBGenzai[社員№],DBGenzai[退去],"",0,1)</f>
        <v>0</v>
      </c>
      <c r="Z9" s="111">
        <f>_xlfn.XLOOKUP($C9,DBGenzai[社員№],DBGenzai[備考],"",0,1)</f>
        <v>0</v>
      </c>
      <c r="AA9" s="113">
        <f>$AA$1</f>
        <v>45199</v>
      </c>
      <c r="AB9" s="159">
        <v>1.0009999999999999</v>
      </c>
      <c r="AC9" s="190" t="s">
        <v>3015</v>
      </c>
      <c r="AD9" s="114">
        <v>44230</v>
      </c>
      <c r="AE9" s="116">
        <v>45017</v>
      </c>
      <c r="AF9" s="252">
        <f>_xlfn.XLOOKUP($C9,DBGenzai[社員№],DBGenzai[請求単価],"",0,1)</f>
        <v>1800</v>
      </c>
      <c r="AG9" s="111">
        <f>($AG$2-TablaTransfor[[#This Row],[入社日]])/365</f>
        <v>2.6767123287671235</v>
      </c>
    </row>
    <row r="10" spans="1:33" hidden="1">
      <c r="A10" s="117">
        <f>SUBTOTAL(103,$C$3:C10)</f>
        <v>1</v>
      </c>
      <c r="B10" s="118">
        <v>1</v>
      </c>
      <c r="C10" s="111">
        <f>_xlfn.XLOOKUP($F$1&amp;B10,Filtro!B:B,Filtro!D:D,"",0,1)</f>
        <v>210102</v>
      </c>
      <c r="D10" s="111" t="str">
        <f>_xlfn.XLOOKUP(C10,DBGenzai[社員№],DBGenzai[現在],"",0,1)</f>
        <v>退社</v>
      </c>
      <c r="E10" s="111">
        <f>_xlfn.XLOOKUP($C10,DBGenzai[社員№],DBGenzai[派遣先ID],"",0,1)</f>
        <v>212004</v>
      </c>
      <c r="F10" s="111" t="str">
        <f>_xlfn.XLOOKUP($C10,DBGenzai[社員№],DBGenzai[配属先],"",0,1)</f>
        <v>高雄工業株式会社 本社工場製作課</v>
      </c>
      <c r="G10" s="111" t="str">
        <f>MID(TablaTransfor[[#This Row],[配属先]],1,8)</f>
        <v>高雄工業株式会社</v>
      </c>
      <c r="H10" s="111" t="str">
        <f>MID(TablaTransfor[[#This Row],[配属先]],9,6)</f>
        <v xml:space="preserve"> 本社工場製</v>
      </c>
      <c r="I10" s="111" t="str">
        <f>MID(TablaTransfor[[#This Row],[配属先]],15,12)</f>
        <v>作課</v>
      </c>
      <c r="J10" s="111" t="str">
        <f>_xlfn.XLOOKUP($C10,DBGenzai[社員№],DBGenzai[配属ライン],"",0,1)</f>
        <v>Fライン</v>
      </c>
      <c r="K10" s="111" t="str">
        <f>_xlfn.XLOOKUP($C10,DBGenzai[社員№],DBGenzai[氏名],"",0,1)</f>
        <v>NGUYEN DUC HUNG</v>
      </c>
      <c r="L10" s="111" t="str">
        <f>_xlfn.XLOOKUP($C10,DBGenzai[社員№],DBGenzai[カナ],"",0,1)</f>
        <v>グエン　ドック　フン</v>
      </c>
      <c r="M10" s="111" t="str">
        <f>_xlfn.XLOOKUP($C10,DBGenzai[社員№],DBGenzai[性別],"",0,1)</f>
        <v>男</v>
      </c>
      <c r="N10" s="111" t="str">
        <f>_xlfn.XLOOKUP($C10,DBGenzai[社員№],DBGenzai[国籍],"",0,1)</f>
        <v>ﾍﾞﾄﾅﾑ</v>
      </c>
      <c r="O10" s="113">
        <f>_xlfn.XLOOKUP($C10,DBGenzai[社員№],DBGenzai[生年月日],"",0,1)</f>
        <v>34018</v>
      </c>
      <c r="P10" s="111">
        <f>_xlfn.XLOOKUP($C10,DBGenzai[社員№],DBGenzai[年齢],"",0,1)</f>
        <v>30</v>
      </c>
      <c r="Q10" s="111">
        <f>_xlfn.XLOOKUP($C10,DBGenzai[社員№],DBGenzai[時給],"",0,1)</f>
        <v>1400</v>
      </c>
      <c r="R10" s="111">
        <f>_xlfn.XLOOKUP($C10,DBGenzai[社員№],DBGenzai[請求単価],"",0,1)</f>
        <v>1770</v>
      </c>
      <c r="S10" s="111" t="str">
        <f>_xlfn.XLOOKUP($C10,DBGenzai[社員№],DBGenzai[〒],"",0,1)</f>
        <v>498-0031</v>
      </c>
      <c r="T10" s="111" t="str">
        <f>_xlfn.XLOOKUP($C10,DBGenzai[社員№],DBGenzai[住所],"",0,1)</f>
        <v>愛知県弥富市平島町中新田196-1</v>
      </c>
      <c r="U10" s="111" t="str">
        <f>_xlfn.XLOOKUP($C10,DBGenzai[社員№],DBGenzai[ｱﾊﾟｰﾄ],"",0,1)</f>
        <v>ｺﾝﾂｪﾙﾊｳｽＣ203</v>
      </c>
      <c r="V10" s="113">
        <f>_xlfn.XLOOKUP($C10,DBGenzai[社員№],DBGenzai[入居],"",0,1)</f>
        <v>44193</v>
      </c>
      <c r="W10" s="209">
        <f>_xlfn.XLOOKUP($C10,DBGenzai[社員№],DBGenzai[入社日],"",0,1)</f>
        <v>44201</v>
      </c>
      <c r="X10" s="113">
        <f>_xlfn.XLOOKUP($C10,DBGenzai[社員№],DBGenzai[退社日],"",0,1)</f>
        <v>44860</v>
      </c>
      <c r="Y10" s="111">
        <f>_xlfn.XLOOKUP($C10,DBGenzai[社員№],DBGenzai[退去],"",0,1)</f>
        <v>0</v>
      </c>
      <c r="Z10" s="111">
        <f>_xlfn.XLOOKUP($C10,DBGenzai[社員№],DBGenzai[備考],"",0,1)</f>
        <v>0</v>
      </c>
      <c r="AA10" s="113">
        <f>$AA$1</f>
        <v>45199</v>
      </c>
      <c r="AB10" s="159">
        <v>1</v>
      </c>
      <c r="AC10" s="190" t="s">
        <v>3015</v>
      </c>
      <c r="AD10" s="114">
        <v>44230</v>
      </c>
      <c r="AE10" s="116">
        <v>45017</v>
      </c>
      <c r="AF10" s="252">
        <f>_xlfn.XLOOKUP($C10,DBGenzai[社員№],DBGenzai[請求単価],"",0,1)</f>
        <v>1770</v>
      </c>
      <c r="AG10" s="111">
        <f>($AG$2-TablaTransfor[[#This Row],[入社日]])/365</f>
        <v>2.7342465753424658</v>
      </c>
    </row>
    <row r="11" spans="1:33" hidden="1">
      <c r="A11" s="117">
        <f>SUBTOTAL(103,$C$3:C11)</f>
        <v>1</v>
      </c>
      <c r="B11" s="111">
        <v>6</v>
      </c>
      <c r="C11" s="111">
        <f>_xlfn.XLOOKUP($F$1&amp;B11,Filtro!B:B,Filtro!D:D,"",0,1)</f>
        <v>211102</v>
      </c>
      <c r="E11" s="186">
        <f>_xlfn.XLOOKUP($C11,DBGenzai[社員№],DBGenzai[派遣先ID],"",0,1)</f>
        <v>212016</v>
      </c>
      <c r="F11" s="186" t="str">
        <f>_xlfn.XLOOKUP($C11,DBGenzai[社員№],DBGenzai[配属先],"",0,1)</f>
        <v>高雄工業株式会社 本社工場製作課</v>
      </c>
      <c r="G11" s="186" t="str">
        <f>MID(TablaTransfor[[#This Row],[配属先]],1,8)</f>
        <v>高雄工業株式会社</v>
      </c>
      <c r="H11" s="186" t="str">
        <f>MID(TablaTransfor[[#This Row],[配属先]],9,6)</f>
        <v xml:space="preserve"> 本社工場製</v>
      </c>
      <c r="I11" s="186" t="str">
        <f>MID(TablaTransfor[[#This Row],[配属先]],15,12)</f>
        <v>作課</v>
      </c>
      <c r="J11" s="186" t="str">
        <f>_xlfn.XLOOKUP($C11,DBGenzai[社員№],DBGenzai[配属ライン],"",0,1)</f>
        <v>Gライン</v>
      </c>
      <c r="K11" s="186" t="str">
        <f>_xlfn.XLOOKUP($C11,DBGenzai[社員№],DBGenzai[氏名],"",0,1)</f>
        <v>LAM VAN THANH</v>
      </c>
      <c r="L11" s="186" t="str">
        <f>_xlfn.XLOOKUP($C11,DBGenzai[社員№],DBGenzai[カナ],"",0,1)</f>
        <v>ラム　ヴァン　タン</v>
      </c>
      <c r="M11" s="186" t="str">
        <f>_xlfn.XLOOKUP($C11,DBGenzai[社員№],DBGenzai[性別],"",0,1)</f>
        <v>男</v>
      </c>
      <c r="N11" s="186" t="str">
        <f>_xlfn.XLOOKUP($C11,DBGenzai[社員№],DBGenzai[国籍],"",0,1)</f>
        <v>ﾍﾞﾄﾅﾑ</v>
      </c>
      <c r="O11" s="113">
        <f>_xlfn.XLOOKUP($C11,DBGenzai[社員№],DBGenzai[生年月日],"",0,1)</f>
        <v>31725</v>
      </c>
      <c r="P11" s="111">
        <f>_xlfn.XLOOKUP($C11,DBGenzai[社員№],DBGenzai[年齢],"",0,1)</f>
        <v>37</v>
      </c>
      <c r="Q11" s="111">
        <f>_xlfn.XLOOKUP($C11,DBGenzai[社員№],DBGenzai[時給],"",0,1)</f>
        <v>1410</v>
      </c>
      <c r="R11" s="111">
        <f>_xlfn.XLOOKUP($C11,DBGenzai[社員№],DBGenzai[請求単価],"",0,1)</f>
        <v>1770</v>
      </c>
      <c r="S11" s="111" t="str">
        <f>_xlfn.XLOOKUP($C11,DBGenzai[社員№],DBGenzai[〒],"",0,1)</f>
        <v>453-0844</v>
      </c>
      <c r="T11" s="111" t="str">
        <f>_xlfn.XLOOKUP($C11,DBGenzai[社員№],DBGenzai[住所],"",0,1)</f>
        <v>愛知県名古屋市中村区小鴨町72番地</v>
      </c>
      <c r="U11" s="111" t="str">
        <f>_xlfn.XLOOKUP($C11,DBGenzai[社員№],DBGenzai[ｱﾊﾟｰﾄ],"",0,1)</f>
        <v>ﾏﾝｼｮﾝ早河302号室</v>
      </c>
      <c r="V11" s="113" t="str">
        <f>_xlfn.XLOOKUP($C11,DBGenzai[社員№],DBGenzai[入居],"",0,1)</f>
        <v>個人</v>
      </c>
      <c r="W11" s="187">
        <f>_xlfn.XLOOKUP($C11,DBGenzai[社員№],DBGenzai[入社日],"",0,1)</f>
        <v>44501</v>
      </c>
      <c r="X11" s="113">
        <f>_xlfn.XLOOKUP($C11,DBGenzai[社員№],DBGenzai[退社日],"",0,1)</f>
        <v>44923</v>
      </c>
      <c r="Y11" s="111">
        <f>_xlfn.XLOOKUP($C11,DBGenzai[社員№],DBGenzai[退去],"",0,1)</f>
        <v>0</v>
      </c>
      <c r="Z11" s="111" t="str">
        <f>_xlfn.XLOOKUP($C11,DBGenzai[社員№],DBGenzai[備考],"",0,1)</f>
        <v>2021/11/１（アルバイト）＝2021/11/16から　派遣社員</v>
      </c>
      <c r="AA11" s="187">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44834</v>
      </c>
      <c r="AB11" s="188">
        <f>(TablaTransfor[[#This Row],[unicos]]-TablaTransfor[[#This Row],[入社日]])/364</f>
        <v>0.9148351648351648</v>
      </c>
      <c r="AF11" s="251">
        <f>_xlfn.XLOOKUP($C11,DBGenzai[社員№],DBGenzai[請求単価],"",0,1)</f>
        <v>1770</v>
      </c>
      <c r="AG11" s="111">
        <f>($AG$2-TablaTransfor[[#This Row],[入社日]])/365</f>
        <v>1.9123287671232876</v>
      </c>
    </row>
    <row r="12" spans="1:33" hidden="1">
      <c r="A12" s="117">
        <f>SUBTOTAL(103,$C$3:C12)</f>
        <v>1</v>
      </c>
      <c r="B12" s="111">
        <v>89</v>
      </c>
      <c r="C12" s="111" t="str">
        <f>_xlfn.XLOOKUP($F$1&amp;B12,Filtro!B:B,Filtro!D:D,"",0,1)</f>
        <v/>
      </c>
      <c r="D12" s="111" t="str">
        <f>_xlfn.XLOOKUP(C12,DBGenzai[社員№],DBGenzai[現在],"",0,1)</f>
        <v/>
      </c>
      <c r="E12" s="111" t="str">
        <f>_xlfn.XLOOKUP($C12,DBGenzai[社員№],DBGenzai[派遣先ID],"",0,1)</f>
        <v/>
      </c>
      <c r="F12" s="111" t="str">
        <f>_xlfn.XLOOKUP($C12,DBGenzai[社員№],DBGenzai[配属先],"",0,1)</f>
        <v/>
      </c>
      <c r="G12" s="111" t="str">
        <f>MID(TablaTransfor[[#This Row],[配属先]],1,8)</f>
        <v/>
      </c>
      <c r="H12" s="111" t="str">
        <f>MID(TablaTransfor[[#This Row],[配属先]],9,6)</f>
        <v/>
      </c>
      <c r="I12" s="111" t="str">
        <f>MID(TablaTransfor[[#This Row],[配属先]],15,12)</f>
        <v/>
      </c>
      <c r="J12" s="111" t="str">
        <f>_xlfn.XLOOKUP($C12,DBGenzai[社員№],DBGenzai[配属ライン],"",0,1)</f>
        <v/>
      </c>
      <c r="K12" s="111" t="str">
        <f>_xlfn.XLOOKUP($C12,DBGenzai[社員№],DBGenzai[氏名],"",0,1)</f>
        <v/>
      </c>
      <c r="L12" s="111" t="str">
        <f>_xlfn.XLOOKUP($C12,DBGenzai[社員№],DBGenzai[カナ],"",0,1)</f>
        <v/>
      </c>
      <c r="M12" s="111" t="str">
        <f>_xlfn.XLOOKUP($C12,DBGenzai[社員№],DBGenzai[性別],"",0,1)</f>
        <v/>
      </c>
      <c r="N12" s="111" t="str">
        <f>_xlfn.XLOOKUP($C12,DBGenzai[社員№],DBGenzai[国籍],"",0,1)</f>
        <v/>
      </c>
      <c r="O12" s="113" t="str">
        <f>_xlfn.XLOOKUP($C12,DBGenzai[社員№],DBGenzai[生年月日],"",0,1)</f>
        <v/>
      </c>
      <c r="P12" s="111" t="str">
        <f>_xlfn.XLOOKUP($C12,DBGenzai[社員№],DBGenzai[年齢],"",0,1)</f>
        <v/>
      </c>
      <c r="Q12" s="111" t="str">
        <f>_xlfn.XLOOKUP($C12,DBGenzai[社員№],DBGenzai[時給],"",0,1)</f>
        <v/>
      </c>
      <c r="R12" s="111" t="str">
        <f>_xlfn.XLOOKUP($C12,DBGenzai[社員№],DBGenzai[請求単価],"",0,1)</f>
        <v/>
      </c>
      <c r="S12" s="111" t="str">
        <f>_xlfn.XLOOKUP($C12,DBGenzai[社員№],DBGenzai[〒],"",0,1)</f>
        <v/>
      </c>
      <c r="T12" s="111" t="str">
        <f>_xlfn.XLOOKUP($C12,DBGenzai[社員№],DBGenzai[住所],"",0,1)</f>
        <v/>
      </c>
      <c r="U12" s="111" t="str">
        <f>_xlfn.XLOOKUP($C12,DBGenzai[社員№],DBGenzai[ｱﾊﾟｰﾄ],"",0,1)</f>
        <v/>
      </c>
      <c r="V12" s="113" t="str">
        <f>_xlfn.XLOOKUP($C12,DBGenzai[社員№],DBGenzai[入居],"",0,1)</f>
        <v/>
      </c>
      <c r="W12" s="113" t="str">
        <f>_xlfn.XLOOKUP($C12,DBGenzai[社員№],DBGenzai[入社日],"",0,1)</f>
        <v/>
      </c>
      <c r="X12" s="113" t="str">
        <f>_xlfn.XLOOKUP($C12,DBGenzai[社員№],DBGenzai[退社日],"",0,1)</f>
        <v/>
      </c>
      <c r="Y12" s="111" t="str">
        <f>_xlfn.XLOOKUP($C12,DBGenzai[社員№],DBGenzai[退去],"",0,1)</f>
        <v/>
      </c>
      <c r="Z12" s="111" t="str">
        <f>_xlfn.XLOOKUP($C12,DBGenzai[社員№],DBGenzai[備考],"",0,1)</f>
        <v/>
      </c>
      <c r="AA1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 s="159" t="e">
        <f>(TablaTransfor[[#This Row],[unicos]]-TablaTransfor[[#This Row],[入社日]])/364</f>
        <v>#VALUE!</v>
      </c>
      <c r="AC12" s="190" t="s">
        <v>2968</v>
      </c>
      <c r="AF12" s="251" t="str">
        <f>_xlfn.XLOOKUP($C12,DBGenzai[社員№],DBGenzai[請求単価],"",0,1)</f>
        <v/>
      </c>
      <c r="AG12" s="111" t="e">
        <f>($AG$2-TablaTransfor[[#This Row],[入社日]])/365</f>
        <v>#VALUE!</v>
      </c>
    </row>
    <row r="13" spans="1:33" hidden="1">
      <c r="A13" s="117">
        <f>SUBTOTAL(103,$C$3:C13)</f>
        <v>1</v>
      </c>
      <c r="B13" s="111">
        <v>90</v>
      </c>
      <c r="C13" s="111" t="str">
        <f>_xlfn.XLOOKUP($F$1&amp;B13,Filtro!B:B,Filtro!D:D,"",0,1)</f>
        <v/>
      </c>
      <c r="D13" s="111" t="str">
        <f>_xlfn.XLOOKUP(C13,DBGenzai[社員№],DBGenzai[現在],"",0,1)</f>
        <v/>
      </c>
      <c r="E13" s="111" t="str">
        <f>_xlfn.XLOOKUP($C13,DBGenzai[社員№],DBGenzai[派遣先ID],"",0,1)</f>
        <v/>
      </c>
      <c r="F13" s="111" t="str">
        <f>_xlfn.XLOOKUP($C13,DBGenzai[社員№],DBGenzai[配属先],"",0,1)</f>
        <v/>
      </c>
      <c r="G13" s="111" t="str">
        <f>MID(TablaTransfor[[#This Row],[配属先]],1,8)</f>
        <v/>
      </c>
      <c r="H13" s="111" t="str">
        <f>MID(TablaTransfor[[#This Row],[配属先]],9,6)</f>
        <v/>
      </c>
      <c r="I13" s="111" t="str">
        <f>MID(TablaTransfor[[#This Row],[配属先]],15,12)</f>
        <v/>
      </c>
      <c r="J13" s="111" t="str">
        <f>_xlfn.XLOOKUP($C13,DBGenzai[社員№],DBGenzai[配属ライン],"",0,1)</f>
        <v/>
      </c>
      <c r="K13" s="111" t="str">
        <f>_xlfn.XLOOKUP($C13,DBGenzai[社員№],DBGenzai[氏名],"",0,1)</f>
        <v/>
      </c>
      <c r="L13" s="111" t="str">
        <f>_xlfn.XLOOKUP($C13,DBGenzai[社員№],DBGenzai[カナ],"",0,1)</f>
        <v/>
      </c>
      <c r="M13" s="111" t="str">
        <f>_xlfn.XLOOKUP($C13,DBGenzai[社員№],DBGenzai[性別],"",0,1)</f>
        <v/>
      </c>
      <c r="N13" s="111" t="str">
        <f>_xlfn.XLOOKUP($C13,DBGenzai[社員№],DBGenzai[国籍],"",0,1)</f>
        <v/>
      </c>
      <c r="O13" s="113" t="str">
        <f>_xlfn.XLOOKUP($C13,DBGenzai[社員№],DBGenzai[生年月日],"",0,1)</f>
        <v/>
      </c>
      <c r="P13" s="111" t="str">
        <f>_xlfn.XLOOKUP($C13,DBGenzai[社員№],DBGenzai[年齢],"",0,1)</f>
        <v/>
      </c>
      <c r="Q13" s="111" t="str">
        <f>_xlfn.XLOOKUP($C13,DBGenzai[社員№],DBGenzai[時給],"",0,1)</f>
        <v/>
      </c>
      <c r="R13" s="111" t="str">
        <f>_xlfn.XLOOKUP($C13,DBGenzai[社員№],DBGenzai[請求単価],"",0,1)</f>
        <v/>
      </c>
      <c r="S13" s="111" t="str">
        <f>_xlfn.XLOOKUP($C13,DBGenzai[社員№],DBGenzai[〒],"",0,1)</f>
        <v/>
      </c>
      <c r="T13" s="111" t="str">
        <f>_xlfn.XLOOKUP($C13,DBGenzai[社員№],DBGenzai[住所],"",0,1)</f>
        <v/>
      </c>
      <c r="U13" s="111" t="str">
        <f>_xlfn.XLOOKUP($C13,DBGenzai[社員№],DBGenzai[ｱﾊﾟｰﾄ],"",0,1)</f>
        <v/>
      </c>
      <c r="V13" s="113" t="str">
        <f>_xlfn.XLOOKUP($C13,DBGenzai[社員№],DBGenzai[入居],"",0,1)</f>
        <v/>
      </c>
      <c r="W13" s="113" t="str">
        <f>_xlfn.XLOOKUP($C13,DBGenzai[社員№],DBGenzai[入社日],"",0,1)</f>
        <v/>
      </c>
      <c r="X13" s="113" t="str">
        <f>_xlfn.XLOOKUP($C13,DBGenzai[社員№],DBGenzai[退社日],"",0,1)</f>
        <v/>
      </c>
      <c r="Y13" s="111" t="str">
        <f>_xlfn.XLOOKUP($C13,DBGenzai[社員№],DBGenzai[退去],"",0,1)</f>
        <v/>
      </c>
      <c r="Z13" s="111" t="str">
        <f>_xlfn.XLOOKUP($C13,DBGenzai[社員№],DBGenzai[備考],"",0,1)</f>
        <v/>
      </c>
      <c r="AA13"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 s="159" t="e">
        <f>(TablaTransfor[[#This Row],[unicos]]-TablaTransfor[[#This Row],[入社日]])/364</f>
        <v>#VALUE!</v>
      </c>
      <c r="AC13" s="173" t="s">
        <v>2968</v>
      </c>
      <c r="AF13" s="251" t="str">
        <f>_xlfn.XLOOKUP($C13,DBGenzai[社員№],DBGenzai[請求単価],"",0,1)</f>
        <v/>
      </c>
      <c r="AG13" s="111" t="e">
        <f>($AG$2-TablaTransfor[[#This Row],[入社日]])/365</f>
        <v>#VALUE!</v>
      </c>
    </row>
    <row r="14" spans="1:33">
      <c r="A14" s="117">
        <f>SUBTOTAL(103,$C$3:C14)</f>
        <v>2</v>
      </c>
      <c r="B14" s="111">
        <v>4</v>
      </c>
      <c r="C14" s="111">
        <f>_xlfn.XLOOKUP($F$1&amp;B14,Filtro!B:B,Filtro!D:D,"",0,1)</f>
        <v>210208</v>
      </c>
      <c r="D14" s="111" t="str">
        <f>_xlfn.XLOOKUP(C14,DBGenzai[社員№],DBGenzai[現在],"",0,1)</f>
        <v>在職中</v>
      </c>
      <c r="E14" s="111">
        <f>_xlfn.XLOOKUP($C14,DBGenzai[社員№],DBGenzai[派遣先ID],"",0,1)</f>
        <v>212008</v>
      </c>
      <c r="F14" s="111" t="str">
        <f>_xlfn.XLOOKUP($C14,DBGenzai[社員№],DBGenzai[配属先],"",0,1)</f>
        <v>高雄工業株式会社 本社工場製作課</v>
      </c>
      <c r="G14" s="111" t="str">
        <f>MID(TablaTransfor[[#This Row],[配属先]],1,8)</f>
        <v>高雄工業株式会社</v>
      </c>
      <c r="H14" s="111" t="str">
        <f>MID(TablaTransfor[[#This Row],[配属先]],9,6)</f>
        <v xml:space="preserve"> 本社工場製</v>
      </c>
      <c r="I14" s="111" t="str">
        <f>MID(TablaTransfor[[#This Row],[配属先]],15,12)</f>
        <v>作課</v>
      </c>
      <c r="J14" s="111" t="str">
        <f>_xlfn.XLOOKUP($C14,DBGenzai[社員№],DBGenzai[配属ライン],"",0,1)</f>
        <v>Fライン</v>
      </c>
      <c r="K14" s="111" t="str">
        <f>_xlfn.XLOOKUP($C14,DBGenzai[社員№],DBGenzai[氏名],"",0,1)</f>
        <v>MAI VAN DO</v>
      </c>
      <c r="L14" s="111" t="str">
        <f>_xlfn.XLOOKUP($C14,DBGenzai[社員№],DBGenzai[カナ],"",0,1)</f>
        <v>マイ　ヴァン　ドー</v>
      </c>
      <c r="M14" s="111" t="str">
        <f>_xlfn.XLOOKUP($C14,DBGenzai[社員№],DBGenzai[性別],"",0,1)</f>
        <v>男</v>
      </c>
      <c r="N14" s="111" t="str">
        <f>_xlfn.XLOOKUP($C14,DBGenzai[社員№],DBGenzai[国籍],"",0,1)</f>
        <v>ﾍﾞﾄﾅﾑ</v>
      </c>
      <c r="O14" s="113">
        <f>_xlfn.XLOOKUP($C14,DBGenzai[社員№],DBGenzai[生年月日],"",0,1)</f>
        <v>33087</v>
      </c>
      <c r="P14" s="111">
        <f>_xlfn.XLOOKUP($C14,DBGenzai[社員№],DBGenzai[年齢],"",0,1)</f>
        <v>33</v>
      </c>
      <c r="Q14" s="111">
        <f>_xlfn.XLOOKUP($C14,DBGenzai[社員№],DBGenzai[時給],"",0,1)</f>
        <v>1400</v>
      </c>
      <c r="R14" s="111">
        <f>_xlfn.XLOOKUP($C14,DBGenzai[社員№],DBGenzai[請求単価],"",0,1)</f>
        <v>1800</v>
      </c>
      <c r="S14" s="111" t="str">
        <f>_xlfn.XLOOKUP($C14,DBGenzai[社員№],DBGenzai[〒],"",0,1)</f>
        <v>498-0031</v>
      </c>
      <c r="T14" s="111" t="str">
        <f>_xlfn.XLOOKUP($C14,DBGenzai[社員№],DBGenzai[住所],"",0,1)</f>
        <v>愛知県弥富市平島町中新田128</v>
      </c>
      <c r="U14" s="111" t="str">
        <f>_xlfn.XLOOKUP($C14,DBGenzai[社員№],DBGenzai[ｱﾊﾟｰﾄ],"",0,1)</f>
        <v>ﾊｲﾂ大富B棟1</v>
      </c>
      <c r="V14" s="113">
        <f>_xlfn.XLOOKUP($C14,DBGenzai[社員№],DBGenzai[入居],"",0,1)</f>
        <v>44232</v>
      </c>
      <c r="W14" s="113">
        <f>_xlfn.XLOOKUP($C14,DBGenzai[社員№],DBGenzai[入社日],"",0,1)</f>
        <v>44243</v>
      </c>
      <c r="X14" s="113">
        <f>_xlfn.XLOOKUP($C14,DBGenzai[社員№],DBGenzai[退社日],"",0,1)</f>
        <v>0</v>
      </c>
      <c r="Y14" s="111">
        <f>_xlfn.XLOOKUP($C14,DBGenzai[社員№],DBGenzai[退去],"",0,1)</f>
        <v>0</v>
      </c>
      <c r="Z14" s="111">
        <f>_xlfn.XLOOKUP($C14,DBGenzai[社員№],DBGenzai[備考],"",0,1)</f>
        <v>0</v>
      </c>
      <c r="AA14"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44469</v>
      </c>
      <c r="AB14" s="159">
        <f>(TablaTransfor[[#This Row],[unicos]]-TablaTransfor[[#This Row],[入社日]])/364</f>
        <v>0.62087912087912089</v>
      </c>
      <c r="AC14" s="538" t="s">
        <v>2968</v>
      </c>
      <c r="AF14" s="251">
        <f>_xlfn.XLOOKUP($C14,DBGenzai[社員№],DBGenzai[請求単価],"",0,1)</f>
        <v>1800</v>
      </c>
      <c r="AG14" s="111">
        <f>($AG$2-TablaTransfor[[#This Row],[入社日]])/365</f>
        <v>2.6191780821917807</v>
      </c>
    </row>
    <row r="15" spans="1:33" hidden="1">
      <c r="A15" s="117">
        <f>SUBTOTAL(103,$C$3:C15)</f>
        <v>2</v>
      </c>
      <c r="B15" s="111">
        <v>91</v>
      </c>
      <c r="C15" s="111" t="str">
        <f>_xlfn.XLOOKUP($F$1&amp;B15,Filtro!B:B,Filtro!D:D,"",0,1)</f>
        <v/>
      </c>
      <c r="D15" s="111" t="str">
        <f>_xlfn.XLOOKUP(C15,DBGenzai[社員№],DBGenzai[現在],"",0,1)</f>
        <v/>
      </c>
      <c r="E15" s="111" t="str">
        <f>_xlfn.XLOOKUP($C15,DBGenzai[社員№],DBGenzai[派遣先ID],"",0,1)</f>
        <v/>
      </c>
      <c r="F15" s="111" t="str">
        <f>_xlfn.XLOOKUP($C15,DBGenzai[社員№],DBGenzai[配属先],"",0,1)</f>
        <v/>
      </c>
      <c r="G15" s="111" t="str">
        <f>MID(TablaTransfor[[#This Row],[配属先]],1,8)</f>
        <v/>
      </c>
      <c r="H15" s="111" t="str">
        <f>MID(TablaTransfor[[#This Row],[配属先]],9,6)</f>
        <v/>
      </c>
      <c r="I15" s="111" t="str">
        <f>MID(TablaTransfor[[#This Row],[配属先]],15,12)</f>
        <v/>
      </c>
      <c r="J15" s="111" t="str">
        <f>_xlfn.XLOOKUP($C15,DBGenzai[社員№],DBGenzai[配属ライン],"",0,1)</f>
        <v/>
      </c>
      <c r="K15" s="111" t="str">
        <f>_xlfn.XLOOKUP($C15,DBGenzai[社員№],DBGenzai[氏名],"",0,1)</f>
        <v/>
      </c>
      <c r="L15" s="111" t="str">
        <f>_xlfn.XLOOKUP($C15,DBGenzai[社員№],DBGenzai[カナ],"",0,1)</f>
        <v/>
      </c>
      <c r="M15" s="111" t="str">
        <f>_xlfn.XLOOKUP($C15,DBGenzai[社員№],DBGenzai[性別],"",0,1)</f>
        <v/>
      </c>
      <c r="N15" s="111" t="str">
        <f>_xlfn.XLOOKUP($C15,DBGenzai[社員№],DBGenzai[国籍],"",0,1)</f>
        <v/>
      </c>
      <c r="O15" s="113" t="str">
        <f>_xlfn.XLOOKUP($C15,DBGenzai[社員№],DBGenzai[生年月日],"",0,1)</f>
        <v/>
      </c>
      <c r="P15" s="111" t="str">
        <f>_xlfn.XLOOKUP($C15,DBGenzai[社員№],DBGenzai[年齢],"",0,1)</f>
        <v/>
      </c>
      <c r="Q15" s="111" t="str">
        <f>_xlfn.XLOOKUP($C15,DBGenzai[社員№],DBGenzai[時給],"",0,1)</f>
        <v/>
      </c>
      <c r="R15" s="111" t="str">
        <f>_xlfn.XLOOKUP($C15,DBGenzai[社員№],DBGenzai[請求単価],"",0,1)</f>
        <v/>
      </c>
      <c r="S15" s="111" t="str">
        <f>_xlfn.XLOOKUP($C15,DBGenzai[社員№],DBGenzai[〒],"",0,1)</f>
        <v/>
      </c>
      <c r="T15" s="111" t="str">
        <f>_xlfn.XLOOKUP($C15,DBGenzai[社員№],DBGenzai[住所],"",0,1)</f>
        <v/>
      </c>
      <c r="U15" s="111" t="str">
        <f>_xlfn.XLOOKUP($C15,DBGenzai[社員№],DBGenzai[ｱﾊﾟｰﾄ],"",0,1)</f>
        <v/>
      </c>
      <c r="V15" s="113" t="str">
        <f>_xlfn.XLOOKUP($C15,DBGenzai[社員№],DBGenzai[入居],"",0,1)</f>
        <v/>
      </c>
      <c r="W15" s="113" t="str">
        <f>_xlfn.XLOOKUP($C15,DBGenzai[社員№],DBGenzai[入社日],"",0,1)</f>
        <v/>
      </c>
      <c r="X15" s="113" t="str">
        <f>_xlfn.XLOOKUP($C15,DBGenzai[社員№],DBGenzai[退社日],"",0,1)</f>
        <v/>
      </c>
      <c r="Y15" s="111" t="str">
        <f>_xlfn.XLOOKUP($C15,DBGenzai[社員№],DBGenzai[退去],"",0,1)</f>
        <v/>
      </c>
      <c r="Z15" s="111" t="str">
        <f>_xlfn.XLOOKUP($C15,DBGenzai[社員№],DBGenzai[備考],"",0,1)</f>
        <v/>
      </c>
      <c r="AA1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 s="159" t="e">
        <f>(TablaTransfor[[#This Row],[unicos]]-TablaTransfor[[#This Row],[入社日]])/364</f>
        <v>#VALUE!</v>
      </c>
      <c r="AC15" s="173" t="s">
        <v>2968</v>
      </c>
      <c r="AF15" s="251" t="str">
        <f>_xlfn.XLOOKUP($C15,DBGenzai[社員№],DBGenzai[請求単価],"",0,1)</f>
        <v/>
      </c>
      <c r="AG15" s="111" t="e">
        <f>($AG$2-TablaTransfor[[#This Row],[入社日]])/365</f>
        <v>#VALUE!</v>
      </c>
    </row>
    <row r="16" spans="1:33">
      <c r="A16" s="117">
        <f>SUBTOTAL(103,$C$3:C16)</f>
        <v>3</v>
      </c>
      <c r="B16" s="111">
        <v>21</v>
      </c>
      <c r="C16" s="111">
        <f>_xlfn.XLOOKUP($F$1&amp;B16,Filtro!B:B,Filtro!D:D,"",0,1)</f>
        <v>230220</v>
      </c>
      <c r="D16" s="111" t="str">
        <f>_xlfn.XLOOKUP(C16,DBGenzai[社員№],DBGenzai[現在],"",0,1)</f>
        <v>在職中</v>
      </c>
      <c r="E16" s="111">
        <f>_xlfn.XLOOKUP($C16,DBGenzai[社員№],DBGenzai[派遣先ID],"",0,1)</f>
        <v>212038</v>
      </c>
      <c r="F16" s="111" t="str">
        <f>_xlfn.XLOOKUP($C16,DBGenzai[社員№],DBGenzai[配属先],"",0,1)</f>
        <v>高雄工業株式会社 第一営業部本社営業課</v>
      </c>
      <c r="G16" s="111" t="str">
        <f>MID(TablaTransfor[[#This Row],[配属先]],1,8)</f>
        <v>高雄工業株式会社</v>
      </c>
      <c r="H16" s="111" t="str">
        <f>MID(TablaTransfor[[#This Row],[配属先]],9,6)</f>
        <v xml:space="preserve"> 第一営業部</v>
      </c>
      <c r="I16" s="111" t="str">
        <f>MID(TablaTransfor[[#This Row],[配属先]],15,12)</f>
        <v>本社営業課</v>
      </c>
      <c r="J16" s="111" t="str">
        <f>_xlfn.XLOOKUP($C16,DBGenzai[社員№],DBGenzai[配属ライン],"",0,1)</f>
        <v>リフト作業</v>
      </c>
      <c r="K16" s="111" t="str">
        <f>_xlfn.XLOOKUP($C16,DBGenzai[社員№],DBGenzai[氏名],"",0,1)</f>
        <v>SIDO SERGIO HIROJI</v>
      </c>
      <c r="L16" s="111" t="str">
        <f>_xlfn.XLOOKUP($C16,DBGenzai[社員№],DBGenzai[カナ],"",0,1)</f>
        <v>シドウ　セルジオ　ヒロジ</v>
      </c>
      <c r="M16" s="111" t="str">
        <f>_xlfn.XLOOKUP($C16,DBGenzai[社員№],DBGenzai[性別],"",0,1)</f>
        <v>男</v>
      </c>
      <c r="N16" s="111" t="str">
        <f>_xlfn.XLOOKUP($C16,DBGenzai[社員№],DBGenzai[国籍],"",0,1)</f>
        <v>ﾌﾞﾗｼﾞﾙ</v>
      </c>
      <c r="O16" s="113">
        <f>_xlfn.XLOOKUP($C16,DBGenzai[社員№],DBGenzai[生年月日],"",0,1)</f>
        <v>21815</v>
      </c>
      <c r="P16" s="111">
        <f>_xlfn.XLOOKUP($C16,DBGenzai[社員№],DBGenzai[年齢],"",0,1)</f>
        <v>64</v>
      </c>
      <c r="Q16" s="111">
        <f>_xlfn.XLOOKUP($C16,DBGenzai[社員№],DBGenzai[時給],"",0,1)</f>
        <v>1400</v>
      </c>
      <c r="R16" s="111">
        <f>_xlfn.XLOOKUP($C16,DBGenzai[社員№],DBGenzai[請求単価],"",0,1)</f>
        <v>1750</v>
      </c>
      <c r="S16" s="111" t="str">
        <f>_xlfn.XLOOKUP($C16,DBGenzai[社員№],DBGenzai[〒],"",0,1)</f>
        <v>478-0054</v>
      </c>
      <c r="T16" s="111" t="str">
        <f>_xlfn.XLOOKUP($C16,DBGenzai[社員№],DBGenzai[住所],"",0,1)</f>
        <v>愛知県知多市つづじヶ丘1丁目14番地</v>
      </c>
      <c r="U16" s="111" t="str">
        <f>_xlfn.XLOOKUP($C16,DBGenzai[社員№],DBGenzai[ｱﾊﾟｰﾄ],"",0,1)</f>
        <v>2号棟306号</v>
      </c>
      <c r="V16" s="113" t="str">
        <f>_xlfn.XLOOKUP($C16,DBGenzai[社員№],DBGenzai[入居],"",0,1)</f>
        <v>個人</v>
      </c>
      <c r="W16" s="197">
        <v>44501</v>
      </c>
      <c r="X16" s="113">
        <f>_xlfn.XLOOKUP($C16,DBGenzai[社員№],DBGenzai[退社日],"",0,1)</f>
        <v>0</v>
      </c>
      <c r="Y16" s="111">
        <f>_xlfn.XLOOKUP($C16,DBGenzai[社員№],DBGenzai[退去],"",0,1)</f>
        <v>0</v>
      </c>
      <c r="Z16" s="111">
        <f>_xlfn.XLOOKUP($C16,DBGenzai[社員№],DBGenzai[備考],"",0,1)</f>
        <v>0</v>
      </c>
      <c r="AA16" s="113">
        <f>$AA$1</f>
        <v>45199</v>
      </c>
      <c r="AB16" s="159">
        <f>(TablaTransfor[[#This Row],[unicos]]-TablaTransfor[[#This Row],[入社日]])/364</f>
        <v>1.9175824175824177</v>
      </c>
      <c r="AC16" s="174" t="s">
        <v>3018</v>
      </c>
      <c r="AD16" s="114">
        <v>44616</v>
      </c>
      <c r="AE16" s="116">
        <v>45017</v>
      </c>
      <c r="AF16" s="252">
        <f>_xlfn.XLOOKUP($C16,DBGenzai[社員№],DBGenzai[請求単価],"",0,1)</f>
        <v>1750</v>
      </c>
      <c r="AG16" s="111">
        <f>($AG$2-TablaTransfor[[#This Row],[入社日]])/365</f>
        <v>1.9123287671232876</v>
      </c>
    </row>
    <row r="17" spans="1:33" hidden="1">
      <c r="A17" s="117">
        <f>SUBTOTAL(103,$C$3:C17)</f>
        <v>3</v>
      </c>
      <c r="B17" s="111">
        <v>9</v>
      </c>
      <c r="C17" s="111">
        <f>_xlfn.XLOOKUP($F$1&amp;B17,Filtro!B:B,Filtro!D:D,"",0,1)</f>
        <v>220204</v>
      </c>
      <c r="D17" s="111" t="str">
        <f>_xlfn.XLOOKUP(C17,DBGenzai[社員№],DBGenzai[現在],"",0,1)</f>
        <v>退社</v>
      </c>
      <c r="E17" s="111">
        <f>_xlfn.XLOOKUP($C17,DBGenzai[社員№],DBGenzai[派遣先ID],"",0,1)</f>
        <v>212021</v>
      </c>
      <c r="F17" s="111" t="str">
        <f>_xlfn.XLOOKUP($C17,DBGenzai[社員№],DBGenzai[配属先],"",0,1)</f>
        <v>高雄工業株式会社 本社工場製作課</v>
      </c>
      <c r="G17" s="111" t="str">
        <f>MID(TablaTransfor[[#This Row],[配属先]],1,8)</f>
        <v>高雄工業株式会社</v>
      </c>
      <c r="H17" s="111" t="str">
        <f>MID(TablaTransfor[[#This Row],[配属先]],9,6)</f>
        <v xml:space="preserve"> 本社工場製</v>
      </c>
      <c r="I17" s="111" t="str">
        <f>MID(TablaTransfor[[#This Row],[配属先]],15,12)</f>
        <v>作課</v>
      </c>
      <c r="J17" s="111" t="str">
        <f>_xlfn.XLOOKUP($C17,DBGenzai[社員№],DBGenzai[配属ライン],"",0,1)</f>
        <v>Gライン</v>
      </c>
      <c r="K17" s="111" t="str">
        <f>_xlfn.XLOOKUP($C17,DBGenzai[社員№],DBGenzai[氏名],"",0,1)</f>
        <v>VU VAN QUYNH</v>
      </c>
      <c r="L17" s="111" t="str">
        <f>_xlfn.XLOOKUP($C17,DBGenzai[社員№],DBGenzai[カナ],"",0,1)</f>
        <v>ヴー　ヴァン　クイン</v>
      </c>
      <c r="M17" s="111" t="str">
        <f>_xlfn.XLOOKUP($C17,DBGenzai[社員№],DBGenzai[性別],"",0,1)</f>
        <v>男</v>
      </c>
      <c r="N17" s="111" t="str">
        <f>_xlfn.XLOOKUP($C17,DBGenzai[社員№],DBGenzai[国籍],"",0,1)</f>
        <v>ﾍﾞﾄﾅﾑ</v>
      </c>
      <c r="O17" s="113">
        <f>_xlfn.XLOOKUP($C17,DBGenzai[社員№],DBGenzai[生年月日],"",0,1)</f>
        <v>35733</v>
      </c>
      <c r="P17" s="111">
        <f>_xlfn.XLOOKUP($C17,DBGenzai[社員№],DBGenzai[年齢],"",0,1)</f>
        <v>26</v>
      </c>
      <c r="Q17" s="111">
        <f>_xlfn.XLOOKUP($C17,DBGenzai[社員№],DBGenzai[時給],"",0,1)</f>
        <v>1400</v>
      </c>
      <c r="R17" s="111">
        <f>_xlfn.XLOOKUP($C17,DBGenzai[社員№],DBGenzai[請求単価],"",0,1)</f>
        <v>1760</v>
      </c>
      <c r="S17" s="111" t="str">
        <f>_xlfn.XLOOKUP($C17,DBGenzai[社員№],DBGenzai[〒],"",0,1)</f>
        <v>498-0025</v>
      </c>
      <c r="T17" s="111" t="str">
        <f>_xlfn.XLOOKUP($C17,DBGenzai[社員№],DBGenzai[住所],"",0,1)</f>
        <v>愛知県弥富市平島町喜右味名78-1</v>
      </c>
      <c r="U17" s="111" t="str">
        <f>_xlfn.XLOOKUP($C17,DBGenzai[社員№],DBGenzai[ｱﾊﾟｰﾄ],"",0,1)</f>
        <v>ﾌﾚｸﾞﾗﾝｽ桂E棟102号</v>
      </c>
      <c r="V17" s="113">
        <f>_xlfn.XLOOKUP($C17,DBGenzai[社員№],DBGenzai[入居],"",0,1)</f>
        <v>44602</v>
      </c>
      <c r="W17" s="209">
        <f>_xlfn.XLOOKUP($C17,DBGenzai[社員№],DBGenzai[入社日],"",0,1)</f>
        <v>44599</v>
      </c>
      <c r="X17" s="113">
        <f>_xlfn.XLOOKUP($C17,DBGenzai[社員№],DBGenzai[退社日],"",0,1)</f>
        <v>45020</v>
      </c>
      <c r="Y17" s="111">
        <f>_xlfn.XLOOKUP($C17,DBGenzai[社員№],DBGenzai[退去],"",0,1)</f>
        <v>45020</v>
      </c>
      <c r="Z17" s="111">
        <f>_xlfn.XLOOKUP($C17,DBGenzai[社員№],DBGenzai[備考],"",0,1)</f>
        <v>0</v>
      </c>
      <c r="AA17" s="113">
        <f>$AA$1</f>
        <v>45199</v>
      </c>
      <c r="AB17" s="159">
        <f>(TablaTransfor[[#This Row],[unicos]]-TablaTransfor[[#This Row],[入社日]])/364</f>
        <v>1.6483516483516483</v>
      </c>
      <c r="AC17" s="174" t="s">
        <v>3018</v>
      </c>
      <c r="AD17" s="114">
        <v>44396</v>
      </c>
      <c r="AE17" s="116">
        <v>45017</v>
      </c>
      <c r="AF17" s="252">
        <f>_xlfn.XLOOKUP($C17,DBGenzai[社員№],DBGenzai[請求単価],"",0,1)</f>
        <v>1760</v>
      </c>
      <c r="AG17" s="111">
        <f>($AG$2-TablaTransfor[[#This Row],[入社日]])/365</f>
        <v>1.6438356164383561</v>
      </c>
    </row>
    <row r="18" spans="1:33" hidden="1">
      <c r="A18" s="117">
        <f>SUBTOTAL(103,$C$3:C18)</f>
        <v>3</v>
      </c>
      <c r="B18" s="111">
        <v>92</v>
      </c>
      <c r="C18" s="111" t="str">
        <f>_xlfn.XLOOKUP($F$1&amp;B18,Filtro!B:B,Filtro!D:D,"",0,1)</f>
        <v/>
      </c>
      <c r="D18" s="111" t="str">
        <f>_xlfn.XLOOKUP(C18,DBGenzai[社員№],DBGenzai[現在],"",0,1)</f>
        <v/>
      </c>
      <c r="E18" s="111" t="str">
        <f>_xlfn.XLOOKUP($C18,DBGenzai[社員№],DBGenzai[派遣先ID],"",0,1)</f>
        <v/>
      </c>
      <c r="F18" s="111" t="str">
        <f>_xlfn.XLOOKUP($C18,DBGenzai[社員№],DBGenzai[配属先],"",0,1)</f>
        <v/>
      </c>
      <c r="G18" s="111" t="str">
        <f>MID(TablaTransfor[[#This Row],[配属先]],1,8)</f>
        <v/>
      </c>
      <c r="H18" s="111" t="str">
        <f>MID(TablaTransfor[[#This Row],[配属先]],9,6)</f>
        <v/>
      </c>
      <c r="I18" s="111" t="str">
        <f>MID(TablaTransfor[[#This Row],[配属先]],15,12)</f>
        <v/>
      </c>
      <c r="J18" s="111" t="str">
        <f>_xlfn.XLOOKUP($C18,DBGenzai[社員№],DBGenzai[配属ライン],"",0,1)</f>
        <v/>
      </c>
      <c r="K18" s="111" t="str">
        <f>_xlfn.XLOOKUP($C18,DBGenzai[社員№],DBGenzai[氏名],"",0,1)</f>
        <v/>
      </c>
      <c r="L18" s="111" t="str">
        <f>_xlfn.XLOOKUP($C18,DBGenzai[社員№],DBGenzai[カナ],"",0,1)</f>
        <v/>
      </c>
      <c r="M18" s="111" t="str">
        <f>_xlfn.XLOOKUP($C18,DBGenzai[社員№],DBGenzai[性別],"",0,1)</f>
        <v/>
      </c>
      <c r="N18" s="111" t="str">
        <f>_xlfn.XLOOKUP($C18,DBGenzai[社員№],DBGenzai[国籍],"",0,1)</f>
        <v/>
      </c>
      <c r="O18" s="113" t="str">
        <f>_xlfn.XLOOKUP($C18,DBGenzai[社員№],DBGenzai[生年月日],"",0,1)</f>
        <v/>
      </c>
      <c r="P18" s="111" t="str">
        <f>_xlfn.XLOOKUP($C18,DBGenzai[社員№],DBGenzai[年齢],"",0,1)</f>
        <v/>
      </c>
      <c r="Q18" s="111" t="str">
        <f>_xlfn.XLOOKUP($C18,DBGenzai[社員№],DBGenzai[時給],"",0,1)</f>
        <v/>
      </c>
      <c r="R18" s="111" t="str">
        <f>_xlfn.XLOOKUP($C18,DBGenzai[社員№],DBGenzai[請求単価],"",0,1)</f>
        <v/>
      </c>
      <c r="S18" s="111" t="str">
        <f>_xlfn.XLOOKUP($C18,DBGenzai[社員№],DBGenzai[〒],"",0,1)</f>
        <v/>
      </c>
      <c r="T18" s="111" t="str">
        <f>_xlfn.XLOOKUP($C18,DBGenzai[社員№],DBGenzai[住所],"",0,1)</f>
        <v/>
      </c>
      <c r="U18" s="111" t="str">
        <f>_xlfn.XLOOKUP($C18,DBGenzai[社員№],DBGenzai[ｱﾊﾟｰﾄ],"",0,1)</f>
        <v/>
      </c>
      <c r="V18" s="113" t="str">
        <f>_xlfn.XLOOKUP($C18,DBGenzai[社員№],DBGenzai[入居],"",0,1)</f>
        <v/>
      </c>
      <c r="W18" s="113" t="str">
        <f>_xlfn.XLOOKUP($C18,DBGenzai[社員№],DBGenzai[入社日],"",0,1)</f>
        <v/>
      </c>
      <c r="X18" s="113" t="str">
        <f>_xlfn.XLOOKUP($C18,DBGenzai[社員№],DBGenzai[退社日],"",0,1)</f>
        <v/>
      </c>
      <c r="Y18" s="111" t="str">
        <f>_xlfn.XLOOKUP($C18,DBGenzai[社員№],DBGenzai[退去],"",0,1)</f>
        <v/>
      </c>
      <c r="Z18" s="111" t="str">
        <f>_xlfn.XLOOKUP($C18,DBGenzai[社員№],DBGenzai[備考],"",0,1)</f>
        <v/>
      </c>
      <c r="AA1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8" s="159" t="e">
        <f>(TablaTransfor[[#This Row],[unicos]]-TablaTransfor[[#This Row],[入社日]])/364</f>
        <v>#VALUE!</v>
      </c>
      <c r="AC18" s="173" t="s">
        <v>2968</v>
      </c>
      <c r="AF18" s="251" t="str">
        <f>_xlfn.XLOOKUP($C18,DBGenzai[社員№],DBGenzai[請求単価],"",0,1)</f>
        <v/>
      </c>
      <c r="AG18" s="111" t="e">
        <f>($AG$2-TablaTransfor[[#This Row],[入社日]])/365</f>
        <v>#VALUE!</v>
      </c>
    </row>
    <row r="19" spans="1:33" hidden="1">
      <c r="A19" s="117">
        <f>SUBTOTAL(103,$C$3:C19)</f>
        <v>3</v>
      </c>
      <c r="B19" s="111">
        <v>93</v>
      </c>
      <c r="C19" s="111" t="str">
        <f>_xlfn.XLOOKUP($F$1&amp;B19,Filtro!B:B,Filtro!D:D,"",0,1)</f>
        <v/>
      </c>
      <c r="D19" s="111" t="str">
        <f>_xlfn.XLOOKUP(C19,DBGenzai[社員№],DBGenzai[現在],"",0,1)</f>
        <v/>
      </c>
      <c r="E19" s="111" t="str">
        <f>_xlfn.XLOOKUP($C19,DBGenzai[社員№],DBGenzai[派遣先ID],"",0,1)</f>
        <v/>
      </c>
      <c r="F19" s="111" t="str">
        <f>_xlfn.XLOOKUP($C19,DBGenzai[社員№],DBGenzai[配属先],"",0,1)</f>
        <v/>
      </c>
      <c r="G19" s="111" t="str">
        <f>MID(TablaTransfor[[#This Row],[配属先]],1,8)</f>
        <v/>
      </c>
      <c r="H19" s="111" t="str">
        <f>MID(TablaTransfor[[#This Row],[配属先]],9,6)</f>
        <v/>
      </c>
      <c r="I19" s="111" t="str">
        <f>MID(TablaTransfor[[#This Row],[配属先]],15,12)</f>
        <v/>
      </c>
      <c r="J19" s="111" t="str">
        <f>_xlfn.XLOOKUP($C19,DBGenzai[社員№],DBGenzai[配属ライン],"",0,1)</f>
        <v/>
      </c>
      <c r="K19" s="111" t="str">
        <f>_xlfn.XLOOKUP($C19,DBGenzai[社員№],DBGenzai[氏名],"",0,1)</f>
        <v/>
      </c>
      <c r="L19" s="111" t="str">
        <f>_xlfn.XLOOKUP($C19,DBGenzai[社員№],DBGenzai[カナ],"",0,1)</f>
        <v/>
      </c>
      <c r="M19" s="111" t="str">
        <f>_xlfn.XLOOKUP($C19,DBGenzai[社員№],DBGenzai[性別],"",0,1)</f>
        <v/>
      </c>
      <c r="N19" s="111" t="str">
        <f>_xlfn.XLOOKUP($C19,DBGenzai[社員№],DBGenzai[国籍],"",0,1)</f>
        <v/>
      </c>
      <c r="O19" s="113" t="str">
        <f>_xlfn.XLOOKUP($C19,DBGenzai[社員№],DBGenzai[生年月日],"",0,1)</f>
        <v/>
      </c>
      <c r="P19" s="111" t="str">
        <f>_xlfn.XLOOKUP($C19,DBGenzai[社員№],DBGenzai[年齢],"",0,1)</f>
        <v/>
      </c>
      <c r="Q19" s="111" t="str">
        <f>_xlfn.XLOOKUP($C19,DBGenzai[社員№],DBGenzai[時給],"",0,1)</f>
        <v/>
      </c>
      <c r="R19" s="111" t="str">
        <f>_xlfn.XLOOKUP($C19,DBGenzai[社員№],DBGenzai[請求単価],"",0,1)</f>
        <v/>
      </c>
      <c r="S19" s="111" t="str">
        <f>_xlfn.XLOOKUP($C19,DBGenzai[社員№],DBGenzai[〒],"",0,1)</f>
        <v/>
      </c>
      <c r="T19" s="111" t="str">
        <f>_xlfn.XLOOKUP($C19,DBGenzai[社員№],DBGenzai[住所],"",0,1)</f>
        <v/>
      </c>
      <c r="U19" s="111" t="str">
        <f>_xlfn.XLOOKUP($C19,DBGenzai[社員№],DBGenzai[ｱﾊﾟｰﾄ],"",0,1)</f>
        <v/>
      </c>
      <c r="V19" s="113" t="str">
        <f>_xlfn.XLOOKUP($C19,DBGenzai[社員№],DBGenzai[入居],"",0,1)</f>
        <v/>
      </c>
      <c r="W19" s="113" t="str">
        <f>_xlfn.XLOOKUP($C19,DBGenzai[社員№],DBGenzai[入社日],"",0,1)</f>
        <v/>
      </c>
      <c r="X19" s="113" t="str">
        <f>_xlfn.XLOOKUP($C19,DBGenzai[社員№],DBGenzai[退社日],"",0,1)</f>
        <v/>
      </c>
      <c r="Y19" s="111" t="str">
        <f>_xlfn.XLOOKUP($C19,DBGenzai[社員№],DBGenzai[退去],"",0,1)</f>
        <v/>
      </c>
      <c r="Z19" s="111" t="str">
        <f>_xlfn.XLOOKUP($C19,DBGenzai[社員№],DBGenzai[備考],"",0,1)</f>
        <v/>
      </c>
      <c r="AA1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9" s="159" t="e">
        <f>(TablaTransfor[[#This Row],[unicos]]-TablaTransfor[[#This Row],[入社日]])/364</f>
        <v>#VALUE!</v>
      </c>
      <c r="AC19" s="182" t="s">
        <v>2975</v>
      </c>
      <c r="AF19" s="251" t="str">
        <f>_xlfn.XLOOKUP($C19,DBGenzai[社員№],DBGenzai[請求単価],"",0,1)</f>
        <v/>
      </c>
      <c r="AG19" s="111" t="e">
        <f>($AG$2-TablaTransfor[[#This Row],[入社日]])/365</f>
        <v>#VALUE!</v>
      </c>
    </row>
    <row r="20" spans="1:33" hidden="1">
      <c r="A20" s="117">
        <f>SUBTOTAL(103,$C$3:C20)</f>
        <v>3</v>
      </c>
      <c r="B20" s="111">
        <v>94</v>
      </c>
      <c r="C20" s="111" t="str">
        <f>_xlfn.XLOOKUP($F$1&amp;B20,Filtro!B:B,Filtro!D:D,"",0,1)</f>
        <v/>
      </c>
      <c r="D20" s="111" t="str">
        <f>_xlfn.XLOOKUP(C20,DBGenzai[社員№],DBGenzai[現在],"",0,1)</f>
        <v/>
      </c>
      <c r="E20" s="111" t="str">
        <f>_xlfn.XLOOKUP($C20,DBGenzai[社員№],DBGenzai[派遣先ID],"",0,1)</f>
        <v/>
      </c>
      <c r="F20" s="111" t="str">
        <f>_xlfn.XLOOKUP($C20,DBGenzai[社員№],DBGenzai[配属先],"",0,1)</f>
        <v/>
      </c>
      <c r="G20" s="111" t="str">
        <f>MID(TablaTransfor[[#This Row],[配属先]],1,8)</f>
        <v/>
      </c>
      <c r="H20" s="111" t="str">
        <f>MID(TablaTransfor[[#This Row],[配属先]],9,6)</f>
        <v/>
      </c>
      <c r="I20" s="111" t="str">
        <f>MID(TablaTransfor[[#This Row],[配属先]],15,12)</f>
        <v/>
      </c>
      <c r="J20" s="111" t="str">
        <f>_xlfn.XLOOKUP($C20,DBGenzai[社員№],DBGenzai[配属ライン],"",0,1)</f>
        <v/>
      </c>
      <c r="K20" s="111" t="str">
        <f>_xlfn.XLOOKUP($C20,DBGenzai[社員№],DBGenzai[氏名],"",0,1)</f>
        <v/>
      </c>
      <c r="L20" s="111" t="str">
        <f>_xlfn.XLOOKUP($C20,DBGenzai[社員№],DBGenzai[カナ],"",0,1)</f>
        <v/>
      </c>
      <c r="M20" s="111" t="str">
        <f>_xlfn.XLOOKUP($C20,DBGenzai[社員№],DBGenzai[性別],"",0,1)</f>
        <v/>
      </c>
      <c r="N20" s="111" t="str">
        <f>_xlfn.XLOOKUP($C20,DBGenzai[社員№],DBGenzai[国籍],"",0,1)</f>
        <v/>
      </c>
      <c r="O20" s="113" t="str">
        <f>_xlfn.XLOOKUP($C20,DBGenzai[社員№],DBGenzai[生年月日],"",0,1)</f>
        <v/>
      </c>
      <c r="P20" s="111" t="str">
        <f>_xlfn.XLOOKUP($C20,DBGenzai[社員№],DBGenzai[年齢],"",0,1)</f>
        <v/>
      </c>
      <c r="Q20" s="111" t="str">
        <f>_xlfn.XLOOKUP($C20,DBGenzai[社員№],DBGenzai[時給],"",0,1)</f>
        <v/>
      </c>
      <c r="R20" s="111" t="str">
        <f>_xlfn.XLOOKUP($C20,DBGenzai[社員№],DBGenzai[請求単価],"",0,1)</f>
        <v/>
      </c>
      <c r="S20" s="111" t="str">
        <f>_xlfn.XLOOKUP($C20,DBGenzai[社員№],DBGenzai[〒],"",0,1)</f>
        <v/>
      </c>
      <c r="T20" s="111" t="str">
        <f>_xlfn.XLOOKUP($C20,DBGenzai[社員№],DBGenzai[住所],"",0,1)</f>
        <v/>
      </c>
      <c r="U20" s="111" t="str">
        <f>_xlfn.XLOOKUP($C20,DBGenzai[社員№],DBGenzai[ｱﾊﾟｰﾄ],"",0,1)</f>
        <v/>
      </c>
      <c r="V20" s="113" t="str">
        <f>_xlfn.XLOOKUP($C20,DBGenzai[社員№],DBGenzai[入居],"",0,1)</f>
        <v/>
      </c>
      <c r="W20" s="113" t="str">
        <f>_xlfn.XLOOKUP($C20,DBGenzai[社員№],DBGenzai[入社日],"",0,1)</f>
        <v/>
      </c>
      <c r="X20" s="113" t="str">
        <f>_xlfn.XLOOKUP($C20,DBGenzai[社員№],DBGenzai[退社日],"",0,1)</f>
        <v/>
      </c>
      <c r="Y20" s="111" t="str">
        <f>_xlfn.XLOOKUP($C20,DBGenzai[社員№],DBGenzai[退去],"",0,1)</f>
        <v/>
      </c>
      <c r="Z20" s="111" t="str">
        <f>_xlfn.XLOOKUP($C20,DBGenzai[社員№],DBGenzai[備考],"",0,1)</f>
        <v/>
      </c>
      <c r="AA20"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0" s="159" t="e">
        <f>(TablaTransfor[[#This Row],[unicos]]-TablaTransfor[[#This Row],[入社日]])/364</f>
        <v>#VALUE!</v>
      </c>
      <c r="AC20" s="173" t="s">
        <v>2968</v>
      </c>
      <c r="AF20" s="251" t="str">
        <f>_xlfn.XLOOKUP($C20,DBGenzai[社員№],DBGenzai[請求単価],"",0,1)</f>
        <v/>
      </c>
      <c r="AG20" s="111" t="e">
        <f>($AG$2-TablaTransfor[[#This Row],[入社日]])/365</f>
        <v>#VALUE!</v>
      </c>
    </row>
    <row r="21" spans="1:33" hidden="1">
      <c r="A21" s="117">
        <f>SUBTOTAL(103,$C$3:C21)</f>
        <v>3</v>
      </c>
      <c r="B21" s="111">
        <v>95</v>
      </c>
      <c r="C21" s="111" t="str">
        <f>_xlfn.XLOOKUP($F$1&amp;B21,Filtro!B:B,Filtro!D:D,"",0,1)</f>
        <v/>
      </c>
      <c r="D21" s="111" t="str">
        <f>_xlfn.XLOOKUP(C21,DBGenzai[社員№],DBGenzai[現在],"",0,1)</f>
        <v/>
      </c>
      <c r="E21" s="111" t="str">
        <f>_xlfn.XLOOKUP($C21,DBGenzai[社員№],DBGenzai[派遣先ID],"",0,1)</f>
        <v/>
      </c>
      <c r="F21" s="111" t="str">
        <f>_xlfn.XLOOKUP($C21,DBGenzai[社員№],DBGenzai[配属先],"",0,1)</f>
        <v/>
      </c>
      <c r="G21" s="111" t="str">
        <f>MID(TablaTransfor[[#This Row],[配属先]],1,8)</f>
        <v/>
      </c>
      <c r="H21" s="111" t="str">
        <f>MID(TablaTransfor[[#This Row],[配属先]],9,6)</f>
        <v/>
      </c>
      <c r="I21" s="111" t="str">
        <f>MID(TablaTransfor[[#This Row],[配属先]],15,12)</f>
        <v/>
      </c>
      <c r="J21" s="111" t="str">
        <f>_xlfn.XLOOKUP($C21,DBGenzai[社員№],DBGenzai[配属ライン],"",0,1)</f>
        <v/>
      </c>
      <c r="K21" s="111" t="str">
        <f>_xlfn.XLOOKUP($C21,DBGenzai[社員№],DBGenzai[氏名],"",0,1)</f>
        <v/>
      </c>
      <c r="L21" s="111" t="str">
        <f>_xlfn.XLOOKUP($C21,DBGenzai[社員№],DBGenzai[カナ],"",0,1)</f>
        <v/>
      </c>
      <c r="M21" s="111" t="str">
        <f>_xlfn.XLOOKUP($C21,DBGenzai[社員№],DBGenzai[性別],"",0,1)</f>
        <v/>
      </c>
      <c r="N21" s="111" t="str">
        <f>_xlfn.XLOOKUP($C21,DBGenzai[社員№],DBGenzai[国籍],"",0,1)</f>
        <v/>
      </c>
      <c r="O21" s="113" t="str">
        <f>_xlfn.XLOOKUP($C21,DBGenzai[社員№],DBGenzai[生年月日],"",0,1)</f>
        <v/>
      </c>
      <c r="P21" s="111" t="str">
        <f>_xlfn.XLOOKUP($C21,DBGenzai[社員№],DBGenzai[年齢],"",0,1)</f>
        <v/>
      </c>
      <c r="Q21" s="111" t="str">
        <f>_xlfn.XLOOKUP($C21,DBGenzai[社員№],DBGenzai[時給],"",0,1)</f>
        <v/>
      </c>
      <c r="R21" s="111" t="str">
        <f>_xlfn.XLOOKUP($C21,DBGenzai[社員№],DBGenzai[請求単価],"",0,1)</f>
        <v/>
      </c>
      <c r="S21" s="111" t="str">
        <f>_xlfn.XLOOKUP($C21,DBGenzai[社員№],DBGenzai[〒],"",0,1)</f>
        <v/>
      </c>
      <c r="T21" s="111" t="str">
        <f>_xlfn.XLOOKUP($C21,DBGenzai[社員№],DBGenzai[住所],"",0,1)</f>
        <v/>
      </c>
      <c r="U21" s="111" t="str">
        <f>_xlfn.XLOOKUP($C21,DBGenzai[社員№],DBGenzai[ｱﾊﾟｰﾄ],"",0,1)</f>
        <v/>
      </c>
      <c r="V21" s="113" t="str">
        <f>_xlfn.XLOOKUP($C21,DBGenzai[社員№],DBGenzai[入居],"",0,1)</f>
        <v/>
      </c>
      <c r="W21" s="113" t="str">
        <f>_xlfn.XLOOKUP($C21,DBGenzai[社員№],DBGenzai[入社日],"",0,1)</f>
        <v/>
      </c>
      <c r="X21" s="113" t="str">
        <f>_xlfn.XLOOKUP($C21,DBGenzai[社員№],DBGenzai[退社日],"",0,1)</f>
        <v/>
      </c>
      <c r="Y21" s="111" t="str">
        <f>_xlfn.XLOOKUP($C21,DBGenzai[社員№],DBGenzai[退去],"",0,1)</f>
        <v/>
      </c>
      <c r="Z21" s="111" t="str">
        <f>_xlfn.XLOOKUP($C21,DBGenzai[社員№],DBGenzai[備考],"",0,1)</f>
        <v/>
      </c>
      <c r="AA21"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1" s="159" t="e">
        <f>(TablaTransfor[[#This Row],[unicos]]-TablaTransfor[[#This Row],[入社日]])/364</f>
        <v>#VALUE!</v>
      </c>
      <c r="AC21" s="173" t="s">
        <v>2968</v>
      </c>
      <c r="AF21" s="251" t="str">
        <f>_xlfn.XLOOKUP($C21,DBGenzai[社員№],DBGenzai[請求単価],"",0,1)</f>
        <v/>
      </c>
      <c r="AG21" s="111" t="e">
        <f>($AG$2-TablaTransfor[[#This Row],[入社日]])/365</f>
        <v>#VALUE!</v>
      </c>
    </row>
    <row r="22" spans="1:33" hidden="1">
      <c r="A22" s="117">
        <f>SUBTOTAL(103,$C$3:C22)</f>
        <v>3</v>
      </c>
      <c r="B22" s="111">
        <v>96</v>
      </c>
      <c r="C22" s="111" t="str">
        <f>_xlfn.XLOOKUP($F$1&amp;B22,Filtro!B:B,Filtro!D:D,"",0,1)</f>
        <v/>
      </c>
      <c r="D22" s="111" t="str">
        <f>_xlfn.XLOOKUP(C22,DBGenzai[社員№],DBGenzai[現在],"",0,1)</f>
        <v/>
      </c>
      <c r="E22" s="111" t="str">
        <f>_xlfn.XLOOKUP($C22,DBGenzai[社員№],DBGenzai[派遣先ID],"",0,1)</f>
        <v/>
      </c>
      <c r="F22" s="111" t="str">
        <f>_xlfn.XLOOKUP($C22,DBGenzai[社員№],DBGenzai[配属先],"",0,1)</f>
        <v/>
      </c>
      <c r="G22" s="111" t="str">
        <f>MID(TablaTransfor[[#This Row],[配属先]],1,8)</f>
        <v/>
      </c>
      <c r="H22" s="111" t="str">
        <f>MID(TablaTransfor[[#This Row],[配属先]],9,6)</f>
        <v/>
      </c>
      <c r="I22" s="111" t="str">
        <f>MID(TablaTransfor[[#This Row],[配属先]],15,12)</f>
        <v/>
      </c>
      <c r="J22" s="111" t="str">
        <f>_xlfn.XLOOKUP($C22,DBGenzai[社員№],DBGenzai[配属ライン],"",0,1)</f>
        <v/>
      </c>
      <c r="K22" s="111" t="str">
        <f>_xlfn.XLOOKUP($C22,DBGenzai[社員№],DBGenzai[氏名],"",0,1)</f>
        <v/>
      </c>
      <c r="L22" s="111" t="str">
        <f>_xlfn.XLOOKUP($C22,DBGenzai[社員№],DBGenzai[カナ],"",0,1)</f>
        <v/>
      </c>
      <c r="M22" s="111" t="str">
        <f>_xlfn.XLOOKUP($C22,DBGenzai[社員№],DBGenzai[性別],"",0,1)</f>
        <v/>
      </c>
      <c r="N22" s="111" t="str">
        <f>_xlfn.XLOOKUP($C22,DBGenzai[社員№],DBGenzai[国籍],"",0,1)</f>
        <v/>
      </c>
      <c r="O22" s="113" t="str">
        <f>_xlfn.XLOOKUP($C22,DBGenzai[社員№],DBGenzai[生年月日],"",0,1)</f>
        <v/>
      </c>
      <c r="P22" s="111" t="str">
        <f>_xlfn.XLOOKUP($C22,DBGenzai[社員№],DBGenzai[年齢],"",0,1)</f>
        <v/>
      </c>
      <c r="Q22" s="111" t="str">
        <f>_xlfn.XLOOKUP($C22,DBGenzai[社員№],DBGenzai[時給],"",0,1)</f>
        <v/>
      </c>
      <c r="R22" s="111" t="str">
        <f>_xlfn.XLOOKUP($C22,DBGenzai[社員№],DBGenzai[請求単価],"",0,1)</f>
        <v/>
      </c>
      <c r="S22" s="111" t="str">
        <f>_xlfn.XLOOKUP($C22,DBGenzai[社員№],DBGenzai[〒],"",0,1)</f>
        <v/>
      </c>
      <c r="T22" s="111" t="str">
        <f>_xlfn.XLOOKUP($C22,DBGenzai[社員№],DBGenzai[住所],"",0,1)</f>
        <v/>
      </c>
      <c r="U22" s="111" t="str">
        <f>_xlfn.XLOOKUP($C22,DBGenzai[社員№],DBGenzai[ｱﾊﾟｰﾄ],"",0,1)</f>
        <v/>
      </c>
      <c r="V22" s="113" t="str">
        <f>_xlfn.XLOOKUP($C22,DBGenzai[社員№],DBGenzai[入居],"",0,1)</f>
        <v/>
      </c>
      <c r="W22" s="113" t="str">
        <f>_xlfn.XLOOKUP($C22,DBGenzai[社員№],DBGenzai[入社日],"",0,1)</f>
        <v/>
      </c>
      <c r="X22" s="113" t="str">
        <f>_xlfn.XLOOKUP($C22,DBGenzai[社員№],DBGenzai[退社日],"",0,1)</f>
        <v/>
      </c>
      <c r="Y22" s="111" t="str">
        <f>_xlfn.XLOOKUP($C22,DBGenzai[社員№],DBGenzai[退去],"",0,1)</f>
        <v/>
      </c>
      <c r="Z22" s="111" t="str">
        <f>_xlfn.XLOOKUP($C22,DBGenzai[社員№],DBGenzai[備考],"",0,1)</f>
        <v/>
      </c>
      <c r="AA2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2" s="159" t="e">
        <f>(TablaTransfor[[#This Row],[unicos]]-TablaTransfor[[#This Row],[入社日]])/364</f>
        <v>#VALUE!</v>
      </c>
      <c r="AC22" s="173" t="s">
        <v>2968</v>
      </c>
      <c r="AF22" s="251" t="str">
        <f>_xlfn.XLOOKUP($C22,DBGenzai[社員№],DBGenzai[請求単価],"",0,1)</f>
        <v/>
      </c>
      <c r="AG22" s="111" t="e">
        <f>($AG$2-TablaTransfor[[#This Row],[入社日]])/365</f>
        <v>#VALUE!</v>
      </c>
    </row>
    <row r="23" spans="1:33">
      <c r="A23" s="117">
        <f>SUBTOTAL(103,$C$3:C23)</f>
        <v>4</v>
      </c>
      <c r="B23" s="111">
        <v>24</v>
      </c>
      <c r="C23" s="111">
        <f>_xlfn.XLOOKUP($F$1&amp;B23,Filtro!B:B,Filtro!D:D,"",0,1)</f>
        <v>230813</v>
      </c>
      <c r="D23" s="111" t="str">
        <f>_xlfn.XLOOKUP(C23,DBGenzai[社員№],DBGenzai[現在],"",0,1)</f>
        <v>在職中</v>
      </c>
      <c r="E23" s="111">
        <f>_xlfn.XLOOKUP($C23,DBGenzai[社員№],DBGenzai[派遣先ID],"",0,1)</f>
        <v>212041</v>
      </c>
      <c r="F23" s="111" t="str">
        <f>_xlfn.XLOOKUP($C23,DBGenzai[社員№],DBGenzai[配属先],"",0,1)</f>
        <v>高雄工業株式会社 本社工場製作課</v>
      </c>
      <c r="G23" s="111" t="str">
        <f>MID(TablaTransfor[[#This Row],[配属先]],1,8)</f>
        <v>高雄工業株式会社</v>
      </c>
      <c r="H23" s="111" t="str">
        <f>MID(TablaTransfor[[#This Row],[配属先]],9,6)</f>
        <v xml:space="preserve"> 本社工場製</v>
      </c>
      <c r="I23" s="111" t="str">
        <f>MID(TablaTransfor[[#This Row],[配属先]],15,12)</f>
        <v>作課</v>
      </c>
      <c r="J23" s="111" t="str">
        <f>_xlfn.XLOOKUP($C23,DBGenzai[社員№],DBGenzai[配属ライン],"",0,1)</f>
        <v>Gライン</v>
      </c>
      <c r="K23" s="111" t="str">
        <f>_xlfn.XLOOKUP($C23,DBGenzai[社員№],DBGenzai[氏名],"",0,1)</f>
        <v>NGUYEN DUY LAN</v>
      </c>
      <c r="L23" s="111" t="str">
        <f>_xlfn.XLOOKUP($C23,DBGenzai[社員№],DBGenzai[カナ],"",0,1)</f>
        <v>グエン　ズイ　ラン</v>
      </c>
      <c r="M23" s="111" t="str">
        <f>_xlfn.XLOOKUP($C23,DBGenzai[社員№],DBGenzai[性別],"",0,1)</f>
        <v>男</v>
      </c>
      <c r="N23" s="111" t="str">
        <f>_xlfn.XLOOKUP($C23,DBGenzai[社員№],DBGenzai[国籍],"",0,1)</f>
        <v>ﾍﾞﾄﾅﾑ</v>
      </c>
      <c r="O23" s="113">
        <f>_xlfn.XLOOKUP($C23,DBGenzai[社員№],DBGenzai[生年月日],"",0,1)</f>
        <v>36654</v>
      </c>
      <c r="P23" s="111">
        <f>_xlfn.XLOOKUP($C23,DBGenzai[社員№],DBGenzai[年齢],"",0,1)</f>
        <v>23</v>
      </c>
      <c r="Q23" s="111">
        <f>_xlfn.XLOOKUP($C23,DBGenzai[社員№],DBGenzai[時給],"",0,1)</f>
        <v>1200</v>
      </c>
      <c r="R23" s="111">
        <f>_xlfn.XLOOKUP($C23,DBGenzai[社員№],DBGenzai[請求単価],"",0,1)</f>
        <v>1650</v>
      </c>
      <c r="S23" s="111" t="str">
        <f>_xlfn.XLOOKUP($C23,DBGenzai[社員№],DBGenzai[〒],"",0,1)</f>
        <v>498-0026</v>
      </c>
      <c r="T23" s="111" t="str">
        <f>_xlfn.XLOOKUP($C23,DBGenzai[社員№],DBGenzai[住所],"",0,1)</f>
        <v>愛知県弥富市鯏浦町西前新田119-1</v>
      </c>
      <c r="U23" s="111" t="str">
        <f>_xlfn.XLOOKUP($C23,DBGenzai[社員№],DBGenzai[ｱﾊﾟｰﾄ],"",0,1)</f>
        <v>ﾗｲﾌｺｱ119　301号</v>
      </c>
      <c r="V23" s="113">
        <f>_xlfn.XLOOKUP($C23,DBGenzai[社員№],DBGenzai[入居],"",0,1)</f>
        <v>45133</v>
      </c>
      <c r="W23" s="197">
        <v>44567</v>
      </c>
      <c r="X23" s="113">
        <f>_xlfn.XLOOKUP($C23,DBGenzai[社員№],DBGenzai[退社日],"",0,1)</f>
        <v>0</v>
      </c>
      <c r="Y23" s="111">
        <f>_xlfn.XLOOKUP($C23,DBGenzai[社員№],DBGenzai[退去],"",0,1)</f>
        <v>0</v>
      </c>
      <c r="Z23" s="111">
        <f>_xlfn.XLOOKUP($C23,DBGenzai[社員№],DBGenzai[備考],"",0,1)</f>
        <v>0</v>
      </c>
      <c r="AA23" s="113">
        <f>$AA$1</f>
        <v>45199</v>
      </c>
      <c r="AB23" s="159">
        <f>(TablaTransfor[[#This Row],[unicos]]-TablaTransfor[[#This Row],[入社日]])/364</f>
        <v>1.7362637362637363</v>
      </c>
      <c r="AC23" s="174" t="s">
        <v>3018</v>
      </c>
      <c r="AD23" s="114">
        <v>44615</v>
      </c>
      <c r="AE23" s="116">
        <v>45017</v>
      </c>
      <c r="AF23" s="252">
        <f>_xlfn.XLOOKUP($C23,DBGenzai[社員№],DBGenzai[請求単価],"",0,1)</f>
        <v>1650</v>
      </c>
      <c r="AG23" s="111">
        <f>($AG$2-TablaTransfor[[#This Row],[入社日]])/365</f>
        <v>1.7315068493150685</v>
      </c>
    </row>
    <row r="24" spans="1:33" hidden="1">
      <c r="A24" s="117">
        <f>SUBTOTAL(103,$C$3:C24)</f>
        <v>4</v>
      </c>
      <c r="B24" s="111">
        <v>97</v>
      </c>
      <c r="C24" s="111" t="str">
        <f>_xlfn.XLOOKUP($F$1&amp;B24,Filtro!B:B,Filtro!D:D,"",0,1)</f>
        <v/>
      </c>
      <c r="D24" s="111" t="str">
        <f>_xlfn.XLOOKUP(C24,DBGenzai[社員№],DBGenzai[現在],"",0,1)</f>
        <v/>
      </c>
      <c r="E24" s="111" t="str">
        <f>_xlfn.XLOOKUP($C24,DBGenzai[社員№],DBGenzai[派遣先ID],"",0,1)</f>
        <v/>
      </c>
      <c r="F24" s="111" t="str">
        <f>_xlfn.XLOOKUP($C24,DBGenzai[社員№],DBGenzai[配属先],"",0,1)</f>
        <v/>
      </c>
      <c r="G24" s="111" t="str">
        <f>MID(TablaTransfor[[#This Row],[配属先]],1,8)</f>
        <v/>
      </c>
      <c r="H24" s="111" t="str">
        <f>MID(TablaTransfor[[#This Row],[配属先]],9,6)</f>
        <v/>
      </c>
      <c r="I24" s="111" t="str">
        <f>MID(TablaTransfor[[#This Row],[配属先]],15,12)</f>
        <v/>
      </c>
      <c r="J24" s="111" t="str">
        <f>_xlfn.XLOOKUP($C24,DBGenzai[社員№],DBGenzai[配属ライン],"",0,1)</f>
        <v/>
      </c>
      <c r="K24" s="111" t="str">
        <f>_xlfn.XLOOKUP($C24,DBGenzai[社員№],DBGenzai[氏名],"",0,1)</f>
        <v/>
      </c>
      <c r="L24" s="111" t="str">
        <f>_xlfn.XLOOKUP($C24,DBGenzai[社員№],DBGenzai[カナ],"",0,1)</f>
        <v/>
      </c>
      <c r="M24" s="111" t="str">
        <f>_xlfn.XLOOKUP($C24,DBGenzai[社員№],DBGenzai[性別],"",0,1)</f>
        <v/>
      </c>
      <c r="N24" s="111" t="str">
        <f>_xlfn.XLOOKUP($C24,DBGenzai[社員№],DBGenzai[国籍],"",0,1)</f>
        <v/>
      </c>
      <c r="O24" s="113" t="str">
        <f>_xlfn.XLOOKUP($C24,DBGenzai[社員№],DBGenzai[生年月日],"",0,1)</f>
        <v/>
      </c>
      <c r="P24" s="111" t="str">
        <f>_xlfn.XLOOKUP($C24,DBGenzai[社員№],DBGenzai[年齢],"",0,1)</f>
        <v/>
      </c>
      <c r="Q24" s="111" t="str">
        <f>_xlfn.XLOOKUP($C24,DBGenzai[社員№],DBGenzai[時給],"",0,1)</f>
        <v/>
      </c>
      <c r="R24" s="111" t="str">
        <f>_xlfn.XLOOKUP($C24,DBGenzai[社員№],DBGenzai[請求単価],"",0,1)</f>
        <v/>
      </c>
      <c r="S24" s="111" t="str">
        <f>_xlfn.XLOOKUP($C24,DBGenzai[社員№],DBGenzai[〒],"",0,1)</f>
        <v/>
      </c>
      <c r="T24" s="111" t="str">
        <f>_xlfn.XLOOKUP($C24,DBGenzai[社員№],DBGenzai[住所],"",0,1)</f>
        <v/>
      </c>
      <c r="U24" s="111" t="str">
        <f>_xlfn.XLOOKUP($C24,DBGenzai[社員№],DBGenzai[ｱﾊﾟｰﾄ],"",0,1)</f>
        <v/>
      </c>
      <c r="V24" s="113" t="str">
        <f>_xlfn.XLOOKUP($C24,DBGenzai[社員№],DBGenzai[入居],"",0,1)</f>
        <v/>
      </c>
      <c r="W24" s="113" t="str">
        <f>_xlfn.XLOOKUP($C24,DBGenzai[社員№],DBGenzai[入社日],"",0,1)</f>
        <v/>
      </c>
      <c r="X24" s="113" t="str">
        <f>_xlfn.XLOOKUP($C24,DBGenzai[社員№],DBGenzai[退社日],"",0,1)</f>
        <v/>
      </c>
      <c r="Y24" s="111" t="str">
        <f>_xlfn.XLOOKUP($C24,DBGenzai[社員№],DBGenzai[退去],"",0,1)</f>
        <v/>
      </c>
      <c r="Z24" s="111" t="str">
        <f>_xlfn.XLOOKUP($C24,DBGenzai[社員№],DBGenzai[備考],"",0,1)</f>
        <v/>
      </c>
      <c r="AA24"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4" s="159" t="e">
        <f>(TablaTransfor[[#This Row],[unicos]]-TablaTransfor[[#This Row],[入社日]])/364</f>
        <v>#VALUE!</v>
      </c>
      <c r="AC24" s="173" t="s">
        <v>2968</v>
      </c>
      <c r="AF24" s="251" t="str">
        <f>_xlfn.XLOOKUP($C24,DBGenzai[社員№],DBGenzai[請求単価],"",0,1)</f>
        <v/>
      </c>
      <c r="AG24" s="111" t="e">
        <f>($AG$2-TablaTransfor[[#This Row],[入社日]])/365</f>
        <v>#VALUE!</v>
      </c>
    </row>
    <row r="25" spans="1:33" hidden="1">
      <c r="A25" s="117">
        <f>SUBTOTAL(103,$C$3:C25)</f>
        <v>4</v>
      </c>
      <c r="B25" s="111">
        <v>98</v>
      </c>
      <c r="C25" s="111" t="str">
        <f>_xlfn.XLOOKUP($F$1&amp;B25,Filtro!B:B,Filtro!D:D,"",0,1)</f>
        <v/>
      </c>
      <c r="D25" s="111" t="str">
        <f>_xlfn.XLOOKUP(C25,DBGenzai[社員№],DBGenzai[現在],"",0,1)</f>
        <v/>
      </c>
      <c r="E25" s="111" t="str">
        <f>_xlfn.XLOOKUP($C25,DBGenzai[社員№],DBGenzai[派遣先ID],"",0,1)</f>
        <v/>
      </c>
      <c r="F25" s="111" t="str">
        <f>_xlfn.XLOOKUP($C25,DBGenzai[社員№],DBGenzai[配属先],"",0,1)</f>
        <v/>
      </c>
      <c r="G25" s="111" t="str">
        <f>MID(TablaTransfor[[#This Row],[配属先]],1,8)</f>
        <v/>
      </c>
      <c r="H25" s="111" t="str">
        <f>MID(TablaTransfor[[#This Row],[配属先]],9,6)</f>
        <v/>
      </c>
      <c r="I25" s="111" t="str">
        <f>MID(TablaTransfor[[#This Row],[配属先]],15,12)</f>
        <v/>
      </c>
      <c r="J25" s="111" t="str">
        <f>_xlfn.XLOOKUP($C25,DBGenzai[社員№],DBGenzai[配属ライン],"",0,1)</f>
        <v/>
      </c>
      <c r="K25" s="111" t="str">
        <f>_xlfn.XLOOKUP($C25,DBGenzai[社員№],DBGenzai[氏名],"",0,1)</f>
        <v/>
      </c>
      <c r="L25" s="111" t="str">
        <f>_xlfn.XLOOKUP($C25,DBGenzai[社員№],DBGenzai[カナ],"",0,1)</f>
        <v/>
      </c>
      <c r="M25" s="111" t="str">
        <f>_xlfn.XLOOKUP($C25,DBGenzai[社員№],DBGenzai[性別],"",0,1)</f>
        <v/>
      </c>
      <c r="N25" s="111" t="str">
        <f>_xlfn.XLOOKUP($C25,DBGenzai[社員№],DBGenzai[国籍],"",0,1)</f>
        <v/>
      </c>
      <c r="O25" s="113" t="str">
        <f>_xlfn.XLOOKUP($C25,DBGenzai[社員№],DBGenzai[生年月日],"",0,1)</f>
        <v/>
      </c>
      <c r="P25" s="111" t="str">
        <f>_xlfn.XLOOKUP($C25,DBGenzai[社員№],DBGenzai[年齢],"",0,1)</f>
        <v/>
      </c>
      <c r="Q25" s="111" t="str">
        <f>_xlfn.XLOOKUP($C25,DBGenzai[社員№],DBGenzai[時給],"",0,1)</f>
        <v/>
      </c>
      <c r="R25" s="111" t="str">
        <f>_xlfn.XLOOKUP($C25,DBGenzai[社員№],DBGenzai[請求単価],"",0,1)</f>
        <v/>
      </c>
      <c r="S25" s="111" t="str">
        <f>_xlfn.XLOOKUP($C25,DBGenzai[社員№],DBGenzai[〒],"",0,1)</f>
        <v/>
      </c>
      <c r="T25" s="111" t="str">
        <f>_xlfn.XLOOKUP($C25,DBGenzai[社員№],DBGenzai[住所],"",0,1)</f>
        <v/>
      </c>
      <c r="U25" s="111" t="str">
        <f>_xlfn.XLOOKUP($C25,DBGenzai[社員№],DBGenzai[ｱﾊﾟｰﾄ],"",0,1)</f>
        <v/>
      </c>
      <c r="V25" s="113" t="str">
        <f>_xlfn.XLOOKUP($C25,DBGenzai[社員№],DBGenzai[入居],"",0,1)</f>
        <v/>
      </c>
      <c r="W25" s="113" t="str">
        <f>_xlfn.XLOOKUP($C25,DBGenzai[社員№],DBGenzai[入社日],"",0,1)</f>
        <v/>
      </c>
      <c r="X25" s="113" t="str">
        <f>_xlfn.XLOOKUP($C25,DBGenzai[社員№],DBGenzai[退社日],"",0,1)</f>
        <v/>
      </c>
      <c r="Y25" s="111" t="str">
        <f>_xlfn.XLOOKUP($C25,DBGenzai[社員№],DBGenzai[退去],"",0,1)</f>
        <v/>
      </c>
      <c r="Z25" s="111" t="str">
        <f>_xlfn.XLOOKUP($C25,DBGenzai[社員№],DBGenzai[備考],"",0,1)</f>
        <v/>
      </c>
      <c r="AA2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5" s="159" t="e">
        <f>(TablaTransfor[[#This Row],[unicos]]-TablaTransfor[[#This Row],[入社日]])/364</f>
        <v>#VALUE!</v>
      </c>
      <c r="AC25" s="173" t="s">
        <v>2968</v>
      </c>
      <c r="AF25" s="251" t="str">
        <f>_xlfn.XLOOKUP($C25,DBGenzai[社員№],DBGenzai[請求単価],"",0,1)</f>
        <v/>
      </c>
      <c r="AG25" s="111" t="e">
        <f>($AG$2-TablaTransfor[[#This Row],[入社日]])/365</f>
        <v>#VALUE!</v>
      </c>
    </row>
    <row r="26" spans="1:33" hidden="1">
      <c r="A26" s="117">
        <f>SUBTOTAL(103,$C$3:C26)</f>
        <v>4</v>
      </c>
      <c r="B26" s="111">
        <v>99</v>
      </c>
      <c r="C26" s="111" t="str">
        <f>_xlfn.XLOOKUP($F$1&amp;B26,Filtro!B:B,Filtro!D:D,"",0,1)</f>
        <v/>
      </c>
      <c r="D26" s="111" t="str">
        <f>_xlfn.XLOOKUP(C26,DBGenzai[社員№],DBGenzai[現在],"",0,1)</f>
        <v/>
      </c>
      <c r="E26" s="111" t="str">
        <f>_xlfn.XLOOKUP($C26,DBGenzai[社員№],DBGenzai[派遣先ID],"",0,1)</f>
        <v/>
      </c>
      <c r="F26" s="111" t="str">
        <f>_xlfn.XLOOKUP($C26,DBGenzai[社員№],DBGenzai[配属先],"",0,1)</f>
        <v/>
      </c>
      <c r="G26" s="111" t="str">
        <f>MID(TablaTransfor[[#This Row],[配属先]],1,8)</f>
        <v/>
      </c>
      <c r="H26" s="111" t="str">
        <f>MID(TablaTransfor[[#This Row],[配属先]],9,6)</f>
        <v/>
      </c>
      <c r="I26" s="111" t="str">
        <f>MID(TablaTransfor[[#This Row],[配属先]],15,12)</f>
        <v/>
      </c>
      <c r="J26" s="111" t="str">
        <f>_xlfn.XLOOKUP($C26,DBGenzai[社員№],DBGenzai[配属ライン],"",0,1)</f>
        <v/>
      </c>
      <c r="K26" s="111" t="str">
        <f>_xlfn.XLOOKUP($C26,DBGenzai[社員№],DBGenzai[氏名],"",0,1)</f>
        <v/>
      </c>
      <c r="L26" s="111" t="str">
        <f>_xlfn.XLOOKUP($C26,DBGenzai[社員№],DBGenzai[カナ],"",0,1)</f>
        <v/>
      </c>
      <c r="M26" s="111" t="str">
        <f>_xlfn.XLOOKUP($C26,DBGenzai[社員№],DBGenzai[性別],"",0,1)</f>
        <v/>
      </c>
      <c r="N26" s="111" t="str">
        <f>_xlfn.XLOOKUP($C26,DBGenzai[社員№],DBGenzai[国籍],"",0,1)</f>
        <v/>
      </c>
      <c r="O26" s="113" t="str">
        <f>_xlfn.XLOOKUP($C26,DBGenzai[社員№],DBGenzai[生年月日],"",0,1)</f>
        <v/>
      </c>
      <c r="P26" s="111" t="str">
        <f>_xlfn.XLOOKUP($C26,DBGenzai[社員№],DBGenzai[年齢],"",0,1)</f>
        <v/>
      </c>
      <c r="Q26" s="111" t="str">
        <f>_xlfn.XLOOKUP($C26,DBGenzai[社員№],DBGenzai[時給],"",0,1)</f>
        <v/>
      </c>
      <c r="R26" s="111" t="str">
        <f>_xlfn.XLOOKUP($C26,DBGenzai[社員№],DBGenzai[請求単価],"",0,1)</f>
        <v/>
      </c>
      <c r="S26" s="111" t="str">
        <f>_xlfn.XLOOKUP($C26,DBGenzai[社員№],DBGenzai[〒],"",0,1)</f>
        <v/>
      </c>
      <c r="T26" s="111" t="str">
        <f>_xlfn.XLOOKUP($C26,DBGenzai[社員№],DBGenzai[住所],"",0,1)</f>
        <v/>
      </c>
      <c r="U26" s="111" t="str">
        <f>_xlfn.XLOOKUP($C26,DBGenzai[社員№],DBGenzai[ｱﾊﾟｰﾄ],"",0,1)</f>
        <v/>
      </c>
      <c r="V26" s="113" t="str">
        <f>_xlfn.XLOOKUP($C26,DBGenzai[社員№],DBGenzai[入居],"",0,1)</f>
        <v/>
      </c>
      <c r="W26" s="113" t="str">
        <f>_xlfn.XLOOKUP($C26,DBGenzai[社員№],DBGenzai[入社日],"",0,1)</f>
        <v/>
      </c>
      <c r="X26" s="113" t="str">
        <f>_xlfn.XLOOKUP($C26,DBGenzai[社員№],DBGenzai[退社日],"",0,1)</f>
        <v/>
      </c>
      <c r="Y26" s="111" t="str">
        <f>_xlfn.XLOOKUP($C26,DBGenzai[社員№],DBGenzai[退去],"",0,1)</f>
        <v/>
      </c>
      <c r="Z26" s="111" t="str">
        <f>_xlfn.XLOOKUP($C26,DBGenzai[社員№],DBGenzai[備考],"",0,1)</f>
        <v/>
      </c>
      <c r="AA2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6" s="159" t="e">
        <f>(TablaTransfor[[#This Row],[unicos]]-TablaTransfor[[#This Row],[入社日]])/364</f>
        <v>#VALUE!</v>
      </c>
      <c r="AC26" s="173" t="s">
        <v>2968</v>
      </c>
      <c r="AF26" s="251" t="str">
        <f>_xlfn.XLOOKUP($C26,DBGenzai[社員№],DBGenzai[請求単価],"",0,1)</f>
        <v/>
      </c>
      <c r="AG26" s="111" t="e">
        <f>($AG$2-TablaTransfor[[#This Row],[入社日]])/365</f>
        <v>#VALUE!</v>
      </c>
    </row>
    <row r="27" spans="1:33" hidden="1">
      <c r="A27" s="117">
        <f>SUBTOTAL(103,$C$3:C27)</f>
        <v>4</v>
      </c>
      <c r="B27" s="111">
        <v>100</v>
      </c>
      <c r="C27" s="111" t="str">
        <f>_xlfn.XLOOKUP($F$1&amp;B27,Filtro!B:B,Filtro!D:D,"",0,1)</f>
        <v/>
      </c>
      <c r="D27" s="111" t="str">
        <f>_xlfn.XLOOKUP(C27,DBGenzai[社員№],DBGenzai[現在],"",0,1)</f>
        <v/>
      </c>
      <c r="E27" s="111" t="str">
        <f>_xlfn.XLOOKUP($C27,DBGenzai[社員№],DBGenzai[派遣先ID],"",0,1)</f>
        <v/>
      </c>
      <c r="F27" s="111" t="str">
        <f>_xlfn.XLOOKUP($C27,DBGenzai[社員№],DBGenzai[配属先],"",0,1)</f>
        <v/>
      </c>
      <c r="G27" s="111" t="str">
        <f>MID(TablaTransfor[[#This Row],[配属先]],1,8)</f>
        <v/>
      </c>
      <c r="H27" s="111" t="str">
        <f>MID(TablaTransfor[[#This Row],[配属先]],9,6)</f>
        <v/>
      </c>
      <c r="I27" s="111" t="str">
        <f>MID(TablaTransfor[[#This Row],[配属先]],15,12)</f>
        <v/>
      </c>
      <c r="J27" s="111" t="str">
        <f>_xlfn.XLOOKUP($C27,DBGenzai[社員№],DBGenzai[配属ライン],"",0,1)</f>
        <v/>
      </c>
      <c r="K27" s="111" t="str">
        <f>_xlfn.XLOOKUP($C27,DBGenzai[社員№],DBGenzai[氏名],"",0,1)</f>
        <v/>
      </c>
      <c r="L27" s="111" t="str">
        <f>_xlfn.XLOOKUP($C27,DBGenzai[社員№],DBGenzai[カナ],"",0,1)</f>
        <v/>
      </c>
      <c r="M27" s="111" t="str">
        <f>_xlfn.XLOOKUP($C27,DBGenzai[社員№],DBGenzai[性別],"",0,1)</f>
        <v/>
      </c>
      <c r="N27" s="111" t="str">
        <f>_xlfn.XLOOKUP($C27,DBGenzai[社員№],DBGenzai[国籍],"",0,1)</f>
        <v/>
      </c>
      <c r="O27" s="113" t="str">
        <f>_xlfn.XLOOKUP($C27,DBGenzai[社員№],DBGenzai[生年月日],"",0,1)</f>
        <v/>
      </c>
      <c r="P27" s="111" t="str">
        <f>_xlfn.XLOOKUP($C27,DBGenzai[社員№],DBGenzai[年齢],"",0,1)</f>
        <v/>
      </c>
      <c r="Q27" s="111" t="str">
        <f>_xlfn.XLOOKUP($C27,DBGenzai[社員№],DBGenzai[時給],"",0,1)</f>
        <v/>
      </c>
      <c r="R27" s="111" t="str">
        <f>_xlfn.XLOOKUP($C27,DBGenzai[社員№],DBGenzai[請求単価],"",0,1)</f>
        <v/>
      </c>
      <c r="S27" s="111" t="str">
        <f>_xlfn.XLOOKUP($C27,DBGenzai[社員№],DBGenzai[〒],"",0,1)</f>
        <v/>
      </c>
      <c r="T27" s="111" t="str">
        <f>_xlfn.XLOOKUP($C27,DBGenzai[社員№],DBGenzai[住所],"",0,1)</f>
        <v/>
      </c>
      <c r="U27" s="111" t="str">
        <f>_xlfn.XLOOKUP($C27,DBGenzai[社員№],DBGenzai[ｱﾊﾟｰﾄ],"",0,1)</f>
        <v/>
      </c>
      <c r="V27" s="113" t="str">
        <f>_xlfn.XLOOKUP($C27,DBGenzai[社員№],DBGenzai[入居],"",0,1)</f>
        <v/>
      </c>
      <c r="W27" s="113" t="str">
        <f>_xlfn.XLOOKUP($C27,DBGenzai[社員№],DBGenzai[入社日],"",0,1)</f>
        <v/>
      </c>
      <c r="X27" s="113" t="str">
        <f>_xlfn.XLOOKUP($C27,DBGenzai[社員№],DBGenzai[退社日],"",0,1)</f>
        <v/>
      </c>
      <c r="Y27" s="111" t="str">
        <f>_xlfn.XLOOKUP($C27,DBGenzai[社員№],DBGenzai[退去],"",0,1)</f>
        <v/>
      </c>
      <c r="Z27" s="111" t="str">
        <f>_xlfn.XLOOKUP($C27,DBGenzai[社員№],DBGenzai[備考],"",0,1)</f>
        <v/>
      </c>
      <c r="AA2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7" s="159" t="e">
        <f>(TablaTransfor[[#This Row],[unicos]]-TablaTransfor[[#This Row],[入社日]])/364</f>
        <v>#VALUE!</v>
      </c>
      <c r="AC27" s="173" t="s">
        <v>2968</v>
      </c>
      <c r="AF27" s="251" t="str">
        <f>_xlfn.XLOOKUP($C27,DBGenzai[社員№],DBGenzai[請求単価],"",0,1)</f>
        <v/>
      </c>
      <c r="AG27" s="111" t="e">
        <f>($AG$2-TablaTransfor[[#This Row],[入社日]])/365</f>
        <v>#VALUE!</v>
      </c>
    </row>
    <row r="28" spans="1:33" hidden="1">
      <c r="A28" s="117">
        <f>SUBTOTAL(103,$C$3:C28)</f>
        <v>4</v>
      </c>
      <c r="B28" s="111">
        <v>101</v>
      </c>
      <c r="C28" s="111" t="str">
        <f>_xlfn.XLOOKUP($F$1&amp;B28,Filtro!B:B,Filtro!D:D,"",0,1)</f>
        <v/>
      </c>
      <c r="D28" s="111" t="str">
        <f>_xlfn.XLOOKUP(C28,DBGenzai[社員№],DBGenzai[現在],"",0,1)</f>
        <v/>
      </c>
      <c r="E28" s="111" t="str">
        <f>_xlfn.XLOOKUP($C28,DBGenzai[社員№],DBGenzai[派遣先ID],"",0,1)</f>
        <v/>
      </c>
      <c r="F28" s="111" t="str">
        <f>_xlfn.XLOOKUP($C28,DBGenzai[社員№],DBGenzai[配属先],"",0,1)</f>
        <v/>
      </c>
      <c r="G28" s="111" t="str">
        <f>MID(TablaTransfor[[#This Row],[配属先]],1,8)</f>
        <v/>
      </c>
      <c r="H28" s="111" t="str">
        <f>MID(TablaTransfor[[#This Row],[配属先]],9,6)</f>
        <v/>
      </c>
      <c r="I28" s="111" t="str">
        <f>MID(TablaTransfor[[#This Row],[配属先]],15,12)</f>
        <v/>
      </c>
      <c r="J28" s="111" t="str">
        <f>_xlfn.XLOOKUP($C28,DBGenzai[社員№],DBGenzai[配属ライン],"",0,1)</f>
        <v/>
      </c>
      <c r="K28" s="111" t="str">
        <f>_xlfn.XLOOKUP($C28,DBGenzai[社員№],DBGenzai[氏名],"",0,1)</f>
        <v/>
      </c>
      <c r="L28" s="111" t="str">
        <f>_xlfn.XLOOKUP($C28,DBGenzai[社員№],DBGenzai[カナ],"",0,1)</f>
        <v/>
      </c>
      <c r="M28" s="111" t="str">
        <f>_xlfn.XLOOKUP($C28,DBGenzai[社員№],DBGenzai[性別],"",0,1)</f>
        <v/>
      </c>
      <c r="N28" s="111" t="str">
        <f>_xlfn.XLOOKUP($C28,DBGenzai[社員№],DBGenzai[国籍],"",0,1)</f>
        <v/>
      </c>
      <c r="O28" s="113" t="str">
        <f>_xlfn.XLOOKUP($C28,DBGenzai[社員№],DBGenzai[生年月日],"",0,1)</f>
        <v/>
      </c>
      <c r="P28" s="111" t="str">
        <f>_xlfn.XLOOKUP($C28,DBGenzai[社員№],DBGenzai[年齢],"",0,1)</f>
        <v/>
      </c>
      <c r="Q28" s="111" t="str">
        <f>_xlfn.XLOOKUP($C28,DBGenzai[社員№],DBGenzai[時給],"",0,1)</f>
        <v/>
      </c>
      <c r="R28" s="111" t="str">
        <f>_xlfn.XLOOKUP($C28,DBGenzai[社員№],DBGenzai[請求単価],"",0,1)</f>
        <v/>
      </c>
      <c r="S28" s="111" t="str">
        <f>_xlfn.XLOOKUP($C28,DBGenzai[社員№],DBGenzai[〒],"",0,1)</f>
        <v/>
      </c>
      <c r="T28" s="111" t="str">
        <f>_xlfn.XLOOKUP($C28,DBGenzai[社員№],DBGenzai[住所],"",0,1)</f>
        <v/>
      </c>
      <c r="U28" s="111" t="str">
        <f>_xlfn.XLOOKUP($C28,DBGenzai[社員№],DBGenzai[ｱﾊﾟｰﾄ],"",0,1)</f>
        <v/>
      </c>
      <c r="V28" s="113" t="str">
        <f>_xlfn.XLOOKUP($C28,DBGenzai[社員№],DBGenzai[入居],"",0,1)</f>
        <v/>
      </c>
      <c r="W28" s="113" t="str">
        <f>_xlfn.XLOOKUP($C28,DBGenzai[社員№],DBGenzai[入社日],"",0,1)</f>
        <v/>
      </c>
      <c r="X28" s="113" t="str">
        <f>_xlfn.XLOOKUP($C28,DBGenzai[社員№],DBGenzai[退社日],"",0,1)</f>
        <v/>
      </c>
      <c r="Y28" s="111" t="str">
        <f>_xlfn.XLOOKUP($C28,DBGenzai[社員№],DBGenzai[退去],"",0,1)</f>
        <v/>
      </c>
      <c r="Z28" s="111" t="str">
        <f>_xlfn.XLOOKUP($C28,DBGenzai[社員№],DBGenzai[備考],"",0,1)</f>
        <v/>
      </c>
      <c r="AA2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28" s="159" t="e">
        <f>(TablaTransfor[[#This Row],[unicos]]-TablaTransfor[[#This Row],[入社日]])/364</f>
        <v>#VALUE!</v>
      </c>
      <c r="AC28" s="173" t="s">
        <v>2968</v>
      </c>
      <c r="AF28" s="251" t="str">
        <f>_xlfn.XLOOKUP($C28,DBGenzai[社員№],DBGenzai[請求単価],"",0,1)</f>
        <v/>
      </c>
      <c r="AG28" s="111" t="e">
        <f>($AG$2-TablaTransfor[[#This Row],[入社日]])/365</f>
        <v>#VALUE!</v>
      </c>
    </row>
    <row r="29" spans="1:33" hidden="1">
      <c r="A29" s="117">
        <f>SUBTOTAL(103,$C$3:C29)</f>
        <v>4</v>
      </c>
      <c r="B29" s="111">
        <v>3</v>
      </c>
      <c r="C29" s="111">
        <f>_xlfn.XLOOKUP($F$1&amp;B29,Filtro!B:B,Filtro!D:D,"",0,1)</f>
        <v>210203</v>
      </c>
      <c r="D29" s="111" t="str">
        <f>_xlfn.XLOOKUP(C29,DBGenzai[社員№],DBGenzai[現在],"",0,1)</f>
        <v>退社</v>
      </c>
      <c r="E29" s="111">
        <f>_xlfn.XLOOKUP($C29,DBGenzai[社員№],DBGenzai[派遣先ID],"",0,1)</f>
        <v>212007</v>
      </c>
      <c r="F29" s="111" t="str">
        <f>_xlfn.XLOOKUP($C29,DBGenzai[社員№],DBGenzai[配属先],"",0,1)</f>
        <v>高雄工業株式会社 本社工場製作課</v>
      </c>
      <c r="G29" s="111" t="str">
        <f>MID(TablaTransfor[[#This Row],[配属先]],1,8)</f>
        <v>高雄工業株式会社</v>
      </c>
      <c r="H29" s="111" t="str">
        <f>MID(TablaTransfor[[#This Row],[配属先]],9,6)</f>
        <v xml:space="preserve"> 本社工場製</v>
      </c>
      <c r="I29" s="111" t="str">
        <f>MID(TablaTransfor[[#This Row],[配属先]],15,12)</f>
        <v>作課</v>
      </c>
      <c r="J29" s="111" t="str">
        <f>_xlfn.XLOOKUP($C29,DBGenzai[社員№],DBGenzai[配属ライン],"",0,1)</f>
        <v>Gライン</v>
      </c>
      <c r="K29" s="111" t="str">
        <f>_xlfn.XLOOKUP($C29,DBGenzai[社員№],DBGenzai[氏名],"",0,1)</f>
        <v>LUONG QUANG QUAN</v>
      </c>
      <c r="L29" s="111" t="str">
        <f>_xlfn.XLOOKUP($C29,DBGenzai[社員№],DBGenzai[カナ],"",0,1)</f>
        <v>ルォン　クァン　クァン</v>
      </c>
      <c r="M29" s="111" t="str">
        <f>_xlfn.XLOOKUP($C29,DBGenzai[社員№],DBGenzai[性別],"",0,1)</f>
        <v>男</v>
      </c>
      <c r="N29" s="111" t="str">
        <f>_xlfn.XLOOKUP($C29,DBGenzai[社員№],DBGenzai[国籍],"",0,1)</f>
        <v>ﾍﾞﾄﾅﾑ</v>
      </c>
      <c r="O29" s="113">
        <f>_xlfn.XLOOKUP($C29,DBGenzai[社員№],DBGenzai[生年月日],"",0,1)</f>
        <v>35412</v>
      </c>
      <c r="P29" s="111">
        <f>_xlfn.XLOOKUP($C29,DBGenzai[社員№],DBGenzai[年齢],"",0,1)</f>
        <v>26</v>
      </c>
      <c r="Q29" s="111">
        <f>_xlfn.XLOOKUP($C29,DBGenzai[社員№],DBGenzai[時給],"",0,1)</f>
        <v>1400</v>
      </c>
      <c r="R29" s="111">
        <f>_xlfn.XLOOKUP($C29,DBGenzai[社員№],DBGenzai[請求単価],"",0,1)</f>
        <v>1780</v>
      </c>
      <c r="S29" s="111" t="str">
        <f>_xlfn.XLOOKUP($C29,DBGenzai[社員№],DBGenzai[〒],"",0,1)</f>
        <v>498-0017</v>
      </c>
      <c r="T29" s="111" t="str">
        <f>_xlfn.XLOOKUP($C29,DBGenzai[社員№],DBGenzai[住所],"",0,1)</f>
        <v>愛知県弥富市前ヶ須町南本田522-１</v>
      </c>
      <c r="U29" s="111" t="str">
        <f>_xlfn.XLOOKUP($C29,DBGenzai[社員№],DBGenzai[ｱﾊﾟｰﾄ],"",0,1)</f>
        <v>ﾐﾉﾔ弥冨ﾊｲﾂ502</v>
      </c>
      <c r="V29" s="113">
        <f>_xlfn.XLOOKUP($C29,DBGenzai[社員№],DBGenzai[入居],"",0,1)</f>
        <v>44223</v>
      </c>
      <c r="W29" s="209">
        <f>_xlfn.XLOOKUP($C29,DBGenzai[社員№],DBGenzai[入社日],"",0,1)</f>
        <v>44229</v>
      </c>
      <c r="X29" s="113">
        <f>_xlfn.XLOOKUP($C29,DBGenzai[社員№],DBGenzai[退社日],"",0,1)</f>
        <v>44923</v>
      </c>
      <c r="Y29" s="111">
        <f>_xlfn.XLOOKUP($C29,DBGenzai[社員№],DBGenzai[退去],"",0,1)</f>
        <v>0</v>
      </c>
      <c r="Z29" s="111">
        <f>_xlfn.XLOOKUP($C29,DBGenzai[社員№],DBGenzai[備考],"",0,1)</f>
        <v>0</v>
      </c>
      <c r="AA29" s="113">
        <f>$AA$1</f>
        <v>45199</v>
      </c>
      <c r="AB29" s="159">
        <f>(TablaTransfor[[#This Row],[unicos]]-TablaTransfor[[#This Row],[入社日]])/364</f>
        <v>2.6648351648351647</v>
      </c>
      <c r="AC29" s="190" t="s">
        <v>3015</v>
      </c>
      <c r="AD29" s="114">
        <v>44230</v>
      </c>
      <c r="AE29" s="116">
        <v>45017</v>
      </c>
      <c r="AF29" s="252">
        <f>_xlfn.XLOOKUP($C29,DBGenzai[社員№],DBGenzai[請求単価],"",0,1)</f>
        <v>1780</v>
      </c>
      <c r="AG29" s="111">
        <f>($AG$2-TablaTransfor[[#This Row],[入社日]])/365</f>
        <v>2.6575342465753424</v>
      </c>
    </row>
    <row r="30" spans="1:33" hidden="1">
      <c r="A30" s="117">
        <f>SUBTOTAL(103,$C$3:C30)</f>
        <v>4</v>
      </c>
      <c r="B30" s="111">
        <v>12</v>
      </c>
      <c r="C30" s="111">
        <f>_xlfn.XLOOKUP($F$1&amp;B30,Filtro!B:B,Filtro!D:D,"",0,1)</f>
        <v>220212</v>
      </c>
      <c r="D30" s="111" t="str">
        <f>_xlfn.XLOOKUP(C30,DBGenzai[社員№],DBGenzai[現在],"",0,1)</f>
        <v>退社</v>
      </c>
      <c r="E30" s="111">
        <f>_xlfn.XLOOKUP($C30,DBGenzai[社員№],DBGenzai[派遣先ID],"",0,1)</f>
        <v>212025</v>
      </c>
      <c r="F30" s="111" t="str">
        <f>_xlfn.XLOOKUP($C30,DBGenzai[社員№],DBGenzai[配属先],"",0,1)</f>
        <v>高雄工業株式会社 本社工場製作課</v>
      </c>
      <c r="G30" s="111" t="str">
        <f>MID(TablaTransfor[[#This Row],[配属先]],1,8)</f>
        <v>高雄工業株式会社</v>
      </c>
      <c r="H30" s="111" t="str">
        <f>MID(TablaTransfor[[#This Row],[配属先]],9,6)</f>
        <v xml:space="preserve"> 本社工場製</v>
      </c>
      <c r="I30" s="111" t="str">
        <f>MID(TablaTransfor[[#This Row],[配属先]],15,12)</f>
        <v>作課</v>
      </c>
      <c r="J30" s="111" t="str">
        <f>_xlfn.XLOOKUP($C30,DBGenzai[社員№],DBGenzai[配属ライン],"",0,1)</f>
        <v>Fライン</v>
      </c>
      <c r="K30" s="111" t="str">
        <f>_xlfn.XLOOKUP($C30,DBGenzai[社員№],DBGenzai[氏名],"",0,1)</f>
        <v>NGUYEN NGOC TUNG</v>
      </c>
      <c r="L30" s="111" t="str">
        <f>_xlfn.XLOOKUP($C30,DBGenzai[社員№],DBGenzai[カナ],"",0,1)</f>
        <v>グエン　ゴック　トゥン</v>
      </c>
      <c r="M30" s="111" t="str">
        <f>_xlfn.XLOOKUP($C30,DBGenzai[社員№],DBGenzai[性別],"",0,1)</f>
        <v>男</v>
      </c>
      <c r="N30" s="111" t="str">
        <f>_xlfn.XLOOKUP($C30,DBGenzai[社員№],DBGenzai[国籍],"",0,1)</f>
        <v>ﾍﾞﾄﾅﾑ</v>
      </c>
      <c r="O30" s="113">
        <f>_xlfn.XLOOKUP($C30,DBGenzai[社員№],DBGenzai[生年月日],"",0,1)</f>
        <v>34669</v>
      </c>
      <c r="P30" s="111">
        <f>_xlfn.XLOOKUP($C30,DBGenzai[社員№],DBGenzai[年齢],"",0,1)</f>
        <v>29</v>
      </c>
      <c r="Q30" s="111">
        <f>_xlfn.XLOOKUP($C30,DBGenzai[社員№],DBGenzai[時給],"",0,1)</f>
        <v>1400</v>
      </c>
      <c r="R30" s="111">
        <f>_xlfn.XLOOKUP($C30,DBGenzai[社員№],DBGenzai[請求単価],"",0,1)</f>
        <v>1770</v>
      </c>
      <c r="S30" s="111" t="str">
        <f>_xlfn.XLOOKUP($C30,DBGenzai[社員№],DBGenzai[〒],"",0,1)</f>
        <v>498-0031</v>
      </c>
      <c r="T30" s="111" t="str">
        <f>_xlfn.XLOOKUP($C30,DBGenzai[社員№],DBGenzai[住所],"",0,1)</f>
        <v>愛知県弥富市平島町甲新田72-4</v>
      </c>
      <c r="U30" s="111" t="str">
        <f>_xlfn.XLOOKUP($C30,DBGenzai[社員№],DBGenzai[ｱﾊﾟｰﾄ],"",0,1)</f>
        <v>ｲｰｽﾄｺｰﾄ202</v>
      </c>
      <c r="V30" s="113">
        <f>_xlfn.XLOOKUP($C30,DBGenzai[社員№],DBGenzai[入居],"",0,1)</f>
        <v>44596</v>
      </c>
      <c r="W30" s="209">
        <f>_xlfn.XLOOKUP($C30,DBGenzai[社員№],DBGenzai[入社日],"",0,1)</f>
        <v>44602</v>
      </c>
      <c r="X30" s="113">
        <f>_xlfn.XLOOKUP($C30,DBGenzai[社員№],DBGenzai[退社日],"",0,1)</f>
        <v>45058</v>
      </c>
      <c r="Y30" s="111">
        <f>_xlfn.XLOOKUP($C30,DBGenzai[社員№],DBGenzai[退去],"",0,1)</f>
        <v>45071</v>
      </c>
      <c r="Z30" s="111">
        <f>_xlfn.XLOOKUP($C30,DBGenzai[社員№],DBGenzai[備考],"",0,1)</f>
        <v>0</v>
      </c>
      <c r="AA30" s="113">
        <f>$AA$1</f>
        <v>45199</v>
      </c>
      <c r="AB30" s="159">
        <f>(TablaTransfor[[#This Row],[unicos]]-TablaTransfor[[#This Row],[入社日]])/364</f>
        <v>1.6401098901098901</v>
      </c>
      <c r="AC30" s="175" t="s">
        <v>2970</v>
      </c>
      <c r="AD30" s="114">
        <v>44986</v>
      </c>
      <c r="AE30" s="116">
        <v>45017</v>
      </c>
      <c r="AF30" s="252">
        <f>_xlfn.XLOOKUP($C30,DBGenzai[社員№],DBGenzai[請求単価],"",0,1)</f>
        <v>1770</v>
      </c>
      <c r="AG30" s="111">
        <f>($AG$2-TablaTransfor[[#This Row],[入社日]])/365</f>
        <v>1.6356164383561644</v>
      </c>
    </row>
    <row r="31" spans="1:33">
      <c r="A31" s="117">
        <f>SUBTOTAL(103,$C$3:C31)</f>
        <v>5</v>
      </c>
      <c r="B31" s="111">
        <v>7</v>
      </c>
      <c r="C31" s="111">
        <f>_xlfn.XLOOKUP($F$1&amp;B31,Filtro!B:B,Filtro!D:D,"",0,1)</f>
        <v>220121</v>
      </c>
      <c r="D31" s="111" t="str">
        <f>_xlfn.XLOOKUP(C31,DBGenzai[社員№],DBGenzai[現在],"",0,1)</f>
        <v>在職中</v>
      </c>
      <c r="E31" s="111">
        <f>_xlfn.XLOOKUP($C31,DBGenzai[社員№],DBGenzai[派遣先ID],"",0,1)</f>
        <v>212018</v>
      </c>
      <c r="F31" s="111" t="str">
        <f>_xlfn.XLOOKUP($C31,DBGenzai[社員№],DBGenzai[配属先],"",0,1)</f>
        <v>高雄工業株式会社 本社工場製作課</v>
      </c>
      <c r="G31" s="111" t="str">
        <f>MID(TablaTransfor[[#This Row],[配属先]],1,8)</f>
        <v>高雄工業株式会社</v>
      </c>
      <c r="H31" s="111" t="str">
        <f>MID(TablaTransfor[[#This Row],[配属先]],9,6)</f>
        <v xml:space="preserve"> 本社工場製</v>
      </c>
      <c r="I31" s="111" t="str">
        <f>MID(TablaTransfor[[#This Row],[配属先]],15,12)</f>
        <v>作課</v>
      </c>
      <c r="J31" s="111" t="str">
        <f>_xlfn.XLOOKUP($C31,DBGenzai[社員№],DBGenzai[配属ライン],"",0,1)</f>
        <v>Gライン</v>
      </c>
      <c r="K31" s="111" t="str">
        <f>_xlfn.XLOOKUP($C31,DBGenzai[社員№],DBGenzai[氏名],"",0,1)</f>
        <v>NGO VAN HIEP</v>
      </c>
      <c r="L31" s="111" t="str">
        <f>_xlfn.XLOOKUP($C31,DBGenzai[社員№],DBGenzai[カナ],"",0,1)</f>
        <v>ゴー　ヴァン　ヒエップ</v>
      </c>
      <c r="M31" s="111" t="str">
        <f>_xlfn.XLOOKUP($C31,DBGenzai[社員№],DBGenzai[性別],"",0,1)</f>
        <v>男</v>
      </c>
      <c r="N31" s="111" t="str">
        <f>_xlfn.XLOOKUP($C31,DBGenzai[社員№],DBGenzai[国籍],"",0,1)</f>
        <v>ﾍﾞﾄﾅﾑ</v>
      </c>
      <c r="O31" s="113">
        <f>_xlfn.XLOOKUP($C31,DBGenzai[社員№],DBGenzai[生年月日],"",0,1)</f>
        <v>35377</v>
      </c>
      <c r="P31" s="111">
        <f>_xlfn.XLOOKUP($C31,DBGenzai[社員№],DBGenzai[年齢],"",0,1)</f>
        <v>27</v>
      </c>
      <c r="Q31" s="111">
        <f>_xlfn.XLOOKUP($C31,DBGenzai[社員№],DBGenzai[時給],"",0,1)</f>
        <v>1400</v>
      </c>
      <c r="R31" s="111">
        <f>_xlfn.XLOOKUP($C31,DBGenzai[社員№],DBGenzai[請求単価],"",0,1)</f>
        <v>1780</v>
      </c>
      <c r="S31" s="111" t="str">
        <f>_xlfn.XLOOKUP($C31,DBGenzai[社員№],DBGenzai[〒],"",0,1)</f>
        <v>498-0031</v>
      </c>
      <c r="T31" s="111" t="str">
        <f>_xlfn.XLOOKUP($C31,DBGenzai[社員№],DBGenzai[住所],"",0,1)</f>
        <v>愛知県弥富市平島町中新田196-1</v>
      </c>
      <c r="U31" s="111" t="str">
        <f>_xlfn.XLOOKUP($C31,DBGenzai[社員№],DBGenzai[ｱﾊﾟｰﾄ],"",0,1)</f>
        <v>ｺﾝﾂｪﾙﾊｳｽⅡD202</v>
      </c>
      <c r="V31" s="113">
        <f>_xlfn.XLOOKUP($C31,DBGenzai[社員№],DBGenzai[入居],"",0,1)</f>
        <v>44558</v>
      </c>
      <c r="W31" s="113">
        <f>_xlfn.XLOOKUP($C31,DBGenzai[社員№],DBGenzai[入社日],"",0,1)</f>
        <v>44579</v>
      </c>
      <c r="X31" s="113">
        <f>_xlfn.XLOOKUP($C31,DBGenzai[社員№],DBGenzai[退社日],"",0,1)</f>
        <v>0</v>
      </c>
      <c r="Y31" s="111">
        <f>_xlfn.XLOOKUP($C31,DBGenzai[社員№],DBGenzai[退去],"",0,1)</f>
        <v>0</v>
      </c>
      <c r="Z31" s="111">
        <f>_xlfn.XLOOKUP($C31,DBGenzai[社員№],DBGenzai[備考],"",0,1)</f>
        <v>0</v>
      </c>
      <c r="AA31"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44834</v>
      </c>
      <c r="AB31" s="159">
        <f>(TablaTransfor[[#This Row],[unicos]]-TablaTransfor[[#This Row],[入社日]])/364</f>
        <v>0.7005494505494505</v>
      </c>
      <c r="AC31" s="189"/>
      <c r="AF31" s="251">
        <f>_xlfn.XLOOKUP($C31,DBGenzai[社員№],DBGenzai[請求単価],"",0,1)</f>
        <v>1780</v>
      </c>
      <c r="AG31" s="111">
        <f>($AG$2-TablaTransfor[[#This Row],[入社日]])/365</f>
        <v>1.6986301369863013</v>
      </c>
    </row>
    <row r="32" spans="1:33" hidden="1">
      <c r="A32" s="117">
        <f>SUBTOTAL(103,$C$3:C32)</f>
        <v>5</v>
      </c>
      <c r="B32" s="111">
        <v>102</v>
      </c>
      <c r="C32" s="111" t="str">
        <f>_xlfn.XLOOKUP($F$1&amp;B32,Filtro!B:B,Filtro!D:D,"",0,1)</f>
        <v/>
      </c>
      <c r="D32" s="111" t="str">
        <f>_xlfn.XLOOKUP(C32,DBGenzai[社員№],DBGenzai[現在],"",0,1)</f>
        <v/>
      </c>
      <c r="E32" s="111" t="str">
        <f>_xlfn.XLOOKUP($C32,DBGenzai[社員№],DBGenzai[派遣先ID],"",0,1)</f>
        <v/>
      </c>
      <c r="F32" s="111" t="str">
        <f>_xlfn.XLOOKUP($C32,DBGenzai[社員№],DBGenzai[配属先],"",0,1)</f>
        <v/>
      </c>
      <c r="G32" s="111" t="str">
        <f>MID(TablaTransfor[[#This Row],[配属先]],1,8)</f>
        <v/>
      </c>
      <c r="H32" s="111" t="str">
        <f>MID(TablaTransfor[[#This Row],[配属先]],9,6)</f>
        <v/>
      </c>
      <c r="I32" s="111" t="str">
        <f>MID(TablaTransfor[[#This Row],[配属先]],15,12)</f>
        <v/>
      </c>
      <c r="J32" s="111" t="str">
        <f>_xlfn.XLOOKUP($C32,DBGenzai[社員№],DBGenzai[配属ライン],"",0,1)</f>
        <v/>
      </c>
      <c r="K32" s="111" t="str">
        <f>_xlfn.XLOOKUP($C32,DBGenzai[社員№],DBGenzai[氏名],"",0,1)</f>
        <v/>
      </c>
      <c r="L32" s="111" t="str">
        <f>_xlfn.XLOOKUP($C32,DBGenzai[社員№],DBGenzai[カナ],"",0,1)</f>
        <v/>
      </c>
      <c r="M32" s="111" t="str">
        <f>_xlfn.XLOOKUP($C32,DBGenzai[社員№],DBGenzai[性別],"",0,1)</f>
        <v/>
      </c>
      <c r="N32" s="111" t="str">
        <f>_xlfn.XLOOKUP($C32,DBGenzai[社員№],DBGenzai[国籍],"",0,1)</f>
        <v/>
      </c>
      <c r="O32" s="113" t="str">
        <f>_xlfn.XLOOKUP($C32,DBGenzai[社員№],DBGenzai[生年月日],"",0,1)</f>
        <v/>
      </c>
      <c r="P32" s="111" t="str">
        <f>_xlfn.XLOOKUP($C32,DBGenzai[社員№],DBGenzai[年齢],"",0,1)</f>
        <v/>
      </c>
      <c r="Q32" s="111" t="str">
        <f>_xlfn.XLOOKUP($C32,DBGenzai[社員№],DBGenzai[時給],"",0,1)</f>
        <v/>
      </c>
      <c r="R32" s="111" t="str">
        <f>_xlfn.XLOOKUP($C32,DBGenzai[社員№],DBGenzai[請求単価],"",0,1)</f>
        <v/>
      </c>
      <c r="S32" s="111" t="str">
        <f>_xlfn.XLOOKUP($C32,DBGenzai[社員№],DBGenzai[〒],"",0,1)</f>
        <v/>
      </c>
      <c r="T32" s="111" t="str">
        <f>_xlfn.XLOOKUP($C32,DBGenzai[社員№],DBGenzai[住所],"",0,1)</f>
        <v/>
      </c>
      <c r="U32" s="111" t="str">
        <f>_xlfn.XLOOKUP($C32,DBGenzai[社員№],DBGenzai[ｱﾊﾟｰﾄ],"",0,1)</f>
        <v/>
      </c>
      <c r="V32" s="113" t="str">
        <f>_xlfn.XLOOKUP($C32,DBGenzai[社員№],DBGenzai[入居],"",0,1)</f>
        <v/>
      </c>
      <c r="W32" s="113" t="str">
        <f>_xlfn.XLOOKUP($C32,DBGenzai[社員№],DBGenzai[入社日],"",0,1)</f>
        <v/>
      </c>
      <c r="X32" s="113" t="str">
        <f>_xlfn.XLOOKUP($C32,DBGenzai[社員№],DBGenzai[退社日],"",0,1)</f>
        <v/>
      </c>
      <c r="Y32" s="111" t="str">
        <f>_xlfn.XLOOKUP($C32,DBGenzai[社員№],DBGenzai[退去],"",0,1)</f>
        <v/>
      </c>
      <c r="Z32" s="111" t="str">
        <f>_xlfn.XLOOKUP($C32,DBGenzai[社員№],DBGenzai[備考],"",0,1)</f>
        <v/>
      </c>
      <c r="AA3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32" s="159" t="e">
        <f>(TablaTransfor[[#This Row],[unicos]]-TablaTransfor[[#This Row],[入社日]])/364</f>
        <v>#VALUE!</v>
      </c>
      <c r="AC32" s="173" t="s">
        <v>2968</v>
      </c>
      <c r="AF32" s="251" t="str">
        <f>_xlfn.XLOOKUP($C32,DBGenzai[社員№],DBGenzai[請求単価],"",0,1)</f>
        <v/>
      </c>
      <c r="AG32" s="111" t="e">
        <f>($AG$2-TablaTransfor[[#This Row],[入社日]])/365</f>
        <v>#VALUE!</v>
      </c>
    </row>
    <row r="33" spans="1:33">
      <c r="A33" s="117">
        <f>SUBTOTAL(103,$C$3:C33)</f>
        <v>6</v>
      </c>
      <c r="B33" s="111">
        <v>10</v>
      </c>
      <c r="C33" s="111">
        <f>_xlfn.XLOOKUP($F$1&amp;B33,Filtro!B:B,Filtro!D:D,"",0,1)</f>
        <v>220209</v>
      </c>
      <c r="D33" s="111" t="str">
        <f>_xlfn.XLOOKUP(C33,DBGenzai[社員№],DBGenzai[現在],"",0,1)</f>
        <v>在職中</v>
      </c>
      <c r="E33" s="111">
        <f>_xlfn.XLOOKUP($C33,DBGenzai[社員№],DBGenzai[派遣先ID],"",0,1)</f>
        <v>212023</v>
      </c>
      <c r="F33" s="111" t="str">
        <f>_xlfn.XLOOKUP($C33,DBGenzai[社員№],DBGenzai[配属先],"",0,1)</f>
        <v>高雄工業株式会社 本社工場製作課</v>
      </c>
      <c r="G33" s="111" t="str">
        <f>MID(TablaTransfor[[#This Row],[配属先]],1,8)</f>
        <v>高雄工業株式会社</v>
      </c>
      <c r="H33" s="111" t="str">
        <f>MID(TablaTransfor[[#This Row],[配属先]],9,6)</f>
        <v xml:space="preserve"> 本社工場製</v>
      </c>
      <c r="I33" s="111" t="str">
        <f>MID(TablaTransfor[[#This Row],[配属先]],15,12)</f>
        <v>作課</v>
      </c>
      <c r="J33" s="111" t="str">
        <f>_xlfn.XLOOKUP($C33,DBGenzai[社員№],DBGenzai[配属ライン],"",0,1)</f>
        <v>Gライン</v>
      </c>
      <c r="K33" s="111" t="str">
        <f>_xlfn.XLOOKUP($C33,DBGenzai[社員№],DBGenzai[氏名],"",0,1)</f>
        <v>NGUYEN VAN LAP</v>
      </c>
      <c r="L33" s="111" t="str">
        <f>_xlfn.XLOOKUP($C33,DBGenzai[社員№],DBGenzai[カナ],"",0,1)</f>
        <v>グエン　ヴァン　ラップ</v>
      </c>
      <c r="M33" s="111" t="str">
        <f>_xlfn.XLOOKUP($C33,DBGenzai[社員№],DBGenzai[性別],"",0,1)</f>
        <v>男</v>
      </c>
      <c r="N33" s="111" t="str">
        <f>_xlfn.XLOOKUP($C33,DBGenzai[社員№],DBGenzai[国籍],"",0,1)</f>
        <v>ﾍﾞﾄﾅﾑ</v>
      </c>
      <c r="O33" s="113">
        <f>_xlfn.XLOOKUP($C33,DBGenzai[社員№],DBGenzai[生年月日],"",0,1)</f>
        <v>35544</v>
      </c>
      <c r="P33" s="111">
        <f>_xlfn.XLOOKUP($C33,DBGenzai[社員№],DBGenzai[年齢],"",0,1)</f>
        <v>26</v>
      </c>
      <c r="Q33" s="111">
        <f>_xlfn.XLOOKUP($C33,DBGenzai[社員№],DBGenzai[時給],"",0,1)</f>
        <v>1400</v>
      </c>
      <c r="R33" s="111">
        <f>_xlfn.XLOOKUP($C33,DBGenzai[社員№],DBGenzai[請求単価],"",0,1)</f>
        <v>1770</v>
      </c>
      <c r="S33" s="111" t="str">
        <f>_xlfn.XLOOKUP($C33,DBGenzai[社員№],DBGenzai[〒],"",0,1)</f>
        <v>498-0031</v>
      </c>
      <c r="T33" s="111" t="str">
        <f>_xlfn.XLOOKUP($C33,DBGenzai[社員№],DBGenzai[住所],"",0,1)</f>
        <v>愛知県弥富市平島町甲新田82番地１</v>
      </c>
      <c r="U33" s="111" t="str">
        <f>_xlfn.XLOOKUP($C33,DBGenzai[社員№],DBGenzai[ｱﾊﾟｰﾄ],"",0,1)</f>
        <v>ﾊﾟｰｸﾀｳﾝ平島D201</v>
      </c>
      <c r="V33" s="113">
        <f>_xlfn.XLOOKUP($C33,DBGenzai[社員№],DBGenzai[入居],"",0,1)</f>
        <v>44632</v>
      </c>
      <c r="W33" s="209">
        <f>_xlfn.XLOOKUP($C33,DBGenzai[社員№],DBGenzai[入社日],"",0,1)</f>
        <v>44599</v>
      </c>
      <c r="X33" s="113">
        <f>_xlfn.XLOOKUP($C33,DBGenzai[社員№],DBGenzai[退社日],"",0,1)</f>
        <v>0</v>
      </c>
      <c r="Y33" s="111">
        <f>_xlfn.XLOOKUP($C33,DBGenzai[社員№],DBGenzai[退去],"",0,1)</f>
        <v>0</v>
      </c>
      <c r="Z33" s="111">
        <f>_xlfn.XLOOKUP($C33,DBGenzai[社員№],DBGenzai[備考],"",0,1)</f>
        <v>0</v>
      </c>
      <c r="AA33" s="113">
        <f>$AA$1</f>
        <v>45199</v>
      </c>
      <c r="AB33" s="159">
        <f>(TablaTransfor[[#This Row],[unicos]]-TablaTransfor[[#This Row],[入社日]])/364</f>
        <v>1.6483516483516483</v>
      </c>
      <c r="AC33" s="174" t="s">
        <v>3018</v>
      </c>
      <c r="AD33" s="114">
        <v>44432</v>
      </c>
      <c r="AE33" s="116">
        <v>45017</v>
      </c>
      <c r="AF33" s="252">
        <f>_xlfn.XLOOKUP($C33,DBGenzai[社員№],DBGenzai[請求単価],"",0,1)</f>
        <v>1770</v>
      </c>
      <c r="AG33" s="111">
        <f>($AG$2-TablaTransfor[[#This Row],[入社日]])/365</f>
        <v>1.6438356164383561</v>
      </c>
    </row>
    <row r="34" spans="1:33" hidden="1">
      <c r="A34" s="117">
        <f>SUBTOTAL(103,$C$3:C34)</f>
        <v>6</v>
      </c>
      <c r="B34" s="111">
        <v>15</v>
      </c>
      <c r="C34" s="111">
        <f>_xlfn.XLOOKUP($F$1&amp;B34,Filtro!B:B,Filtro!D:D,"",0,1)</f>
        <v>220510</v>
      </c>
      <c r="D34" s="111" t="str">
        <f>_xlfn.XLOOKUP(C34,DBGenzai[社員№],DBGenzai[現在],"",0,1)</f>
        <v>退社</v>
      </c>
      <c r="E34" s="111">
        <f>_xlfn.XLOOKUP($C34,DBGenzai[社員№],DBGenzai[派遣先ID],"",0,1)</f>
        <v>212031</v>
      </c>
      <c r="F34" s="111" t="str">
        <f>_xlfn.XLOOKUP($C34,DBGenzai[社員№],DBGenzai[配属先],"",0,1)</f>
        <v>高雄工業株式会社 本社工場製作課</v>
      </c>
      <c r="G34" s="111" t="str">
        <f>MID(TablaTransfor[[#This Row],[配属先]],1,8)</f>
        <v>高雄工業株式会社</v>
      </c>
      <c r="H34" s="111" t="str">
        <f>MID(TablaTransfor[[#This Row],[配属先]],9,6)</f>
        <v xml:space="preserve"> 本社工場製</v>
      </c>
      <c r="I34" s="111" t="str">
        <f>MID(TablaTransfor[[#This Row],[配属先]],15,12)</f>
        <v>作課</v>
      </c>
      <c r="J34" s="111" t="str">
        <f>_xlfn.XLOOKUP($C34,DBGenzai[社員№],DBGenzai[配属ライン],"",0,1)</f>
        <v>Gライン</v>
      </c>
      <c r="K34" s="111" t="str">
        <f>_xlfn.XLOOKUP($C34,DBGenzai[社員№],DBGenzai[氏名],"",0,1)</f>
        <v>HO HUYNH DINH NGHIEM</v>
      </c>
      <c r="L34" s="111" t="str">
        <f>_xlfn.XLOOKUP($C34,DBGenzai[社員№],DBGenzai[カナ],"",0,1)</f>
        <v>ホー　フィン　ディン　ギエム</v>
      </c>
      <c r="M34" s="111" t="str">
        <f>_xlfn.XLOOKUP($C34,DBGenzai[社員№],DBGenzai[性別],"",0,1)</f>
        <v>男</v>
      </c>
      <c r="N34" s="111" t="str">
        <f>_xlfn.XLOOKUP($C34,DBGenzai[社員№],DBGenzai[国籍],"",0,1)</f>
        <v>ﾍﾞﾄﾅﾑ</v>
      </c>
      <c r="O34" s="113">
        <f>_xlfn.XLOOKUP($C34,DBGenzai[社員№],DBGenzai[生年月日],"",0,1)</f>
        <v>35784</v>
      </c>
      <c r="P34" s="111">
        <f>_xlfn.XLOOKUP($C34,DBGenzai[社員№],DBGenzai[年齢],"",0,1)</f>
        <v>25</v>
      </c>
      <c r="Q34" s="111">
        <f>_xlfn.XLOOKUP($C34,DBGenzai[社員№],DBGenzai[時給],"",0,1)</f>
        <v>1250</v>
      </c>
      <c r="R34" s="111">
        <f>_xlfn.XLOOKUP($C34,DBGenzai[社員№],DBGenzai[請求単価],"",0,1)</f>
        <v>1660</v>
      </c>
      <c r="S34" s="111" t="str">
        <f>_xlfn.XLOOKUP($C34,DBGenzai[社員№],DBGenzai[〒],"",0,1)</f>
        <v>498-0031</v>
      </c>
      <c r="T34" s="111" t="str">
        <f>_xlfn.XLOOKUP($C34,DBGenzai[社員№],DBGenzai[住所],"",0,1)</f>
        <v>愛知県弥富市平島町北広畑10-1</v>
      </c>
      <c r="U34" s="111" t="str">
        <f>_xlfn.XLOOKUP($C34,DBGenzai[社員№],DBGenzai[ｱﾊﾟｰﾄ],"",0,1)</f>
        <v>ﾚﾌﾞﾗﾝｶﾐｰﾘｱＢ205</v>
      </c>
      <c r="V34" s="113">
        <f>_xlfn.XLOOKUP($C34,DBGenzai[社員№],DBGenzai[入居],"",0,1)</f>
        <v>45039</v>
      </c>
      <c r="W34" s="195">
        <f>_xlfn.XLOOKUP($C34,DBGenzai[社員№],DBGenzai[入社日],"",0,1)</f>
        <v>44692</v>
      </c>
      <c r="X34" s="113">
        <f>_xlfn.XLOOKUP($C34,DBGenzai[社員№],DBGenzai[退社日],"",0,1)</f>
        <v>45107</v>
      </c>
      <c r="Y34" s="111">
        <f>_xlfn.XLOOKUP($C34,DBGenzai[社員№],DBGenzai[退去],"",0,1)</f>
        <v>0</v>
      </c>
      <c r="Z34" s="111">
        <f>_xlfn.XLOOKUP($C34,DBGenzai[社員№],DBGenzai[備考],"",0,1)</f>
        <v>0</v>
      </c>
      <c r="AA34" s="113">
        <f>$AA$1</f>
        <v>45199</v>
      </c>
      <c r="AB34" s="159">
        <f>(TablaTransfor[[#This Row],[unicos]]-TablaTransfor[[#This Row],[入社日]])/364</f>
        <v>1.3928571428571428</v>
      </c>
      <c r="AC34" s="177" t="s">
        <v>3012</v>
      </c>
      <c r="AE34" s="116">
        <v>45017</v>
      </c>
      <c r="AF34" s="252">
        <f>_xlfn.XLOOKUP($C34,DBGenzai[社員№],DBGenzai[請求単価],"",0,1)</f>
        <v>1660</v>
      </c>
      <c r="AG34" s="111">
        <f>($AG$2-TablaTransfor[[#This Row],[入社日]])/365</f>
        <v>1.3890410958904109</v>
      </c>
    </row>
    <row r="35" spans="1:33">
      <c r="A35" s="117">
        <f>SUBTOTAL(103,$C$3:C35)</f>
        <v>7</v>
      </c>
      <c r="B35" s="111">
        <v>14</v>
      </c>
      <c r="C35" s="111">
        <f>_xlfn.XLOOKUP($F$1&amp;B35,Filtro!B:B,Filtro!D:D,"",0,1)</f>
        <v>220505</v>
      </c>
      <c r="D35" s="111" t="str">
        <f>_xlfn.XLOOKUP(C35,DBGenzai[社員№],DBGenzai[現在],"",0,1)</f>
        <v>在職中</v>
      </c>
      <c r="E35" s="111">
        <f>_xlfn.XLOOKUP($C35,DBGenzai[社員№],DBGenzai[派遣先ID],"",0,1)</f>
        <v>212028</v>
      </c>
      <c r="F35" s="111" t="str">
        <f>_xlfn.XLOOKUP($C35,DBGenzai[社員№],DBGenzai[配属先],"",0,1)</f>
        <v>高雄工業株式会社 本社工場製作課</v>
      </c>
      <c r="G35" s="111" t="str">
        <f>MID(TablaTransfor[[#This Row],[配属先]],1,8)</f>
        <v>高雄工業株式会社</v>
      </c>
      <c r="H35" s="111" t="str">
        <f>MID(TablaTransfor[[#This Row],[配属先]],9,6)</f>
        <v xml:space="preserve"> 本社工場製</v>
      </c>
      <c r="I35" s="111" t="str">
        <f>MID(TablaTransfor[[#This Row],[配属先]],15,12)</f>
        <v>作課</v>
      </c>
      <c r="J35" s="111" t="str">
        <f>_xlfn.XLOOKUP($C35,DBGenzai[社員№],DBGenzai[配属ライン],"",0,1)</f>
        <v>Gライン</v>
      </c>
      <c r="K35" s="111" t="str">
        <f>_xlfn.XLOOKUP($C35,DBGenzai[社員№],DBGenzai[氏名],"",0,1)</f>
        <v>DANG THIN VIET</v>
      </c>
      <c r="L35" s="111" t="str">
        <f>_xlfn.XLOOKUP($C35,DBGenzai[社員№],DBGenzai[カナ],"",0,1)</f>
        <v>ダン　ティン　ヴィエット</v>
      </c>
      <c r="M35" s="111" t="str">
        <f>_xlfn.XLOOKUP($C35,DBGenzai[社員№],DBGenzai[性別],"",0,1)</f>
        <v>男</v>
      </c>
      <c r="N35" s="111" t="str">
        <f>_xlfn.XLOOKUP($C35,DBGenzai[社員№],DBGenzai[国籍],"",0,1)</f>
        <v>ﾍﾞﾄﾅﾑ</v>
      </c>
      <c r="O35" s="113">
        <f>_xlfn.XLOOKUP($C35,DBGenzai[社員№],DBGenzai[生年月日],"",0,1)</f>
        <v>35477</v>
      </c>
      <c r="P35" s="111">
        <f>_xlfn.XLOOKUP($C35,DBGenzai[社員№],DBGenzai[年齢],"",0,1)</f>
        <v>26</v>
      </c>
      <c r="Q35" s="111">
        <f>_xlfn.XLOOKUP($C35,DBGenzai[社員№],DBGenzai[時給],"",0,1)</f>
        <v>1300</v>
      </c>
      <c r="R35" s="111">
        <f>_xlfn.XLOOKUP($C35,DBGenzai[社員№],DBGenzai[請求単価],"",0,1)</f>
        <v>1660</v>
      </c>
      <c r="S35" s="111" t="str">
        <f>_xlfn.XLOOKUP($C35,DBGenzai[社員№],DBGenzai[〒],"",0,1)</f>
        <v>498-0017</v>
      </c>
      <c r="T35" s="111" t="str">
        <f>_xlfn.XLOOKUP($C35,DBGenzai[社員№],DBGenzai[住所],"",0,1)</f>
        <v>愛知県弥富市前ヶ須町西勘助207</v>
      </c>
      <c r="U35" s="111" t="str">
        <f>_xlfn.XLOOKUP($C35,DBGenzai[社員№],DBGenzai[ｱﾊﾟｰﾄ],"",0,1)</f>
        <v>CASA弥冨B203</v>
      </c>
      <c r="V35" s="113">
        <f>_xlfn.XLOOKUP($C35,DBGenzai[社員№],DBGenzai[入居],"",0,1)</f>
        <v>44675</v>
      </c>
      <c r="W35" s="113">
        <f>_xlfn.XLOOKUP($C35,DBGenzai[社員№],DBGenzai[入社日],"",0,1)</f>
        <v>44690</v>
      </c>
      <c r="X35" s="113">
        <f>_xlfn.XLOOKUP($C35,DBGenzai[社員№],DBGenzai[退社日],"",0,1)</f>
        <v>0</v>
      </c>
      <c r="Y35" s="111">
        <f>_xlfn.XLOOKUP($C35,DBGenzai[社員№],DBGenzai[退去],"",0,1)</f>
        <v>0</v>
      </c>
      <c r="Z35" s="111">
        <f>_xlfn.XLOOKUP($C35,DBGenzai[社員№],DBGenzai[備考],"",0,1)</f>
        <v>0</v>
      </c>
      <c r="AA35"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44834</v>
      </c>
      <c r="AB35" s="159">
        <f>(TablaTransfor[[#This Row],[unicos]]-TablaTransfor[[#This Row],[入社日]])/364</f>
        <v>0.39560439560439559</v>
      </c>
      <c r="AC35" s="173" t="s">
        <v>2968</v>
      </c>
      <c r="AF35" s="251">
        <f>_xlfn.XLOOKUP($C35,DBGenzai[社員№],DBGenzai[請求単価],"",0,1)</f>
        <v>1660</v>
      </c>
    </row>
    <row r="36" spans="1:33">
      <c r="A36" s="117">
        <f>SUBTOTAL(103,$C$3:C36)</f>
        <v>8</v>
      </c>
      <c r="B36" s="111">
        <v>13</v>
      </c>
      <c r="C36" s="111">
        <f>_xlfn.XLOOKUP($F$1&amp;B36,Filtro!B:B,Filtro!D:D,"",0,1)</f>
        <v>220503</v>
      </c>
      <c r="D36" s="111" t="str">
        <f>_xlfn.XLOOKUP(C36,DBGenzai[社員№],DBGenzai[現在],"",0,1)</f>
        <v>在職中</v>
      </c>
      <c r="E36" s="111">
        <f>_xlfn.XLOOKUP($C36,DBGenzai[社員№],DBGenzai[派遣先ID],"",0,1)</f>
        <v>212027</v>
      </c>
      <c r="F36" s="111" t="str">
        <f>_xlfn.XLOOKUP($C36,DBGenzai[社員№],DBGenzai[配属先],"",0,1)</f>
        <v>高雄工業株式会社 本社工場製作課</v>
      </c>
      <c r="G36" s="111" t="str">
        <f>MID(TablaTransfor[[#This Row],[配属先]],1,8)</f>
        <v>高雄工業株式会社</v>
      </c>
      <c r="H36" s="111" t="str">
        <f>MID(TablaTransfor[[#This Row],[配属先]],9,6)</f>
        <v xml:space="preserve"> 本社工場製</v>
      </c>
      <c r="I36" s="111" t="str">
        <f>MID(TablaTransfor[[#This Row],[配属先]],15,12)</f>
        <v>作課</v>
      </c>
      <c r="J36" s="111" t="str">
        <f>_xlfn.XLOOKUP($C36,DBGenzai[社員№],DBGenzai[配属ライン],"",0,1)</f>
        <v>Fライン</v>
      </c>
      <c r="K36" s="111" t="str">
        <f>_xlfn.XLOOKUP($C36,DBGenzai[社員№],DBGenzai[氏名],"",0,1)</f>
        <v>HA VIET THUY</v>
      </c>
      <c r="L36" s="111" t="str">
        <f>_xlfn.XLOOKUP($C36,DBGenzai[社員№],DBGenzai[カナ],"",0,1)</f>
        <v>ハー　ヴィエット　トウイ</v>
      </c>
      <c r="M36" s="111" t="str">
        <f>_xlfn.XLOOKUP($C36,DBGenzai[社員№],DBGenzai[性別],"",0,1)</f>
        <v>男</v>
      </c>
      <c r="N36" s="111" t="str">
        <f>_xlfn.XLOOKUP($C36,DBGenzai[社員№],DBGenzai[国籍],"",0,1)</f>
        <v>ﾍﾞﾄﾅﾑ</v>
      </c>
      <c r="O36" s="113">
        <f>_xlfn.XLOOKUP($C36,DBGenzai[社員№],DBGenzai[生年月日],"",0,1)</f>
        <v>34820</v>
      </c>
      <c r="P36" s="111">
        <f>_xlfn.XLOOKUP($C36,DBGenzai[社員№],DBGenzai[年齢],"",0,1)</f>
        <v>28</v>
      </c>
      <c r="Q36" s="111">
        <f>_xlfn.XLOOKUP($C36,DBGenzai[社員№],DBGenzai[時給],"",0,1)</f>
        <v>1300</v>
      </c>
      <c r="R36" s="111">
        <f>_xlfn.XLOOKUP($C36,DBGenzai[社員№],DBGenzai[請求単価],"",0,1)</f>
        <v>1660</v>
      </c>
      <c r="S36" s="111" t="str">
        <f>_xlfn.XLOOKUP($C36,DBGenzai[社員№],DBGenzai[〒],"",0,1)</f>
        <v>498-0017</v>
      </c>
      <c r="T36" s="111" t="str">
        <f>_xlfn.XLOOKUP($C36,DBGenzai[社員№],DBGenzai[住所],"",0,1)</f>
        <v>愛知県弥富市前ヶ須町西勘助207</v>
      </c>
      <c r="U36" s="111" t="str">
        <f>_xlfn.XLOOKUP($C36,DBGenzai[社員№],DBGenzai[ｱﾊﾟｰﾄ],"",0,1)</f>
        <v>CASA弥冨B203</v>
      </c>
      <c r="V36" s="113">
        <f>_xlfn.XLOOKUP($C36,DBGenzai[社員№],DBGenzai[入居],"",0,1)</f>
        <v>44678</v>
      </c>
      <c r="W36" s="195">
        <f>_xlfn.XLOOKUP($C36,DBGenzai[社員№],DBGenzai[入社日],"",0,1)</f>
        <v>44690</v>
      </c>
      <c r="X36" s="113">
        <f>_xlfn.XLOOKUP($C36,DBGenzai[社員№],DBGenzai[退社日],"",0,1)</f>
        <v>0</v>
      </c>
      <c r="Y36" s="111">
        <f>_xlfn.XLOOKUP($C36,DBGenzai[社員№],DBGenzai[退去],"",0,1)</f>
        <v>0</v>
      </c>
      <c r="Z36" s="111">
        <f>_xlfn.XLOOKUP($C36,DBGenzai[社員№],DBGenzai[備考],"",0,1)</f>
        <v>0</v>
      </c>
      <c r="AA36" s="113">
        <f>$AA$1</f>
        <v>45199</v>
      </c>
      <c r="AB36" s="159">
        <f>(TablaTransfor[[#This Row],[unicos]]-TablaTransfor[[#This Row],[入社日]])/364</f>
        <v>1.3983516483516483</v>
      </c>
      <c r="AC36" s="176" t="s">
        <v>3014</v>
      </c>
      <c r="AE36" s="116">
        <v>45017</v>
      </c>
      <c r="AF36" s="252">
        <f>_xlfn.XLOOKUP($C36,DBGenzai[社員№],DBGenzai[請求単価],"",0,1)</f>
        <v>1660</v>
      </c>
    </row>
    <row r="37" spans="1:33">
      <c r="A37" s="117">
        <f>SUBTOTAL(103,$C$3:C37)</f>
        <v>9</v>
      </c>
      <c r="B37" s="111">
        <v>16</v>
      </c>
      <c r="C37" s="111">
        <f>_xlfn.XLOOKUP($F$1&amp;B37,Filtro!B:B,Filtro!D:D,"",0,1)</f>
        <v>221102</v>
      </c>
      <c r="D37" s="111" t="str">
        <f>_xlfn.XLOOKUP(C37,DBGenzai[社員№],DBGenzai[現在],"",0,1)</f>
        <v>在職中</v>
      </c>
      <c r="E37" s="111">
        <f>_xlfn.XLOOKUP($C37,DBGenzai[社員№],DBGenzai[派遣先ID],"",0,1)</f>
        <v>212032</v>
      </c>
      <c r="F37" s="111" t="str">
        <f>_xlfn.XLOOKUP($C37,DBGenzai[社員№],DBGenzai[配属先],"",0,1)</f>
        <v>高雄工業株式会社 本社工場製作課</v>
      </c>
      <c r="G37" s="111" t="str">
        <f>MID(TablaTransfor[[#This Row],[配属先]],1,8)</f>
        <v>高雄工業株式会社</v>
      </c>
      <c r="H37" s="111" t="str">
        <f>MID(TablaTransfor[[#This Row],[配属先]],9,6)</f>
        <v xml:space="preserve"> 本社工場製</v>
      </c>
      <c r="I37" s="111" t="str">
        <f>MID(TablaTransfor[[#This Row],[配属先]],15,12)</f>
        <v>作課</v>
      </c>
      <c r="J37" s="111" t="str">
        <f>_xlfn.XLOOKUP($C37,DBGenzai[社員№],DBGenzai[配属ライン],"",0,1)</f>
        <v>Fライン</v>
      </c>
      <c r="K37" s="111" t="str">
        <f>_xlfn.XLOOKUP($C37,DBGenzai[社員№],DBGenzai[氏名],"",0,1)</f>
        <v>NGUYEN QUOC DAT</v>
      </c>
      <c r="L37" s="111" t="str">
        <f>_xlfn.XLOOKUP($C37,DBGenzai[社員№],DBGenzai[カナ],"",0,1)</f>
        <v>グエン　クオック　ダット</v>
      </c>
      <c r="M37" s="111" t="str">
        <f>_xlfn.XLOOKUP($C37,DBGenzai[社員№],DBGenzai[性別],"",0,1)</f>
        <v>男</v>
      </c>
      <c r="N37" s="111" t="str">
        <f>_xlfn.XLOOKUP($C37,DBGenzai[社員№],DBGenzai[国籍],"",0,1)</f>
        <v>ﾍﾞﾄﾅﾑ</v>
      </c>
      <c r="O37" s="113">
        <f>_xlfn.XLOOKUP($C37,DBGenzai[社員№],DBGenzai[生年月日],"",0,1)</f>
        <v>34790</v>
      </c>
      <c r="P37" s="111">
        <f>_xlfn.XLOOKUP($C37,DBGenzai[社員№],DBGenzai[年齢],"",0,1)</f>
        <v>28</v>
      </c>
      <c r="Q37" s="111">
        <f>_xlfn.XLOOKUP($C37,DBGenzai[社員№],DBGenzai[時給],"",0,1)</f>
        <v>1260</v>
      </c>
      <c r="R37" s="111">
        <f>_xlfn.XLOOKUP($C37,DBGenzai[社員№],DBGenzai[請求単価],"",0,1)</f>
        <v>1660</v>
      </c>
      <c r="S37" s="111" t="str">
        <f>_xlfn.XLOOKUP($C37,DBGenzai[社員№],DBGenzai[〒],"",0,1)</f>
        <v>498-0025</v>
      </c>
      <c r="T37" s="111" t="str">
        <f>_xlfn.XLOOKUP($C37,DBGenzai[社員№],DBGenzai[住所],"",0,1)</f>
        <v>愛知県弥富市前ヶ須町西勘助207</v>
      </c>
      <c r="U37" s="111" t="str">
        <f>_xlfn.XLOOKUP($C37,DBGenzai[社員№],DBGenzai[ｱﾊﾟｰﾄ],"",0,1)</f>
        <v>CASA弥冨A203</v>
      </c>
      <c r="V37" s="113">
        <f>_xlfn.XLOOKUP($C37,DBGenzai[社員№],DBGenzai[入居],"",0,1)</f>
        <v>44869</v>
      </c>
      <c r="W37" s="195">
        <f>_xlfn.XLOOKUP($C37,DBGenzai[社員№],DBGenzai[入社日],"",0,1)</f>
        <v>44874</v>
      </c>
      <c r="X37" s="113">
        <f>_xlfn.XLOOKUP($C37,DBGenzai[社員№],DBGenzai[退社日],"",0,1)</f>
        <v>0</v>
      </c>
      <c r="Y37" s="111">
        <f>_xlfn.XLOOKUP($C37,DBGenzai[社員№],DBGenzai[退去],"",0,1)</f>
        <v>0</v>
      </c>
      <c r="Z37" s="111">
        <f>_xlfn.XLOOKUP($C37,DBGenzai[社員№],DBGenzai[備考],"",0,1)</f>
        <v>0</v>
      </c>
      <c r="AA37" s="113">
        <f>$AA$1</f>
        <v>45199</v>
      </c>
      <c r="AB37" s="159">
        <f>(TablaTransfor[[#This Row],[unicos]]-TablaTransfor[[#This Row],[入社日]])/364</f>
        <v>0.8928571428571429</v>
      </c>
      <c r="AC37" s="178" t="s">
        <v>2971</v>
      </c>
      <c r="AE37" s="116">
        <f>TablaTransfor[[#This Row],[入社日]]</f>
        <v>44874</v>
      </c>
      <c r="AF37" s="252">
        <f>_xlfn.XLOOKUP($C37,DBGenzai[社員№],DBGenzai[請求単価],"",0,1)</f>
        <v>1660</v>
      </c>
    </row>
    <row r="38" spans="1:33">
      <c r="A38" s="117">
        <f>SUBTOTAL(103,$C$3:C38)</f>
        <v>10</v>
      </c>
      <c r="B38" s="111">
        <v>17</v>
      </c>
      <c r="C38" s="111">
        <f>_xlfn.XLOOKUP($F$1&amp;B38,Filtro!B:B,Filtro!D:D,"",0,1)</f>
        <v>221104</v>
      </c>
      <c r="D38" s="111" t="str">
        <f>_xlfn.XLOOKUP(C38,DBGenzai[社員№],DBGenzai[現在],"",0,1)</f>
        <v>在職中</v>
      </c>
      <c r="E38" s="111">
        <f>_xlfn.XLOOKUP($C38,DBGenzai[社員№],DBGenzai[派遣先ID],"",0,1)</f>
        <v>212033</v>
      </c>
      <c r="F38" s="111" t="str">
        <f>_xlfn.XLOOKUP($C38,DBGenzai[社員№],DBGenzai[配属先],"",0,1)</f>
        <v>高雄工業株式会社 本社工場製作課</v>
      </c>
      <c r="G38" s="111" t="str">
        <f>MID(TablaTransfor[[#This Row],[配属先]],1,8)</f>
        <v>高雄工業株式会社</v>
      </c>
      <c r="H38" s="111" t="str">
        <f>MID(TablaTransfor[[#This Row],[配属先]],9,6)</f>
        <v xml:space="preserve"> 本社工場製</v>
      </c>
      <c r="I38" s="111" t="str">
        <f>MID(TablaTransfor[[#This Row],[配属先]],15,12)</f>
        <v>作課</v>
      </c>
      <c r="J38" s="111" t="str">
        <f>_xlfn.XLOOKUP($C38,DBGenzai[社員№],DBGenzai[配属ライン],"",0,1)</f>
        <v>Gライン</v>
      </c>
      <c r="K38" s="111" t="str">
        <f>_xlfn.XLOOKUP($C38,DBGenzai[社員№],DBGenzai[氏名],"",0,1)</f>
        <v>HOANG DUY THANG</v>
      </c>
      <c r="L38" s="111" t="str">
        <f>_xlfn.XLOOKUP($C38,DBGenzai[社員№],DBGenzai[カナ],"",0,1)</f>
        <v>ホアン　ズイ　タン</v>
      </c>
      <c r="M38" s="111" t="str">
        <f>_xlfn.XLOOKUP($C38,DBGenzai[社員№],DBGenzai[性別],"",0,1)</f>
        <v>男</v>
      </c>
      <c r="N38" s="111" t="str">
        <f>_xlfn.XLOOKUP($C38,DBGenzai[社員№],DBGenzai[国籍],"",0,1)</f>
        <v>ﾍﾞﾄﾅﾑ</v>
      </c>
      <c r="O38" s="113">
        <f>_xlfn.XLOOKUP($C38,DBGenzai[社員№],DBGenzai[生年月日],"",0,1)</f>
        <v>35422</v>
      </c>
      <c r="P38" s="111">
        <f>_xlfn.XLOOKUP($C38,DBGenzai[社員№],DBGenzai[年齢],"",0,1)</f>
        <v>26</v>
      </c>
      <c r="Q38" s="111">
        <f>_xlfn.XLOOKUP($C38,DBGenzai[社員№],DBGenzai[時給],"",0,1)</f>
        <v>1250</v>
      </c>
      <c r="R38" s="111">
        <f>_xlfn.XLOOKUP($C38,DBGenzai[社員№],DBGenzai[請求単価],"",0,1)</f>
        <v>1650</v>
      </c>
      <c r="S38" s="111" t="str">
        <f>_xlfn.XLOOKUP($C38,DBGenzai[社員№],DBGenzai[〒],"",0,1)</f>
        <v>498-0032</v>
      </c>
      <c r="T38" s="111" t="str">
        <f>_xlfn.XLOOKUP($C38,DBGenzai[社員№],DBGenzai[住所],"",0,1)</f>
        <v>愛知県弥富市平島中4丁目128</v>
      </c>
      <c r="U38" s="111" t="str">
        <f>_xlfn.XLOOKUP($C38,DBGenzai[社員№],DBGenzai[ｱﾊﾟｰﾄ],"",0,1)</f>
        <v>村上貸家</v>
      </c>
      <c r="V38" s="113">
        <f>_xlfn.XLOOKUP($C38,DBGenzai[社員№],DBGenzai[入居],"",0,1)</f>
        <v>44879</v>
      </c>
      <c r="W38" s="195">
        <f>_xlfn.XLOOKUP($C38,DBGenzai[社員№],DBGenzai[入社日],"",0,1)</f>
        <v>44882</v>
      </c>
      <c r="X38" s="113">
        <f>_xlfn.XLOOKUP($C38,DBGenzai[社員№],DBGenzai[退社日],"",0,1)</f>
        <v>0</v>
      </c>
      <c r="Y38" s="111">
        <f>_xlfn.XLOOKUP($C38,DBGenzai[社員№],DBGenzai[退去],"",0,1)</f>
        <v>0</v>
      </c>
      <c r="Z38" s="111">
        <f>_xlfn.XLOOKUP($C38,DBGenzai[社員№],DBGenzai[備考],"",0,1)</f>
        <v>0</v>
      </c>
      <c r="AA38" s="113">
        <f>$AA$1</f>
        <v>45199</v>
      </c>
      <c r="AB38" s="159">
        <f>(TablaTransfor[[#This Row],[unicos]]-TablaTransfor[[#This Row],[入社日]])/364</f>
        <v>0.87087912087912089</v>
      </c>
      <c r="AC38" s="179" t="s">
        <v>2972</v>
      </c>
      <c r="AE38" s="116">
        <f>TablaTransfor[[#This Row],[入社日]]</f>
        <v>44882</v>
      </c>
      <c r="AF38" s="252">
        <f>_xlfn.XLOOKUP($C38,DBGenzai[社員№],DBGenzai[請求単価],"",0,1)</f>
        <v>1650</v>
      </c>
    </row>
    <row r="39" spans="1:33">
      <c r="A39" s="117">
        <f>SUBTOTAL(103,$C$3:C39)</f>
        <v>11</v>
      </c>
      <c r="B39" s="111">
        <v>18</v>
      </c>
      <c r="C39" s="111">
        <f>_xlfn.XLOOKUP($F$1&amp;B39,Filtro!B:B,Filtro!D:D,"",0,1)</f>
        <v>221202</v>
      </c>
      <c r="D39" s="111" t="str">
        <f>_xlfn.XLOOKUP(C39,DBGenzai[社員№],DBGenzai[現在],"",0,1)</f>
        <v>在職中</v>
      </c>
      <c r="E39" s="111">
        <f>_xlfn.XLOOKUP($C39,DBGenzai[社員№],DBGenzai[派遣先ID],"",0,1)</f>
        <v>212035</v>
      </c>
      <c r="F39" s="111" t="str">
        <f>_xlfn.XLOOKUP($C39,DBGenzai[社員№],DBGenzai[配属先],"",0,1)</f>
        <v>高雄工業株式会社 本社工場製作課</v>
      </c>
      <c r="G39" s="111" t="str">
        <f>MID(TablaTransfor[[#This Row],[配属先]],1,8)</f>
        <v>高雄工業株式会社</v>
      </c>
      <c r="H39" s="111" t="str">
        <f>MID(TablaTransfor[[#This Row],[配属先]],9,6)</f>
        <v xml:space="preserve"> 本社工場製</v>
      </c>
      <c r="I39" s="111" t="str">
        <f>MID(TablaTransfor[[#This Row],[配属先]],15,12)</f>
        <v>作課</v>
      </c>
      <c r="J39" s="193" t="str">
        <f>_xlfn.XLOOKUP($C39,DBGenzai[社員№],DBGenzai[配属ライン],"",0,1)</f>
        <v>Gライン</v>
      </c>
      <c r="K39" s="193" t="str">
        <f>_xlfn.XLOOKUP($C39,DBGenzai[社員№],DBGenzai[氏名],"",0,1)</f>
        <v>LE VIET DUNG</v>
      </c>
      <c r="L39" s="193" t="str">
        <f>_xlfn.XLOOKUP($C39,DBGenzai[社員№],DBGenzai[カナ],"",0,1)</f>
        <v>レー　ヴィエット　ズン</v>
      </c>
      <c r="M39" s="193" t="str">
        <f>_xlfn.XLOOKUP($C39,DBGenzai[社員№],DBGenzai[性別],"",0,1)</f>
        <v>男</v>
      </c>
      <c r="N39" s="193" t="str">
        <f>_xlfn.XLOOKUP($C39,DBGenzai[社員№],DBGenzai[国籍],"",0,1)</f>
        <v>ﾍﾞﾄﾅﾑ</v>
      </c>
      <c r="O39" s="113">
        <f>_xlfn.XLOOKUP($C39,DBGenzai[社員№],DBGenzai[生年月日],"",0,1)</f>
        <v>35703</v>
      </c>
      <c r="P39" s="111">
        <f>_xlfn.XLOOKUP($C39,DBGenzai[社員№],DBGenzai[年齢],"",0,1)</f>
        <v>26</v>
      </c>
      <c r="Q39" s="111">
        <f>_xlfn.XLOOKUP($C39,DBGenzai[社員№],DBGenzai[時給],"",0,1)</f>
        <v>1250</v>
      </c>
      <c r="R39" s="111">
        <f>_xlfn.XLOOKUP($C39,DBGenzai[社員№],DBGenzai[請求単価],"",0,1)</f>
        <v>1650</v>
      </c>
      <c r="S39" s="111" t="str">
        <f>_xlfn.XLOOKUP($C39,DBGenzai[社員№],DBGenzai[〒],"",0,1)</f>
        <v>498-0032</v>
      </c>
      <c r="T39" s="111" t="str">
        <f>_xlfn.XLOOKUP($C39,DBGenzai[社員№],DBGenzai[住所],"",0,1)</f>
        <v>愛知県弥富市平島中4丁目128</v>
      </c>
      <c r="U39" s="111" t="str">
        <f>_xlfn.XLOOKUP($C39,DBGenzai[社員№],DBGenzai[ｱﾊﾟｰﾄ],"",0,1)</f>
        <v>村上貸家</v>
      </c>
      <c r="V39" s="113">
        <f>_xlfn.XLOOKUP($C39,DBGenzai[社員№],DBGenzai[入居],"",0,1)</f>
        <v>44893</v>
      </c>
      <c r="W39" s="196">
        <f>_xlfn.XLOOKUP($C39,DBGenzai[社員№],DBGenzai[入社日],"",0,1)</f>
        <v>44896</v>
      </c>
      <c r="X39" s="113">
        <f>_xlfn.XLOOKUP($C39,DBGenzai[社員№],DBGenzai[退社日],"",0,1)</f>
        <v>0</v>
      </c>
      <c r="Y39" s="111">
        <f>_xlfn.XLOOKUP($C39,DBGenzai[社員№],DBGenzai[退去],"",0,1)</f>
        <v>0</v>
      </c>
      <c r="Z39" s="111">
        <f>_xlfn.XLOOKUP($C39,DBGenzai[社員№],DBGenzai[備考],"",0,1)</f>
        <v>0</v>
      </c>
      <c r="AA39" s="113">
        <f>$AA$1</f>
        <v>45199</v>
      </c>
      <c r="AB39" s="194">
        <f>(TablaTransfor[[#This Row],[unicos]]-TablaTransfor[[#This Row],[入社日]])/364</f>
        <v>0.83241758241758246</v>
      </c>
      <c r="AC39" s="180" t="s">
        <v>2973</v>
      </c>
      <c r="AE39" s="116">
        <f>TablaTransfor[[#This Row],[入社日]]</f>
        <v>44896</v>
      </c>
      <c r="AF39" s="252">
        <f>_xlfn.XLOOKUP($C39,DBGenzai[社員№],DBGenzai[請求単価],"",0,1)</f>
        <v>1650</v>
      </c>
    </row>
    <row r="40" spans="1:33">
      <c r="A40" s="117">
        <f>SUBTOTAL(103,$C$3:C40)</f>
        <v>12</v>
      </c>
      <c r="B40" s="111">
        <v>19</v>
      </c>
      <c r="C40" s="111">
        <f>_xlfn.XLOOKUP($F$1&amp;B40,Filtro!B:B,Filtro!D:D,"",0,1)</f>
        <v>221210</v>
      </c>
      <c r="D40" s="111" t="str">
        <f>_xlfn.XLOOKUP(C40,DBGenzai[社員№],DBGenzai[現在],"",0,1)</f>
        <v>在職中</v>
      </c>
      <c r="E40" s="111">
        <f>_xlfn.XLOOKUP($C40,DBGenzai[社員№],DBGenzai[派遣先ID],"",0,1)</f>
        <v>212036</v>
      </c>
      <c r="F40" s="111" t="str">
        <f>_xlfn.XLOOKUP($C40,DBGenzai[社員№],DBGenzai[配属先],"",0,1)</f>
        <v>高雄工業株式会社 本社工場製作課</v>
      </c>
      <c r="G40" s="111" t="str">
        <f>MID(TablaTransfor[[#This Row],[配属先]],1,8)</f>
        <v>高雄工業株式会社</v>
      </c>
      <c r="H40" s="111" t="str">
        <f>MID(TablaTransfor[[#This Row],[配属先]],9,6)</f>
        <v xml:space="preserve"> 本社工場製</v>
      </c>
      <c r="I40" s="111" t="str">
        <f>MID(TablaTransfor[[#This Row],[配属先]],15,12)</f>
        <v>作課</v>
      </c>
      <c r="J40" s="111" t="str">
        <f>_xlfn.XLOOKUP($C40,DBGenzai[社員№],DBGenzai[配属ライン],"",0,1)</f>
        <v>Fライン</v>
      </c>
      <c r="K40" s="111" t="str">
        <f>_xlfn.XLOOKUP($C40,DBGenzai[社員№],DBGenzai[氏名],"",0,1)</f>
        <v>VU VAN DINH</v>
      </c>
      <c r="L40" s="111" t="str">
        <f>_xlfn.XLOOKUP($C40,DBGenzai[社員№],DBGenzai[カナ],"",0,1)</f>
        <v>ヴー　ヴァン　ディン</v>
      </c>
      <c r="M40" s="111" t="str">
        <f>_xlfn.XLOOKUP($C40,DBGenzai[社員№],DBGenzai[性別],"",0,1)</f>
        <v>男</v>
      </c>
      <c r="N40" s="111" t="str">
        <f>_xlfn.XLOOKUP($C40,DBGenzai[社員№],DBGenzai[国籍],"",0,1)</f>
        <v>ﾍﾞﾄﾅﾑ</v>
      </c>
      <c r="O40" s="113">
        <f>_xlfn.XLOOKUP($C40,DBGenzai[社員№],DBGenzai[生年月日],"",0,1)</f>
        <v>31986</v>
      </c>
      <c r="P40" s="111">
        <f>_xlfn.XLOOKUP($C40,DBGenzai[社員№],DBGenzai[年齢],"",0,1)</f>
        <v>36</v>
      </c>
      <c r="Q40" s="111">
        <f>_xlfn.XLOOKUP($C40,DBGenzai[社員№],DBGenzai[時給],"",0,1)</f>
        <v>1250</v>
      </c>
      <c r="R40" s="111">
        <f>_xlfn.XLOOKUP($C40,DBGenzai[社員№],DBGenzai[請求単価],"",0,1)</f>
        <v>1650</v>
      </c>
      <c r="S40" s="111" t="str">
        <f>_xlfn.XLOOKUP($C40,DBGenzai[社員№],DBGenzai[〒],"",0,1)</f>
        <v>498-0025</v>
      </c>
      <c r="T40" s="111" t="str">
        <f>_xlfn.XLOOKUP($C40,DBGenzai[社員№],DBGenzai[住所],"",0,1)</f>
        <v>愛知県弥富市前ヶ須町西勘助207</v>
      </c>
      <c r="U40" s="111" t="str">
        <f>_xlfn.XLOOKUP($C40,DBGenzai[社員№],DBGenzai[ｱﾊﾟｰﾄ],"",0,1)</f>
        <v>CASA弥冨B203</v>
      </c>
      <c r="V40" s="113">
        <f>_xlfn.XLOOKUP($C40,DBGenzai[社員№],DBGenzai[入居],"",0,1)</f>
        <v>44904</v>
      </c>
      <c r="W40" s="195">
        <f>_xlfn.XLOOKUP($C40,DBGenzai[社員№],DBGenzai[入社日],"",0,1)</f>
        <v>44907</v>
      </c>
      <c r="X40" s="113">
        <f>_xlfn.XLOOKUP($C40,DBGenzai[社員№],DBGenzai[退社日],"",0,1)</f>
        <v>0</v>
      </c>
      <c r="Y40" s="111">
        <f>_xlfn.XLOOKUP($C40,DBGenzai[社員№],DBGenzai[退去],"",0,1)</f>
        <v>0</v>
      </c>
      <c r="Z40" s="111">
        <f>_xlfn.XLOOKUP($C40,DBGenzai[社員№],DBGenzai[備考],"",0,1)</f>
        <v>0</v>
      </c>
      <c r="AA40" s="113">
        <f>$AA$1</f>
        <v>45199</v>
      </c>
      <c r="AB40" s="159">
        <f>(TablaTransfor[[#This Row],[unicos]]-TablaTransfor[[#This Row],[入社日]])/364</f>
        <v>0.80219780219780223</v>
      </c>
      <c r="AC40" s="178" t="s">
        <v>2971</v>
      </c>
      <c r="AE40" s="116">
        <f>TablaTransfor[[#This Row],[入社日]]</f>
        <v>44907</v>
      </c>
      <c r="AF40" s="252">
        <f>_xlfn.XLOOKUP($C40,DBGenzai[社員№],DBGenzai[請求単価],"",0,1)</f>
        <v>1650</v>
      </c>
    </row>
    <row r="41" spans="1:33">
      <c r="A41" s="117">
        <f>SUBTOTAL(103,$C$3:C41)</f>
        <v>13</v>
      </c>
      <c r="B41" s="111">
        <v>20</v>
      </c>
      <c r="C41" s="111">
        <f>_xlfn.XLOOKUP($F$1&amp;B41,Filtro!B:B,Filtro!D:D,"",0,1)</f>
        <v>221209</v>
      </c>
      <c r="D41" s="111" t="str">
        <f>_xlfn.XLOOKUP(C41,DBGenzai[社員№],DBGenzai[現在],"",0,1)</f>
        <v>在職中</v>
      </c>
      <c r="E41" s="111">
        <f>_xlfn.XLOOKUP($C41,DBGenzai[社員№],DBGenzai[派遣先ID],"",0,1)</f>
        <v>212037</v>
      </c>
      <c r="F41" s="111" t="str">
        <f>_xlfn.XLOOKUP($C41,DBGenzai[社員№],DBGenzai[配属先],"",0,1)</f>
        <v>高雄工業株式会社 本社工場製作課</v>
      </c>
      <c r="G41" s="111" t="str">
        <f>MID(TablaTransfor[[#This Row],[配属先]],1,8)</f>
        <v>高雄工業株式会社</v>
      </c>
      <c r="H41" s="111" t="str">
        <f>MID(TablaTransfor[[#This Row],[配属先]],9,6)</f>
        <v xml:space="preserve"> 本社工場製</v>
      </c>
      <c r="I41" s="111" t="str">
        <f>MID(TablaTransfor[[#This Row],[配属先]],15,12)</f>
        <v>作課</v>
      </c>
      <c r="J41" s="111" t="str">
        <f>_xlfn.XLOOKUP($C41,DBGenzai[社員№],DBGenzai[配属ライン],"",0,1)</f>
        <v>Gライン</v>
      </c>
      <c r="K41" s="111" t="str">
        <f>_xlfn.XLOOKUP($C41,DBGenzai[社員№],DBGenzai[氏名],"",0,1)</f>
        <v>TRAN DUC TRUONG</v>
      </c>
      <c r="L41" s="111" t="str">
        <f>_xlfn.XLOOKUP($C41,DBGenzai[社員№],DBGenzai[カナ],"",0,1)</f>
        <v>チャン　ドゥック　チュオン</v>
      </c>
      <c r="M41" s="111" t="str">
        <f>_xlfn.XLOOKUP($C41,DBGenzai[社員№],DBGenzai[性別],"",0,1)</f>
        <v>男</v>
      </c>
      <c r="N41" s="111" t="str">
        <f>_xlfn.XLOOKUP($C41,DBGenzai[社員№],DBGenzai[国籍],"",0,1)</f>
        <v>ﾍﾞﾄﾅﾑ</v>
      </c>
      <c r="O41" s="113">
        <f>_xlfn.XLOOKUP($C41,DBGenzai[社員№],DBGenzai[生年月日],"",0,1)</f>
        <v>34048</v>
      </c>
      <c r="P41" s="111">
        <f>_xlfn.XLOOKUP($C41,DBGenzai[社員№],DBGenzai[年齢],"",0,1)</f>
        <v>30</v>
      </c>
      <c r="Q41" s="111">
        <f>_xlfn.XLOOKUP($C41,DBGenzai[社員№],DBGenzai[時給],"",0,1)</f>
        <v>1250</v>
      </c>
      <c r="R41" s="111">
        <f>_xlfn.XLOOKUP($C41,DBGenzai[社員№],DBGenzai[請求単価],"",0,1)</f>
        <v>1650</v>
      </c>
      <c r="S41" s="111" t="str">
        <f>_xlfn.XLOOKUP($C41,DBGenzai[社員№],DBGenzai[〒],"",0,1)</f>
        <v>498-0031</v>
      </c>
      <c r="T41" s="111" t="str">
        <f>_xlfn.XLOOKUP($C41,DBGenzai[社員№],DBGenzai[住所],"",0,1)</f>
        <v>愛知県弥富市平島町北広畑10-1</v>
      </c>
      <c r="U41" s="111" t="str">
        <f>_xlfn.XLOOKUP($C41,DBGenzai[社員№],DBGenzai[ｱﾊﾟｰﾄ],"",0,1)</f>
        <v>ﾚﾌﾞﾗﾝｶﾐｰﾘｱB205</v>
      </c>
      <c r="V41" s="113">
        <f>_xlfn.XLOOKUP($C41,DBGenzai[社員№],DBGenzai[入居],"",0,1)</f>
        <v>44904</v>
      </c>
      <c r="W41" s="113">
        <f>_xlfn.XLOOKUP($C41,DBGenzai[社員№],DBGenzai[入社日],"",0,1)</f>
        <v>44907</v>
      </c>
      <c r="X41" s="113">
        <f>_xlfn.XLOOKUP($C41,DBGenzai[社員№],DBGenzai[退社日],"",0,1)</f>
        <v>0</v>
      </c>
      <c r="Y41" s="111">
        <f>_xlfn.XLOOKUP($C41,DBGenzai[社員№],DBGenzai[退去],"",0,1)</f>
        <v>0</v>
      </c>
      <c r="Z41" s="111">
        <f>_xlfn.XLOOKUP($C41,DBGenzai[社員№],DBGenzai[備考],"",0,1)</f>
        <v>0</v>
      </c>
      <c r="AA41"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45199</v>
      </c>
      <c r="AB41" s="159">
        <f>(TablaTransfor[[#This Row],[unicos]]-TablaTransfor[[#This Row],[入社日]])/364</f>
        <v>0.80219780219780223</v>
      </c>
      <c r="AC41" s="179" t="s">
        <v>2972</v>
      </c>
      <c r="AF41" s="251">
        <f>_xlfn.XLOOKUP($C41,DBGenzai[社員№],DBGenzai[請求単価],"",0,1)</f>
        <v>1650</v>
      </c>
    </row>
    <row r="42" spans="1:33" hidden="1">
      <c r="A42" s="117">
        <f>SUBTOTAL(103,$C$3:C42)</f>
        <v>13</v>
      </c>
      <c r="B42" s="111">
        <v>40</v>
      </c>
      <c r="C42" s="111">
        <f>_xlfn.XLOOKUP($F$1&amp;B42,Filtro!B:B,Filtro!D:D,"",0,1)</f>
        <v>220213</v>
      </c>
      <c r="D42" s="111" t="str">
        <f>_xlfn.XLOOKUP(C42,DBGenzai[社員№],DBGenzai[現在],"",0,1)</f>
        <v>退社</v>
      </c>
      <c r="E42" s="111">
        <f>_xlfn.XLOOKUP($C42,DBGenzai[社員№],DBGenzai[派遣先ID],"",0,1)</f>
        <v>0</v>
      </c>
      <c r="F42" s="111">
        <f>_xlfn.XLOOKUP($C42,DBGenzai[社員№],DBGenzai[配属先],"",0,1)</f>
        <v>0</v>
      </c>
      <c r="G42" s="111" t="str">
        <f>MID(TablaTransfor[[#This Row],[配属先]],1,8)</f>
        <v>0</v>
      </c>
      <c r="H42" s="111" t="str">
        <f>MID(TablaTransfor[[#This Row],[配属先]],9,6)</f>
        <v/>
      </c>
      <c r="I42" s="111" t="str">
        <f>MID(TablaTransfor[[#This Row],[配属先]],15,12)</f>
        <v/>
      </c>
      <c r="J42" s="111">
        <f>_xlfn.XLOOKUP($C42,DBGenzai[社員№],DBGenzai[配属ライン],"",0,1)</f>
        <v>0</v>
      </c>
      <c r="K42" s="111" t="str">
        <f>_xlfn.XLOOKUP($C42,DBGenzai[社員№],DBGenzai[氏名],"",0,1)</f>
        <v>NGUYEN SON TUNG</v>
      </c>
      <c r="L42" s="111" t="str">
        <f>_xlfn.XLOOKUP($C42,DBGenzai[社員№],DBGenzai[カナ],"",0,1)</f>
        <v>グエン　ソン　トゥン</v>
      </c>
      <c r="M42" s="111" t="str">
        <f>_xlfn.XLOOKUP($C42,DBGenzai[社員№],DBGenzai[性別],"",0,1)</f>
        <v>男</v>
      </c>
      <c r="N42" s="111" t="str">
        <f>_xlfn.XLOOKUP($C42,DBGenzai[社員№],DBGenzai[国籍],"",0,1)</f>
        <v>ﾍﾞﾄﾅﾑ</v>
      </c>
      <c r="O42" s="113">
        <f>_xlfn.XLOOKUP($C42,DBGenzai[社員№],DBGenzai[生年月日],"",0,1)</f>
        <v>34150</v>
      </c>
      <c r="P42" s="111">
        <f>_xlfn.XLOOKUP($C42,DBGenzai[社員№],DBGenzai[年齢],"",0,1)</f>
        <v>30</v>
      </c>
      <c r="Q42" s="111">
        <f>_xlfn.XLOOKUP($C42,DBGenzai[社員№],DBGenzai[時給],"",0,1)</f>
        <v>1360</v>
      </c>
      <c r="R42" s="111">
        <f>_xlfn.XLOOKUP($C42,DBGenzai[社員№],DBGenzai[請求単価],"",0,1)</f>
        <v>1750</v>
      </c>
      <c r="S42" s="111" t="str">
        <f>_xlfn.XLOOKUP($C42,DBGenzai[社員№],DBGenzai[〒],"",0,1)</f>
        <v>498-0028</v>
      </c>
      <c r="T42" s="111" t="str">
        <f>_xlfn.XLOOKUP($C42,DBGenzai[社員№],DBGenzai[住所],"",0,1)</f>
        <v>愛知県弥富市鯏浦町中六109-1</v>
      </c>
      <c r="U42" s="111" t="str">
        <f>_xlfn.XLOOKUP($C42,DBGenzai[社員№],DBGenzai[ｱﾊﾟｰﾄ],"",0,1)</f>
        <v>ｾﾗﾀｳﾝ弥富C棟201号</v>
      </c>
      <c r="V42" s="113">
        <f>_xlfn.XLOOKUP($C42,DBGenzai[社員№],DBGenzai[入居],"",0,1)</f>
        <v>44602</v>
      </c>
      <c r="W42" s="113">
        <f>_xlfn.XLOOKUP($C42,DBGenzai[社員№],DBGenzai[入社日],"",0,1)</f>
        <v>44606</v>
      </c>
      <c r="X42" s="113">
        <f>_xlfn.XLOOKUP($C42,DBGenzai[社員№],DBGenzai[退社日],"",0,1)</f>
        <v>44680</v>
      </c>
      <c r="Y42" s="111">
        <f>_xlfn.XLOOKUP($C42,DBGenzai[社員№],DBGenzai[退去],"",0,1)</f>
        <v>0</v>
      </c>
      <c r="Z42" s="111">
        <f>_xlfn.XLOOKUP($C42,DBGenzai[社員№],DBGenzai[備考],"",0,1)</f>
        <v>0</v>
      </c>
      <c r="AA42"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44834</v>
      </c>
      <c r="AB42" s="159">
        <f>(TablaTransfor[[#This Row],[unicos]]-TablaTransfor[[#This Row],[入社日]])/364</f>
        <v>0.62637362637362637</v>
      </c>
      <c r="AC42" s="173" t="s">
        <v>2968</v>
      </c>
      <c r="AF42" s="251">
        <f>_xlfn.XLOOKUP($C42,DBGenzai[社員№],DBGenzai[請求単価],"",0,1)</f>
        <v>1750</v>
      </c>
    </row>
    <row r="43" spans="1:33">
      <c r="A43" s="117">
        <f>SUBTOTAL(103,$C$3:C43)</f>
        <v>14</v>
      </c>
      <c r="B43" s="111">
        <v>22</v>
      </c>
      <c r="C43" s="111">
        <f>_xlfn.XLOOKUP($F$1&amp;B43,Filtro!B:B,Filtro!D:D,"",0,1)</f>
        <v>230505</v>
      </c>
      <c r="D43" s="111" t="str">
        <f>_xlfn.XLOOKUP(C43,DBGenzai[社員№],DBGenzai[現在],"",0,1)</f>
        <v>在職中</v>
      </c>
      <c r="E43" s="111">
        <f>_xlfn.XLOOKUP($C43,DBGenzai[社員№],DBGenzai[派遣先ID],"",0,1)</f>
        <v>212039</v>
      </c>
      <c r="F43" s="111" t="str">
        <f>_xlfn.XLOOKUP($C43,DBGenzai[社員№],DBGenzai[配属先],"",0,1)</f>
        <v>高雄工業株式会社 本社工場製作課</v>
      </c>
      <c r="G43" s="111" t="str">
        <f>MID(TablaTransfor[[#This Row],[配属先]],1,8)</f>
        <v>高雄工業株式会社</v>
      </c>
      <c r="H43" s="111" t="str">
        <f>MID(TablaTransfor[[#This Row],[配属先]],9,6)</f>
        <v xml:space="preserve"> 本社工場製</v>
      </c>
      <c r="I43" s="111" t="str">
        <f>MID(TablaTransfor[[#This Row],[配属先]],15,12)</f>
        <v>作課</v>
      </c>
      <c r="J43" s="111" t="str">
        <f>_xlfn.XLOOKUP($C43,DBGenzai[社員№],DBGenzai[配属ライン],"",0,1)</f>
        <v>Fライン</v>
      </c>
      <c r="K43" s="111" t="str">
        <f>_xlfn.XLOOKUP($C43,DBGenzai[社員№],DBGenzai[氏名],"",0,1)</f>
        <v>NGUYEN VAN TY</v>
      </c>
      <c r="L43" s="111" t="str">
        <f>_xlfn.XLOOKUP($C43,DBGenzai[社員№],DBGenzai[カナ],"",0,1)</f>
        <v>グエン　ヴァン　ティ</v>
      </c>
      <c r="M43" s="111" t="str">
        <f>_xlfn.XLOOKUP($C43,DBGenzai[社員№],DBGenzai[性別],"",0,1)</f>
        <v>男</v>
      </c>
      <c r="N43" s="111" t="str">
        <f>_xlfn.XLOOKUP($C43,DBGenzai[社員№],DBGenzai[国籍],"",0,1)</f>
        <v>ﾍﾞﾄﾅﾑ</v>
      </c>
      <c r="O43" s="113">
        <f>_xlfn.XLOOKUP($C43,DBGenzai[社員№],DBGenzai[生年月日],"",0,1)</f>
        <v>35429</v>
      </c>
      <c r="P43" s="111">
        <f>_xlfn.XLOOKUP($C43,DBGenzai[社員№],DBGenzai[年齢],"",0,1)</f>
        <v>26</v>
      </c>
      <c r="Q43" s="111">
        <f>_xlfn.XLOOKUP($C43,DBGenzai[社員№],DBGenzai[時給],"",0,1)</f>
        <v>1200</v>
      </c>
      <c r="R43" s="111">
        <f>_xlfn.XLOOKUP($C43,DBGenzai[社員№],DBGenzai[請求単価],"",0,1)</f>
        <v>1650</v>
      </c>
      <c r="S43" s="111" t="str">
        <f>_xlfn.XLOOKUP($C43,DBGenzai[社員№],DBGenzai[〒],"",0,1)</f>
        <v>498-0017</v>
      </c>
      <c r="T43" s="111" t="str">
        <f>_xlfn.XLOOKUP($C43,DBGenzai[社員№],DBGenzai[住所],"",0,1)</f>
        <v>愛知県弥富市前ケ須町西勘助207番地</v>
      </c>
      <c r="U43" s="111" t="str">
        <f>_xlfn.XLOOKUP($C43,DBGenzai[社員№],DBGenzai[ｱﾊﾟｰﾄ],"",0,1)</f>
        <v>CASA弥富A105</v>
      </c>
      <c r="V43" s="113">
        <f>_xlfn.XLOOKUP($C43,DBGenzai[社員№],DBGenzai[入居],"",0,1)</f>
        <v>45056</v>
      </c>
      <c r="W43" s="197">
        <f>_xlfn.XLOOKUP($C43,DBGenzai[社員№],DBGenzai[入社日],"",0,1)</f>
        <v>45061</v>
      </c>
      <c r="X43" s="113">
        <f>_xlfn.XLOOKUP($C43,DBGenzai[社員№],DBGenzai[退社日],"",0,1)</f>
        <v>0</v>
      </c>
      <c r="Y43" s="111">
        <f>_xlfn.XLOOKUP($C43,DBGenzai[社員№],DBGenzai[退去],"",0,1)</f>
        <v>0</v>
      </c>
      <c r="Z43" s="111">
        <f>_xlfn.XLOOKUP($C43,DBGenzai[社員№],DBGenzai[備考],"",0,1)</f>
        <v>0</v>
      </c>
      <c r="AA43" s="113">
        <f>$AA$1</f>
        <v>45199</v>
      </c>
      <c r="AB43" s="159">
        <f>(TablaTransfor[[#This Row],[unicos]]-TablaTransfor[[#This Row],[入社日]])/364</f>
        <v>0.37912087912087911</v>
      </c>
      <c r="AC43" s="539" t="s">
        <v>3018</v>
      </c>
      <c r="AD43" s="114">
        <v>44540</v>
      </c>
      <c r="AE43" s="116">
        <v>45017</v>
      </c>
      <c r="AF43" s="252">
        <f>_xlfn.XLOOKUP($C43,DBGenzai[社員№],DBGenzai[請求単価],"",0,1)</f>
        <v>1650</v>
      </c>
    </row>
    <row r="44" spans="1:33">
      <c r="A44" s="117">
        <f>SUBTOTAL(103,$C$3:C44)</f>
        <v>15</v>
      </c>
      <c r="B44" s="111">
        <v>23</v>
      </c>
      <c r="C44" s="111">
        <f>_xlfn.XLOOKUP($F$1&amp;B44,Filtro!B:B,Filtro!D:D,"",0,1)</f>
        <v>230812</v>
      </c>
      <c r="D44" s="111" t="str">
        <f>_xlfn.XLOOKUP(C44,DBGenzai[社員№],DBGenzai[現在],"",0,1)</f>
        <v>在職中</v>
      </c>
      <c r="E44" s="111">
        <f>_xlfn.XLOOKUP($C44,DBGenzai[社員№],DBGenzai[派遣先ID],"",0,1)</f>
        <v>212040</v>
      </c>
      <c r="F44" s="111" t="str">
        <f>_xlfn.XLOOKUP($C44,DBGenzai[社員№],DBGenzai[配属先],"",0,1)</f>
        <v>高雄工業株式会社 本社工場製作課</v>
      </c>
      <c r="G44" s="111" t="str">
        <f>MID(TablaTransfor[[#This Row],[配属先]],1,8)</f>
        <v>高雄工業株式会社</v>
      </c>
      <c r="H44" s="111" t="str">
        <f>MID(TablaTransfor[[#This Row],[配属先]],9,6)</f>
        <v xml:space="preserve"> 本社工場製</v>
      </c>
      <c r="I44" s="111" t="str">
        <f>MID(TablaTransfor[[#This Row],[配属先]],15,12)</f>
        <v>作課</v>
      </c>
      <c r="J44" s="111" t="str">
        <f>_xlfn.XLOOKUP($C44,DBGenzai[社員№],DBGenzai[配属ライン],"",0,1)</f>
        <v>Gライン</v>
      </c>
      <c r="K44" s="111" t="str">
        <f>_xlfn.XLOOKUP($C44,DBGenzai[社員№],DBGenzai[氏名],"",0,1)</f>
        <v>NGUYEN NGOC THANH</v>
      </c>
      <c r="L44" s="111" t="str">
        <f>_xlfn.XLOOKUP($C44,DBGenzai[社員№],DBGenzai[カナ],"",0,1)</f>
        <v>グエン　ゴック　タイン</v>
      </c>
      <c r="M44" s="111" t="str">
        <f>_xlfn.XLOOKUP($C44,DBGenzai[社員№],DBGenzai[性別],"",0,1)</f>
        <v>男</v>
      </c>
      <c r="N44" s="111" t="str">
        <f>_xlfn.XLOOKUP($C44,DBGenzai[社員№],DBGenzai[国籍],"",0,1)</f>
        <v>ﾍﾞﾄﾅﾑ</v>
      </c>
      <c r="O44" s="113">
        <f>_xlfn.XLOOKUP($C44,DBGenzai[社員№],DBGenzai[生年月日],"",0,1)</f>
        <v>34092</v>
      </c>
      <c r="P44" s="111">
        <f>_xlfn.XLOOKUP($C44,DBGenzai[社員№],DBGenzai[年齢],"",0,1)</f>
        <v>30</v>
      </c>
      <c r="Q44" s="111">
        <f>_xlfn.XLOOKUP($C44,DBGenzai[社員№],DBGenzai[時給],"",0,1)</f>
        <v>1200</v>
      </c>
      <c r="R44" s="111">
        <f>_xlfn.XLOOKUP($C44,DBGenzai[社員№],DBGenzai[請求単価],"",0,1)</f>
        <v>1650</v>
      </c>
      <c r="S44" s="111" t="str">
        <f>_xlfn.XLOOKUP($C44,DBGenzai[社員№],DBGenzai[〒],"",0,1)</f>
        <v>498-0026</v>
      </c>
      <c r="T44" s="111" t="str">
        <f>_xlfn.XLOOKUP($C44,DBGenzai[社員№],DBGenzai[住所],"",0,1)</f>
        <v>愛知県弥富市鯏浦町西前新田119-1</v>
      </c>
      <c r="U44" s="111" t="str">
        <f>_xlfn.XLOOKUP($C44,DBGenzai[社員№],DBGenzai[ｱﾊﾟｰﾄ],"",0,1)</f>
        <v>ﾗｲﾌｺｱ119　307号</v>
      </c>
      <c r="V44" s="113">
        <f>_xlfn.XLOOKUP($C44,DBGenzai[社員№],DBGenzai[入居],"",0,1)</f>
        <v>45133</v>
      </c>
      <c r="W44" s="197">
        <f>_xlfn.XLOOKUP($C44,DBGenzai[社員№],DBGenzai[入社日],"",0,1)</f>
        <v>45139</v>
      </c>
      <c r="X44" s="113">
        <f>_xlfn.XLOOKUP($C44,DBGenzai[社員№],DBGenzai[退社日],"",0,1)</f>
        <v>0</v>
      </c>
      <c r="Y44" s="111">
        <f>_xlfn.XLOOKUP($C44,DBGenzai[社員№],DBGenzai[退去],"",0,1)</f>
        <v>0</v>
      </c>
      <c r="Z44" s="111">
        <f>_xlfn.XLOOKUP($C44,DBGenzai[社員№],DBGenzai[備考],"",0,1)</f>
        <v>0</v>
      </c>
      <c r="AA44" s="113">
        <f>$AA$1</f>
        <v>45199</v>
      </c>
      <c r="AB44" s="159">
        <f>(TablaTransfor[[#This Row],[unicos]]-TablaTransfor[[#This Row],[入社日]])/364</f>
        <v>0.16483516483516483</v>
      </c>
      <c r="AC44" s="173" t="s">
        <v>3015</v>
      </c>
      <c r="AD44" s="114">
        <v>44629</v>
      </c>
      <c r="AE44" s="116">
        <v>45017</v>
      </c>
      <c r="AF44" s="252">
        <f>_xlfn.XLOOKUP($C44,DBGenzai[社員№],DBGenzai[請求単価],"",0,1)</f>
        <v>1650</v>
      </c>
    </row>
    <row r="45" spans="1:33">
      <c r="A45" s="117">
        <f>SUBTOTAL(103,$C$3:C45)</f>
        <v>16</v>
      </c>
      <c r="B45" s="111">
        <v>25</v>
      </c>
      <c r="C45" s="111">
        <f>_xlfn.XLOOKUP($F$1&amp;B45,Filtro!B:B,Filtro!D:D,"",0,1)</f>
        <v>230811</v>
      </c>
      <c r="D45" s="111" t="str">
        <f>_xlfn.XLOOKUP(C45,DBGenzai[社員№],DBGenzai[現在],"",0,1)</f>
        <v>在職中</v>
      </c>
      <c r="E45" s="111">
        <f>_xlfn.XLOOKUP($C45,DBGenzai[社員№],DBGenzai[派遣先ID],"",0,1)</f>
        <v>212042</v>
      </c>
      <c r="F45" s="111" t="str">
        <f>_xlfn.XLOOKUP($C45,DBGenzai[社員№],DBGenzai[配属先],"",0,1)</f>
        <v>高雄工業株式会社 本社工場製作課</v>
      </c>
      <c r="G45" s="111" t="str">
        <f>MID(TablaTransfor[[#This Row],[配属先]],1,8)</f>
        <v>高雄工業株式会社</v>
      </c>
      <c r="H45" s="111" t="str">
        <f>MID(TablaTransfor[[#This Row],[配属先]],9,6)</f>
        <v xml:space="preserve"> 本社工場製</v>
      </c>
      <c r="I45" s="111" t="str">
        <f>MID(TablaTransfor[[#This Row],[配属先]],15,12)</f>
        <v>作課</v>
      </c>
      <c r="J45" s="111" t="str">
        <f>_xlfn.XLOOKUP($C45,DBGenzai[社員№],DBGenzai[配属ライン],"",0,1)</f>
        <v>Fライン</v>
      </c>
      <c r="K45" s="111" t="str">
        <f>_xlfn.XLOOKUP($C45,DBGenzai[社員№],DBGenzai[氏名],"",0,1)</f>
        <v>NGUYEN VAN QUY</v>
      </c>
      <c r="L45" s="111" t="str">
        <f>_xlfn.XLOOKUP($C45,DBGenzai[社員№],DBGenzai[カナ],"",0,1)</f>
        <v>グエン　ヴァン　クイ</v>
      </c>
      <c r="M45" s="111" t="str">
        <f>_xlfn.XLOOKUP($C45,DBGenzai[社員№],DBGenzai[性別],"",0,1)</f>
        <v>男</v>
      </c>
      <c r="N45" s="111" t="str">
        <f>_xlfn.XLOOKUP($C45,DBGenzai[社員№],DBGenzai[国籍],"",0,1)</f>
        <v>ﾍﾞﾄﾅﾑ</v>
      </c>
      <c r="O45" s="113">
        <f>_xlfn.XLOOKUP($C45,DBGenzai[社員№],DBGenzai[生年月日],"",0,1)</f>
        <v>37213</v>
      </c>
      <c r="P45" s="111">
        <f>_xlfn.XLOOKUP($C45,DBGenzai[社員№],DBGenzai[年齢],"",0,1)</f>
        <v>22</v>
      </c>
      <c r="Q45" s="111">
        <f>_xlfn.XLOOKUP($C45,DBGenzai[社員№],DBGenzai[時給],"",0,1)</f>
        <v>1200</v>
      </c>
      <c r="R45" s="111">
        <f>_xlfn.XLOOKUP($C45,DBGenzai[社員№],DBGenzai[請求単価],"",0,1)</f>
        <v>1650</v>
      </c>
      <c r="S45" s="111" t="str">
        <f>_xlfn.XLOOKUP($C45,DBGenzai[社員№],DBGenzai[〒],"",0,1)</f>
        <v>498-0026</v>
      </c>
      <c r="T45" s="111" t="str">
        <f>_xlfn.XLOOKUP($C45,DBGenzai[社員№],DBGenzai[住所],"",0,1)</f>
        <v>愛知県弥富市鯏浦町西前新田119-1</v>
      </c>
      <c r="U45" s="111" t="str">
        <f>_xlfn.XLOOKUP($C45,DBGenzai[社員№],DBGenzai[ｱﾊﾟｰﾄ],"",0,1)</f>
        <v>ﾗｲﾌｺｱ119　301号</v>
      </c>
      <c r="V45" s="113">
        <f>_xlfn.XLOOKUP($C45,DBGenzai[社員№],DBGenzai[入居],"",0,1)</f>
        <v>45133</v>
      </c>
      <c r="W45" s="197">
        <f>_xlfn.XLOOKUP($C45,DBGenzai[社員№],DBGenzai[入社日],"",0,1)</f>
        <v>45139</v>
      </c>
      <c r="X45" s="113">
        <f>_xlfn.XLOOKUP($C45,DBGenzai[社員№],DBGenzai[退社日],"",0,1)</f>
        <v>0</v>
      </c>
      <c r="Y45" s="111">
        <f>_xlfn.XLOOKUP($C45,DBGenzai[社員№],DBGenzai[退去],"",0,1)</f>
        <v>0</v>
      </c>
      <c r="Z45" s="111">
        <f>_xlfn.XLOOKUP($C45,DBGenzai[社員№],DBGenzai[備考],"",0,1)</f>
        <v>0</v>
      </c>
      <c r="AA45" s="113">
        <f>$AA$1</f>
        <v>45199</v>
      </c>
      <c r="AB45" s="159">
        <f>(TablaTransfor[[#This Row],[unicos]]-TablaTransfor[[#This Row],[入社日]])/364</f>
        <v>0.16483516483516483</v>
      </c>
      <c r="AC45" s="174" t="s">
        <v>3018</v>
      </c>
      <c r="AD45" s="114">
        <v>44589</v>
      </c>
      <c r="AE45" s="116">
        <v>45017</v>
      </c>
      <c r="AF45" s="252">
        <f>_xlfn.XLOOKUP($C45,DBGenzai[社員№],DBGenzai[請求単価],"",0,1)</f>
        <v>1650</v>
      </c>
    </row>
    <row r="46" spans="1:33">
      <c r="A46" s="117">
        <f>SUBTOTAL(103,$C$3:C46)</f>
        <v>17</v>
      </c>
      <c r="B46" s="111">
        <v>26</v>
      </c>
      <c r="C46" s="111">
        <f>_xlfn.XLOOKUP($F$1&amp;B46,Filtro!B:B,Filtro!D:D,"",0,1)</f>
        <v>230908</v>
      </c>
      <c r="D46" s="111" t="str">
        <f>_xlfn.XLOOKUP(C46,DBGenzai[社員№],DBGenzai[現在],"",0,1)</f>
        <v>在職中</v>
      </c>
      <c r="E46" s="111">
        <f>_xlfn.XLOOKUP($C46,DBGenzai[社員№],DBGenzai[派遣先ID],"",0,1)</f>
        <v>212043</v>
      </c>
      <c r="F46" s="111" t="str">
        <f>_xlfn.XLOOKUP($C46,DBGenzai[社員№],DBGenzai[配属先],"",0,1)</f>
        <v>高雄工業株式会社 本社工場製作課</v>
      </c>
      <c r="G46" s="111" t="str">
        <f>MID(TablaTransfor[[#This Row],[配属先]],1,8)</f>
        <v>高雄工業株式会社</v>
      </c>
      <c r="H46" s="111" t="str">
        <f>MID(TablaTransfor[[#This Row],[配属先]],9,6)</f>
        <v xml:space="preserve"> 本社工場製</v>
      </c>
      <c r="I46" s="111" t="str">
        <f>MID(TablaTransfor[[#This Row],[配属先]],15,12)</f>
        <v>作課</v>
      </c>
      <c r="J46" s="111" t="str">
        <f>_xlfn.XLOOKUP($C46,DBGenzai[社員№],DBGenzai[配属ライン],"",0,1)</f>
        <v>Tライン</v>
      </c>
      <c r="K46" s="111" t="str">
        <f>_xlfn.XLOOKUP($C46,DBGenzai[社員№],DBGenzai[氏名],"",0,1)</f>
        <v>LE VAN HAI</v>
      </c>
      <c r="L46" s="111" t="str">
        <f>_xlfn.XLOOKUP($C46,DBGenzai[社員№],DBGenzai[カナ],"",0,1)</f>
        <v>レー　バン　ハイ</v>
      </c>
      <c r="M46" s="111" t="str">
        <f>_xlfn.XLOOKUP($C46,DBGenzai[社員№],DBGenzai[性別],"",0,1)</f>
        <v>男</v>
      </c>
      <c r="N46" s="111" t="str">
        <f>_xlfn.XLOOKUP($C46,DBGenzai[社員№],DBGenzai[国籍],"",0,1)</f>
        <v>ﾍﾞﾄﾅﾑ</v>
      </c>
      <c r="O46" s="113">
        <f>_xlfn.XLOOKUP($C46,DBGenzai[社員№],DBGenzai[生年月日],"",0,1)</f>
        <v>36910</v>
      </c>
      <c r="P46" s="111">
        <f>_xlfn.XLOOKUP($C46,DBGenzai[社員№],DBGenzai[年齢],"",0,1)</f>
        <v>22</v>
      </c>
      <c r="Q46" s="111">
        <f>_xlfn.XLOOKUP($C46,DBGenzai[社員№],DBGenzai[時給],"",0,1)</f>
        <v>1200</v>
      </c>
      <c r="R46" s="111">
        <f>_xlfn.XLOOKUP($C46,DBGenzai[社員№],DBGenzai[請求単価],"",0,1)</f>
        <v>1650</v>
      </c>
      <c r="S46" s="111" t="str">
        <f>_xlfn.XLOOKUP($C46,DBGenzai[社員№],DBGenzai[〒],"",0,1)</f>
        <v>498-0026</v>
      </c>
      <c r="T46" s="111" t="str">
        <f>_xlfn.XLOOKUP($C46,DBGenzai[社員№],DBGenzai[住所],"",0,1)</f>
        <v>愛知県弥富市鯏浦町西前新田119-1</v>
      </c>
      <c r="U46" s="111" t="str">
        <f>_xlfn.XLOOKUP($C46,DBGenzai[社員№],DBGenzai[ｱﾊﾟｰﾄ],"",0,1)</f>
        <v>ﾗｲﾌｺｱ119　301号</v>
      </c>
      <c r="V46" s="113">
        <f>_xlfn.XLOOKUP($C46,DBGenzai[社員№],DBGenzai[入居],"",0,1)</f>
        <v>45181</v>
      </c>
      <c r="W46" s="113">
        <f>_xlfn.XLOOKUP($C46,DBGenzai[社員№],DBGenzai[入社日],"",0,1)</f>
        <v>45187</v>
      </c>
      <c r="X46" s="113">
        <f>_xlfn.XLOOKUP($C46,DBGenzai[社員№],DBGenzai[退社日],"",0,1)</f>
        <v>0</v>
      </c>
      <c r="Y46" s="111">
        <f>_xlfn.XLOOKUP($C46,DBGenzai[社員№],DBGenzai[退去],"",0,1)</f>
        <v>0</v>
      </c>
      <c r="Z46" s="111">
        <f>_xlfn.XLOOKUP($C46,DBGenzai[社員№],DBGenzai[備考],"",0,1)</f>
        <v>0</v>
      </c>
      <c r="AA46"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45199</v>
      </c>
      <c r="AB46" s="159">
        <f>(TablaTransfor[[#This Row],[unicos]]-TablaTransfor[[#This Row],[入社日]])/364</f>
        <v>3.2967032967032968E-2</v>
      </c>
      <c r="AC46" s="540" t="s">
        <v>2971</v>
      </c>
      <c r="AF46" s="251">
        <f>_xlfn.XLOOKUP($C46,DBGenzai[社員№],DBGenzai[請求単価],"",0,1)</f>
        <v>1650</v>
      </c>
    </row>
    <row r="47" spans="1:33" hidden="1">
      <c r="A47" s="117">
        <f>SUBTOTAL(103,$C$3:C47)</f>
        <v>17</v>
      </c>
      <c r="B47" s="111">
        <v>32</v>
      </c>
      <c r="C47" s="111">
        <f>_xlfn.XLOOKUP($F$1&amp;B47,Filtro!B:B,Filtro!D:D,"",0,1)</f>
        <v>210101</v>
      </c>
      <c r="D47" s="111" t="str">
        <f>_xlfn.XLOOKUP(C47,DBGenzai[社員№],DBGenzai[現在],"",0,1)</f>
        <v>退社</v>
      </c>
      <c r="E47" s="111">
        <f>_xlfn.XLOOKUP($C47,DBGenzai[社員№],DBGenzai[派遣先ID],"",0,1)</f>
        <v>0</v>
      </c>
      <c r="F47" s="111">
        <f>_xlfn.XLOOKUP($C47,DBGenzai[社員№],DBGenzai[配属先],"",0,1)</f>
        <v>0</v>
      </c>
      <c r="G47" s="111" t="str">
        <f>MID(TablaTransfor[[#This Row],[配属先]],1,8)</f>
        <v>0</v>
      </c>
      <c r="H47" s="111" t="str">
        <f>MID(TablaTransfor[[#This Row],[配属先]],9,6)</f>
        <v/>
      </c>
      <c r="I47" s="111" t="str">
        <f>MID(TablaTransfor[[#This Row],[配属先]],15,12)</f>
        <v/>
      </c>
      <c r="J47" s="111">
        <f>_xlfn.XLOOKUP($C47,DBGenzai[社員№],DBGenzai[配属ライン],"",0,1)</f>
        <v>0</v>
      </c>
      <c r="K47" s="111" t="str">
        <f>_xlfn.XLOOKUP($C47,DBGenzai[社員№],DBGenzai[氏名],"",0,1)</f>
        <v>DAO HOANG ANH</v>
      </c>
      <c r="L47" s="111" t="str">
        <f>_xlfn.XLOOKUP($C47,DBGenzai[社員№],DBGenzai[カナ],"",0,1)</f>
        <v>ダオ　ホアン　アン</v>
      </c>
      <c r="M47" s="111" t="str">
        <f>_xlfn.XLOOKUP($C47,DBGenzai[社員№],DBGenzai[性別],"",0,1)</f>
        <v>男</v>
      </c>
      <c r="N47" s="111" t="str">
        <f>_xlfn.XLOOKUP($C47,DBGenzai[社員№],DBGenzai[国籍],"",0,1)</f>
        <v>ﾍﾞﾄﾅﾑ</v>
      </c>
      <c r="O47" s="113">
        <f>_xlfn.XLOOKUP($C47,DBGenzai[社員№],DBGenzai[生年月日],"",0,1)</f>
        <v>34673</v>
      </c>
      <c r="P47" s="111">
        <f>_xlfn.XLOOKUP($C47,DBGenzai[社員№],DBGenzai[年齢],"",0,1)</f>
        <v>29</v>
      </c>
      <c r="Q47" s="111">
        <f>_xlfn.XLOOKUP($C47,DBGenzai[社員№],DBGenzai[時給],"",0,1)</f>
        <v>1300</v>
      </c>
      <c r="R47" s="111">
        <f>_xlfn.XLOOKUP($C47,DBGenzai[社員№],DBGenzai[請求単価],"",0,1)</f>
        <v>1600</v>
      </c>
      <c r="S47" s="111" t="str">
        <f>_xlfn.XLOOKUP($C47,DBGenzai[社員№],DBGenzai[〒],"",0,1)</f>
        <v>498-0031</v>
      </c>
      <c r="T47" s="111" t="str">
        <f>_xlfn.XLOOKUP($C47,DBGenzai[社員№],DBGenzai[住所],"",0,1)</f>
        <v>愛知県弥富市平島町北広畑10-1</v>
      </c>
      <c r="U47" s="111" t="str">
        <f>_xlfn.XLOOKUP($C47,DBGenzai[社員№],DBGenzai[ｱﾊﾟｰﾄ],"",0,1)</f>
        <v>ﾚﾌﾞﾗﾝｶﾐｰﾘｱA棟201</v>
      </c>
      <c r="V47" s="113">
        <f>_xlfn.XLOOKUP($C47,DBGenzai[社員№],DBGenzai[入居],"",0,1)</f>
        <v>44193</v>
      </c>
      <c r="W47" s="197">
        <f>_xlfn.XLOOKUP($C47,DBGenzai[社員№],DBGenzai[入社日],"",0,1)</f>
        <v>44201</v>
      </c>
      <c r="X47" s="113">
        <f>_xlfn.XLOOKUP($C47,DBGenzai[社員№],DBGenzai[退社日],"",0,1)</f>
        <v>44415</v>
      </c>
      <c r="Y47" s="111">
        <f>_xlfn.XLOOKUP($C47,DBGenzai[社員№],DBGenzai[退去],"",0,1)</f>
        <v>0</v>
      </c>
      <c r="Z47" s="111">
        <f>_xlfn.XLOOKUP($C47,DBGenzai[社員№],DBGenzai[備考],"",0,1)</f>
        <v>0</v>
      </c>
      <c r="AA47" s="113">
        <f>$AA$1</f>
        <v>45199</v>
      </c>
      <c r="AB47" s="159">
        <f>(TablaTransfor[[#This Row],[unicos]]-TablaTransfor[[#This Row],[入社日]])/364</f>
        <v>2.7417582417582418</v>
      </c>
      <c r="AC47" s="190" t="s">
        <v>3015</v>
      </c>
      <c r="AD47" s="114">
        <v>44648</v>
      </c>
      <c r="AE47" s="116">
        <v>45017</v>
      </c>
      <c r="AF47" s="252">
        <f>_xlfn.XLOOKUP($C47,DBGenzai[社員№],DBGenzai[請求単価],"",0,1)</f>
        <v>1600</v>
      </c>
    </row>
    <row r="48" spans="1:33">
      <c r="A48" s="117">
        <f>SUBTOTAL(103,$C$3:C48)</f>
        <v>18</v>
      </c>
      <c r="B48" s="111">
        <v>28</v>
      </c>
      <c r="C48" s="111">
        <f>_xlfn.XLOOKUP($F$1&amp;B48,Filtro!B:B,Filtro!D:D,"",0,1)</f>
        <v>231103</v>
      </c>
      <c r="D48" s="111" t="str">
        <f>_xlfn.XLOOKUP(C48,DBGenzai[社員№],DBGenzai[現在],"",0,1)</f>
        <v>在職中</v>
      </c>
      <c r="E48" s="111">
        <f>_xlfn.XLOOKUP($C48,DBGenzai[社員№],DBGenzai[派遣先ID],"",0,1)</f>
        <v>212045</v>
      </c>
      <c r="F48" s="111" t="str">
        <f>_xlfn.XLOOKUP($C48,DBGenzai[社員№],DBGenzai[配属先],"",0,1)</f>
        <v>高雄工業株式会社 本社工場製作課</v>
      </c>
      <c r="G48" s="111" t="str">
        <f>MID(TablaTransfor[[#This Row],[配属先]],1,8)</f>
        <v>高雄工業株式会社</v>
      </c>
      <c r="H48" s="111" t="str">
        <f>MID(TablaTransfor[[#This Row],[配属先]],9,6)</f>
        <v xml:space="preserve"> 本社工場製</v>
      </c>
      <c r="I48" s="111" t="str">
        <f>MID(TablaTransfor[[#This Row],[配属先]],15,12)</f>
        <v>作課</v>
      </c>
      <c r="J48" s="111" t="str">
        <f>_xlfn.XLOOKUP($C48,DBGenzai[社員№],DBGenzai[配属ライン],"",0,1)</f>
        <v>Tライン</v>
      </c>
      <c r="K48" s="111" t="str">
        <f>_xlfn.XLOOKUP($C48,DBGenzai[社員№],DBGenzai[氏名],"",0,1)</f>
        <v>LOC TRUNG THIEN</v>
      </c>
      <c r="L48" s="111" t="str">
        <f>_xlfn.XLOOKUP($C48,DBGenzai[社員№],DBGenzai[カナ],"",0,1)</f>
        <v>ロック　チュン　ティエン</v>
      </c>
      <c r="M48" s="111" t="str">
        <f>_xlfn.XLOOKUP($C48,DBGenzai[社員№],DBGenzai[性別],"",0,1)</f>
        <v>男</v>
      </c>
      <c r="N48" s="111" t="str">
        <f>_xlfn.XLOOKUP($C48,DBGenzai[社員№],DBGenzai[国籍],"",0,1)</f>
        <v>ﾍﾞﾄﾅﾑ</v>
      </c>
      <c r="O48" s="113">
        <f>_xlfn.XLOOKUP($C48,DBGenzai[社員№],DBGenzai[生年月日],"",0,1)</f>
        <v>36831</v>
      </c>
      <c r="P48" s="111">
        <f>_xlfn.XLOOKUP($C48,DBGenzai[社員№],DBGenzai[年齢],"",0,1)</f>
        <v>23</v>
      </c>
      <c r="Q48" s="111">
        <f>_xlfn.XLOOKUP($C48,DBGenzai[社員№],DBGenzai[時給],"",0,1)</f>
        <v>1200</v>
      </c>
      <c r="R48" s="111">
        <f>_xlfn.XLOOKUP($C48,DBGenzai[社員№],DBGenzai[請求単価],"",0,1)</f>
        <v>1650</v>
      </c>
      <c r="S48" s="111" t="str">
        <f>_xlfn.XLOOKUP($C48,DBGenzai[社員№],DBGenzai[〒],"",0,1)</f>
        <v>498-0034</v>
      </c>
      <c r="T48" s="111" t="str">
        <f>_xlfn.XLOOKUP($C48,DBGenzai[社員№],DBGenzai[住所],"",0,1)</f>
        <v>愛知県弥富市平島東2-18</v>
      </c>
      <c r="U48" s="111" t="str">
        <f>_xlfn.XLOOKUP($C48,DBGenzai[社員№],DBGenzai[ｱﾊﾟｰﾄ],"",0,1)</f>
        <v>ｸﾞﾗﾝﾂｺｰﾄ402</v>
      </c>
      <c r="V48" s="113">
        <f>_xlfn.XLOOKUP($C48,DBGenzai[社員№],DBGenzai[入居],"",0,1)</f>
        <v>0</v>
      </c>
      <c r="W48" s="197">
        <f>_xlfn.XLOOKUP($C48,DBGenzai[社員№],DBGenzai[入社日],"",0,1)</f>
        <v>45231</v>
      </c>
      <c r="X48" s="113">
        <f>_xlfn.XLOOKUP($C48,DBGenzai[社員№],DBGenzai[退社日],"",0,1)</f>
        <v>0</v>
      </c>
      <c r="Y48" s="111">
        <f>_xlfn.XLOOKUP($C48,DBGenzai[社員№],DBGenzai[退去],"",0,1)</f>
        <v>0</v>
      </c>
      <c r="Z48" s="111">
        <f>_xlfn.XLOOKUP($C48,DBGenzai[社員№],DBGenzai[備考],"",0,1)</f>
        <v>0</v>
      </c>
      <c r="AA48" s="113">
        <f>$AA$1</f>
        <v>45199</v>
      </c>
      <c r="AB48" s="159">
        <f>(TablaTransfor[[#This Row],[unicos]]-TablaTransfor[[#This Row],[入社日]])/364</f>
        <v>-8.7912087912087919E-2</v>
      </c>
      <c r="AC48" s="190" t="s">
        <v>3015</v>
      </c>
      <c r="AD48" s="114">
        <v>44662</v>
      </c>
      <c r="AE48" s="116">
        <v>45017</v>
      </c>
      <c r="AF48" s="252">
        <f>_xlfn.XLOOKUP($C48,DBGenzai[社員№],DBGenzai[請求単価],"",0,1)</f>
        <v>1650</v>
      </c>
    </row>
    <row r="49" spans="1:32" hidden="1">
      <c r="A49" s="117">
        <f>SUBTOTAL(103,$C$3:C49)</f>
        <v>18</v>
      </c>
      <c r="B49" s="111">
        <v>31</v>
      </c>
      <c r="C49" s="111">
        <f>_xlfn.XLOOKUP($F$1&amp;B49,Filtro!B:B,Filtro!D:D,"",0,1)</f>
        <v>201210</v>
      </c>
      <c r="D49" s="111" t="str">
        <f>_xlfn.XLOOKUP(C49,DBGenzai[社員№],DBGenzai[現在],"",0,1)</f>
        <v>退社</v>
      </c>
      <c r="E49" s="111">
        <f>_xlfn.XLOOKUP($C49,DBGenzai[社員№],DBGenzai[派遣先ID],"",0,1)</f>
        <v>0</v>
      </c>
      <c r="F49" s="111">
        <f>_xlfn.XLOOKUP($C49,DBGenzai[社員№],DBGenzai[配属先],"",0,1)</f>
        <v>0</v>
      </c>
      <c r="G49" s="111" t="str">
        <f>MID(TablaTransfor[[#This Row],[配属先]],1,8)</f>
        <v>0</v>
      </c>
      <c r="H49" s="111" t="str">
        <f>MID(TablaTransfor[[#This Row],[配属先]],9,6)</f>
        <v/>
      </c>
      <c r="I49" s="111" t="str">
        <f>MID(TablaTransfor[[#This Row],[配属先]],15,12)</f>
        <v/>
      </c>
      <c r="J49" s="111">
        <f>_xlfn.XLOOKUP($C49,DBGenzai[社員№],DBGenzai[配属ライン],"",0,1)</f>
        <v>0</v>
      </c>
      <c r="K49" s="111" t="str">
        <f>_xlfn.XLOOKUP($C49,DBGenzai[社員№],DBGenzai[氏名],"",0,1)</f>
        <v>鈴木 マルシオ</v>
      </c>
      <c r="L49" s="111" t="str">
        <f>_xlfn.XLOOKUP($C49,DBGenzai[社員№],DBGenzai[カナ],"",0,1)</f>
        <v>スズキ　マルシオ</v>
      </c>
      <c r="M49" s="111" t="str">
        <f>_xlfn.XLOOKUP($C49,DBGenzai[社員№],DBGenzai[性別],"",0,1)</f>
        <v>男</v>
      </c>
      <c r="N49" s="111" t="str">
        <f>_xlfn.XLOOKUP($C49,DBGenzai[社員№],DBGenzai[国籍],"",0,1)</f>
        <v>ﾌﾞﾗｼﾞﾙ</v>
      </c>
      <c r="O49" s="113">
        <f>_xlfn.XLOOKUP($C49,DBGenzai[社員№],DBGenzai[生年月日],"",0,1)</f>
        <v>25114</v>
      </c>
      <c r="P49" s="111">
        <f>_xlfn.XLOOKUP($C49,DBGenzai[社員№],DBGenzai[年齢],"",0,1)</f>
        <v>55</v>
      </c>
      <c r="Q49" s="111">
        <f>_xlfn.XLOOKUP($C49,DBGenzai[社員№],DBGenzai[時給],"",0,1)</f>
        <v>1200</v>
      </c>
      <c r="R49" s="111">
        <f>_xlfn.XLOOKUP($C49,DBGenzai[社員№],DBGenzai[請求単価],"",0,1)</f>
        <v>1650</v>
      </c>
      <c r="S49" s="111">
        <f>_xlfn.XLOOKUP($C49,DBGenzai[社員№],DBGenzai[〒],"",0,1)</f>
        <v>0</v>
      </c>
      <c r="T49" s="111" t="str">
        <f>_xlfn.XLOOKUP($C49,DBGenzai[社員№],DBGenzai[住所],"",0,1)</f>
        <v>愛知県名古屋市港区九番町1-1-1</v>
      </c>
      <c r="U49" s="111" t="str">
        <f>_xlfn.XLOOKUP($C49,DBGenzai[社員№],DBGenzai[ｱﾊﾟｰﾄ],"",0,1)</f>
        <v>九番団地1棟611</v>
      </c>
      <c r="V49" s="113">
        <f>_xlfn.XLOOKUP($C49,DBGenzai[社員№],DBGenzai[入居],"",0,1)</f>
        <v>0</v>
      </c>
      <c r="W49" s="197">
        <f>_xlfn.XLOOKUP($C49,DBGenzai[社員№],DBGenzai[入社日],"",0,1)</f>
        <v>44179</v>
      </c>
      <c r="X49" s="113">
        <f>_xlfn.XLOOKUP($C49,DBGenzai[社員№],DBGenzai[退社日],"",0,1)</f>
        <v>44180</v>
      </c>
      <c r="Y49" s="111">
        <f>_xlfn.XLOOKUP($C49,DBGenzai[社員№],DBGenzai[退去],"",0,1)</f>
        <v>0</v>
      </c>
      <c r="Z49" s="111">
        <f>_xlfn.XLOOKUP($C49,DBGenzai[社員№],DBGenzai[備考],"",0,1)</f>
        <v>0</v>
      </c>
      <c r="AA49" s="113">
        <f>$AA$1</f>
        <v>45199</v>
      </c>
      <c r="AB49" s="159">
        <f>(TablaTransfor[[#This Row],[unicos]]-TablaTransfor[[#This Row],[入社日]])/364</f>
        <v>2.802197802197802</v>
      </c>
      <c r="AC49" s="190" t="s">
        <v>3015</v>
      </c>
      <c r="AD49" s="114">
        <v>44627</v>
      </c>
      <c r="AE49" s="116">
        <v>45017</v>
      </c>
      <c r="AF49" s="252">
        <f>_xlfn.XLOOKUP($C49,DBGenzai[社員№],DBGenzai[請求単価],"",0,1)</f>
        <v>1650</v>
      </c>
    </row>
    <row r="50" spans="1:32" hidden="1">
      <c r="A50" s="117">
        <f>SUBTOTAL(103,$C$3:C50)</f>
        <v>18</v>
      </c>
      <c r="B50" s="111">
        <v>33</v>
      </c>
      <c r="C50" s="111">
        <f>_xlfn.XLOOKUP($F$1&amp;B50,Filtro!B:B,Filtro!D:D,"",0,1)</f>
        <v>210511</v>
      </c>
      <c r="D50" s="111" t="str">
        <f>_xlfn.XLOOKUP(C50,DBGenzai[社員№],DBGenzai[現在],"",0,1)</f>
        <v>退社</v>
      </c>
      <c r="E50" s="111">
        <f>_xlfn.XLOOKUP($C50,DBGenzai[社員№],DBGenzai[派遣先ID],"",0,1)</f>
        <v>0</v>
      </c>
      <c r="F50" s="111">
        <f>_xlfn.XLOOKUP($C50,DBGenzai[社員№],DBGenzai[配属先],"",0,1)</f>
        <v>0</v>
      </c>
      <c r="G50" s="111" t="str">
        <f>MID(TablaTransfor[[#This Row],[配属先]],1,8)</f>
        <v>0</v>
      </c>
      <c r="H50" s="111" t="str">
        <f>MID(TablaTransfor[[#This Row],[配属先]],9,6)</f>
        <v/>
      </c>
      <c r="I50" s="111" t="str">
        <f>MID(TablaTransfor[[#This Row],[配属先]],15,12)</f>
        <v/>
      </c>
      <c r="J50" s="111">
        <f>_xlfn.XLOOKUP($C50,DBGenzai[社員№],DBGenzai[配属ライン],"",0,1)</f>
        <v>0</v>
      </c>
      <c r="K50" s="111" t="str">
        <f>_xlfn.XLOOKUP($C50,DBGenzai[社員№],DBGenzai[氏名],"",0,1)</f>
        <v>TRAN VAN QUYNH</v>
      </c>
      <c r="L50" s="111" t="str">
        <f>_xlfn.XLOOKUP($C50,DBGenzai[社員№],DBGenzai[カナ],"",0,1)</f>
        <v>チャン　ヴァン　クイン</v>
      </c>
      <c r="M50" s="111" t="str">
        <f>_xlfn.XLOOKUP($C50,DBGenzai[社員№],DBGenzai[性別],"",0,1)</f>
        <v>男</v>
      </c>
      <c r="N50" s="111" t="str">
        <f>_xlfn.XLOOKUP($C50,DBGenzai[社員№],DBGenzai[国籍],"",0,1)</f>
        <v>ﾍﾞﾄﾅﾑ</v>
      </c>
      <c r="O50" s="113">
        <f>_xlfn.XLOOKUP($C50,DBGenzai[社員№],DBGenzai[生年月日],"",0,1)</f>
        <v>34886</v>
      </c>
      <c r="P50" s="111">
        <f>_xlfn.XLOOKUP($C50,DBGenzai[社員№],DBGenzai[年齢],"",0,1)</f>
        <v>28</v>
      </c>
      <c r="Q50" s="111">
        <f>_xlfn.XLOOKUP($C50,DBGenzai[社員№],DBGenzai[時給],"",0,1)</f>
        <v>1200</v>
      </c>
      <c r="R50" s="111">
        <f>_xlfn.XLOOKUP($C50,DBGenzai[社員№],DBGenzai[請求単価],"",0,1)</f>
        <v>1600</v>
      </c>
      <c r="S50" s="111" t="str">
        <f>_xlfn.XLOOKUP($C50,DBGenzai[社員№],DBGenzai[〒],"",0,1)</f>
        <v>498-0017</v>
      </c>
      <c r="T50" s="111" t="str">
        <f>_xlfn.XLOOKUP($C50,DBGenzai[社員№],DBGenzai[住所],"",0,1)</f>
        <v>愛知県弥富市前ヶ須町東勘助138</v>
      </c>
      <c r="U50" s="111" t="str">
        <f>_xlfn.XLOOKUP($C50,DBGenzai[社員№],DBGenzai[ｱﾊﾟｰﾄ],"",0,1)</f>
        <v>安井ﾋﾞﾙ5D</v>
      </c>
      <c r="V50" s="113">
        <f>_xlfn.XLOOKUP($C50,DBGenzai[社員№],DBGenzai[入居],"",0,1)</f>
        <v>44343</v>
      </c>
      <c r="W50" s="197">
        <f>_xlfn.XLOOKUP($C50,DBGenzai[社員№],DBGenzai[入社日],"",0,1)</f>
        <v>44347</v>
      </c>
      <c r="X50" s="113">
        <f>_xlfn.XLOOKUP($C50,DBGenzai[社員№],DBGenzai[退社日],"",0,1)</f>
        <v>44357</v>
      </c>
      <c r="Y50" s="111">
        <f>_xlfn.XLOOKUP($C50,DBGenzai[社員№],DBGenzai[退去],"",0,1)</f>
        <v>0</v>
      </c>
      <c r="Z50" s="111">
        <f>_xlfn.XLOOKUP($C50,DBGenzai[社員№],DBGenzai[備考],"",0,1)</f>
        <v>0</v>
      </c>
      <c r="AA50" s="113">
        <f>$AA$1</f>
        <v>45199</v>
      </c>
      <c r="AB50" s="159">
        <f>(TablaTransfor[[#This Row],[unicos]]-TablaTransfor[[#This Row],[入社日]])/364</f>
        <v>2.3406593406593408</v>
      </c>
      <c r="AC50" s="190" t="s">
        <v>3015</v>
      </c>
      <c r="AD50" s="114">
        <v>44671</v>
      </c>
      <c r="AE50" s="116">
        <v>45017</v>
      </c>
      <c r="AF50" s="252">
        <f>_xlfn.XLOOKUP($C50,DBGenzai[社員№],DBGenzai[請求単価],"",0,1)</f>
        <v>1600</v>
      </c>
    </row>
    <row r="51" spans="1:32" hidden="1">
      <c r="A51" s="117">
        <f>SUBTOTAL(103,$C$3:C51)</f>
        <v>18</v>
      </c>
      <c r="B51" s="111">
        <v>34</v>
      </c>
      <c r="C51" s="111">
        <f>_xlfn.XLOOKUP($F$1&amp;B51,Filtro!B:B,Filtro!D:D,"",0,1)</f>
        <v>210613</v>
      </c>
      <c r="D51" s="111" t="s">
        <v>2976</v>
      </c>
      <c r="E51" s="111">
        <f>_xlfn.XLOOKUP($C51,DBGenzai[社員№],DBGenzai[派遣先ID],"",0,1)</f>
        <v>0</v>
      </c>
      <c r="F51" s="111">
        <f>_xlfn.XLOOKUP($C51,DBGenzai[社員№],DBGenzai[配属先],"",0,1)</f>
        <v>0</v>
      </c>
      <c r="G51" s="111" t="str">
        <f>MID(TablaTransfor[[#This Row],[配属先]],1,8)</f>
        <v>0</v>
      </c>
      <c r="H51" s="111" t="str">
        <f>MID(TablaTransfor[[#This Row],[配属先]],9,6)</f>
        <v/>
      </c>
      <c r="I51" s="111" t="str">
        <f>MID(TablaTransfor[[#This Row],[配属先]],15,12)</f>
        <v/>
      </c>
      <c r="J51" s="111" t="str">
        <f>_xlfn.XLOOKUP($C51,DBGenzai[社員№],DBGenzai[配属ライン],"",0,1)</f>
        <v>CVJ短軸旋盤係</v>
      </c>
      <c r="K51" s="111" t="str">
        <f>_xlfn.XLOOKUP($C51,DBGenzai[社員№],DBGenzai[氏名],"",0,1)</f>
        <v>VAN THE LUONG</v>
      </c>
      <c r="L51" s="111" t="str">
        <f>_xlfn.XLOOKUP($C51,DBGenzai[社員№],DBGenzai[カナ],"",0,1)</f>
        <v>ヴァン　テエ　ルオン</v>
      </c>
      <c r="M51" s="111" t="str">
        <f>_xlfn.XLOOKUP($C51,DBGenzai[社員№],DBGenzai[性別],"",0,1)</f>
        <v>男</v>
      </c>
      <c r="N51" s="111" t="str">
        <f>_xlfn.XLOOKUP($C51,DBGenzai[社員№],DBGenzai[国籍],"",0,1)</f>
        <v>ﾍﾞﾄﾅﾑ</v>
      </c>
      <c r="O51" s="113">
        <f>_xlfn.XLOOKUP($C51,DBGenzai[社員№],DBGenzai[生年月日],"",0,1)</f>
        <v>35664</v>
      </c>
      <c r="P51" s="111">
        <f>_xlfn.XLOOKUP($C51,DBGenzai[社員№],DBGenzai[年齢],"",0,1)</f>
        <v>26</v>
      </c>
      <c r="Q51" s="111">
        <f>_xlfn.XLOOKUP($C51,DBGenzai[社員№],DBGenzai[時給],"",0,1)</f>
        <v>1400</v>
      </c>
      <c r="R51" s="111">
        <f>_xlfn.XLOOKUP($C51,DBGenzai[社員№],DBGenzai[請求単価],"",0,1)</f>
        <v>1750</v>
      </c>
      <c r="S51" s="111" t="str">
        <f>_xlfn.XLOOKUP($C51,DBGenzai[社員№],DBGenzai[〒],"",0,1)</f>
        <v>498-0017</v>
      </c>
      <c r="T51" s="111" t="str">
        <f>_xlfn.XLOOKUP($C51,DBGenzai[社員№],DBGenzai[住所],"",0,1)</f>
        <v>愛知県弥富市前ヶ須町東勘助138</v>
      </c>
      <c r="U51" s="111" t="str">
        <f>_xlfn.XLOOKUP($C51,DBGenzai[社員№],DBGenzai[ｱﾊﾟｰﾄ],"",0,1)</f>
        <v>安井ﾋﾞﾙ2C</v>
      </c>
      <c r="V51" s="113">
        <f>_xlfn.XLOOKUP($C51,DBGenzai[社員№],DBGenzai[入居],"",0,1)</f>
        <v>44367</v>
      </c>
      <c r="W51" s="113">
        <f>_xlfn.XLOOKUP($C51,DBGenzai[社員№],DBGenzai[入社日],"",0,1)</f>
        <v>44368</v>
      </c>
      <c r="X51" s="113">
        <f>_xlfn.XLOOKUP($C51,DBGenzai[社員№],DBGenzai[退社日],"",0,1)</f>
        <v>44680</v>
      </c>
      <c r="Y51" s="111">
        <f>_xlfn.XLOOKUP($C51,DBGenzai[社員№],DBGenzai[退去],"",0,1)</f>
        <v>0</v>
      </c>
      <c r="Z51" s="111">
        <f>_xlfn.XLOOKUP($C51,DBGenzai[社員№],DBGenzai[備考],"",0,1)</f>
        <v>0</v>
      </c>
      <c r="AA51"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44469</v>
      </c>
      <c r="AB51" s="159">
        <f>(TablaTransfor[[#This Row],[unicos]]-TablaTransfor[[#This Row],[入社日]])/364</f>
        <v>0.27747252747252749</v>
      </c>
      <c r="AC51" s="173" t="s">
        <v>2968</v>
      </c>
      <c r="AF51" s="251">
        <f>_xlfn.XLOOKUP($C51,DBGenzai[社員№],DBGenzai[請求単価],"",0,1)</f>
        <v>1750</v>
      </c>
    </row>
    <row r="52" spans="1:32" hidden="1">
      <c r="A52" s="117">
        <f>SUBTOTAL(103,$C$3:C52)</f>
        <v>18</v>
      </c>
      <c r="B52" s="111">
        <v>35</v>
      </c>
      <c r="C52" s="111">
        <f>_xlfn.XLOOKUP($F$1&amp;B52,Filtro!B:B,Filtro!D:D,"",0,1)</f>
        <v>210614</v>
      </c>
      <c r="D52" s="111" t="str">
        <f>_xlfn.XLOOKUP(C52,DBGenzai[社員№],DBGenzai[現在],"",0,1)</f>
        <v>退社</v>
      </c>
      <c r="E52" s="111">
        <f>_xlfn.XLOOKUP($C52,DBGenzai[社員№],DBGenzai[派遣先ID],"",0,1)</f>
        <v>0</v>
      </c>
      <c r="F52" s="111">
        <f>_xlfn.XLOOKUP($C52,DBGenzai[社員№],DBGenzai[配属先],"",0,1)</f>
        <v>0</v>
      </c>
      <c r="G52" s="111" t="str">
        <f>MID(TablaTransfor[[#This Row],[配属先]],1,8)</f>
        <v>0</v>
      </c>
      <c r="H52" s="111" t="str">
        <f>MID(TablaTransfor[[#This Row],[配属先]],9,6)</f>
        <v/>
      </c>
      <c r="I52" s="111" t="str">
        <f>MID(TablaTransfor[[#This Row],[配属先]],15,12)</f>
        <v/>
      </c>
      <c r="J52" s="111">
        <f>_xlfn.XLOOKUP($C52,DBGenzai[社員№],DBGenzai[配属ライン],"",0,1)</f>
        <v>0</v>
      </c>
      <c r="K52" s="111" t="str">
        <f>_xlfn.XLOOKUP($C52,DBGenzai[社員№],DBGenzai[氏名],"",0,1)</f>
        <v>NGUYEN VIET HOANG</v>
      </c>
      <c r="L52" s="111" t="str">
        <f>_xlfn.XLOOKUP($C52,DBGenzai[社員№],DBGenzai[カナ],"",0,1)</f>
        <v>グエン　ヴィエン　ホアン</v>
      </c>
      <c r="M52" s="111" t="str">
        <f>_xlfn.XLOOKUP($C52,DBGenzai[社員№],DBGenzai[性別],"",0,1)</f>
        <v>男</v>
      </c>
      <c r="N52" s="111" t="str">
        <f>_xlfn.XLOOKUP($C52,DBGenzai[社員№],DBGenzai[国籍],"",0,1)</f>
        <v>ﾍﾞﾄﾅﾑ</v>
      </c>
      <c r="O52" s="113">
        <f>_xlfn.XLOOKUP($C52,DBGenzai[社員№],DBGenzai[生年月日],"",0,1)</f>
        <v>35371</v>
      </c>
      <c r="P52" s="111">
        <f>_xlfn.XLOOKUP($C52,DBGenzai[社員№],DBGenzai[年齢],"",0,1)</f>
        <v>27</v>
      </c>
      <c r="Q52" s="111">
        <f>_xlfn.XLOOKUP($C52,DBGenzai[社員№],DBGenzai[時給],"",0,1)</f>
        <v>1400</v>
      </c>
      <c r="R52" s="111">
        <f>_xlfn.XLOOKUP($C52,DBGenzai[社員№],DBGenzai[請求単価],"",0,1)</f>
        <v>1750</v>
      </c>
      <c r="S52" s="111" t="str">
        <f>_xlfn.XLOOKUP($C52,DBGenzai[社員№],DBGenzai[〒],"",0,1)</f>
        <v>498-0017</v>
      </c>
      <c r="T52" s="111" t="str">
        <f>_xlfn.XLOOKUP($C52,DBGenzai[社員№],DBGenzai[住所],"",0,1)</f>
        <v>愛知県弥富市前ヶ須町東勘助138</v>
      </c>
      <c r="U52" s="111" t="str">
        <f>_xlfn.XLOOKUP($C52,DBGenzai[社員№],DBGenzai[ｱﾊﾟｰﾄ],"",0,1)</f>
        <v>安井ﾋﾞﾙ2C</v>
      </c>
      <c r="V52" s="113">
        <f>_xlfn.XLOOKUP($C52,DBGenzai[社員№],DBGenzai[入居],"",0,1)</f>
        <v>44367</v>
      </c>
      <c r="W52" s="197">
        <f>_xlfn.XLOOKUP($C52,DBGenzai[社員№],DBGenzai[入社日],"",0,1)</f>
        <v>44368</v>
      </c>
      <c r="X52" s="113">
        <f>_xlfn.XLOOKUP($C52,DBGenzai[社員№],DBGenzai[退社日],"",0,1)</f>
        <v>44602</v>
      </c>
      <c r="Y52" s="111">
        <f>_xlfn.XLOOKUP($C52,DBGenzai[社員№],DBGenzai[退去],"",0,1)</f>
        <v>0</v>
      </c>
      <c r="Z52" s="111">
        <f>_xlfn.XLOOKUP($C52,DBGenzai[社員№],DBGenzai[備考],"",0,1)</f>
        <v>0</v>
      </c>
      <c r="AA52" s="113">
        <f>$AA$1</f>
        <v>45199</v>
      </c>
      <c r="AB52" s="159">
        <f>(TablaTransfor[[#This Row],[unicos]]-TablaTransfor[[#This Row],[入社日]])/364</f>
        <v>2.2829670329670328</v>
      </c>
      <c r="AC52" s="190" t="s">
        <v>3015</v>
      </c>
      <c r="AD52" s="114">
        <v>44667</v>
      </c>
      <c r="AE52" s="116">
        <v>45017</v>
      </c>
      <c r="AF52" s="252">
        <f>_xlfn.XLOOKUP($C52,DBGenzai[社員№],DBGenzai[請求単価],"",0,1)</f>
        <v>1750</v>
      </c>
    </row>
    <row r="53" spans="1:32" hidden="1">
      <c r="A53" s="117">
        <f>SUBTOTAL(103,$C$3:C53)</f>
        <v>18</v>
      </c>
      <c r="B53" s="111">
        <v>37</v>
      </c>
      <c r="C53" s="111">
        <f>_xlfn.XLOOKUP($F$1&amp;B53,Filtro!B:B,Filtro!D:D,"",0,1)</f>
        <v>220105</v>
      </c>
      <c r="E53" s="186">
        <f>_xlfn.XLOOKUP($C53,DBGenzai[社員№],DBGenzai[派遣先ID],"",0,1)</f>
        <v>0</v>
      </c>
      <c r="F53" s="186">
        <f>_xlfn.XLOOKUP($C53,DBGenzai[社員№],DBGenzai[配属先],"",0,1)</f>
        <v>0</v>
      </c>
      <c r="G53" s="186" t="str">
        <f>MID(TablaTransfor[[#This Row],[配属先]],1,8)</f>
        <v>0</v>
      </c>
      <c r="H53" s="186" t="str">
        <f>MID(TablaTransfor[[#This Row],[配属先]],9,6)</f>
        <v/>
      </c>
      <c r="I53" s="186" t="str">
        <f>MID(TablaTransfor[[#This Row],[配属先]],15,12)</f>
        <v/>
      </c>
      <c r="J53" s="186">
        <f>_xlfn.XLOOKUP($C53,DBGenzai[社員№],DBGenzai[配属ライン],"",0,1)</f>
        <v>0</v>
      </c>
      <c r="K53" s="186" t="str">
        <f>_xlfn.XLOOKUP($C53,DBGenzai[社員№],DBGenzai[氏名],"",0,1)</f>
        <v>PHAM LE PUONG DUY</v>
      </c>
      <c r="L53" s="186" t="str">
        <f>_xlfn.XLOOKUP($C53,DBGenzai[社員№],DBGenzai[カナ],"",0,1)</f>
        <v>ファム　レー　フウノ　ユイ</v>
      </c>
      <c r="M53" s="186" t="str">
        <f>_xlfn.XLOOKUP($C53,DBGenzai[社員№],DBGenzai[性別],"",0,1)</f>
        <v>男</v>
      </c>
      <c r="N53" s="186" t="str">
        <f>_xlfn.XLOOKUP($C53,DBGenzai[社員№],DBGenzai[国籍],"",0,1)</f>
        <v>ﾍﾞﾄﾅﾑ</v>
      </c>
      <c r="O53" s="113">
        <f>_xlfn.XLOOKUP($C53,DBGenzai[社員№],DBGenzai[生年月日],"",0,1)</f>
        <v>35053</v>
      </c>
      <c r="P53" s="111">
        <f>_xlfn.XLOOKUP($C53,DBGenzai[社員№],DBGenzai[年齢],"",0,1)</f>
        <v>27</v>
      </c>
      <c r="Q53" s="111">
        <f>_xlfn.XLOOKUP($C53,DBGenzai[社員№],DBGenzai[時給],"",0,1)</f>
        <v>1350</v>
      </c>
      <c r="R53" s="111">
        <f>_xlfn.XLOOKUP($C53,DBGenzai[社員№],DBGenzai[請求単価],"",0,1)</f>
        <v>1750</v>
      </c>
      <c r="S53" s="111">
        <f>_xlfn.XLOOKUP($C53,DBGenzai[社員№],DBGenzai[〒],"",0,1)</f>
        <v>0</v>
      </c>
      <c r="T53" s="111" t="str">
        <f>_xlfn.XLOOKUP($C53,DBGenzai[社員№],DBGenzai[住所],"",0,1)</f>
        <v>愛知県弥富市平島町中新田194-1</v>
      </c>
      <c r="U53" s="111" t="str">
        <f>_xlfn.XLOOKUP($C53,DBGenzai[社員№],DBGenzai[ｱﾊﾟｰﾄ],"",0,1)</f>
        <v>ｺﾝﾂｪﾙﾊｳｽⅡDｰ202</v>
      </c>
      <c r="V53" s="113">
        <f>_xlfn.XLOOKUP($C53,DBGenzai[社員№],DBGenzai[入居],"",0,1)</f>
        <v>0</v>
      </c>
      <c r="W53" s="187">
        <f>_xlfn.XLOOKUP($C53,DBGenzai[社員№],DBGenzai[入社日],"",0,1)</f>
        <v>44567</v>
      </c>
      <c r="X53" s="113">
        <f>_xlfn.XLOOKUP($C53,DBGenzai[社員№],DBGenzai[退社日],"",0,1)</f>
        <v>44573</v>
      </c>
      <c r="Y53" s="111">
        <f>_xlfn.XLOOKUP($C53,DBGenzai[社員№],DBGenzai[退去],"",0,1)</f>
        <v>0</v>
      </c>
      <c r="Z53" s="111">
        <f>_xlfn.XLOOKUP($C53,DBGenzai[社員№],DBGenzai[備考],"",0,1)</f>
        <v>0</v>
      </c>
      <c r="AA53" s="187">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44834</v>
      </c>
      <c r="AB53" s="188">
        <f>(TablaTransfor[[#This Row],[unicos]]-TablaTransfor[[#This Row],[入社日]])/364</f>
        <v>0.73351648351648346</v>
      </c>
      <c r="AC53" s="191"/>
      <c r="AF53" s="251">
        <f>_xlfn.XLOOKUP($C53,DBGenzai[社員№],DBGenzai[請求単価],"",0,1)</f>
        <v>1750</v>
      </c>
    </row>
    <row r="54" spans="1:32">
      <c r="A54" s="117">
        <f>SUBTOTAL(103,$C$3:C54)</f>
        <v>19</v>
      </c>
      <c r="B54" s="111">
        <v>27</v>
      </c>
      <c r="C54" s="111">
        <f>_xlfn.XLOOKUP($F$1&amp;B54,Filtro!B:B,Filtro!D:D,"",0,1)</f>
        <v>231102</v>
      </c>
      <c r="D54" s="111" t="str">
        <f>_xlfn.XLOOKUP(C54,DBGenzai[社員№],DBGenzai[現在],"",0,1)</f>
        <v>在職中</v>
      </c>
      <c r="E54" s="111">
        <f>_xlfn.XLOOKUP($C54,DBGenzai[社員№],DBGenzai[派遣先ID],"",0,1)</f>
        <v>212044</v>
      </c>
      <c r="F54" s="111" t="str">
        <f>_xlfn.XLOOKUP($C54,DBGenzai[社員№],DBGenzai[配属先],"",0,1)</f>
        <v>高雄工業株式会社 本社工場製作課</v>
      </c>
      <c r="G54" s="111" t="str">
        <f>MID(TablaTransfor[[#This Row],[配属先]],1,8)</f>
        <v>高雄工業株式会社</v>
      </c>
      <c r="H54" s="111" t="str">
        <f>MID(TablaTransfor[[#This Row],[配属先]],9,6)</f>
        <v xml:space="preserve"> 本社工場製</v>
      </c>
      <c r="I54" s="111" t="str">
        <f>MID(TablaTransfor[[#This Row],[配属先]],15,12)</f>
        <v>作課</v>
      </c>
      <c r="J54" s="111" t="str">
        <f>_xlfn.XLOOKUP($C54,DBGenzai[社員№],DBGenzai[配属ライン],"",0,1)</f>
        <v>Fライン</v>
      </c>
      <c r="K54" s="111" t="str">
        <f>_xlfn.XLOOKUP($C54,DBGenzai[社員№],DBGenzai[氏名],"",0,1)</f>
        <v>DUONG THANH TUNG</v>
      </c>
      <c r="L54" s="111" t="str">
        <f>_xlfn.XLOOKUP($C54,DBGenzai[社員№],DBGenzai[カナ],"",0,1)</f>
        <v>ズオン　タイン　トゥン</v>
      </c>
      <c r="M54" s="111" t="str">
        <f>_xlfn.XLOOKUP($C54,DBGenzai[社員№],DBGenzai[性別],"",0,1)</f>
        <v>男</v>
      </c>
      <c r="N54" s="111" t="str">
        <f>_xlfn.XLOOKUP($C54,DBGenzai[社員№],DBGenzai[国籍],"",0,1)</f>
        <v>ﾍﾞﾄﾅﾑ</v>
      </c>
      <c r="O54" s="113">
        <f>_xlfn.XLOOKUP($C54,DBGenzai[社員№],DBGenzai[生年月日],"",0,1)</f>
        <v>35497</v>
      </c>
      <c r="P54" s="111">
        <f>_xlfn.XLOOKUP($C54,DBGenzai[社員№],DBGenzai[年齢],"",0,1)</f>
        <v>26</v>
      </c>
      <c r="Q54" s="111">
        <f>_xlfn.XLOOKUP($C54,DBGenzai[社員№],DBGenzai[時給],"",0,1)</f>
        <v>1200</v>
      </c>
      <c r="R54" s="111">
        <f>_xlfn.XLOOKUP($C54,DBGenzai[社員№],DBGenzai[請求単価],"",0,1)</f>
        <v>1650</v>
      </c>
      <c r="S54" s="111" t="str">
        <f>_xlfn.XLOOKUP($C54,DBGenzai[社員№],DBGenzai[〒],"",0,1)</f>
        <v>498-0034</v>
      </c>
      <c r="T54" s="111" t="str">
        <f>_xlfn.XLOOKUP($C54,DBGenzai[社員№],DBGenzai[住所],"",0,1)</f>
        <v>愛知県弥富市平島東2-18</v>
      </c>
      <c r="U54" s="111" t="str">
        <f>_xlfn.XLOOKUP($C54,DBGenzai[社員№],DBGenzai[ｱﾊﾟｰﾄ],"",0,1)</f>
        <v>ｸﾞﾗﾝﾂｺｰﾄ402</v>
      </c>
      <c r="V54" s="113">
        <f>_xlfn.XLOOKUP($C54,DBGenzai[社員№],DBGenzai[入居],"",0,1)</f>
        <v>0</v>
      </c>
      <c r="W54" s="197">
        <f>_xlfn.XLOOKUP($C54,DBGenzai[社員№],DBGenzai[入社日],"",0,1)</f>
        <v>45231</v>
      </c>
      <c r="X54" s="113">
        <f>_xlfn.XLOOKUP($C54,DBGenzai[社員№],DBGenzai[退社日],"",0,1)</f>
        <v>0</v>
      </c>
      <c r="Y54" s="111">
        <f>_xlfn.XLOOKUP($C54,DBGenzai[社員№],DBGenzai[退去],"",0,1)</f>
        <v>0</v>
      </c>
      <c r="Z54" s="111">
        <f>_xlfn.XLOOKUP($C54,DBGenzai[社員№],DBGenzai[備考],"",0,1)</f>
        <v>0</v>
      </c>
      <c r="AA54" s="113">
        <f>$AA$1</f>
        <v>45199</v>
      </c>
      <c r="AB54" s="159">
        <f>(TablaTransfor[[#This Row],[unicos]]-TablaTransfor[[#This Row],[入社日]])/364</f>
        <v>-8.7912087912087919E-2</v>
      </c>
      <c r="AC54" s="173" t="s">
        <v>3015</v>
      </c>
      <c r="AD54" s="114">
        <v>44667</v>
      </c>
      <c r="AE54" s="116">
        <v>45017</v>
      </c>
      <c r="AF54" s="252">
        <f>_xlfn.XLOOKUP($C54,DBGenzai[社員№],DBGenzai[請求単価],"",0,1)</f>
        <v>1650</v>
      </c>
    </row>
    <row r="55" spans="1:32" hidden="1">
      <c r="A55" s="117">
        <f>SUBTOTAL(103,$C$3:C55)</f>
        <v>19</v>
      </c>
      <c r="B55" s="111">
        <v>38</v>
      </c>
      <c r="C55" s="111">
        <f>_xlfn.XLOOKUP($F$1&amp;B55,Filtro!B:B,Filtro!D:D,"",0,1)</f>
        <v>220132</v>
      </c>
      <c r="D55" s="111" t="str">
        <f>_xlfn.XLOOKUP(C55,DBGenzai[社員№],DBGenzai[現在],"",0,1)</f>
        <v>退社</v>
      </c>
      <c r="E55" s="111">
        <f>_xlfn.XLOOKUP($C55,DBGenzai[社員№],DBGenzai[派遣先ID],"",0,1)</f>
        <v>0</v>
      </c>
      <c r="F55" s="111">
        <f>_xlfn.XLOOKUP($C55,DBGenzai[社員№],DBGenzai[配属先],"",0,1)</f>
        <v>0</v>
      </c>
      <c r="G55" s="111" t="str">
        <f>MID(TablaTransfor[[#This Row],[配属先]],1,8)</f>
        <v>0</v>
      </c>
      <c r="H55" s="111" t="str">
        <f>MID(TablaTransfor[[#This Row],[配属先]],9,6)</f>
        <v/>
      </c>
      <c r="I55" s="111" t="str">
        <f>MID(TablaTransfor[[#This Row],[配属先]],15,12)</f>
        <v/>
      </c>
      <c r="J55" s="111">
        <f>_xlfn.XLOOKUP($C55,DBGenzai[社員№],DBGenzai[配属ライン],"",0,1)</f>
        <v>0</v>
      </c>
      <c r="K55" s="111" t="str">
        <f>_xlfn.XLOOKUP($C55,DBGenzai[社員№],DBGenzai[氏名],"",0,1)</f>
        <v>THAN TRUNG TIEN</v>
      </c>
      <c r="L55" s="111" t="str">
        <f>_xlfn.XLOOKUP($C55,DBGenzai[社員№],DBGenzai[カナ],"",0,1)</f>
        <v>タン　チュン　ティエン</v>
      </c>
      <c r="M55" s="111" t="str">
        <f>_xlfn.XLOOKUP($C55,DBGenzai[社員№],DBGenzai[性別],"",0,1)</f>
        <v>男</v>
      </c>
      <c r="N55" s="111" t="str">
        <f>_xlfn.XLOOKUP($C55,DBGenzai[社員№],DBGenzai[国籍],"",0,1)</f>
        <v>ﾍﾞﾄﾅﾑ</v>
      </c>
      <c r="O55" s="113">
        <f>_xlfn.XLOOKUP($C55,DBGenzai[社員№],DBGenzai[生年月日],"",0,1)</f>
        <v>33937</v>
      </c>
      <c r="P55" s="111">
        <f>_xlfn.XLOOKUP($C55,DBGenzai[社員№],DBGenzai[年齢],"",0,1)</f>
        <v>31</v>
      </c>
      <c r="Q55" s="111">
        <f>_xlfn.XLOOKUP($C55,DBGenzai[社員№],DBGenzai[時給],"",0,1)</f>
        <v>1350</v>
      </c>
      <c r="R55" s="111">
        <f>_xlfn.XLOOKUP($C55,DBGenzai[社員№],DBGenzai[請求単価],"",0,1)</f>
        <v>1750</v>
      </c>
      <c r="S55" s="111" t="str">
        <f>_xlfn.XLOOKUP($C55,DBGenzai[社員№],DBGenzai[〒],"",0,1)</f>
        <v>498-0017</v>
      </c>
      <c r="T55" s="111" t="str">
        <f>_xlfn.XLOOKUP($C55,DBGenzai[社員№],DBGenzai[住所],"",0,1)</f>
        <v>愛知県弥富市前ヶ須町東勘助138</v>
      </c>
      <c r="U55" s="111" t="str">
        <f>_xlfn.XLOOKUP($C55,DBGenzai[社員№],DBGenzai[ｱﾊﾟｰﾄ],"",0,1)</f>
        <v>安井ﾋﾞﾙ2C</v>
      </c>
      <c r="V55" s="113">
        <f>_xlfn.XLOOKUP($C55,DBGenzai[社員№],DBGenzai[入居],"",0,1)</f>
        <v>0</v>
      </c>
      <c r="W55" s="197">
        <f>_xlfn.XLOOKUP($C55,DBGenzai[社員№],DBGenzai[入社日],"",0,1)</f>
        <v>44592</v>
      </c>
      <c r="X55" s="113">
        <f>_xlfn.XLOOKUP($C55,DBGenzai[社員№],DBGenzai[退社日],"",0,1)</f>
        <v>44601</v>
      </c>
      <c r="Y55" s="111">
        <f>_xlfn.XLOOKUP($C55,DBGenzai[社員№],DBGenzai[退去],"",0,1)</f>
        <v>0</v>
      </c>
      <c r="Z55" s="111">
        <f>_xlfn.XLOOKUP($C55,DBGenzai[社員№],DBGenzai[備考],"",0,1)</f>
        <v>0</v>
      </c>
      <c r="AA55" s="113">
        <f>$AA$1</f>
        <v>45199</v>
      </c>
      <c r="AB55" s="159">
        <f>(TablaTransfor[[#This Row],[unicos]]-TablaTransfor[[#This Row],[入社日]])/364</f>
        <v>1.6675824175824177</v>
      </c>
      <c r="AC55" s="190" t="s">
        <v>3015</v>
      </c>
      <c r="AD55" s="114">
        <v>44697</v>
      </c>
      <c r="AE55" s="116">
        <v>45017</v>
      </c>
      <c r="AF55" s="252">
        <f>_xlfn.XLOOKUP($C55,DBGenzai[社員№],DBGenzai[請求単価],"",0,1)</f>
        <v>1750</v>
      </c>
    </row>
    <row r="56" spans="1:32" hidden="1">
      <c r="A56" s="117">
        <f>SUBTOTAL(103,$C$3:C56)</f>
        <v>19</v>
      </c>
      <c r="B56" s="111">
        <v>39</v>
      </c>
      <c r="C56" s="111">
        <f>_xlfn.XLOOKUP($F$1&amp;B56,Filtro!B:B,Filtro!D:D,"",0,1)</f>
        <v>220205</v>
      </c>
      <c r="D56" s="111" t="str">
        <f>_xlfn.XLOOKUP(C56,DBGenzai[社員№],DBGenzai[現在],"",0,1)</f>
        <v>退社</v>
      </c>
      <c r="E56" s="111">
        <f>_xlfn.XLOOKUP($C56,DBGenzai[社員№],DBGenzai[派遣先ID],"",0,1)</f>
        <v>0</v>
      </c>
      <c r="F56" s="111">
        <f>_xlfn.XLOOKUP($C56,DBGenzai[社員№],DBGenzai[配属先],"",0,1)</f>
        <v>0</v>
      </c>
      <c r="G56" s="111" t="str">
        <f>MID(TablaTransfor[[#This Row],[配属先]],1,8)</f>
        <v>0</v>
      </c>
      <c r="H56" s="111" t="str">
        <f>MID(TablaTransfor[[#This Row],[配属先]],9,6)</f>
        <v/>
      </c>
      <c r="I56" s="111" t="str">
        <f>MID(TablaTransfor[[#This Row],[配属先]],15,12)</f>
        <v/>
      </c>
      <c r="J56" s="111">
        <f>_xlfn.XLOOKUP($C56,DBGenzai[社員№],DBGenzai[配属ライン],"",0,1)</f>
        <v>0</v>
      </c>
      <c r="K56" s="111" t="str">
        <f>_xlfn.XLOOKUP($C56,DBGenzai[社員№],DBGenzai[氏名],"",0,1)</f>
        <v>NGO VAN CHUONG</v>
      </c>
      <c r="L56" s="111" t="str">
        <f>_xlfn.XLOOKUP($C56,DBGenzai[社員№],DBGenzai[カナ],"",0,1)</f>
        <v>ゴー　バン　チュオン</v>
      </c>
      <c r="M56" s="111" t="str">
        <f>_xlfn.XLOOKUP($C56,DBGenzai[社員№],DBGenzai[性別],"",0,1)</f>
        <v>男</v>
      </c>
      <c r="N56" s="111" t="str">
        <f>_xlfn.XLOOKUP($C56,DBGenzai[社員№],DBGenzai[国籍],"",0,1)</f>
        <v>ﾍﾞﾄﾅﾑ</v>
      </c>
      <c r="O56" s="113">
        <f>_xlfn.XLOOKUP($C56,DBGenzai[社員№],DBGenzai[生年月日],"",0,1)</f>
        <v>34726</v>
      </c>
      <c r="P56" s="111">
        <f>_xlfn.XLOOKUP($C56,DBGenzai[社員№],DBGenzai[年齢],"",0,1)</f>
        <v>28</v>
      </c>
      <c r="Q56" s="111">
        <f>_xlfn.XLOOKUP($C56,DBGenzai[社員№],DBGenzai[時給],"",0,1)</f>
        <v>1350</v>
      </c>
      <c r="R56" s="111">
        <f>_xlfn.XLOOKUP($C56,DBGenzai[社員№],DBGenzai[請求単価],"",0,1)</f>
        <v>1760</v>
      </c>
      <c r="S56" s="111" t="str">
        <f>_xlfn.XLOOKUP($C56,DBGenzai[社員№],DBGenzai[〒],"",0,1)</f>
        <v>498-0025</v>
      </c>
      <c r="T56" s="111" t="str">
        <f>_xlfn.XLOOKUP($C56,DBGenzai[社員№],DBGenzai[住所],"",0,1)</f>
        <v>愛知県弥富市平島町喜右味名78-1</v>
      </c>
      <c r="U56" s="111" t="str">
        <f>_xlfn.XLOOKUP($C56,DBGenzai[社員№],DBGenzai[ｱﾊﾟｰﾄ],"",0,1)</f>
        <v>ﾌﾚｸﾞﾗﾝｽ桂E棟102号</v>
      </c>
      <c r="V56" s="113">
        <f>_xlfn.XLOOKUP($C56,DBGenzai[社員№],DBGenzai[入居],"",0,1)</f>
        <v>44602</v>
      </c>
      <c r="W56" s="197">
        <f>_xlfn.XLOOKUP($C56,DBGenzai[社員№],DBGenzai[入社日],"",0,1)</f>
        <v>44599</v>
      </c>
      <c r="X56" s="113">
        <f>_xlfn.XLOOKUP($C56,DBGenzai[社員№],DBGenzai[退社日],"",0,1)</f>
        <v>44680</v>
      </c>
      <c r="Y56" s="111">
        <f>_xlfn.XLOOKUP($C56,DBGenzai[社員№],DBGenzai[退去],"",0,1)</f>
        <v>0</v>
      </c>
      <c r="Z56" s="111">
        <f>_xlfn.XLOOKUP($C56,DBGenzai[社員№],DBGenzai[備考],"",0,1)</f>
        <v>0</v>
      </c>
      <c r="AA56" s="113">
        <f>$AA$1</f>
        <v>45199</v>
      </c>
      <c r="AB56" s="159">
        <f>(TablaTransfor[[#This Row],[unicos]]-TablaTransfor[[#This Row],[入社日]])/364</f>
        <v>1.6483516483516483</v>
      </c>
      <c r="AC56" s="190" t="s">
        <v>3015</v>
      </c>
      <c r="AD56" s="114">
        <v>44706</v>
      </c>
      <c r="AE56" s="116">
        <v>45017</v>
      </c>
      <c r="AF56" s="252">
        <f>_xlfn.XLOOKUP($C56,DBGenzai[社員№],DBGenzai[請求単価],"",0,1)</f>
        <v>1760</v>
      </c>
    </row>
    <row r="57" spans="1:32" hidden="1">
      <c r="A57" s="117">
        <f>SUBTOTAL(103,$C$3:C57)</f>
        <v>19</v>
      </c>
      <c r="B57" s="111">
        <v>43</v>
      </c>
      <c r="C57" s="111" t="str">
        <f>_xlfn.XLOOKUP($F$1&amp;B57,Filtro!B:B,Filtro!D:D,"",0,1)</f>
        <v/>
      </c>
      <c r="D57" s="111" t="str">
        <f>_xlfn.XLOOKUP(C57,DBGenzai[社員№],DBGenzai[現在],"",0,1)</f>
        <v/>
      </c>
      <c r="E57" s="111" t="str">
        <f>_xlfn.XLOOKUP($C57,DBGenzai[社員№],DBGenzai[派遣先ID],"",0,1)</f>
        <v/>
      </c>
      <c r="F57" s="111" t="str">
        <f>_xlfn.XLOOKUP($C57,DBGenzai[社員№],DBGenzai[配属先],"",0,1)</f>
        <v/>
      </c>
      <c r="G57" s="111" t="str">
        <f>MID(TablaTransfor[[#This Row],[配属先]],1,8)</f>
        <v/>
      </c>
      <c r="H57" s="111" t="str">
        <f>MID(TablaTransfor[[#This Row],[配属先]],9,6)</f>
        <v/>
      </c>
      <c r="I57" s="111" t="str">
        <f>MID(TablaTransfor[[#This Row],[配属先]],15,12)</f>
        <v/>
      </c>
      <c r="J57" s="111" t="str">
        <f>_xlfn.XLOOKUP($C57,DBGenzai[社員№],DBGenzai[配属ライン],"",0,1)</f>
        <v/>
      </c>
      <c r="K57" s="111" t="str">
        <f>_xlfn.XLOOKUP($C57,DBGenzai[社員№],DBGenzai[氏名],"",0,1)</f>
        <v/>
      </c>
      <c r="L57" s="111" t="str">
        <f>_xlfn.XLOOKUP($C57,DBGenzai[社員№],DBGenzai[カナ],"",0,1)</f>
        <v/>
      </c>
      <c r="M57" s="111" t="str">
        <f>_xlfn.XLOOKUP($C57,DBGenzai[社員№],DBGenzai[性別],"",0,1)</f>
        <v/>
      </c>
      <c r="N57" s="111" t="str">
        <f>_xlfn.XLOOKUP($C57,DBGenzai[社員№],DBGenzai[国籍],"",0,1)</f>
        <v/>
      </c>
      <c r="O57" s="113" t="str">
        <f>_xlfn.XLOOKUP($C57,DBGenzai[社員№],DBGenzai[生年月日],"",0,1)</f>
        <v/>
      </c>
      <c r="P57" s="111" t="str">
        <f>_xlfn.XLOOKUP($C57,DBGenzai[社員№],DBGenzai[年齢],"",0,1)</f>
        <v/>
      </c>
      <c r="Q57" s="111" t="str">
        <f>_xlfn.XLOOKUP($C57,DBGenzai[社員№],DBGenzai[時給],"",0,1)</f>
        <v/>
      </c>
      <c r="R57" s="111" t="str">
        <f>_xlfn.XLOOKUP($C57,DBGenzai[社員№],DBGenzai[請求単価],"",0,1)</f>
        <v/>
      </c>
      <c r="S57" s="111" t="str">
        <f>_xlfn.XLOOKUP($C57,DBGenzai[社員№],DBGenzai[〒],"",0,1)</f>
        <v/>
      </c>
      <c r="T57" s="111" t="str">
        <f>_xlfn.XLOOKUP($C57,DBGenzai[社員№],DBGenzai[住所],"",0,1)</f>
        <v/>
      </c>
      <c r="U57" s="111" t="str">
        <f>_xlfn.XLOOKUP($C57,DBGenzai[社員№],DBGenzai[ｱﾊﾟｰﾄ],"",0,1)</f>
        <v/>
      </c>
      <c r="V57" s="113" t="str">
        <f>_xlfn.XLOOKUP($C57,DBGenzai[社員№],DBGenzai[入居],"",0,1)</f>
        <v/>
      </c>
      <c r="W57" s="197" t="str">
        <f>_xlfn.XLOOKUP($C57,DBGenzai[社員№],DBGenzai[入社日],"",0,1)</f>
        <v/>
      </c>
      <c r="X57" s="113" t="str">
        <f>_xlfn.XLOOKUP($C57,DBGenzai[社員№],DBGenzai[退社日],"",0,1)</f>
        <v/>
      </c>
      <c r="Y57" s="111" t="str">
        <f>_xlfn.XLOOKUP($C57,DBGenzai[社員№],DBGenzai[退去],"",0,1)</f>
        <v/>
      </c>
      <c r="Z57" s="111" t="str">
        <f>_xlfn.XLOOKUP($C57,DBGenzai[社員№],DBGenzai[備考],"",0,1)</f>
        <v/>
      </c>
      <c r="AA57" s="113">
        <f>$AA$1</f>
        <v>45199</v>
      </c>
      <c r="AB57" s="159" t="e">
        <f>(TablaTransfor[[#This Row],[unicos]]-TablaTransfor[[#This Row],[入社日]])/364</f>
        <v>#VALUE!</v>
      </c>
      <c r="AC57" s="190" t="s">
        <v>3015</v>
      </c>
      <c r="AD57" s="114">
        <v>44727</v>
      </c>
      <c r="AE57" s="116">
        <v>45017</v>
      </c>
      <c r="AF57" s="252" t="str">
        <f>_xlfn.XLOOKUP($C57,DBGenzai[社員№],DBGenzai[請求単価],"",0,1)</f>
        <v/>
      </c>
    </row>
    <row r="58" spans="1:32" hidden="1">
      <c r="A58" s="117">
        <f>SUBTOTAL(103,$C$3:C58)</f>
        <v>19</v>
      </c>
      <c r="B58" s="111">
        <v>44</v>
      </c>
      <c r="C58" s="111" t="str">
        <f>_xlfn.XLOOKUP($F$1&amp;B58,Filtro!B:B,Filtro!D:D,"",0,1)</f>
        <v/>
      </c>
      <c r="D58" s="111" t="str">
        <f>_xlfn.XLOOKUP(C58,DBGenzai[社員№],DBGenzai[現在],"",0,1)</f>
        <v/>
      </c>
      <c r="E58" s="111" t="str">
        <f>_xlfn.XLOOKUP($C58,DBGenzai[社員№],DBGenzai[派遣先ID],"",0,1)</f>
        <v/>
      </c>
      <c r="F58" s="111" t="str">
        <f>_xlfn.XLOOKUP($C58,DBGenzai[社員№],DBGenzai[配属先],"",0,1)</f>
        <v/>
      </c>
      <c r="G58" s="111" t="str">
        <f>MID(TablaTransfor[[#This Row],[配属先]],1,8)</f>
        <v/>
      </c>
      <c r="H58" s="111" t="str">
        <f>MID(TablaTransfor[[#This Row],[配属先]],9,6)</f>
        <v/>
      </c>
      <c r="I58" s="111" t="str">
        <f>MID(TablaTransfor[[#This Row],[配属先]],15,12)</f>
        <v/>
      </c>
      <c r="J58" s="111" t="str">
        <f>_xlfn.XLOOKUP($C58,DBGenzai[社員№],DBGenzai[配属ライン],"",0,1)</f>
        <v/>
      </c>
      <c r="K58" s="111" t="str">
        <f>_xlfn.XLOOKUP($C58,DBGenzai[社員№],DBGenzai[氏名],"",0,1)</f>
        <v/>
      </c>
      <c r="L58" s="111" t="str">
        <f>_xlfn.XLOOKUP($C58,DBGenzai[社員№],DBGenzai[カナ],"",0,1)</f>
        <v/>
      </c>
      <c r="M58" s="111" t="str">
        <f>_xlfn.XLOOKUP($C58,DBGenzai[社員№],DBGenzai[性別],"",0,1)</f>
        <v/>
      </c>
      <c r="N58" s="111" t="str">
        <f>_xlfn.XLOOKUP($C58,DBGenzai[社員№],DBGenzai[国籍],"",0,1)</f>
        <v/>
      </c>
      <c r="O58" s="113" t="str">
        <f>_xlfn.XLOOKUP($C58,DBGenzai[社員№],DBGenzai[生年月日],"",0,1)</f>
        <v/>
      </c>
      <c r="P58" s="111" t="str">
        <f>_xlfn.XLOOKUP($C58,DBGenzai[社員№],DBGenzai[年齢],"",0,1)</f>
        <v/>
      </c>
      <c r="Q58" s="111" t="str">
        <f>_xlfn.XLOOKUP($C58,DBGenzai[社員№],DBGenzai[時給],"",0,1)</f>
        <v/>
      </c>
      <c r="R58" s="111" t="str">
        <f>_xlfn.XLOOKUP($C58,DBGenzai[社員№],DBGenzai[請求単価],"",0,1)</f>
        <v/>
      </c>
      <c r="S58" s="111" t="str">
        <f>_xlfn.XLOOKUP($C58,DBGenzai[社員№],DBGenzai[〒],"",0,1)</f>
        <v/>
      </c>
      <c r="T58" s="111" t="str">
        <f>_xlfn.XLOOKUP($C58,DBGenzai[社員№],DBGenzai[住所],"",0,1)</f>
        <v/>
      </c>
      <c r="U58" s="111" t="str">
        <f>_xlfn.XLOOKUP($C58,DBGenzai[社員№],DBGenzai[ｱﾊﾟｰﾄ],"",0,1)</f>
        <v/>
      </c>
      <c r="V58" s="113" t="str">
        <f>_xlfn.XLOOKUP($C58,DBGenzai[社員№],DBGenzai[入居],"",0,1)</f>
        <v/>
      </c>
      <c r="W58" s="197" t="str">
        <f>_xlfn.XLOOKUP($C58,DBGenzai[社員№],DBGenzai[入社日],"",0,1)</f>
        <v/>
      </c>
      <c r="X58" s="113" t="str">
        <f>_xlfn.XLOOKUP($C58,DBGenzai[社員№],DBGenzai[退社日],"",0,1)</f>
        <v/>
      </c>
      <c r="Y58" s="111" t="str">
        <f>_xlfn.XLOOKUP($C58,DBGenzai[社員№],DBGenzai[退去],"",0,1)</f>
        <v/>
      </c>
      <c r="Z58" s="111" t="str">
        <f>_xlfn.XLOOKUP($C58,DBGenzai[社員№],DBGenzai[備考],"",0,1)</f>
        <v/>
      </c>
      <c r="AA58" s="113">
        <f>$AA$1</f>
        <v>45199</v>
      </c>
      <c r="AB58" s="159" t="e">
        <f>(TablaTransfor[[#This Row],[unicos]]-TablaTransfor[[#This Row],[入社日]])/364</f>
        <v>#VALUE!</v>
      </c>
      <c r="AC58" s="190" t="s">
        <v>3015</v>
      </c>
      <c r="AD58" s="114">
        <v>44729</v>
      </c>
      <c r="AE58" s="116">
        <v>45017</v>
      </c>
      <c r="AF58" s="252" t="str">
        <f>_xlfn.XLOOKUP($C58,DBGenzai[社員№],DBGenzai[請求単価],"",0,1)</f>
        <v/>
      </c>
    </row>
    <row r="59" spans="1:32" hidden="1">
      <c r="A59" s="117">
        <f>SUBTOTAL(103,$C$3:C59)</f>
        <v>19</v>
      </c>
      <c r="B59" s="111">
        <v>45</v>
      </c>
      <c r="C59" s="111" t="str">
        <f>_xlfn.XLOOKUP($F$1&amp;B59,Filtro!B:B,Filtro!D:D,"",0,1)</f>
        <v/>
      </c>
      <c r="D59" s="111" t="str">
        <f>_xlfn.XLOOKUP(C59,DBGenzai[社員№],DBGenzai[現在],"",0,1)</f>
        <v/>
      </c>
      <c r="E59" s="111" t="str">
        <f>_xlfn.XLOOKUP($C59,DBGenzai[社員№],DBGenzai[派遣先ID],"",0,1)</f>
        <v/>
      </c>
      <c r="F59" s="111" t="str">
        <f>_xlfn.XLOOKUP($C59,DBGenzai[社員№],DBGenzai[配属先],"",0,1)</f>
        <v/>
      </c>
      <c r="G59" s="111" t="str">
        <f>MID(TablaTransfor[[#This Row],[配属先]],1,8)</f>
        <v/>
      </c>
      <c r="H59" s="111" t="str">
        <f>MID(TablaTransfor[[#This Row],[配属先]],9,6)</f>
        <v/>
      </c>
      <c r="I59" s="111" t="str">
        <f>MID(TablaTransfor[[#This Row],[配属先]],15,12)</f>
        <v/>
      </c>
      <c r="J59" s="111" t="str">
        <f>_xlfn.XLOOKUP($C59,DBGenzai[社員№],DBGenzai[配属ライン],"",0,1)</f>
        <v/>
      </c>
      <c r="K59" s="111" t="str">
        <f>_xlfn.XLOOKUP($C59,DBGenzai[社員№],DBGenzai[氏名],"",0,1)</f>
        <v/>
      </c>
      <c r="L59" s="111" t="str">
        <f>_xlfn.XLOOKUP($C59,DBGenzai[社員№],DBGenzai[カナ],"",0,1)</f>
        <v/>
      </c>
      <c r="M59" s="111" t="str">
        <f>_xlfn.XLOOKUP($C59,DBGenzai[社員№],DBGenzai[性別],"",0,1)</f>
        <v/>
      </c>
      <c r="N59" s="111" t="str">
        <f>_xlfn.XLOOKUP($C59,DBGenzai[社員№],DBGenzai[国籍],"",0,1)</f>
        <v/>
      </c>
      <c r="O59" s="113" t="str">
        <f>_xlfn.XLOOKUP($C59,DBGenzai[社員№],DBGenzai[生年月日],"",0,1)</f>
        <v/>
      </c>
      <c r="P59" s="111" t="str">
        <f>_xlfn.XLOOKUP($C59,DBGenzai[社員№],DBGenzai[年齢],"",0,1)</f>
        <v/>
      </c>
      <c r="Q59" s="111" t="str">
        <f>_xlfn.XLOOKUP($C59,DBGenzai[社員№],DBGenzai[時給],"",0,1)</f>
        <v/>
      </c>
      <c r="R59" s="111" t="str">
        <f>_xlfn.XLOOKUP($C59,DBGenzai[社員№],DBGenzai[請求単価],"",0,1)</f>
        <v/>
      </c>
      <c r="S59" s="111" t="str">
        <f>_xlfn.XLOOKUP($C59,DBGenzai[社員№],DBGenzai[〒],"",0,1)</f>
        <v/>
      </c>
      <c r="T59" s="111" t="str">
        <f>_xlfn.XLOOKUP($C59,DBGenzai[社員№],DBGenzai[住所],"",0,1)</f>
        <v/>
      </c>
      <c r="U59" s="111" t="str">
        <f>_xlfn.XLOOKUP($C59,DBGenzai[社員№],DBGenzai[ｱﾊﾟｰﾄ],"",0,1)</f>
        <v/>
      </c>
      <c r="V59" s="113" t="str">
        <f>_xlfn.XLOOKUP($C59,DBGenzai[社員№],DBGenzai[入居],"",0,1)</f>
        <v/>
      </c>
      <c r="W59" s="197" t="str">
        <f>_xlfn.XLOOKUP($C59,DBGenzai[社員№],DBGenzai[入社日],"",0,1)</f>
        <v/>
      </c>
      <c r="X59" s="113" t="str">
        <f>_xlfn.XLOOKUP($C59,DBGenzai[社員№],DBGenzai[退社日],"",0,1)</f>
        <v/>
      </c>
      <c r="Y59" s="111" t="str">
        <f>_xlfn.XLOOKUP($C59,DBGenzai[社員№],DBGenzai[退去],"",0,1)</f>
        <v/>
      </c>
      <c r="Z59" s="111" t="str">
        <f>_xlfn.XLOOKUP($C59,DBGenzai[社員№],DBGenzai[備考],"",0,1)</f>
        <v/>
      </c>
      <c r="AA59" s="113">
        <f>$AA$1</f>
        <v>45199</v>
      </c>
      <c r="AB59" s="159" t="e">
        <f>(TablaTransfor[[#This Row],[unicos]]-TablaTransfor[[#This Row],[入社日]])/364</f>
        <v>#VALUE!</v>
      </c>
      <c r="AC59" s="190" t="s">
        <v>3015</v>
      </c>
      <c r="AD59" s="114">
        <v>44735</v>
      </c>
      <c r="AE59" s="116">
        <v>45017</v>
      </c>
      <c r="AF59" s="252" t="str">
        <f>_xlfn.XLOOKUP($C59,DBGenzai[社員№],DBGenzai[請求単価],"",0,1)</f>
        <v/>
      </c>
    </row>
    <row r="60" spans="1:32" hidden="1">
      <c r="A60" s="117">
        <f>SUBTOTAL(103,$C$3:C60)</f>
        <v>19</v>
      </c>
      <c r="B60" s="111">
        <v>46</v>
      </c>
      <c r="C60" s="111" t="str">
        <f>_xlfn.XLOOKUP($F$1&amp;B60,Filtro!B:B,Filtro!D:D,"",0,1)</f>
        <v/>
      </c>
      <c r="D60" s="111" t="str">
        <f>_xlfn.XLOOKUP(C60,DBGenzai[社員№],DBGenzai[現在],"",0,1)</f>
        <v/>
      </c>
      <c r="E60" s="111" t="str">
        <f>_xlfn.XLOOKUP($C60,DBGenzai[社員№],DBGenzai[派遣先ID],"",0,1)</f>
        <v/>
      </c>
      <c r="F60" s="111" t="str">
        <f>_xlfn.XLOOKUP($C60,DBGenzai[社員№],DBGenzai[配属先],"",0,1)</f>
        <v/>
      </c>
      <c r="G60" s="111" t="str">
        <f>MID(TablaTransfor[[#This Row],[配属先]],1,8)</f>
        <v/>
      </c>
      <c r="H60" s="111" t="str">
        <f>MID(TablaTransfor[[#This Row],[配属先]],9,6)</f>
        <v/>
      </c>
      <c r="I60" s="111" t="str">
        <f>MID(TablaTransfor[[#This Row],[配属先]],15,12)</f>
        <v/>
      </c>
      <c r="J60" s="111" t="str">
        <f>_xlfn.XLOOKUP($C60,DBGenzai[社員№],DBGenzai[配属ライン],"",0,1)</f>
        <v/>
      </c>
      <c r="K60" s="111" t="str">
        <f>_xlfn.XLOOKUP($C60,DBGenzai[社員№],DBGenzai[氏名],"",0,1)</f>
        <v/>
      </c>
      <c r="L60" s="111" t="str">
        <f>_xlfn.XLOOKUP($C60,DBGenzai[社員№],DBGenzai[カナ],"",0,1)</f>
        <v/>
      </c>
      <c r="M60" s="111" t="str">
        <f>_xlfn.XLOOKUP($C60,DBGenzai[社員№],DBGenzai[性別],"",0,1)</f>
        <v/>
      </c>
      <c r="N60" s="111" t="str">
        <f>_xlfn.XLOOKUP($C60,DBGenzai[社員№],DBGenzai[国籍],"",0,1)</f>
        <v/>
      </c>
      <c r="O60" s="113" t="str">
        <f>_xlfn.XLOOKUP($C60,DBGenzai[社員№],DBGenzai[生年月日],"",0,1)</f>
        <v/>
      </c>
      <c r="P60" s="111" t="str">
        <f>_xlfn.XLOOKUP($C60,DBGenzai[社員№],DBGenzai[年齢],"",0,1)</f>
        <v/>
      </c>
      <c r="Q60" s="111" t="str">
        <f>_xlfn.XLOOKUP($C60,DBGenzai[社員№],DBGenzai[時給],"",0,1)</f>
        <v/>
      </c>
      <c r="R60" s="111" t="str">
        <f>_xlfn.XLOOKUP($C60,DBGenzai[社員№],DBGenzai[請求単価],"",0,1)</f>
        <v/>
      </c>
      <c r="S60" s="111" t="str">
        <f>_xlfn.XLOOKUP($C60,DBGenzai[社員№],DBGenzai[〒],"",0,1)</f>
        <v/>
      </c>
      <c r="T60" s="111" t="str">
        <f>_xlfn.XLOOKUP($C60,DBGenzai[社員№],DBGenzai[住所],"",0,1)</f>
        <v/>
      </c>
      <c r="U60" s="111" t="str">
        <f>_xlfn.XLOOKUP($C60,DBGenzai[社員№],DBGenzai[ｱﾊﾟｰﾄ],"",0,1)</f>
        <v/>
      </c>
      <c r="V60" s="113" t="str">
        <f>_xlfn.XLOOKUP($C60,DBGenzai[社員№],DBGenzai[入居],"",0,1)</f>
        <v/>
      </c>
      <c r="W60" s="197" t="str">
        <f>_xlfn.XLOOKUP($C60,DBGenzai[社員№],DBGenzai[入社日],"",0,1)</f>
        <v/>
      </c>
      <c r="X60" s="113" t="str">
        <f>_xlfn.XLOOKUP($C60,DBGenzai[社員№],DBGenzai[退社日],"",0,1)</f>
        <v/>
      </c>
      <c r="Y60" s="111" t="str">
        <f>_xlfn.XLOOKUP($C60,DBGenzai[社員№],DBGenzai[退去],"",0,1)</f>
        <v/>
      </c>
      <c r="Z60" s="111" t="str">
        <f>_xlfn.XLOOKUP($C60,DBGenzai[社員№],DBGenzai[備考],"",0,1)</f>
        <v/>
      </c>
      <c r="AA60" s="113">
        <f>$AA$1</f>
        <v>45199</v>
      </c>
      <c r="AB60" s="159" t="e">
        <f>(TablaTransfor[[#This Row],[unicos]]-TablaTransfor[[#This Row],[入社日]])/364</f>
        <v>#VALUE!</v>
      </c>
      <c r="AC60" s="190" t="s">
        <v>3015</v>
      </c>
      <c r="AD60" s="114">
        <v>44798</v>
      </c>
      <c r="AE60" s="116">
        <v>45017</v>
      </c>
      <c r="AF60" s="252" t="str">
        <f>_xlfn.XLOOKUP($C60,DBGenzai[社員№],DBGenzai[請求単価],"",0,1)</f>
        <v/>
      </c>
    </row>
    <row r="61" spans="1:32">
      <c r="A61" s="117">
        <f>SUBTOTAL(103,$C$3:C61)</f>
        <v>20</v>
      </c>
      <c r="B61" s="111">
        <v>29</v>
      </c>
      <c r="C61" s="111">
        <f>_xlfn.XLOOKUP($F$1&amp;B61,Filtro!B:B,Filtro!D:D,"",0,1)</f>
        <v>231206</v>
      </c>
      <c r="D61" s="111" t="str">
        <f>_xlfn.XLOOKUP(C61,DBGenzai[社員№],DBGenzai[現在],"",0,1)</f>
        <v>在職中</v>
      </c>
      <c r="E61" s="111">
        <f>_xlfn.XLOOKUP($C61,DBGenzai[社員№],DBGenzai[派遣先ID],"",0,1)</f>
        <v>212046</v>
      </c>
      <c r="F61" s="111" t="str">
        <f>_xlfn.XLOOKUP($C61,DBGenzai[社員№],DBGenzai[配属先],"",0,1)</f>
        <v>高雄工業株式会社 本社工場製作課</v>
      </c>
      <c r="G61" s="111" t="str">
        <f>MID(TablaTransfor[[#This Row],[配属先]],1,8)</f>
        <v>高雄工業株式会社</v>
      </c>
      <c r="H61" s="111" t="str">
        <f>MID(TablaTransfor[[#This Row],[配属先]],9,6)</f>
        <v xml:space="preserve"> 本社工場製</v>
      </c>
      <c r="I61" s="111" t="str">
        <f>MID(TablaTransfor[[#This Row],[配属先]],15,12)</f>
        <v>作課</v>
      </c>
      <c r="J61" s="111" t="str">
        <f>_xlfn.XLOOKUP($C61,DBGenzai[社員№],DBGenzai[配属ライン],"",0,1)</f>
        <v>Aライン</v>
      </c>
      <c r="K61" s="111" t="str">
        <f>_xlfn.XLOOKUP($C61,DBGenzai[社員№],DBGenzai[氏名],"",0,1)</f>
        <v>PHAM VAN PHUONG</v>
      </c>
      <c r="L61" s="111" t="str">
        <f>_xlfn.XLOOKUP($C61,DBGenzai[社員№],DBGenzai[カナ],"",0,1)</f>
        <v>ファム　ヴァン　フォン</v>
      </c>
      <c r="M61" s="111" t="str">
        <f>_xlfn.XLOOKUP($C61,DBGenzai[社員№],DBGenzai[性別],"",0,1)</f>
        <v>男</v>
      </c>
      <c r="N61" s="111" t="str">
        <f>_xlfn.XLOOKUP($C61,DBGenzai[社員№],DBGenzai[国籍],"",0,1)</f>
        <v>ﾍﾞﾄﾅﾑ</v>
      </c>
      <c r="O61" s="113">
        <f>_xlfn.XLOOKUP($C61,DBGenzai[社員№],DBGenzai[生年月日],"",0,1)</f>
        <v>36983</v>
      </c>
      <c r="P61" s="111">
        <f>_xlfn.XLOOKUP($C61,DBGenzai[社員№],DBGenzai[年齢],"",0,1)</f>
        <v>22</v>
      </c>
      <c r="Q61" s="111">
        <f>_xlfn.XLOOKUP($C61,DBGenzai[社員№],DBGenzai[時給],"",0,1)</f>
        <v>1200</v>
      </c>
      <c r="R61" s="111">
        <f>_xlfn.XLOOKUP($C61,DBGenzai[社員№],DBGenzai[請求単価],"",0,1)</f>
        <v>1650</v>
      </c>
      <c r="S61" s="111">
        <f>_xlfn.XLOOKUP($C61,DBGenzai[社員№],DBGenzai[〒],"",0,1)</f>
        <v>0</v>
      </c>
      <c r="T61" s="111">
        <f>_xlfn.XLOOKUP($C61,DBGenzai[社員№],DBGenzai[住所],"",0,1)</f>
        <v>0</v>
      </c>
      <c r="U61" s="111">
        <f>_xlfn.XLOOKUP($C61,DBGenzai[社員№],DBGenzai[ｱﾊﾟｰﾄ],"",0,1)</f>
        <v>0</v>
      </c>
      <c r="V61" s="113">
        <f>_xlfn.XLOOKUP($C61,DBGenzai[社員№],DBGenzai[入居],"",0,1)</f>
        <v>45257</v>
      </c>
      <c r="W61" s="113">
        <f>_xlfn.XLOOKUP($C61,DBGenzai[社員№],DBGenzai[入社日],"",0,1)</f>
        <v>45261</v>
      </c>
      <c r="X61" s="113">
        <f>_xlfn.XLOOKUP($C61,DBGenzai[社員№],DBGenzai[退社日],"",0,1)</f>
        <v>0</v>
      </c>
      <c r="Y61" s="111">
        <f>_xlfn.XLOOKUP($C61,DBGenzai[社員№],DBGenzai[退去],"",0,1)</f>
        <v>0</v>
      </c>
      <c r="Z61" s="111">
        <f>_xlfn.XLOOKUP($C61,DBGenzai[社員№],DBGenzai[備考],"",0,1)</f>
        <v>0</v>
      </c>
      <c r="AA61"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45565</v>
      </c>
      <c r="AB61" s="159">
        <f>(TablaTransfor[[#This Row],[unicos]]-TablaTransfor[[#This Row],[入社日]])/364</f>
        <v>0.8351648351648352</v>
      </c>
      <c r="AC61" s="173" t="s">
        <v>2968</v>
      </c>
      <c r="AE61" s="114">
        <v>45261</v>
      </c>
      <c r="AF61" s="251">
        <f>_xlfn.XLOOKUP($C61,DBGenzai[社員№],DBGenzai[請求単価],"",0,1)</f>
        <v>1650</v>
      </c>
    </row>
    <row r="62" spans="1:32" hidden="1">
      <c r="A62" s="117">
        <f>SUBTOTAL(103,$C$3:C62)</f>
        <v>20</v>
      </c>
      <c r="B62" s="111">
        <v>30</v>
      </c>
      <c r="C62" s="111">
        <f>_xlfn.XLOOKUP($F$1&amp;B62,Filtro!B:B,Filtro!D:D,"",0,1)</f>
        <v>201101</v>
      </c>
      <c r="D62" s="111" t="str">
        <f>_xlfn.XLOOKUP(C62,DBGenzai[社員№],DBGenzai[現在],"",0,1)</f>
        <v>退社</v>
      </c>
      <c r="E62" s="111">
        <f>_xlfn.XLOOKUP($C62,DBGenzai[社員№],DBGenzai[派遣先ID],"",0,1)</f>
        <v>0</v>
      </c>
      <c r="F62" s="111">
        <f>_xlfn.XLOOKUP($C62,DBGenzai[社員№],DBGenzai[配属先],"",0,1)</f>
        <v>0</v>
      </c>
      <c r="G62" s="111" t="str">
        <f>MID(TablaTransfor[[#This Row],[配属先]],1,8)</f>
        <v>0</v>
      </c>
      <c r="H62" s="111" t="str">
        <f>MID(TablaTransfor[[#This Row],[配属先]],9,6)</f>
        <v/>
      </c>
      <c r="I62" s="111" t="str">
        <f>MID(TablaTransfor[[#This Row],[配属先]],15,12)</f>
        <v/>
      </c>
      <c r="J62" s="111">
        <f>_xlfn.XLOOKUP($C62,DBGenzai[社員№],DBGenzai[配属ライン],"",0,1)</f>
        <v>0</v>
      </c>
      <c r="K62" s="111" t="str">
        <f>_xlfn.XLOOKUP($C62,DBGenzai[社員№],DBGenzai[氏名],"",0,1)</f>
        <v>加藤　佑樹</v>
      </c>
      <c r="L62" s="111" t="str">
        <f>_xlfn.XLOOKUP($C62,DBGenzai[社員№],DBGenzai[カナ],"",0,1)</f>
        <v>カトウ　ユウキ</v>
      </c>
      <c r="M62" s="111" t="str">
        <f>_xlfn.XLOOKUP($C62,DBGenzai[社員№],DBGenzai[性別],"",0,1)</f>
        <v>男</v>
      </c>
      <c r="N62" s="111" t="str">
        <f>_xlfn.XLOOKUP($C62,DBGenzai[社員№],DBGenzai[国籍],"",0,1)</f>
        <v>日本</v>
      </c>
      <c r="O62" s="113">
        <f>_xlfn.XLOOKUP($C62,DBGenzai[社員№],DBGenzai[生年月日],"",0,1)</f>
        <v>30431</v>
      </c>
      <c r="P62" s="111">
        <f>_xlfn.XLOOKUP($C62,DBGenzai[社員№],DBGenzai[年齢],"",0,1)</f>
        <v>40</v>
      </c>
      <c r="Q62" s="111">
        <f>_xlfn.XLOOKUP($C62,DBGenzai[社員№],DBGenzai[時給],"",0,1)</f>
        <v>1200</v>
      </c>
      <c r="R62" s="111">
        <f>_xlfn.XLOOKUP($C62,DBGenzai[社員№],DBGenzai[請求単価],"",0,1)</f>
        <v>1700</v>
      </c>
      <c r="S62" s="111">
        <f>_xlfn.XLOOKUP($C62,DBGenzai[社員№],DBGenzai[〒],"",0,1)</f>
        <v>0</v>
      </c>
      <c r="T62" s="111" t="str">
        <f>_xlfn.XLOOKUP($C62,DBGenzai[社員№],DBGenzai[住所],"",0,1)</f>
        <v>三重県桑名郡木曽岬町見入流作5</v>
      </c>
      <c r="U62" s="111">
        <f>_xlfn.XLOOKUP($C62,DBGenzai[社員№],DBGenzai[ｱﾊﾟｰﾄ],"",0,1)</f>
        <v>0</v>
      </c>
      <c r="V62" s="113">
        <f>_xlfn.XLOOKUP($C62,DBGenzai[社員№],DBGenzai[入居],"",0,1)</f>
        <v>0</v>
      </c>
      <c r="W62" s="113">
        <f>_xlfn.XLOOKUP($C62,DBGenzai[社員№],DBGenzai[入社日],"",0,1)</f>
        <v>44144</v>
      </c>
      <c r="X62" s="113">
        <f>_xlfn.XLOOKUP($C62,DBGenzai[社員№],DBGenzai[退社日],"",0,1)</f>
        <v>44211</v>
      </c>
      <c r="Y62" s="111">
        <f>_xlfn.XLOOKUP($C62,DBGenzai[社員№],DBGenzai[退去],"",0,1)</f>
        <v>0</v>
      </c>
      <c r="Z62" s="111">
        <f>_xlfn.XLOOKUP($C62,DBGenzai[社員№],DBGenzai[備考],"",0,1)</f>
        <v>0</v>
      </c>
      <c r="AA62"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44469</v>
      </c>
      <c r="AB62" s="159">
        <f>(TablaTransfor[[#This Row],[unicos]]-TablaTransfor[[#This Row],[入社日]])/364</f>
        <v>0.8928571428571429</v>
      </c>
      <c r="AC62" s="174" t="s">
        <v>2969</v>
      </c>
      <c r="AF62" s="251">
        <f>_xlfn.XLOOKUP($C62,DBGenzai[社員№],DBGenzai[請求単価],"",0,1)</f>
        <v>1700</v>
      </c>
    </row>
    <row r="63" spans="1:32" hidden="1">
      <c r="A63" s="117">
        <f>SUBTOTAL(103,$C$3:C63)</f>
        <v>20</v>
      </c>
      <c r="B63" s="111">
        <v>47</v>
      </c>
      <c r="C63" s="111" t="str">
        <f>_xlfn.XLOOKUP($F$1&amp;B63,Filtro!B:B,Filtro!D:D,"",0,1)</f>
        <v/>
      </c>
      <c r="D63" s="111" t="str">
        <f>_xlfn.XLOOKUP(C63,DBGenzai[社員№],DBGenzai[現在],"",0,1)</f>
        <v/>
      </c>
      <c r="E63" s="111" t="str">
        <f>_xlfn.XLOOKUP($C63,DBGenzai[社員№],DBGenzai[派遣先ID],"",0,1)</f>
        <v/>
      </c>
      <c r="F63" s="111" t="str">
        <f>_xlfn.XLOOKUP($C63,DBGenzai[社員№],DBGenzai[配属先],"",0,1)</f>
        <v/>
      </c>
      <c r="G63" s="111" t="str">
        <f>MID(TablaTransfor[[#This Row],[配属先]],1,8)</f>
        <v/>
      </c>
      <c r="H63" s="111" t="str">
        <f>MID(TablaTransfor[[#This Row],[配属先]],9,6)</f>
        <v/>
      </c>
      <c r="I63" s="111" t="str">
        <f>MID(TablaTransfor[[#This Row],[配属先]],15,12)</f>
        <v/>
      </c>
      <c r="J63" s="111" t="str">
        <f>_xlfn.XLOOKUP($C63,DBGenzai[社員№],DBGenzai[配属ライン],"",0,1)</f>
        <v/>
      </c>
      <c r="K63" s="111" t="str">
        <f>_xlfn.XLOOKUP($C63,DBGenzai[社員№],DBGenzai[氏名],"",0,1)</f>
        <v/>
      </c>
      <c r="L63" s="111" t="str">
        <f>_xlfn.XLOOKUP($C63,DBGenzai[社員№],DBGenzai[カナ],"",0,1)</f>
        <v/>
      </c>
      <c r="M63" s="111" t="str">
        <f>_xlfn.XLOOKUP($C63,DBGenzai[社員№],DBGenzai[性別],"",0,1)</f>
        <v/>
      </c>
      <c r="N63" s="111" t="str">
        <f>_xlfn.XLOOKUP($C63,DBGenzai[社員№],DBGenzai[国籍],"",0,1)</f>
        <v/>
      </c>
      <c r="O63" s="113" t="str">
        <f>_xlfn.XLOOKUP($C63,DBGenzai[社員№],DBGenzai[生年月日],"",0,1)</f>
        <v/>
      </c>
      <c r="P63" s="111" t="str">
        <f>_xlfn.XLOOKUP($C63,DBGenzai[社員№],DBGenzai[年齢],"",0,1)</f>
        <v/>
      </c>
      <c r="Q63" s="111" t="str">
        <f>_xlfn.XLOOKUP($C63,DBGenzai[社員№],DBGenzai[時給],"",0,1)</f>
        <v/>
      </c>
      <c r="R63" s="111" t="str">
        <f>_xlfn.XLOOKUP($C63,DBGenzai[社員№],DBGenzai[請求単価],"",0,1)</f>
        <v/>
      </c>
      <c r="S63" s="111" t="str">
        <f>_xlfn.XLOOKUP($C63,DBGenzai[社員№],DBGenzai[〒],"",0,1)</f>
        <v/>
      </c>
      <c r="T63" s="111" t="str">
        <f>_xlfn.XLOOKUP($C63,DBGenzai[社員№],DBGenzai[住所],"",0,1)</f>
        <v/>
      </c>
      <c r="U63" s="111" t="str">
        <f>_xlfn.XLOOKUP($C63,DBGenzai[社員№],DBGenzai[ｱﾊﾟｰﾄ],"",0,1)</f>
        <v/>
      </c>
      <c r="V63" s="113" t="str">
        <f>_xlfn.XLOOKUP($C63,DBGenzai[社員№],DBGenzai[入居],"",0,1)</f>
        <v/>
      </c>
      <c r="W63" s="197" t="str">
        <f>_xlfn.XLOOKUP($C63,DBGenzai[社員№],DBGenzai[入社日],"",0,1)</f>
        <v/>
      </c>
      <c r="X63" s="113" t="str">
        <f>_xlfn.XLOOKUP($C63,DBGenzai[社員№],DBGenzai[退社日],"",0,1)</f>
        <v/>
      </c>
      <c r="Y63" s="111" t="str">
        <f>_xlfn.XLOOKUP($C63,DBGenzai[社員№],DBGenzai[退去],"",0,1)</f>
        <v/>
      </c>
      <c r="Z63" s="111" t="str">
        <f>_xlfn.XLOOKUP($C63,DBGenzai[社員№],DBGenzai[備考],"",0,1)</f>
        <v/>
      </c>
      <c r="AA63" s="113">
        <f>$AA$1</f>
        <v>45199</v>
      </c>
      <c r="AB63" s="159" t="e">
        <f>(TablaTransfor[[#This Row],[unicos]]-TablaTransfor[[#This Row],[入社日]])/364</f>
        <v>#VALUE!</v>
      </c>
      <c r="AC63" s="190" t="s">
        <v>3015</v>
      </c>
      <c r="AD63" s="114">
        <v>44769</v>
      </c>
      <c r="AE63" s="116">
        <v>45017</v>
      </c>
      <c r="AF63" s="252" t="str">
        <f>_xlfn.XLOOKUP($C63,DBGenzai[社員№],DBGenzai[請求単価],"",0,1)</f>
        <v/>
      </c>
    </row>
    <row r="64" spans="1:32" hidden="1">
      <c r="A64" s="117">
        <f>SUBTOTAL(103,$C$3:C64)</f>
        <v>20</v>
      </c>
      <c r="B64" s="111">
        <v>48</v>
      </c>
      <c r="C64" s="111" t="str">
        <f>_xlfn.XLOOKUP($F$1&amp;B64,Filtro!B:B,Filtro!D:D,"",0,1)</f>
        <v/>
      </c>
      <c r="D64" s="111" t="str">
        <f>_xlfn.XLOOKUP(C64,DBGenzai[社員№],DBGenzai[現在],"",0,1)</f>
        <v/>
      </c>
      <c r="E64" s="111" t="str">
        <f>_xlfn.XLOOKUP($C64,DBGenzai[社員№],DBGenzai[派遣先ID],"",0,1)</f>
        <v/>
      </c>
      <c r="F64" s="111" t="str">
        <f>_xlfn.XLOOKUP($C64,DBGenzai[社員№],DBGenzai[配属先],"",0,1)</f>
        <v/>
      </c>
      <c r="G64" s="111" t="str">
        <f>MID(TablaTransfor[[#This Row],[配属先]],1,8)</f>
        <v/>
      </c>
      <c r="H64" s="111" t="str">
        <f>MID(TablaTransfor[[#This Row],[配属先]],9,6)</f>
        <v/>
      </c>
      <c r="I64" s="111" t="str">
        <f>MID(TablaTransfor[[#This Row],[配属先]],15,12)</f>
        <v/>
      </c>
      <c r="J64" s="111" t="str">
        <f>_xlfn.XLOOKUP($C64,DBGenzai[社員№],DBGenzai[配属ライン],"",0,1)</f>
        <v/>
      </c>
      <c r="K64" s="111" t="str">
        <f>_xlfn.XLOOKUP($C64,DBGenzai[社員№],DBGenzai[氏名],"",0,1)</f>
        <v/>
      </c>
      <c r="L64" s="111" t="str">
        <f>_xlfn.XLOOKUP($C64,DBGenzai[社員№],DBGenzai[カナ],"",0,1)</f>
        <v/>
      </c>
      <c r="M64" s="111" t="str">
        <f>_xlfn.XLOOKUP($C64,DBGenzai[社員№],DBGenzai[性別],"",0,1)</f>
        <v/>
      </c>
      <c r="N64" s="111" t="str">
        <f>_xlfn.XLOOKUP($C64,DBGenzai[社員№],DBGenzai[国籍],"",0,1)</f>
        <v/>
      </c>
      <c r="O64" s="113" t="str">
        <f>_xlfn.XLOOKUP($C64,DBGenzai[社員№],DBGenzai[生年月日],"",0,1)</f>
        <v/>
      </c>
      <c r="P64" s="111" t="str">
        <f>_xlfn.XLOOKUP($C64,DBGenzai[社員№],DBGenzai[年齢],"",0,1)</f>
        <v/>
      </c>
      <c r="Q64" s="111" t="str">
        <f>_xlfn.XLOOKUP($C64,DBGenzai[社員№],DBGenzai[時給],"",0,1)</f>
        <v/>
      </c>
      <c r="R64" s="111" t="str">
        <f>_xlfn.XLOOKUP($C64,DBGenzai[社員№],DBGenzai[請求単価],"",0,1)</f>
        <v/>
      </c>
      <c r="S64" s="111" t="str">
        <f>_xlfn.XLOOKUP($C64,DBGenzai[社員№],DBGenzai[〒],"",0,1)</f>
        <v/>
      </c>
      <c r="T64" s="111" t="str">
        <f>_xlfn.XLOOKUP($C64,DBGenzai[社員№],DBGenzai[住所],"",0,1)</f>
        <v/>
      </c>
      <c r="U64" s="111" t="str">
        <f>_xlfn.XLOOKUP($C64,DBGenzai[社員№],DBGenzai[ｱﾊﾟｰﾄ],"",0,1)</f>
        <v/>
      </c>
      <c r="V64" s="113" t="str">
        <f>_xlfn.XLOOKUP($C64,DBGenzai[社員№],DBGenzai[入居],"",0,1)</f>
        <v/>
      </c>
      <c r="W64" s="197" t="str">
        <f>_xlfn.XLOOKUP($C64,DBGenzai[社員№],DBGenzai[入社日],"",0,1)</f>
        <v/>
      </c>
      <c r="X64" s="113" t="str">
        <f>_xlfn.XLOOKUP($C64,DBGenzai[社員№],DBGenzai[退社日],"",0,1)</f>
        <v/>
      </c>
      <c r="Y64" s="111" t="str">
        <f>_xlfn.XLOOKUP($C64,DBGenzai[社員№],DBGenzai[退去],"",0,1)</f>
        <v/>
      </c>
      <c r="Z64" s="111" t="str">
        <f>_xlfn.XLOOKUP($C64,DBGenzai[社員№],DBGenzai[備考],"",0,1)</f>
        <v/>
      </c>
      <c r="AA64" s="113">
        <f>$AA$1</f>
        <v>45199</v>
      </c>
      <c r="AB64" s="159" t="e">
        <f>(TablaTransfor[[#This Row],[unicos]]-TablaTransfor[[#This Row],[入社日]])/364</f>
        <v>#VALUE!</v>
      </c>
      <c r="AC64" s="190" t="s">
        <v>3015</v>
      </c>
      <c r="AD64" s="114">
        <v>44769</v>
      </c>
      <c r="AE64" s="116">
        <v>45017</v>
      </c>
      <c r="AF64" s="252" t="str">
        <f>_xlfn.XLOOKUP($C64,DBGenzai[社員№],DBGenzai[請求単価],"",0,1)</f>
        <v/>
      </c>
    </row>
    <row r="65" spans="1:32" hidden="1">
      <c r="A65" s="117">
        <f>SUBTOTAL(103,$C$3:C65)</f>
        <v>20</v>
      </c>
      <c r="B65" s="111">
        <v>36</v>
      </c>
      <c r="C65" s="111">
        <f>_xlfn.XLOOKUP($F$1&amp;B65,Filtro!B:B,Filtro!D:D,"",0,1)</f>
        <v>210702</v>
      </c>
      <c r="D65" s="111" t="str">
        <f>_xlfn.XLOOKUP(C65,DBGenzai[社員№],DBGenzai[現在],"",0,1)</f>
        <v>退社</v>
      </c>
      <c r="E65" s="111">
        <f>_xlfn.XLOOKUP($C65,DBGenzai[社員№],DBGenzai[派遣先ID],"",0,1)</f>
        <v>0</v>
      </c>
      <c r="F65" s="111">
        <f>_xlfn.XLOOKUP($C65,DBGenzai[社員№],DBGenzai[配属先],"",0,1)</f>
        <v>0</v>
      </c>
      <c r="G65" s="111" t="str">
        <f>MID(TablaTransfor[[#This Row],[配属先]],1,8)</f>
        <v>0</v>
      </c>
      <c r="H65" s="111" t="str">
        <f>MID(TablaTransfor[[#This Row],[配属先]],9,6)</f>
        <v/>
      </c>
      <c r="I65" s="111" t="str">
        <f>MID(TablaTransfor[[#This Row],[配属先]],15,12)</f>
        <v/>
      </c>
      <c r="J65" s="111">
        <f>_xlfn.XLOOKUP($C65,DBGenzai[社員№],DBGenzai[配属ライン],"",0,1)</f>
        <v>0</v>
      </c>
      <c r="K65" s="111" t="str">
        <f>_xlfn.XLOOKUP($C65,DBGenzai[社員№],DBGenzai[氏名],"",0,1)</f>
        <v>LE TIEN THANH</v>
      </c>
      <c r="L65" s="111" t="str">
        <f>_xlfn.XLOOKUP($C65,DBGenzai[社員№],DBGenzai[カナ],"",0,1)</f>
        <v>レ　ティエン　タイン</v>
      </c>
      <c r="M65" s="111" t="str">
        <f>_xlfn.XLOOKUP($C65,DBGenzai[社員№],DBGenzai[性別],"",0,1)</f>
        <v>男</v>
      </c>
      <c r="N65" s="111" t="str">
        <f>_xlfn.XLOOKUP($C65,DBGenzai[社員№],DBGenzai[国籍],"",0,1)</f>
        <v>ﾍﾞﾄﾅﾑ</v>
      </c>
      <c r="O65" s="113">
        <f>_xlfn.XLOOKUP($C65,DBGenzai[社員№],DBGenzai[生年月日],"",0,1)</f>
        <v>34612</v>
      </c>
      <c r="P65" s="111">
        <f>_xlfn.XLOOKUP($C65,DBGenzai[社員№],DBGenzai[年齢],"",0,1)</f>
        <v>29</v>
      </c>
      <c r="Q65" s="111">
        <f>_xlfn.XLOOKUP($C65,DBGenzai[社員№],DBGenzai[時給],"",0,1)</f>
        <v>1370</v>
      </c>
      <c r="R65" s="111">
        <f>_xlfn.XLOOKUP($C65,DBGenzai[社員№],DBGenzai[請求単価],"",0,1)</f>
        <v>1770</v>
      </c>
      <c r="S65" s="111" t="str">
        <f>_xlfn.XLOOKUP($C65,DBGenzai[社員№],DBGenzai[〒],"",0,1)</f>
        <v>498-0031</v>
      </c>
      <c r="T65" s="111" t="str">
        <f>_xlfn.XLOOKUP($C65,DBGenzai[社員№],DBGenzai[住所],"",0,1)</f>
        <v>愛知県弥富市平島町北広畑10-1</v>
      </c>
      <c r="U65" s="111" t="str">
        <f>_xlfn.XLOOKUP($C65,DBGenzai[社員№],DBGenzai[ｱﾊﾟｰﾄ],"",0,1)</f>
        <v>ﾚﾌﾞﾗﾝｶﾐｰﾘｱA201</v>
      </c>
      <c r="V65" s="113">
        <f>_xlfn.XLOOKUP($C65,DBGenzai[社員№],DBGenzai[入居],"",0,1)</f>
        <v>44379</v>
      </c>
      <c r="W65" s="113">
        <f>_xlfn.XLOOKUP($C65,DBGenzai[社員№],DBGenzai[入社日],"",0,1)</f>
        <v>44382</v>
      </c>
      <c r="X65" s="113">
        <f>_xlfn.XLOOKUP($C65,DBGenzai[社員№],DBGenzai[退社日],"",0,1)</f>
        <v>44520</v>
      </c>
      <c r="Y65" s="111">
        <f>_xlfn.XLOOKUP($C65,DBGenzai[社員№],DBGenzai[退去],"",0,1)</f>
        <v>0</v>
      </c>
      <c r="Z65" s="111">
        <f>_xlfn.XLOOKUP($C65,DBGenzai[社員№],DBGenzai[備考],"",0,1)</f>
        <v>0</v>
      </c>
      <c r="AA65" s="113">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44469</v>
      </c>
      <c r="AB65" s="159">
        <f>(TablaTransfor[[#This Row],[unicos]]-TablaTransfor[[#This Row],[入社日]])/364</f>
        <v>0.23901098901098902</v>
      </c>
      <c r="AC65" s="174" t="s">
        <v>2969</v>
      </c>
      <c r="AF65" s="251">
        <f>_xlfn.XLOOKUP($C65,DBGenzai[社員№],DBGenzai[請求単価],"",0,1)</f>
        <v>1770</v>
      </c>
    </row>
    <row r="66" spans="1:32" hidden="1">
      <c r="A66" s="117">
        <f>SUBTOTAL(103,$C$3:C66)</f>
        <v>20</v>
      </c>
      <c r="B66" s="111">
        <v>49</v>
      </c>
      <c r="C66" s="111" t="str">
        <f>_xlfn.XLOOKUP($F$1&amp;B66,Filtro!B:B,Filtro!D:D,"",0,1)</f>
        <v/>
      </c>
      <c r="D66" s="111" t="str">
        <f>_xlfn.XLOOKUP(C66,DBGenzai[社員№],DBGenzai[現在],"",0,1)</f>
        <v/>
      </c>
      <c r="E66" s="111" t="str">
        <f>_xlfn.XLOOKUP($C66,DBGenzai[社員№],DBGenzai[派遣先ID],"",0,1)</f>
        <v/>
      </c>
      <c r="F66" s="111" t="str">
        <f>_xlfn.XLOOKUP($C66,DBGenzai[社員№],DBGenzai[配属先],"",0,1)</f>
        <v/>
      </c>
      <c r="G66" s="111" t="str">
        <f>MID(TablaTransfor[[#This Row],[配属先]],1,8)</f>
        <v/>
      </c>
      <c r="H66" s="111" t="str">
        <f>MID(TablaTransfor[[#This Row],[配属先]],9,6)</f>
        <v/>
      </c>
      <c r="I66" s="111" t="str">
        <f>MID(TablaTransfor[[#This Row],[配属先]],15,12)</f>
        <v/>
      </c>
      <c r="J66" s="111" t="str">
        <f>_xlfn.XLOOKUP($C66,DBGenzai[社員№],DBGenzai[配属ライン],"",0,1)</f>
        <v/>
      </c>
      <c r="K66" s="111" t="str">
        <f>_xlfn.XLOOKUP($C66,DBGenzai[社員№],DBGenzai[氏名],"",0,1)</f>
        <v/>
      </c>
      <c r="L66" s="111" t="str">
        <f>_xlfn.XLOOKUP($C66,DBGenzai[社員№],DBGenzai[カナ],"",0,1)</f>
        <v/>
      </c>
      <c r="M66" s="111" t="str">
        <f>_xlfn.XLOOKUP($C66,DBGenzai[社員№],DBGenzai[性別],"",0,1)</f>
        <v/>
      </c>
      <c r="N66" s="111" t="str">
        <f>_xlfn.XLOOKUP($C66,DBGenzai[社員№],DBGenzai[国籍],"",0,1)</f>
        <v/>
      </c>
      <c r="O66" s="113" t="str">
        <f>_xlfn.XLOOKUP($C66,DBGenzai[社員№],DBGenzai[生年月日],"",0,1)</f>
        <v/>
      </c>
      <c r="P66" s="111" t="str">
        <f>_xlfn.XLOOKUP($C66,DBGenzai[社員№],DBGenzai[年齢],"",0,1)</f>
        <v/>
      </c>
      <c r="Q66" s="111" t="str">
        <f>_xlfn.XLOOKUP($C66,DBGenzai[社員№],DBGenzai[時給],"",0,1)</f>
        <v/>
      </c>
      <c r="R66" s="111" t="str">
        <f>_xlfn.XLOOKUP($C66,DBGenzai[社員№],DBGenzai[請求単価],"",0,1)</f>
        <v/>
      </c>
      <c r="S66" s="111" t="str">
        <f>_xlfn.XLOOKUP($C66,DBGenzai[社員№],DBGenzai[〒],"",0,1)</f>
        <v/>
      </c>
      <c r="T66" s="111" t="str">
        <f>_xlfn.XLOOKUP($C66,DBGenzai[社員№],DBGenzai[住所],"",0,1)</f>
        <v/>
      </c>
      <c r="U66" s="111" t="str">
        <f>_xlfn.XLOOKUP($C66,DBGenzai[社員№],DBGenzai[ｱﾊﾟｰﾄ],"",0,1)</f>
        <v/>
      </c>
      <c r="V66" s="113" t="str">
        <f>_xlfn.XLOOKUP($C66,DBGenzai[社員№],DBGenzai[入居],"",0,1)</f>
        <v/>
      </c>
      <c r="W66" s="197" t="str">
        <f>_xlfn.XLOOKUP($C66,DBGenzai[社員№],DBGenzai[入社日],"",0,1)</f>
        <v/>
      </c>
      <c r="X66" s="113" t="str">
        <f>_xlfn.XLOOKUP($C66,DBGenzai[社員№],DBGenzai[退社日],"",0,1)</f>
        <v/>
      </c>
      <c r="Y66" s="111" t="str">
        <f>_xlfn.XLOOKUP($C66,DBGenzai[社員№],DBGenzai[退去],"",0,1)</f>
        <v/>
      </c>
      <c r="Z66" s="111" t="str">
        <f>_xlfn.XLOOKUP($C66,DBGenzai[社員№],DBGenzai[備考],"",0,1)</f>
        <v/>
      </c>
      <c r="AA66" s="113">
        <f t="shared" ref="AA66:AA87" si="0">$AA$1</f>
        <v>45199</v>
      </c>
      <c r="AB66" s="159" t="e">
        <f>(TablaTransfor[[#This Row],[unicos]]-TablaTransfor[[#This Row],[入社日]])/364</f>
        <v>#VALUE!</v>
      </c>
      <c r="AC66" s="190" t="s">
        <v>3015</v>
      </c>
      <c r="AD66" s="114">
        <v>44778</v>
      </c>
      <c r="AE66" s="116">
        <v>45017</v>
      </c>
      <c r="AF66" s="252" t="str">
        <f>_xlfn.XLOOKUP($C66,DBGenzai[社員№],DBGenzai[請求単価],"",0,1)</f>
        <v/>
      </c>
    </row>
    <row r="67" spans="1:32" hidden="1">
      <c r="A67" s="117">
        <f>SUBTOTAL(103,$C$3:C67)</f>
        <v>20</v>
      </c>
      <c r="B67" s="111">
        <v>58</v>
      </c>
      <c r="C67" s="111" t="str">
        <f>_xlfn.XLOOKUP($F$1&amp;B67,Filtro!B:B,Filtro!D:D,"",0,1)</f>
        <v/>
      </c>
      <c r="D67" s="111" t="str">
        <f>_xlfn.XLOOKUP(C67,DBGenzai[社員№],DBGenzai[現在],"",0,1)</f>
        <v/>
      </c>
      <c r="E67" s="111" t="str">
        <f>_xlfn.XLOOKUP($C67,DBGenzai[社員№],DBGenzai[派遣先ID],"",0,1)</f>
        <v/>
      </c>
      <c r="F67" s="111" t="str">
        <f>_xlfn.XLOOKUP($C67,DBGenzai[社員№],DBGenzai[配属先],"",0,1)</f>
        <v/>
      </c>
      <c r="G67" s="111" t="str">
        <f>MID(TablaTransfor[[#This Row],[配属先]],1,8)</f>
        <v/>
      </c>
      <c r="H67" s="111" t="str">
        <f>MID(TablaTransfor[[#This Row],[配属先]],9,6)</f>
        <v/>
      </c>
      <c r="I67" s="111" t="str">
        <f>MID(TablaTransfor[[#This Row],[配属先]],15,12)</f>
        <v/>
      </c>
      <c r="J67" s="111" t="str">
        <f>_xlfn.XLOOKUP($C67,DBGenzai[社員№],DBGenzai[配属ライン],"",0,1)</f>
        <v/>
      </c>
      <c r="K67" s="111" t="str">
        <f>_xlfn.XLOOKUP($C67,DBGenzai[社員№],DBGenzai[氏名],"",0,1)</f>
        <v/>
      </c>
      <c r="L67" s="111" t="str">
        <f>_xlfn.XLOOKUP($C67,DBGenzai[社員№],DBGenzai[カナ],"",0,1)</f>
        <v/>
      </c>
      <c r="M67" s="111" t="str">
        <f>_xlfn.XLOOKUP($C67,DBGenzai[社員№],DBGenzai[性別],"",0,1)</f>
        <v/>
      </c>
      <c r="N67" s="111" t="str">
        <f>_xlfn.XLOOKUP($C67,DBGenzai[社員№],DBGenzai[国籍],"",0,1)</f>
        <v/>
      </c>
      <c r="O67" s="113" t="str">
        <f>_xlfn.XLOOKUP($C67,DBGenzai[社員№],DBGenzai[生年月日],"",0,1)</f>
        <v/>
      </c>
      <c r="P67" s="111" t="str">
        <f>_xlfn.XLOOKUP($C67,DBGenzai[社員№],DBGenzai[年齢],"",0,1)</f>
        <v/>
      </c>
      <c r="Q67" s="111" t="str">
        <f>_xlfn.XLOOKUP($C67,DBGenzai[社員№],DBGenzai[時給],"",0,1)</f>
        <v/>
      </c>
      <c r="R67" s="111" t="str">
        <f>_xlfn.XLOOKUP($C67,DBGenzai[社員№],DBGenzai[請求単価],"",0,1)</f>
        <v/>
      </c>
      <c r="S67" s="111" t="str">
        <f>_xlfn.XLOOKUP($C67,DBGenzai[社員№],DBGenzai[〒],"",0,1)</f>
        <v/>
      </c>
      <c r="T67" s="111" t="str">
        <f>_xlfn.XLOOKUP($C67,DBGenzai[社員№],DBGenzai[住所],"",0,1)</f>
        <v/>
      </c>
      <c r="U67" s="111" t="str">
        <f>_xlfn.XLOOKUP($C67,DBGenzai[社員№],DBGenzai[ｱﾊﾟｰﾄ],"",0,1)</f>
        <v/>
      </c>
      <c r="V67" s="113" t="str">
        <f>_xlfn.XLOOKUP($C67,DBGenzai[社員№],DBGenzai[入居],"",0,1)</f>
        <v/>
      </c>
      <c r="W67" s="197" t="str">
        <f>_xlfn.XLOOKUP($C67,DBGenzai[社員№],DBGenzai[入社日],"",0,1)</f>
        <v/>
      </c>
      <c r="X67" s="113" t="str">
        <f>_xlfn.XLOOKUP($C67,DBGenzai[社員№],DBGenzai[退社日],"",0,1)</f>
        <v/>
      </c>
      <c r="Y67" s="111" t="str">
        <f>_xlfn.XLOOKUP($C67,DBGenzai[社員№],DBGenzai[退去],"",0,1)</f>
        <v/>
      </c>
      <c r="Z67" s="111" t="str">
        <f>_xlfn.XLOOKUP($C67,DBGenzai[社員№],DBGenzai[備考],"",0,1)</f>
        <v/>
      </c>
      <c r="AA67" s="113">
        <f t="shared" si="0"/>
        <v>45199</v>
      </c>
      <c r="AB67" s="159" t="e">
        <f>(TablaTransfor[[#This Row],[unicos]]-TablaTransfor[[#This Row],[入社日]])/364</f>
        <v>#VALUE!</v>
      </c>
      <c r="AC67" s="190" t="s">
        <v>3015</v>
      </c>
      <c r="AD67" s="114">
        <v>44848</v>
      </c>
      <c r="AE67" s="116">
        <v>45017</v>
      </c>
      <c r="AF67" s="252" t="str">
        <f>_xlfn.XLOOKUP($C67,DBGenzai[社員№],DBGenzai[請求単価],"",0,1)</f>
        <v/>
      </c>
    </row>
    <row r="68" spans="1:32" hidden="1">
      <c r="A68" s="117">
        <f>SUBTOTAL(103,$C$3:C68)</f>
        <v>20</v>
      </c>
      <c r="B68" s="111">
        <v>59</v>
      </c>
      <c r="C68" s="111" t="str">
        <f>_xlfn.XLOOKUP($F$1&amp;B68,Filtro!B:B,Filtro!D:D,"",0,1)</f>
        <v/>
      </c>
      <c r="D68" s="111" t="str">
        <f>_xlfn.XLOOKUP(C68,DBGenzai[社員№],DBGenzai[現在],"",0,1)</f>
        <v/>
      </c>
      <c r="E68" s="111" t="str">
        <f>_xlfn.XLOOKUP($C68,DBGenzai[社員№],DBGenzai[派遣先ID],"",0,1)</f>
        <v/>
      </c>
      <c r="F68" s="111" t="str">
        <f>_xlfn.XLOOKUP($C68,DBGenzai[社員№],DBGenzai[配属先],"",0,1)</f>
        <v/>
      </c>
      <c r="G68" s="111" t="str">
        <f>MID(TablaTransfor[[#This Row],[配属先]],1,8)</f>
        <v/>
      </c>
      <c r="H68" s="111" t="str">
        <f>MID(TablaTransfor[[#This Row],[配属先]],9,6)</f>
        <v/>
      </c>
      <c r="I68" s="111" t="str">
        <f>MID(TablaTransfor[[#This Row],[配属先]],15,12)</f>
        <v/>
      </c>
      <c r="J68" s="111" t="str">
        <f>_xlfn.XLOOKUP($C68,DBGenzai[社員№],DBGenzai[配属ライン],"",0,1)</f>
        <v/>
      </c>
      <c r="K68" s="111" t="str">
        <f>_xlfn.XLOOKUP($C68,DBGenzai[社員№],DBGenzai[氏名],"",0,1)</f>
        <v/>
      </c>
      <c r="L68" s="111" t="str">
        <f>_xlfn.XLOOKUP($C68,DBGenzai[社員№],DBGenzai[カナ],"",0,1)</f>
        <v/>
      </c>
      <c r="M68" s="111" t="str">
        <f>_xlfn.XLOOKUP($C68,DBGenzai[社員№],DBGenzai[性別],"",0,1)</f>
        <v/>
      </c>
      <c r="N68" s="111" t="str">
        <f>_xlfn.XLOOKUP($C68,DBGenzai[社員№],DBGenzai[国籍],"",0,1)</f>
        <v/>
      </c>
      <c r="O68" s="113" t="str">
        <f>_xlfn.XLOOKUP($C68,DBGenzai[社員№],DBGenzai[生年月日],"",0,1)</f>
        <v/>
      </c>
      <c r="P68" s="111" t="str">
        <f>_xlfn.XLOOKUP($C68,DBGenzai[社員№],DBGenzai[年齢],"",0,1)</f>
        <v/>
      </c>
      <c r="Q68" s="111" t="str">
        <f>_xlfn.XLOOKUP($C68,DBGenzai[社員№],DBGenzai[時給],"",0,1)</f>
        <v/>
      </c>
      <c r="R68" s="111" t="str">
        <f>_xlfn.XLOOKUP($C68,DBGenzai[社員№],DBGenzai[請求単価],"",0,1)</f>
        <v/>
      </c>
      <c r="S68" s="111" t="str">
        <f>_xlfn.XLOOKUP($C68,DBGenzai[社員№],DBGenzai[〒],"",0,1)</f>
        <v/>
      </c>
      <c r="T68" s="111" t="str">
        <f>_xlfn.XLOOKUP($C68,DBGenzai[社員№],DBGenzai[住所],"",0,1)</f>
        <v/>
      </c>
      <c r="U68" s="111" t="str">
        <f>_xlfn.XLOOKUP($C68,DBGenzai[社員№],DBGenzai[ｱﾊﾟｰﾄ],"",0,1)</f>
        <v/>
      </c>
      <c r="V68" s="113" t="str">
        <f>_xlfn.XLOOKUP($C68,DBGenzai[社員№],DBGenzai[入居],"",0,1)</f>
        <v/>
      </c>
      <c r="W68" s="197" t="str">
        <f>_xlfn.XLOOKUP($C68,DBGenzai[社員№],DBGenzai[入社日],"",0,1)</f>
        <v/>
      </c>
      <c r="X68" s="113" t="str">
        <f>_xlfn.XLOOKUP($C68,DBGenzai[社員№],DBGenzai[退社日],"",0,1)</f>
        <v/>
      </c>
      <c r="Y68" s="111" t="str">
        <f>_xlfn.XLOOKUP($C68,DBGenzai[社員№],DBGenzai[退去],"",0,1)</f>
        <v/>
      </c>
      <c r="Z68" s="111" t="str">
        <f>_xlfn.XLOOKUP($C68,DBGenzai[社員№],DBGenzai[備考],"",0,1)</f>
        <v/>
      </c>
      <c r="AA68" s="113">
        <f t="shared" si="0"/>
        <v>45199</v>
      </c>
      <c r="AB68" s="159" t="e">
        <f>(TablaTransfor[[#This Row],[unicos]]-TablaTransfor[[#This Row],[入社日]])/364</f>
        <v>#VALUE!</v>
      </c>
      <c r="AC68" s="190" t="s">
        <v>3015</v>
      </c>
      <c r="AD68" s="114">
        <v>44848</v>
      </c>
      <c r="AE68" s="116">
        <v>45017</v>
      </c>
      <c r="AF68" s="252" t="str">
        <f>_xlfn.XLOOKUP($C68,DBGenzai[社員№],DBGenzai[請求単価],"",0,1)</f>
        <v/>
      </c>
    </row>
    <row r="69" spans="1:32" hidden="1">
      <c r="A69" s="117">
        <f>SUBTOTAL(103,$C$3:C69)</f>
        <v>20</v>
      </c>
      <c r="B69" s="111">
        <v>50</v>
      </c>
      <c r="C69" s="111" t="str">
        <f>_xlfn.XLOOKUP($F$1&amp;B69,Filtro!B:B,Filtro!D:D,"",0,1)</f>
        <v/>
      </c>
      <c r="D69" s="111" t="str">
        <f>_xlfn.XLOOKUP(C69,DBGenzai[社員№],DBGenzai[現在],"",0,1)</f>
        <v/>
      </c>
      <c r="E69" s="111" t="str">
        <f>_xlfn.XLOOKUP($C69,DBGenzai[社員№],DBGenzai[派遣先ID],"",0,1)</f>
        <v/>
      </c>
      <c r="F69" s="111" t="str">
        <f>_xlfn.XLOOKUP($C69,DBGenzai[社員№],DBGenzai[配属先],"",0,1)</f>
        <v/>
      </c>
      <c r="G69" s="111" t="str">
        <f>MID(TablaTransfor[[#This Row],[配属先]],1,8)</f>
        <v/>
      </c>
      <c r="H69" s="111" t="str">
        <f>MID(TablaTransfor[[#This Row],[配属先]],9,6)</f>
        <v/>
      </c>
      <c r="I69" s="111" t="str">
        <f>MID(TablaTransfor[[#This Row],[配属先]],15,12)</f>
        <v/>
      </c>
      <c r="J69" s="111" t="str">
        <f>_xlfn.XLOOKUP($C69,DBGenzai[社員№],DBGenzai[配属ライン],"",0,1)</f>
        <v/>
      </c>
      <c r="K69" s="111" t="str">
        <f>_xlfn.XLOOKUP($C69,DBGenzai[社員№],DBGenzai[氏名],"",0,1)</f>
        <v/>
      </c>
      <c r="L69" s="111" t="str">
        <f>_xlfn.XLOOKUP($C69,DBGenzai[社員№],DBGenzai[カナ],"",0,1)</f>
        <v/>
      </c>
      <c r="M69" s="111" t="str">
        <f>_xlfn.XLOOKUP($C69,DBGenzai[社員№],DBGenzai[性別],"",0,1)</f>
        <v/>
      </c>
      <c r="N69" s="111" t="str">
        <f>_xlfn.XLOOKUP($C69,DBGenzai[社員№],DBGenzai[国籍],"",0,1)</f>
        <v/>
      </c>
      <c r="O69" s="113" t="str">
        <f>_xlfn.XLOOKUP($C69,DBGenzai[社員№],DBGenzai[生年月日],"",0,1)</f>
        <v/>
      </c>
      <c r="P69" s="111" t="str">
        <f>_xlfn.XLOOKUP($C69,DBGenzai[社員№],DBGenzai[年齢],"",0,1)</f>
        <v/>
      </c>
      <c r="Q69" s="111" t="str">
        <f>_xlfn.XLOOKUP($C69,DBGenzai[社員№],DBGenzai[時給],"",0,1)</f>
        <v/>
      </c>
      <c r="R69" s="111" t="str">
        <f>_xlfn.XLOOKUP($C69,DBGenzai[社員№],DBGenzai[請求単価],"",0,1)</f>
        <v/>
      </c>
      <c r="S69" s="111" t="str">
        <f>_xlfn.XLOOKUP($C69,DBGenzai[社員№],DBGenzai[〒],"",0,1)</f>
        <v/>
      </c>
      <c r="T69" s="111" t="str">
        <f>_xlfn.XLOOKUP($C69,DBGenzai[社員№],DBGenzai[住所],"",0,1)</f>
        <v/>
      </c>
      <c r="U69" s="111" t="str">
        <f>_xlfn.XLOOKUP($C69,DBGenzai[社員№],DBGenzai[ｱﾊﾟｰﾄ],"",0,1)</f>
        <v/>
      </c>
      <c r="V69" s="113" t="str">
        <f>_xlfn.XLOOKUP($C69,DBGenzai[社員№],DBGenzai[入居],"",0,1)</f>
        <v/>
      </c>
      <c r="W69" s="197" t="str">
        <f>_xlfn.XLOOKUP($C69,DBGenzai[社員№],DBGenzai[入社日],"",0,1)</f>
        <v/>
      </c>
      <c r="X69" s="113" t="str">
        <f>_xlfn.XLOOKUP($C69,DBGenzai[社員№],DBGenzai[退社日],"",0,1)</f>
        <v/>
      </c>
      <c r="Y69" s="111" t="str">
        <f>_xlfn.XLOOKUP($C69,DBGenzai[社員№],DBGenzai[退去],"",0,1)</f>
        <v/>
      </c>
      <c r="Z69" s="111" t="str">
        <f>_xlfn.XLOOKUP($C69,DBGenzai[社員№],DBGenzai[備考],"",0,1)</f>
        <v/>
      </c>
      <c r="AA69" s="113">
        <f t="shared" si="0"/>
        <v>45199</v>
      </c>
      <c r="AB69" s="159" t="e">
        <f>(TablaTransfor[[#This Row],[unicos]]-TablaTransfor[[#This Row],[入社日]])/364</f>
        <v>#VALUE!</v>
      </c>
      <c r="AC69" s="181" t="s">
        <v>2974</v>
      </c>
      <c r="AD69" s="114">
        <v>44802</v>
      </c>
      <c r="AE69" s="116" t="str">
        <f>TablaTransfor[[#This Row],[入社日]]</f>
        <v/>
      </c>
      <c r="AF69" s="252" t="str">
        <f>_xlfn.XLOOKUP($C69,DBGenzai[社員№],DBGenzai[請求単価],"",0,1)</f>
        <v/>
      </c>
    </row>
    <row r="70" spans="1:32" hidden="1">
      <c r="A70" s="117">
        <f>SUBTOTAL(103,$C$3:C70)</f>
        <v>20</v>
      </c>
      <c r="B70" s="111">
        <v>51</v>
      </c>
      <c r="C70" s="111" t="str">
        <f>_xlfn.XLOOKUP($F$1&amp;B70,Filtro!B:B,Filtro!D:D,"",0,1)</f>
        <v/>
      </c>
      <c r="D70" s="111" t="str">
        <f>_xlfn.XLOOKUP(C70,DBGenzai[社員№],DBGenzai[現在],"",0,1)</f>
        <v/>
      </c>
      <c r="E70" s="111" t="str">
        <f>_xlfn.XLOOKUP($C70,DBGenzai[社員№],DBGenzai[派遣先ID],"",0,1)</f>
        <v/>
      </c>
      <c r="F70" s="111" t="str">
        <f>_xlfn.XLOOKUP($C70,DBGenzai[社員№],DBGenzai[配属先],"",0,1)</f>
        <v/>
      </c>
      <c r="G70" s="111" t="str">
        <f>MID(TablaTransfor[[#This Row],[配属先]],1,8)</f>
        <v/>
      </c>
      <c r="H70" s="111" t="str">
        <f>MID(TablaTransfor[[#This Row],[配属先]],9,6)</f>
        <v/>
      </c>
      <c r="I70" s="111" t="str">
        <f>MID(TablaTransfor[[#This Row],[配属先]],15,12)</f>
        <v/>
      </c>
      <c r="J70" s="111" t="str">
        <f>_xlfn.XLOOKUP($C70,DBGenzai[社員№],DBGenzai[配属ライン],"",0,1)</f>
        <v/>
      </c>
      <c r="K70" s="111" t="str">
        <f>_xlfn.XLOOKUP($C70,DBGenzai[社員№],DBGenzai[氏名],"",0,1)</f>
        <v/>
      </c>
      <c r="L70" s="111" t="str">
        <f>_xlfn.XLOOKUP($C70,DBGenzai[社員№],DBGenzai[カナ],"",0,1)</f>
        <v/>
      </c>
      <c r="M70" s="111" t="str">
        <f>_xlfn.XLOOKUP($C70,DBGenzai[社員№],DBGenzai[性別],"",0,1)</f>
        <v/>
      </c>
      <c r="N70" s="111" t="str">
        <f>_xlfn.XLOOKUP($C70,DBGenzai[社員№],DBGenzai[国籍],"",0,1)</f>
        <v/>
      </c>
      <c r="O70" s="113" t="str">
        <f>_xlfn.XLOOKUP($C70,DBGenzai[社員№],DBGenzai[生年月日],"",0,1)</f>
        <v/>
      </c>
      <c r="P70" s="111" t="str">
        <f>_xlfn.XLOOKUP($C70,DBGenzai[社員№],DBGenzai[年齢],"",0,1)</f>
        <v/>
      </c>
      <c r="Q70" s="111" t="str">
        <f>_xlfn.XLOOKUP($C70,DBGenzai[社員№],DBGenzai[時給],"",0,1)</f>
        <v/>
      </c>
      <c r="R70" s="111" t="str">
        <f>_xlfn.XLOOKUP($C70,DBGenzai[社員№],DBGenzai[請求単価],"",0,1)</f>
        <v/>
      </c>
      <c r="S70" s="111" t="str">
        <f>_xlfn.XLOOKUP($C70,DBGenzai[社員№],DBGenzai[〒],"",0,1)</f>
        <v/>
      </c>
      <c r="T70" s="111" t="str">
        <f>_xlfn.XLOOKUP($C70,DBGenzai[社員№],DBGenzai[住所],"",0,1)</f>
        <v/>
      </c>
      <c r="U70" s="111" t="str">
        <f>_xlfn.XLOOKUP($C70,DBGenzai[社員№],DBGenzai[ｱﾊﾟｰﾄ],"",0,1)</f>
        <v/>
      </c>
      <c r="V70" s="113" t="str">
        <f>_xlfn.XLOOKUP($C70,DBGenzai[社員№],DBGenzai[入居],"",0,1)</f>
        <v/>
      </c>
      <c r="W70" s="197" t="str">
        <f>_xlfn.XLOOKUP($C70,DBGenzai[社員№],DBGenzai[入社日],"",0,1)</f>
        <v/>
      </c>
      <c r="X70" s="113" t="str">
        <f>_xlfn.XLOOKUP($C70,DBGenzai[社員№],DBGenzai[退社日],"",0,1)</f>
        <v/>
      </c>
      <c r="Y70" s="111" t="str">
        <f>_xlfn.XLOOKUP($C70,DBGenzai[社員№],DBGenzai[退去],"",0,1)</f>
        <v/>
      </c>
      <c r="Z70" s="111" t="str">
        <f>_xlfn.XLOOKUP($C70,DBGenzai[社員№],DBGenzai[備考],"",0,1)</f>
        <v/>
      </c>
      <c r="AA70" s="113">
        <f t="shared" si="0"/>
        <v>45199</v>
      </c>
      <c r="AB70" s="159" t="e">
        <f>(TablaTransfor[[#This Row],[unicos]]-TablaTransfor[[#This Row],[入社日]])/364</f>
        <v>#VALUE!</v>
      </c>
      <c r="AC70" s="181" t="s">
        <v>2974</v>
      </c>
      <c r="AD70" s="114">
        <v>44797</v>
      </c>
      <c r="AE70" s="116" t="str">
        <f>TablaTransfor[[#This Row],[入社日]]</f>
        <v/>
      </c>
      <c r="AF70" s="252" t="str">
        <f>_xlfn.XLOOKUP($C70,DBGenzai[社員№],DBGenzai[請求単価],"",0,1)</f>
        <v/>
      </c>
    </row>
    <row r="71" spans="1:32" hidden="1">
      <c r="A71" s="117">
        <f>SUBTOTAL(103,$C$3:C71)</f>
        <v>20</v>
      </c>
      <c r="B71" s="111">
        <v>52</v>
      </c>
      <c r="C71" s="111" t="str">
        <f>_xlfn.XLOOKUP($F$1&amp;B71,Filtro!B:B,Filtro!D:D,"",0,1)</f>
        <v/>
      </c>
      <c r="D71" s="111" t="str">
        <f>_xlfn.XLOOKUP(C71,DBGenzai[社員№],DBGenzai[現在],"",0,1)</f>
        <v/>
      </c>
      <c r="E71" s="111" t="str">
        <f>_xlfn.XLOOKUP($C71,DBGenzai[社員№],DBGenzai[派遣先ID],"",0,1)</f>
        <v/>
      </c>
      <c r="F71" s="111" t="str">
        <f>_xlfn.XLOOKUP($C71,DBGenzai[社員№],DBGenzai[配属先],"",0,1)</f>
        <v/>
      </c>
      <c r="G71" s="111" t="str">
        <f>MID(TablaTransfor[[#This Row],[配属先]],1,8)</f>
        <v/>
      </c>
      <c r="H71" s="111" t="str">
        <f>MID(TablaTransfor[[#This Row],[配属先]],9,6)</f>
        <v/>
      </c>
      <c r="I71" s="111" t="str">
        <f>MID(TablaTransfor[[#This Row],[配属先]],15,12)</f>
        <v/>
      </c>
      <c r="J71" s="193" t="str">
        <f>_xlfn.XLOOKUP($C71,DBGenzai[社員№],DBGenzai[配属ライン],"",0,1)</f>
        <v/>
      </c>
      <c r="K71" s="193" t="str">
        <f>_xlfn.XLOOKUP($C71,DBGenzai[社員№],DBGenzai[氏名],"",0,1)</f>
        <v/>
      </c>
      <c r="L71" s="193" t="str">
        <f>_xlfn.XLOOKUP($C71,DBGenzai[社員№],DBGenzai[カナ],"",0,1)</f>
        <v/>
      </c>
      <c r="M71" s="193" t="str">
        <f>_xlfn.XLOOKUP($C71,DBGenzai[社員№],DBGenzai[性別],"",0,1)</f>
        <v/>
      </c>
      <c r="N71" s="193" t="str">
        <f>_xlfn.XLOOKUP($C71,DBGenzai[社員№],DBGenzai[国籍],"",0,1)</f>
        <v/>
      </c>
      <c r="O71" s="113" t="str">
        <f>_xlfn.XLOOKUP($C71,DBGenzai[社員№],DBGenzai[生年月日],"",0,1)</f>
        <v/>
      </c>
      <c r="P71" s="111" t="str">
        <f>_xlfn.XLOOKUP($C71,DBGenzai[社員№],DBGenzai[年齢],"",0,1)</f>
        <v/>
      </c>
      <c r="Q71" s="111" t="str">
        <f>_xlfn.XLOOKUP($C71,DBGenzai[社員№],DBGenzai[時給],"",0,1)</f>
        <v/>
      </c>
      <c r="R71" s="111" t="str">
        <f>_xlfn.XLOOKUP($C71,DBGenzai[社員№],DBGenzai[請求単価],"",0,1)</f>
        <v/>
      </c>
      <c r="S71" s="111" t="str">
        <f>_xlfn.XLOOKUP($C71,DBGenzai[社員№],DBGenzai[〒],"",0,1)</f>
        <v/>
      </c>
      <c r="T71" s="111" t="str">
        <f>_xlfn.XLOOKUP($C71,DBGenzai[社員№],DBGenzai[住所],"",0,1)</f>
        <v/>
      </c>
      <c r="U71" s="111" t="str">
        <f>_xlfn.XLOOKUP($C71,DBGenzai[社員№],DBGenzai[ｱﾊﾟｰﾄ],"",0,1)</f>
        <v/>
      </c>
      <c r="V71" s="113" t="str">
        <f>_xlfn.XLOOKUP($C71,DBGenzai[社員№],DBGenzai[入居],"",0,1)</f>
        <v/>
      </c>
      <c r="W71" s="198" t="str">
        <f>_xlfn.XLOOKUP($C71,DBGenzai[社員№],DBGenzai[入社日],"",0,1)</f>
        <v/>
      </c>
      <c r="X71" s="113" t="str">
        <f>_xlfn.XLOOKUP($C71,DBGenzai[社員№],DBGenzai[退社日],"",0,1)</f>
        <v/>
      </c>
      <c r="Y71" s="111" t="str">
        <f>_xlfn.XLOOKUP($C71,DBGenzai[社員№],DBGenzai[退去],"",0,1)</f>
        <v/>
      </c>
      <c r="Z71" s="111" t="str">
        <f>_xlfn.XLOOKUP($C71,DBGenzai[社員№],DBGenzai[備考],"",0,1)</f>
        <v/>
      </c>
      <c r="AA71" s="113">
        <f t="shared" si="0"/>
        <v>45199</v>
      </c>
      <c r="AB71" s="194" t="e">
        <f>(TablaTransfor[[#This Row],[unicos]]-TablaTransfor[[#This Row],[入社日]])/364</f>
        <v>#VALUE!</v>
      </c>
      <c r="AC71" s="181" t="s">
        <v>2974</v>
      </c>
      <c r="AD71" s="114">
        <v>44802</v>
      </c>
      <c r="AE71" s="116" t="str">
        <f>TablaTransfor[[#This Row],[入社日]]</f>
        <v/>
      </c>
      <c r="AF71" s="252" t="str">
        <f>_xlfn.XLOOKUP($C71,DBGenzai[社員№],DBGenzai[請求単価],"",0,1)</f>
        <v/>
      </c>
    </row>
    <row r="72" spans="1:32" hidden="1">
      <c r="A72" s="117">
        <f>SUBTOTAL(103,$C$3:C72)</f>
        <v>20</v>
      </c>
      <c r="B72" s="111">
        <v>53</v>
      </c>
      <c r="C72" s="111" t="str">
        <f>_xlfn.XLOOKUP($F$1&amp;B72,Filtro!B:B,Filtro!D:D,"",0,1)</f>
        <v/>
      </c>
      <c r="D72" s="111" t="str">
        <f>_xlfn.XLOOKUP(C72,DBGenzai[社員№],DBGenzai[現在],"",0,1)</f>
        <v/>
      </c>
      <c r="E72" s="111" t="str">
        <f>_xlfn.XLOOKUP($C72,DBGenzai[社員№],DBGenzai[派遣先ID],"",0,1)</f>
        <v/>
      </c>
      <c r="F72" s="111" t="str">
        <f>_xlfn.XLOOKUP($C72,DBGenzai[社員№],DBGenzai[配属先],"",0,1)</f>
        <v/>
      </c>
      <c r="G72" s="111" t="str">
        <f>MID(TablaTransfor[[#This Row],[配属先]],1,8)</f>
        <v/>
      </c>
      <c r="H72" s="111" t="str">
        <f>MID(TablaTransfor[[#This Row],[配属先]],9,6)</f>
        <v/>
      </c>
      <c r="I72" s="111" t="str">
        <f>MID(TablaTransfor[[#This Row],[配属先]],15,12)</f>
        <v/>
      </c>
      <c r="J72" s="111" t="str">
        <f>_xlfn.XLOOKUP($C72,DBGenzai[社員№],DBGenzai[配属ライン],"",0,1)</f>
        <v/>
      </c>
      <c r="K72" s="111" t="str">
        <f>_xlfn.XLOOKUP($C72,DBGenzai[社員№],DBGenzai[氏名],"",0,1)</f>
        <v/>
      </c>
      <c r="L72" s="111" t="str">
        <f>_xlfn.XLOOKUP($C72,DBGenzai[社員№],DBGenzai[カナ],"",0,1)</f>
        <v/>
      </c>
      <c r="M72" s="111" t="str">
        <f>_xlfn.XLOOKUP($C72,DBGenzai[社員№],DBGenzai[性別],"",0,1)</f>
        <v/>
      </c>
      <c r="N72" s="111" t="str">
        <f>_xlfn.XLOOKUP($C72,DBGenzai[社員№],DBGenzai[国籍],"",0,1)</f>
        <v/>
      </c>
      <c r="O72" s="113" t="str">
        <f>_xlfn.XLOOKUP($C72,DBGenzai[社員№],DBGenzai[生年月日],"",0,1)</f>
        <v/>
      </c>
      <c r="P72" s="111" t="str">
        <f>_xlfn.XLOOKUP($C72,DBGenzai[社員№],DBGenzai[年齢],"",0,1)</f>
        <v/>
      </c>
      <c r="Q72" s="111" t="str">
        <f>_xlfn.XLOOKUP($C72,DBGenzai[社員№],DBGenzai[時給],"",0,1)</f>
        <v/>
      </c>
      <c r="R72" s="111" t="str">
        <f>_xlfn.XLOOKUP($C72,DBGenzai[社員№],DBGenzai[請求単価],"",0,1)</f>
        <v/>
      </c>
      <c r="S72" s="111" t="str">
        <f>_xlfn.XLOOKUP($C72,DBGenzai[社員№],DBGenzai[〒],"",0,1)</f>
        <v/>
      </c>
      <c r="T72" s="111" t="str">
        <f>_xlfn.XLOOKUP($C72,DBGenzai[社員№],DBGenzai[住所],"",0,1)</f>
        <v/>
      </c>
      <c r="U72" s="111" t="str">
        <f>_xlfn.XLOOKUP($C72,DBGenzai[社員№],DBGenzai[ｱﾊﾟｰﾄ],"",0,1)</f>
        <v/>
      </c>
      <c r="V72" s="113" t="str">
        <f>_xlfn.XLOOKUP($C72,DBGenzai[社員№],DBGenzai[入居],"",0,1)</f>
        <v/>
      </c>
      <c r="W72" s="197" t="str">
        <f>_xlfn.XLOOKUP($C72,DBGenzai[社員№],DBGenzai[入社日],"",0,1)</f>
        <v/>
      </c>
      <c r="X72" s="113" t="str">
        <f>_xlfn.XLOOKUP($C72,DBGenzai[社員№],DBGenzai[退社日],"",0,1)</f>
        <v/>
      </c>
      <c r="Y72" s="111" t="str">
        <f>_xlfn.XLOOKUP($C72,DBGenzai[社員№],DBGenzai[退去],"",0,1)</f>
        <v/>
      </c>
      <c r="Z72" s="111" t="str">
        <f>_xlfn.XLOOKUP($C72,DBGenzai[社員№],DBGenzai[備考],"",0,1)</f>
        <v/>
      </c>
      <c r="AA72" s="113">
        <f t="shared" si="0"/>
        <v>45199</v>
      </c>
      <c r="AB72" s="159" t="e">
        <f>(TablaTransfor[[#This Row],[unicos]]-TablaTransfor[[#This Row],[入社日]])/364</f>
        <v>#VALUE!</v>
      </c>
      <c r="AC72" s="181" t="s">
        <v>2974</v>
      </c>
      <c r="AD72" s="114">
        <v>44796</v>
      </c>
      <c r="AE72" s="116" t="str">
        <f>TablaTransfor[[#This Row],[入社日]]</f>
        <v/>
      </c>
      <c r="AF72" s="252" t="str">
        <f>_xlfn.XLOOKUP($C72,DBGenzai[社員№],DBGenzai[請求単価],"",0,1)</f>
        <v/>
      </c>
    </row>
    <row r="73" spans="1:32" hidden="1">
      <c r="A73" s="117">
        <f>SUBTOTAL(103,$C$3:C73)</f>
        <v>20</v>
      </c>
      <c r="B73" s="111">
        <v>54</v>
      </c>
      <c r="C73" s="111" t="str">
        <f>_xlfn.XLOOKUP($F$1&amp;B73,Filtro!B:B,Filtro!D:D,"",0,1)</f>
        <v/>
      </c>
      <c r="D73" s="111" t="str">
        <f>_xlfn.XLOOKUP(C73,DBGenzai[社員№],DBGenzai[現在],"",0,1)</f>
        <v/>
      </c>
      <c r="E73" s="111" t="str">
        <f>_xlfn.XLOOKUP($C73,DBGenzai[社員№],DBGenzai[派遣先ID],"",0,1)</f>
        <v/>
      </c>
      <c r="F73" s="111" t="str">
        <f>_xlfn.XLOOKUP($C73,DBGenzai[社員№],DBGenzai[配属先],"",0,1)</f>
        <v/>
      </c>
      <c r="G73" s="111" t="str">
        <f>MID(TablaTransfor[[#This Row],[配属先]],1,8)</f>
        <v/>
      </c>
      <c r="H73" s="111" t="str">
        <f>MID(TablaTransfor[[#This Row],[配属先]],9,6)</f>
        <v/>
      </c>
      <c r="I73" s="111" t="str">
        <f>MID(TablaTransfor[[#This Row],[配属先]],15,12)</f>
        <v/>
      </c>
      <c r="J73" s="111" t="str">
        <f>_xlfn.XLOOKUP($C73,DBGenzai[社員№],DBGenzai[配属ライン],"",0,1)</f>
        <v/>
      </c>
      <c r="K73" s="111" t="str">
        <f>_xlfn.XLOOKUP($C73,DBGenzai[社員№],DBGenzai[氏名],"",0,1)</f>
        <v/>
      </c>
      <c r="L73" s="111" t="str">
        <f>_xlfn.XLOOKUP($C73,DBGenzai[社員№],DBGenzai[カナ],"",0,1)</f>
        <v/>
      </c>
      <c r="M73" s="111" t="str">
        <f>_xlfn.XLOOKUP($C73,DBGenzai[社員№],DBGenzai[性別],"",0,1)</f>
        <v/>
      </c>
      <c r="N73" s="111" t="str">
        <f>_xlfn.XLOOKUP($C73,DBGenzai[社員№],DBGenzai[国籍],"",0,1)</f>
        <v/>
      </c>
      <c r="O73" s="113" t="str">
        <f>_xlfn.XLOOKUP($C73,DBGenzai[社員№],DBGenzai[生年月日],"",0,1)</f>
        <v/>
      </c>
      <c r="P73" s="111" t="str">
        <f>_xlfn.XLOOKUP($C73,DBGenzai[社員№],DBGenzai[年齢],"",0,1)</f>
        <v/>
      </c>
      <c r="Q73" s="111" t="str">
        <f>_xlfn.XLOOKUP($C73,DBGenzai[社員№],DBGenzai[時給],"",0,1)</f>
        <v/>
      </c>
      <c r="R73" s="111" t="str">
        <f>_xlfn.XLOOKUP($C73,DBGenzai[社員№],DBGenzai[請求単価],"",0,1)</f>
        <v/>
      </c>
      <c r="S73" s="111" t="str">
        <f>_xlfn.XLOOKUP($C73,DBGenzai[社員№],DBGenzai[〒],"",0,1)</f>
        <v/>
      </c>
      <c r="T73" s="111" t="str">
        <f>_xlfn.XLOOKUP($C73,DBGenzai[社員№],DBGenzai[住所],"",0,1)</f>
        <v/>
      </c>
      <c r="U73" s="111" t="str">
        <f>_xlfn.XLOOKUP($C73,DBGenzai[社員№],DBGenzai[ｱﾊﾟｰﾄ],"",0,1)</f>
        <v/>
      </c>
      <c r="V73" s="113" t="str">
        <f>_xlfn.XLOOKUP($C73,DBGenzai[社員№],DBGenzai[入居],"",0,1)</f>
        <v/>
      </c>
      <c r="W73" s="197" t="str">
        <f>_xlfn.XLOOKUP($C73,DBGenzai[社員№],DBGenzai[入社日],"",0,1)</f>
        <v/>
      </c>
      <c r="X73" s="113" t="str">
        <f>_xlfn.XLOOKUP($C73,DBGenzai[社員№],DBGenzai[退社日],"",0,1)</f>
        <v/>
      </c>
      <c r="Y73" s="111" t="str">
        <f>_xlfn.XLOOKUP($C73,DBGenzai[社員№],DBGenzai[退去],"",0,1)</f>
        <v/>
      </c>
      <c r="Z73" s="111" t="str">
        <f>_xlfn.XLOOKUP($C73,DBGenzai[社員№],DBGenzai[備考],"",0,1)</f>
        <v/>
      </c>
      <c r="AA73" s="113">
        <f t="shared" si="0"/>
        <v>45199</v>
      </c>
      <c r="AB73" s="159" t="e">
        <f>(TablaTransfor[[#This Row],[unicos]]-TablaTransfor[[#This Row],[入社日]])/364</f>
        <v>#VALUE!</v>
      </c>
      <c r="AC73" s="181" t="s">
        <v>2974</v>
      </c>
      <c r="AD73" s="114">
        <v>44802</v>
      </c>
      <c r="AE73" s="116" t="str">
        <f>TablaTransfor[[#This Row],[入社日]]</f>
        <v/>
      </c>
      <c r="AF73" s="252" t="str">
        <f>_xlfn.XLOOKUP($C73,DBGenzai[社員№],DBGenzai[請求単価],"",0,1)</f>
        <v/>
      </c>
    </row>
    <row r="74" spans="1:32" hidden="1">
      <c r="A74" s="117">
        <f>SUBTOTAL(103,$C$3:C74)</f>
        <v>20</v>
      </c>
      <c r="B74" s="111">
        <v>55</v>
      </c>
      <c r="C74" s="111" t="str">
        <f>_xlfn.XLOOKUP($F$1&amp;B74,Filtro!B:B,Filtro!D:D,"",0,1)</f>
        <v/>
      </c>
      <c r="D74" s="111" t="str">
        <f>_xlfn.XLOOKUP(C74,DBGenzai[社員№],DBGenzai[現在],"",0,1)</f>
        <v/>
      </c>
      <c r="E74" s="111" t="str">
        <f>_xlfn.XLOOKUP($C74,DBGenzai[社員№],DBGenzai[派遣先ID],"",0,1)</f>
        <v/>
      </c>
      <c r="F74" s="111" t="str">
        <f>_xlfn.XLOOKUP($C74,DBGenzai[社員№],DBGenzai[配属先],"",0,1)</f>
        <v/>
      </c>
      <c r="G74" s="111" t="str">
        <f>MID(TablaTransfor[[#This Row],[配属先]],1,8)</f>
        <v/>
      </c>
      <c r="H74" s="111" t="str">
        <f>MID(TablaTransfor[[#This Row],[配属先]],9,6)</f>
        <v/>
      </c>
      <c r="I74" s="111" t="str">
        <f>MID(TablaTransfor[[#This Row],[配属先]],15,12)</f>
        <v/>
      </c>
      <c r="J74" s="111" t="str">
        <f>_xlfn.XLOOKUP($C74,DBGenzai[社員№],DBGenzai[配属ライン],"",0,1)</f>
        <v/>
      </c>
      <c r="K74" s="111" t="str">
        <f>_xlfn.XLOOKUP($C74,DBGenzai[社員№],DBGenzai[氏名],"",0,1)</f>
        <v/>
      </c>
      <c r="L74" s="111" t="str">
        <f>_xlfn.XLOOKUP($C74,DBGenzai[社員№],DBGenzai[カナ],"",0,1)</f>
        <v/>
      </c>
      <c r="M74" s="111" t="str">
        <f>_xlfn.XLOOKUP($C74,DBGenzai[社員№],DBGenzai[性別],"",0,1)</f>
        <v/>
      </c>
      <c r="N74" s="111" t="str">
        <f>_xlfn.XLOOKUP($C74,DBGenzai[社員№],DBGenzai[国籍],"",0,1)</f>
        <v/>
      </c>
      <c r="O74" s="113" t="str">
        <f>_xlfn.XLOOKUP($C74,DBGenzai[社員№],DBGenzai[生年月日],"",0,1)</f>
        <v/>
      </c>
      <c r="P74" s="111" t="str">
        <f>_xlfn.XLOOKUP($C74,DBGenzai[社員№],DBGenzai[年齢],"",0,1)</f>
        <v/>
      </c>
      <c r="Q74" s="111" t="str">
        <f>_xlfn.XLOOKUP($C74,DBGenzai[社員№],DBGenzai[時給],"",0,1)</f>
        <v/>
      </c>
      <c r="R74" s="111" t="str">
        <f>_xlfn.XLOOKUP($C74,DBGenzai[社員№],DBGenzai[請求単価],"",0,1)</f>
        <v/>
      </c>
      <c r="S74" s="111" t="str">
        <f>_xlfn.XLOOKUP($C74,DBGenzai[社員№],DBGenzai[〒],"",0,1)</f>
        <v/>
      </c>
      <c r="T74" s="111" t="str">
        <f>_xlfn.XLOOKUP($C74,DBGenzai[社員№],DBGenzai[住所],"",0,1)</f>
        <v/>
      </c>
      <c r="U74" s="111" t="str">
        <f>_xlfn.XLOOKUP($C74,DBGenzai[社員№],DBGenzai[ｱﾊﾟｰﾄ],"",0,1)</f>
        <v/>
      </c>
      <c r="V74" s="113" t="str">
        <f>_xlfn.XLOOKUP($C74,DBGenzai[社員№],DBGenzai[入居],"",0,1)</f>
        <v/>
      </c>
      <c r="W74" s="197">
        <v>44767</v>
      </c>
      <c r="X74" s="113" t="str">
        <f>_xlfn.XLOOKUP($C74,DBGenzai[社員№],DBGenzai[退社日],"",0,1)</f>
        <v/>
      </c>
      <c r="Y74" s="111" t="str">
        <f>_xlfn.XLOOKUP($C74,DBGenzai[社員№],DBGenzai[退去],"",0,1)</f>
        <v/>
      </c>
      <c r="Z74" s="111" t="str">
        <f>_xlfn.XLOOKUP($C74,DBGenzai[社員№],DBGenzai[備考],"",0,1)</f>
        <v/>
      </c>
      <c r="AA74" s="113">
        <f t="shared" si="0"/>
        <v>45199</v>
      </c>
      <c r="AB74" s="159">
        <f>(TablaTransfor[[#This Row],[unicos]]-TablaTransfor[[#This Row],[入社日]])/364</f>
        <v>1.1868131868131868</v>
      </c>
      <c r="AC74" s="185" t="s">
        <v>3013</v>
      </c>
      <c r="AD74" s="114">
        <v>44778</v>
      </c>
      <c r="AE74" s="116">
        <v>45017</v>
      </c>
      <c r="AF74" s="252" t="str">
        <f>_xlfn.XLOOKUP($C74,DBGenzai[社員№],DBGenzai[請求単価],"",0,1)</f>
        <v/>
      </c>
    </row>
    <row r="75" spans="1:32" hidden="1">
      <c r="A75" s="117">
        <f>SUBTOTAL(103,$C$3:C75)</f>
        <v>20</v>
      </c>
      <c r="B75" s="111">
        <v>56</v>
      </c>
      <c r="C75" s="111" t="str">
        <f>_xlfn.XLOOKUP($F$1&amp;B75,Filtro!B:B,Filtro!D:D,"",0,1)</f>
        <v/>
      </c>
      <c r="D75" s="111" t="str">
        <f>_xlfn.XLOOKUP(C75,DBGenzai[社員№],DBGenzai[現在],"",0,1)</f>
        <v/>
      </c>
      <c r="E75" s="111" t="str">
        <f>_xlfn.XLOOKUP($C75,DBGenzai[社員№],DBGenzai[派遣先ID],"",0,1)</f>
        <v/>
      </c>
      <c r="F75" s="111" t="str">
        <f>_xlfn.XLOOKUP($C75,DBGenzai[社員№],DBGenzai[配属先],"",0,1)</f>
        <v/>
      </c>
      <c r="G75" s="111" t="str">
        <f>MID(TablaTransfor[[#This Row],[配属先]],1,8)</f>
        <v/>
      </c>
      <c r="H75" s="111" t="str">
        <f>MID(TablaTransfor[[#This Row],[配属先]],9,6)</f>
        <v/>
      </c>
      <c r="I75" s="111" t="str">
        <f>MID(TablaTransfor[[#This Row],[配属先]],15,12)</f>
        <v/>
      </c>
      <c r="J75" s="111" t="str">
        <f>_xlfn.XLOOKUP($C75,DBGenzai[社員№],DBGenzai[配属ライン],"",0,1)</f>
        <v/>
      </c>
      <c r="K75" s="111" t="str">
        <f>_xlfn.XLOOKUP($C75,DBGenzai[社員№],DBGenzai[氏名],"",0,1)</f>
        <v/>
      </c>
      <c r="L75" s="111" t="str">
        <f>_xlfn.XLOOKUP($C75,DBGenzai[社員№],DBGenzai[カナ],"",0,1)</f>
        <v/>
      </c>
      <c r="M75" s="111" t="str">
        <f>_xlfn.XLOOKUP($C75,DBGenzai[社員№],DBGenzai[性別],"",0,1)</f>
        <v/>
      </c>
      <c r="N75" s="111" t="str">
        <f>_xlfn.XLOOKUP($C75,DBGenzai[社員№],DBGenzai[国籍],"",0,1)</f>
        <v/>
      </c>
      <c r="O75" s="113" t="str">
        <f>_xlfn.XLOOKUP($C75,DBGenzai[社員№],DBGenzai[生年月日],"",0,1)</f>
        <v/>
      </c>
      <c r="P75" s="111" t="str">
        <f>_xlfn.XLOOKUP($C75,DBGenzai[社員№],DBGenzai[年齢],"",0,1)</f>
        <v/>
      </c>
      <c r="Q75" s="111" t="str">
        <f>_xlfn.XLOOKUP($C75,DBGenzai[社員№],DBGenzai[時給],"",0,1)</f>
        <v/>
      </c>
      <c r="R75" s="111" t="str">
        <f>_xlfn.XLOOKUP($C75,DBGenzai[社員№],DBGenzai[請求単価],"",0,1)</f>
        <v/>
      </c>
      <c r="S75" s="111" t="str">
        <f>_xlfn.XLOOKUP($C75,DBGenzai[社員№],DBGenzai[〒],"",0,1)</f>
        <v/>
      </c>
      <c r="T75" s="111" t="str">
        <f>_xlfn.XLOOKUP($C75,DBGenzai[社員№],DBGenzai[住所],"",0,1)</f>
        <v/>
      </c>
      <c r="U75" s="111" t="str">
        <f>_xlfn.XLOOKUP($C75,DBGenzai[社員№],DBGenzai[ｱﾊﾟｰﾄ],"",0,1)</f>
        <v/>
      </c>
      <c r="V75" s="113" t="str">
        <f>_xlfn.XLOOKUP($C75,DBGenzai[社員№],DBGenzai[入居],"",0,1)</f>
        <v/>
      </c>
      <c r="W75" s="197" t="str">
        <f>_xlfn.XLOOKUP($C75,DBGenzai[社員№],DBGenzai[入社日],"",0,1)</f>
        <v/>
      </c>
      <c r="X75" s="113" t="str">
        <f>_xlfn.XLOOKUP($C75,DBGenzai[社員№],DBGenzai[退社日],"",0,1)</f>
        <v/>
      </c>
      <c r="Y75" s="111" t="str">
        <f>_xlfn.XLOOKUP($C75,DBGenzai[社員№],DBGenzai[退去],"",0,1)</f>
        <v/>
      </c>
      <c r="Z75" s="111" t="str">
        <f>_xlfn.XLOOKUP($C75,DBGenzai[社員№],DBGenzai[備考],"",0,1)</f>
        <v/>
      </c>
      <c r="AA75" s="113">
        <f t="shared" si="0"/>
        <v>45199</v>
      </c>
      <c r="AB75" s="159" t="e">
        <f>(TablaTransfor[[#This Row],[unicos]]-TablaTransfor[[#This Row],[入社日]])/364</f>
        <v>#VALUE!</v>
      </c>
      <c r="AC75" s="181" t="s">
        <v>2974</v>
      </c>
      <c r="AD75" s="114">
        <v>44811</v>
      </c>
      <c r="AE75" s="116" t="str">
        <f>TablaTransfor[[#This Row],[入社日]]</f>
        <v/>
      </c>
      <c r="AF75" s="252" t="str">
        <f>_xlfn.XLOOKUP($C75,DBGenzai[社員№],DBGenzai[請求単価],"",0,1)</f>
        <v/>
      </c>
    </row>
    <row r="76" spans="1:32" hidden="1">
      <c r="A76" s="117">
        <f>SUBTOTAL(103,$C$3:C76)</f>
        <v>20</v>
      </c>
      <c r="B76" s="111">
        <v>57</v>
      </c>
      <c r="C76" s="111" t="str">
        <f>_xlfn.XLOOKUP($F$1&amp;B76,Filtro!B:B,Filtro!D:D,"",0,1)</f>
        <v/>
      </c>
      <c r="D76" s="111" t="str">
        <f>_xlfn.XLOOKUP(C76,DBGenzai[社員№],DBGenzai[現在],"",0,1)</f>
        <v/>
      </c>
      <c r="E76" s="111" t="str">
        <f>_xlfn.XLOOKUP($C76,DBGenzai[社員№],DBGenzai[派遣先ID],"",0,1)</f>
        <v/>
      </c>
      <c r="F76" s="111" t="str">
        <f>_xlfn.XLOOKUP($C76,DBGenzai[社員№],DBGenzai[配属先],"",0,1)</f>
        <v/>
      </c>
      <c r="G76" s="111" t="str">
        <f>MID(TablaTransfor[[#This Row],[配属先]],1,8)</f>
        <v/>
      </c>
      <c r="H76" s="111" t="str">
        <f>MID(TablaTransfor[[#This Row],[配属先]],9,6)</f>
        <v/>
      </c>
      <c r="I76" s="111" t="str">
        <f>MID(TablaTransfor[[#This Row],[配属先]],15,12)</f>
        <v/>
      </c>
      <c r="J76" s="111" t="str">
        <f>_xlfn.XLOOKUP($C76,DBGenzai[社員№],DBGenzai[配属ライン],"",0,1)</f>
        <v/>
      </c>
      <c r="K76" s="111" t="str">
        <f>_xlfn.XLOOKUP($C76,DBGenzai[社員№],DBGenzai[氏名],"",0,1)</f>
        <v/>
      </c>
      <c r="L76" s="111" t="str">
        <f>_xlfn.XLOOKUP($C76,DBGenzai[社員№],DBGenzai[カナ],"",0,1)</f>
        <v/>
      </c>
      <c r="M76" s="111" t="str">
        <f>_xlfn.XLOOKUP($C76,DBGenzai[社員№],DBGenzai[性別],"",0,1)</f>
        <v/>
      </c>
      <c r="N76" s="111" t="str">
        <f>_xlfn.XLOOKUP($C76,DBGenzai[社員№],DBGenzai[国籍],"",0,1)</f>
        <v/>
      </c>
      <c r="O76" s="113" t="str">
        <f>_xlfn.XLOOKUP($C76,DBGenzai[社員№],DBGenzai[生年月日],"",0,1)</f>
        <v/>
      </c>
      <c r="P76" s="111" t="str">
        <f>_xlfn.XLOOKUP($C76,DBGenzai[社員№],DBGenzai[年齢],"",0,1)</f>
        <v/>
      </c>
      <c r="Q76" s="111" t="str">
        <f>_xlfn.XLOOKUP($C76,DBGenzai[社員№],DBGenzai[時給],"",0,1)</f>
        <v/>
      </c>
      <c r="R76" s="111" t="str">
        <f>_xlfn.XLOOKUP($C76,DBGenzai[社員№],DBGenzai[請求単価],"",0,1)</f>
        <v/>
      </c>
      <c r="S76" s="111" t="str">
        <f>_xlfn.XLOOKUP($C76,DBGenzai[社員№],DBGenzai[〒],"",0,1)</f>
        <v/>
      </c>
      <c r="T76" s="111" t="str">
        <f>_xlfn.XLOOKUP($C76,DBGenzai[社員№],DBGenzai[住所],"",0,1)</f>
        <v/>
      </c>
      <c r="U76" s="111" t="str">
        <f>_xlfn.XLOOKUP($C76,DBGenzai[社員№],DBGenzai[ｱﾊﾟｰﾄ],"",0,1)</f>
        <v/>
      </c>
      <c r="V76" s="113" t="str">
        <f>_xlfn.XLOOKUP($C76,DBGenzai[社員№],DBGenzai[入居],"",0,1)</f>
        <v/>
      </c>
      <c r="W76" s="197" t="str">
        <f>_xlfn.XLOOKUP($C76,DBGenzai[社員№],DBGenzai[入社日],"",0,1)</f>
        <v/>
      </c>
      <c r="X76" s="113" t="str">
        <f>_xlfn.XLOOKUP($C76,DBGenzai[社員№],DBGenzai[退社日],"",0,1)</f>
        <v/>
      </c>
      <c r="Y76" s="111" t="str">
        <f>_xlfn.XLOOKUP($C76,DBGenzai[社員№],DBGenzai[退去],"",0,1)</f>
        <v/>
      </c>
      <c r="Z76" s="111" t="str">
        <f>_xlfn.XLOOKUP($C76,DBGenzai[社員№],DBGenzai[備考],"",0,1)</f>
        <v/>
      </c>
      <c r="AA76" s="113">
        <f t="shared" si="0"/>
        <v>45199</v>
      </c>
      <c r="AB76" s="159" t="e">
        <f>(TablaTransfor[[#This Row],[unicos]]-TablaTransfor[[#This Row],[入社日]])/364</f>
        <v>#VALUE!</v>
      </c>
      <c r="AC76" s="181" t="s">
        <v>2974</v>
      </c>
      <c r="AD76" s="114">
        <v>44817</v>
      </c>
      <c r="AE76" s="116" t="str">
        <f>TablaTransfor[[#This Row],[入社日]]</f>
        <v/>
      </c>
      <c r="AF76" s="252" t="str">
        <f>_xlfn.XLOOKUP($C76,DBGenzai[社員№],DBGenzai[請求単価],"",0,1)</f>
        <v/>
      </c>
    </row>
    <row r="77" spans="1:32" hidden="1">
      <c r="A77" s="117">
        <f>SUBTOTAL(103,$C$3:C77)</f>
        <v>20</v>
      </c>
      <c r="B77" s="111">
        <v>62</v>
      </c>
      <c r="C77" s="111" t="str">
        <f>_xlfn.XLOOKUP($F$1&amp;B77,Filtro!B:B,Filtro!D:D,"",0,1)</f>
        <v/>
      </c>
      <c r="D77" s="111" t="str">
        <f>_xlfn.XLOOKUP(C77,DBGenzai[社員№],DBGenzai[現在],"",0,1)</f>
        <v/>
      </c>
      <c r="E77" s="111" t="str">
        <f>_xlfn.XLOOKUP($C77,DBGenzai[社員№],DBGenzai[派遣先ID],"",0,1)</f>
        <v/>
      </c>
      <c r="F77" s="111" t="str">
        <f>_xlfn.XLOOKUP($C77,DBGenzai[社員№],DBGenzai[配属先],"",0,1)</f>
        <v/>
      </c>
      <c r="G77" s="111" t="str">
        <f>MID(TablaTransfor[[#This Row],[配属先]],1,8)</f>
        <v/>
      </c>
      <c r="H77" s="111" t="str">
        <f>MID(TablaTransfor[[#This Row],[配属先]],9,6)</f>
        <v/>
      </c>
      <c r="I77" s="183" t="str">
        <f>MID(TablaTransfor[[#This Row],[配属先]],15,12)</f>
        <v/>
      </c>
      <c r="J77" s="183" t="str">
        <f>_xlfn.XLOOKUP($C77,DBGenzai[社員№],DBGenzai[配属ライン],"",0,1)</f>
        <v/>
      </c>
      <c r="K77" s="183" t="str">
        <f>_xlfn.XLOOKUP($C77,DBGenzai[社員№],DBGenzai[氏名],"",0,1)</f>
        <v/>
      </c>
      <c r="L77" s="183" t="str">
        <f>_xlfn.XLOOKUP($C77,DBGenzai[社員№],DBGenzai[カナ],"",0,1)</f>
        <v/>
      </c>
      <c r="M77" s="183" t="str">
        <f>_xlfn.XLOOKUP($C77,DBGenzai[社員№],DBGenzai[性別],"",0,1)</f>
        <v/>
      </c>
      <c r="N77" s="183" t="str">
        <f>_xlfn.XLOOKUP($C77,DBGenzai[社員№],DBGenzai[国籍],"",0,1)</f>
        <v/>
      </c>
      <c r="O77" s="113" t="str">
        <f>_xlfn.XLOOKUP($C77,DBGenzai[社員№],DBGenzai[生年月日],"",0,1)</f>
        <v/>
      </c>
      <c r="P77" s="111" t="str">
        <f>_xlfn.XLOOKUP($C77,DBGenzai[社員№],DBGenzai[年齢],"",0,1)</f>
        <v/>
      </c>
      <c r="Q77" s="111" t="str">
        <f>_xlfn.XLOOKUP($C77,DBGenzai[社員№],DBGenzai[時給],"",0,1)</f>
        <v/>
      </c>
      <c r="R77" s="111" t="str">
        <f>_xlfn.XLOOKUP($C77,DBGenzai[社員№],DBGenzai[請求単価],"",0,1)</f>
        <v/>
      </c>
      <c r="S77" s="111" t="str">
        <f>_xlfn.XLOOKUP($C77,DBGenzai[社員№],DBGenzai[〒],"",0,1)</f>
        <v/>
      </c>
      <c r="T77" s="111" t="str">
        <f>_xlfn.XLOOKUP($C77,DBGenzai[社員№],DBGenzai[住所],"",0,1)</f>
        <v/>
      </c>
      <c r="U77" s="111" t="str">
        <f>_xlfn.XLOOKUP($C77,DBGenzai[社員№],DBGenzai[ｱﾊﾟｰﾄ],"",0,1)</f>
        <v/>
      </c>
      <c r="V77" s="113" t="str">
        <f>_xlfn.XLOOKUP($C77,DBGenzai[社員№],DBGenzai[入居],"",0,1)</f>
        <v/>
      </c>
      <c r="W77" s="199">
        <v>44816</v>
      </c>
      <c r="X77" s="113" t="str">
        <f>_xlfn.XLOOKUP($C77,DBGenzai[社員№],DBGenzai[退社日],"",0,1)</f>
        <v/>
      </c>
      <c r="Y77" s="111" t="str">
        <f>_xlfn.XLOOKUP($C77,DBGenzai[社員№],DBGenzai[退去],"",0,1)</f>
        <v/>
      </c>
      <c r="Z77" s="111" t="str">
        <f>_xlfn.XLOOKUP($C77,DBGenzai[社員№],DBGenzai[備考],"",0,1)</f>
        <v/>
      </c>
      <c r="AA77" s="113">
        <f t="shared" si="0"/>
        <v>45199</v>
      </c>
      <c r="AB77" s="184">
        <f>(TablaTransfor[[#This Row],[unicos]]-TablaTransfor[[#This Row],[入社日]])/364</f>
        <v>1.0521978021978022</v>
      </c>
      <c r="AC77" s="190" t="s">
        <v>3015</v>
      </c>
      <c r="AD77" s="114">
        <v>44848</v>
      </c>
      <c r="AE77" s="116">
        <v>45017</v>
      </c>
      <c r="AF77" s="252" t="str">
        <f>_xlfn.XLOOKUP($C77,DBGenzai[社員№],DBGenzai[請求単価],"",0,1)</f>
        <v/>
      </c>
    </row>
    <row r="78" spans="1:32" hidden="1">
      <c r="A78" s="117">
        <f>SUBTOTAL(103,$C$3:C78)</f>
        <v>20</v>
      </c>
      <c r="B78" s="111">
        <v>41</v>
      </c>
      <c r="C78" s="111">
        <f>_xlfn.XLOOKUP($F$1&amp;B78,Filtro!B:B,Filtro!D:D,"",0,1)</f>
        <v>221201</v>
      </c>
      <c r="D78" s="111" t="str">
        <f>_xlfn.XLOOKUP(C78,DBGenzai[社員№],DBGenzai[現在],"",0,1)</f>
        <v>退社</v>
      </c>
      <c r="E78" s="111">
        <f>_xlfn.XLOOKUP($C78,DBGenzai[社員№],DBGenzai[派遣先ID],"",0,1)</f>
        <v>0</v>
      </c>
      <c r="F78" s="111">
        <f>_xlfn.XLOOKUP($C78,DBGenzai[社員№],DBGenzai[配属先],"",0,1)</f>
        <v>0</v>
      </c>
      <c r="G78" s="111" t="str">
        <f>MID(TablaTransfor[[#This Row],[配属先]],1,8)</f>
        <v>0</v>
      </c>
      <c r="H78" s="111" t="str">
        <f>MID(TablaTransfor[[#This Row],[配属先]],9,6)</f>
        <v/>
      </c>
      <c r="I78" s="111" t="str">
        <f>MID(TablaTransfor[[#This Row],[配属先]],15,12)</f>
        <v/>
      </c>
      <c r="J78" s="111">
        <f>_xlfn.XLOOKUP($C78,DBGenzai[社員№],DBGenzai[配属ライン],"",0,1)</f>
        <v>0</v>
      </c>
      <c r="K78" s="111" t="str">
        <f>_xlfn.XLOOKUP($C78,DBGenzai[社員№],DBGenzai[氏名],"",0,1)</f>
        <v>NGUYEN THANH DAT</v>
      </c>
      <c r="L78" s="111" t="str">
        <f>_xlfn.XLOOKUP($C78,DBGenzai[社員№],DBGenzai[カナ],"",0,1)</f>
        <v>グエン　タイン　ダット</v>
      </c>
      <c r="M78" s="111" t="str">
        <f>_xlfn.XLOOKUP($C78,DBGenzai[社員№],DBGenzai[性別],"",0,1)</f>
        <v>男</v>
      </c>
      <c r="N78" s="111" t="str">
        <f>_xlfn.XLOOKUP($C78,DBGenzai[社員№],DBGenzai[国籍],"",0,1)</f>
        <v>ﾍﾞﾄﾅﾑ</v>
      </c>
      <c r="O78" s="113">
        <f>_xlfn.XLOOKUP($C78,DBGenzai[社員№],DBGenzai[生年月日],"",0,1)</f>
        <v>36517</v>
      </c>
      <c r="P78" s="111">
        <f>_xlfn.XLOOKUP($C78,DBGenzai[社員№],DBGenzai[年齢],"",0,1)</f>
        <v>23</v>
      </c>
      <c r="Q78" s="111">
        <f>_xlfn.XLOOKUP($C78,DBGenzai[社員№],DBGenzai[時給],"",0,1)</f>
        <v>1200</v>
      </c>
      <c r="R78" s="111">
        <f>_xlfn.XLOOKUP($C78,DBGenzai[社員№],DBGenzai[請求単価],"",0,1)</f>
        <v>1650</v>
      </c>
      <c r="S78" s="111" t="str">
        <f>_xlfn.XLOOKUP($C78,DBGenzai[社員№],DBGenzai[〒],"",0,1)</f>
        <v>498-0032</v>
      </c>
      <c r="T78" s="111" t="str">
        <f>_xlfn.XLOOKUP($C78,DBGenzai[社員№],DBGenzai[住所],"",0,1)</f>
        <v>愛知県弥富市平島中4丁目128</v>
      </c>
      <c r="U78" s="111" t="str">
        <f>_xlfn.XLOOKUP($C78,DBGenzai[社員№],DBGenzai[ｱﾊﾟｰﾄ],"",0,1)</f>
        <v>村上貸家</v>
      </c>
      <c r="V78" s="113">
        <f>_xlfn.XLOOKUP($C78,DBGenzai[社員№],DBGenzai[入居],"",0,1)</f>
        <v>44893</v>
      </c>
      <c r="W78" s="197">
        <f>_xlfn.XLOOKUP($C78,DBGenzai[社員№],DBGenzai[入社日],"",0,1)</f>
        <v>44896</v>
      </c>
      <c r="X78" s="113">
        <f>_xlfn.XLOOKUP($C78,DBGenzai[社員№],DBGenzai[退社日],"",0,1)</f>
        <v>44985</v>
      </c>
      <c r="Y78" s="111">
        <f>_xlfn.XLOOKUP($C78,DBGenzai[社員№],DBGenzai[退去],"",0,1)</f>
        <v>0</v>
      </c>
      <c r="Z78" s="111">
        <f>_xlfn.XLOOKUP($C78,DBGenzai[社員№],DBGenzai[備考],"",0,1)</f>
        <v>0</v>
      </c>
      <c r="AA78" s="113">
        <f t="shared" si="0"/>
        <v>45199</v>
      </c>
      <c r="AB78" s="159">
        <f>(TablaTransfor[[#This Row],[unicos]]-TablaTransfor[[#This Row],[入社日]])/364</f>
        <v>0.83241758241758246</v>
      </c>
      <c r="AC78" s="190" t="s">
        <v>3015</v>
      </c>
      <c r="AD78" s="114">
        <v>44739</v>
      </c>
      <c r="AE78" s="116">
        <v>45017</v>
      </c>
      <c r="AF78" s="252">
        <f>_xlfn.XLOOKUP($C78,DBGenzai[社員№],DBGenzai[請求単価],"",0,1)</f>
        <v>1650</v>
      </c>
    </row>
    <row r="79" spans="1:32" hidden="1">
      <c r="A79" s="117">
        <f>SUBTOTAL(103,$C$3:C79)</f>
        <v>20</v>
      </c>
      <c r="B79" s="111">
        <v>60</v>
      </c>
      <c r="C79" s="111" t="str">
        <f>_xlfn.XLOOKUP($F$1&amp;B79,Filtro!B:B,Filtro!D:D,"",0,1)</f>
        <v/>
      </c>
      <c r="D79" s="111" t="str">
        <f>_xlfn.XLOOKUP(C79,DBGenzai[社員№],DBGenzai[現在],"",0,1)</f>
        <v/>
      </c>
      <c r="E79" s="111" t="str">
        <f>_xlfn.XLOOKUP($C79,DBGenzai[社員№],DBGenzai[派遣先ID],"",0,1)</f>
        <v/>
      </c>
      <c r="F79" s="111" t="str">
        <f>_xlfn.XLOOKUP($C79,DBGenzai[社員№],DBGenzai[配属先],"",0,1)</f>
        <v/>
      </c>
      <c r="G79" s="111" t="str">
        <f>MID(TablaTransfor[[#This Row],[配属先]],1,8)</f>
        <v/>
      </c>
      <c r="H79" s="111" t="str">
        <f>MID(TablaTransfor[[#This Row],[配属先]],9,6)</f>
        <v/>
      </c>
      <c r="I79" s="111" t="str">
        <f>MID(TablaTransfor[[#This Row],[配属先]],15,12)</f>
        <v/>
      </c>
      <c r="J79" s="111" t="str">
        <f>_xlfn.XLOOKUP($C79,DBGenzai[社員№],DBGenzai[配属ライン],"",0,1)</f>
        <v/>
      </c>
      <c r="K79" s="111" t="str">
        <f>_xlfn.XLOOKUP($C79,DBGenzai[社員№],DBGenzai[氏名],"",0,1)</f>
        <v/>
      </c>
      <c r="L79" s="111" t="str">
        <f>_xlfn.XLOOKUP($C79,DBGenzai[社員№],DBGenzai[カナ],"",0,1)</f>
        <v/>
      </c>
      <c r="M79" s="111" t="str">
        <f>_xlfn.XLOOKUP($C79,DBGenzai[社員№],DBGenzai[性別],"",0,1)</f>
        <v/>
      </c>
      <c r="N79" s="111" t="str">
        <f>_xlfn.XLOOKUP($C79,DBGenzai[社員№],DBGenzai[国籍],"",0,1)</f>
        <v/>
      </c>
      <c r="O79" s="113" t="str">
        <f>_xlfn.XLOOKUP($C79,DBGenzai[社員№],DBGenzai[生年月日],"",0,1)</f>
        <v/>
      </c>
      <c r="P79" s="111" t="str">
        <f>_xlfn.XLOOKUP($C79,DBGenzai[社員№],DBGenzai[年齢],"",0,1)</f>
        <v/>
      </c>
      <c r="Q79" s="111" t="str">
        <f>_xlfn.XLOOKUP($C79,DBGenzai[社員№],DBGenzai[時給],"",0,1)</f>
        <v/>
      </c>
      <c r="R79" s="111" t="str">
        <f>_xlfn.XLOOKUP($C79,DBGenzai[社員№],DBGenzai[請求単価],"",0,1)</f>
        <v/>
      </c>
      <c r="S79" s="111" t="str">
        <f>_xlfn.XLOOKUP($C79,DBGenzai[社員№],DBGenzai[〒],"",0,1)</f>
        <v/>
      </c>
      <c r="T79" s="111" t="str">
        <f>_xlfn.XLOOKUP($C79,DBGenzai[社員№],DBGenzai[住所],"",0,1)</f>
        <v/>
      </c>
      <c r="U79" s="111" t="str">
        <f>_xlfn.XLOOKUP($C79,DBGenzai[社員№],DBGenzai[ｱﾊﾟｰﾄ],"",0,1)</f>
        <v/>
      </c>
      <c r="V79" s="113" t="str">
        <f>_xlfn.XLOOKUP($C79,DBGenzai[社員№],DBGenzai[入居],"",0,1)</f>
        <v/>
      </c>
      <c r="W79" s="197" t="str">
        <f>_xlfn.XLOOKUP($C79,DBGenzai[社員№],DBGenzai[入社日],"",0,1)</f>
        <v/>
      </c>
      <c r="X79" s="113" t="str">
        <f>_xlfn.XLOOKUP($C79,DBGenzai[社員№],DBGenzai[退社日],"",0,1)</f>
        <v/>
      </c>
      <c r="Y79" s="111" t="str">
        <f>_xlfn.XLOOKUP($C79,DBGenzai[社員№],DBGenzai[退去],"",0,1)</f>
        <v/>
      </c>
      <c r="Z79" s="111" t="str">
        <f>_xlfn.XLOOKUP($C79,DBGenzai[社員№],DBGenzai[備考],"",0,1)</f>
        <v/>
      </c>
      <c r="AA79" s="113">
        <f t="shared" si="0"/>
        <v>45199</v>
      </c>
      <c r="AB79" s="159" t="e">
        <f>(TablaTransfor[[#This Row],[unicos]]-TablaTransfor[[#This Row],[入社日]])/364</f>
        <v>#VALUE!</v>
      </c>
      <c r="AC79" s="182" t="s">
        <v>2975</v>
      </c>
      <c r="AD79" s="114">
        <v>44841</v>
      </c>
      <c r="AE79" s="116" t="str">
        <f>TablaTransfor[[#This Row],[入社日]]</f>
        <v/>
      </c>
      <c r="AF79" s="252" t="str">
        <f>_xlfn.XLOOKUP($C79,DBGenzai[社員№],DBGenzai[請求単価],"",0,1)</f>
        <v/>
      </c>
    </row>
    <row r="80" spans="1:32" hidden="1">
      <c r="A80" s="117">
        <f>SUBTOTAL(103,$C$3:C80)</f>
        <v>20</v>
      </c>
      <c r="B80" s="111">
        <v>61</v>
      </c>
      <c r="C80" s="111" t="str">
        <f>_xlfn.XLOOKUP($F$1&amp;B80,Filtro!B:B,Filtro!D:D,"",0,1)</f>
        <v/>
      </c>
      <c r="D80" s="111" t="str">
        <f>_xlfn.XLOOKUP(C80,DBGenzai[社員№],DBGenzai[現在],"",0,1)</f>
        <v/>
      </c>
      <c r="E80" s="111" t="str">
        <f>_xlfn.XLOOKUP($C80,DBGenzai[社員№],DBGenzai[派遣先ID],"",0,1)</f>
        <v/>
      </c>
      <c r="F80" s="111" t="str">
        <f>_xlfn.XLOOKUP($C80,DBGenzai[社員№],DBGenzai[配属先],"",0,1)</f>
        <v/>
      </c>
      <c r="G80" s="111" t="str">
        <f>MID(TablaTransfor[[#This Row],[配属先]],1,8)</f>
        <v/>
      </c>
      <c r="H80" s="111" t="str">
        <f>MID(TablaTransfor[[#This Row],[配属先]],9,6)</f>
        <v/>
      </c>
      <c r="I80" s="111" t="str">
        <f>MID(TablaTransfor[[#This Row],[配属先]],15,12)</f>
        <v/>
      </c>
      <c r="J80" s="111" t="str">
        <f>_xlfn.XLOOKUP($C80,DBGenzai[社員№],DBGenzai[配属ライン],"",0,1)</f>
        <v/>
      </c>
      <c r="K80" s="111" t="str">
        <f>_xlfn.XLOOKUP($C80,DBGenzai[社員№],DBGenzai[氏名],"",0,1)</f>
        <v/>
      </c>
      <c r="L80" s="111" t="str">
        <f>_xlfn.XLOOKUP($C80,DBGenzai[社員№],DBGenzai[カナ],"",0,1)</f>
        <v/>
      </c>
      <c r="M80" s="111" t="str">
        <f>_xlfn.XLOOKUP($C80,DBGenzai[社員№],DBGenzai[性別],"",0,1)</f>
        <v/>
      </c>
      <c r="N80" s="111" t="str">
        <f>_xlfn.XLOOKUP($C80,DBGenzai[社員№],DBGenzai[国籍],"",0,1)</f>
        <v/>
      </c>
      <c r="O80" s="113" t="str">
        <f>_xlfn.XLOOKUP($C80,DBGenzai[社員№],DBGenzai[生年月日],"",0,1)</f>
        <v/>
      </c>
      <c r="P80" s="111" t="str">
        <f>_xlfn.XLOOKUP($C80,DBGenzai[社員№],DBGenzai[年齢],"",0,1)</f>
        <v/>
      </c>
      <c r="Q80" s="111" t="str">
        <f>_xlfn.XLOOKUP($C80,DBGenzai[社員№],DBGenzai[時給],"",0,1)</f>
        <v/>
      </c>
      <c r="R80" s="111" t="str">
        <f>_xlfn.XLOOKUP($C80,DBGenzai[社員№],DBGenzai[請求単価],"",0,1)</f>
        <v/>
      </c>
      <c r="S80" s="111" t="str">
        <f>_xlfn.XLOOKUP($C80,DBGenzai[社員№],DBGenzai[〒],"",0,1)</f>
        <v/>
      </c>
      <c r="T80" s="111" t="str">
        <f>_xlfn.XLOOKUP($C80,DBGenzai[社員№],DBGenzai[住所],"",0,1)</f>
        <v/>
      </c>
      <c r="U80" s="111" t="str">
        <f>_xlfn.XLOOKUP($C80,DBGenzai[社員№],DBGenzai[ｱﾊﾟｰﾄ],"",0,1)</f>
        <v/>
      </c>
      <c r="V80" s="113" t="str">
        <f>_xlfn.XLOOKUP($C80,DBGenzai[社員№],DBGenzai[入居],"",0,1)</f>
        <v/>
      </c>
      <c r="W80" s="197" t="str">
        <f>_xlfn.XLOOKUP($C80,DBGenzai[社員№],DBGenzai[入社日],"",0,1)</f>
        <v/>
      </c>
      <c r="X80" s="113" t="str">
        <f>_xlfn.XLOOKUP($C80,DBGenzai[社員№],DBGenzai[退社日],"",0,1)</f>
        <v/>
      </c>
      <c r="Y80" s="111" t="str">
        <f>_xlfn.XLOOKUP($C80,DBGenzai[社員№],DBGenzai[退去],"",0,1)</f>
        <v/>
      </c>
      <c r="Z80" s="111" t="str">
        <f>_xlfn.XLOOKUP($C80,DBGenzai[社員№],DBGenzai[備考],"",0,1)</f>
        <v/>
      </c>
      <c r="AA80" s="113">
        <f t="shared" si="0"/>
        <v>45199</v>
      </c>
      <c r="AB80" s="159" t="e">
        <f>(TablaTransfor[[#This Row],[unicos]]-TablaTransfor[[#This Row],[入社日]])/364</f>
        <v>#VALUE!</v>
      </c>
      <c r="AC80" s="182" t="s">
        <v>2975</v>
      </c>
      <c r="AD80" s="114">
        <v>44832</v>
      </c>
      <c r="AE80" s="116" t="str">
        <f>TablaTransfor[[#This Row],[入社日]]</f>
        <v/>
      </c>
      <c r="AF80" s="252" t="str">
        <f>_xlfn.XLOOKUP($C80,DBGenzai[社員№],DBGenzai[請求単価],"",0,1)</f>
        <v/>
      </c>
    </row>
    <row r="81" spans="1:32" hidden="1">
      <c r="A81" s="117">
        <f>SUBTOTAL(103,$C$3:C81)</f>
        <v>20</v>
      </c>
      <c r="B81" s="111">
        <v>42</v>
      </c>
      <c r="C81" s="111" t="str">
        <f>_xlfn.XLOOKUP($F$1&amp;B81,Filtro!B:B,Filtro!D:D,"",0,1)</f>
        <v/>
      </c>
      <c r="D81" s="111" t="str">
        <f>_xlfn.XLOOKUP(C81,DBGenzai[社員№],DBGenzai[現在],"",0,1)</f>
        <v/>
      </c>
      <c r="E81" s="111" t="str">
        <f>_xlfn.XLOOKUP($C81,DBGenzai[社員№],DBGenzai[派遣先ID],"",0,1)</f>
        <v/>
      </c>
      <c r="F81" s="111" t="str">
        <f>_xlfn.XLOOKUP($C81,DBGenzai[社員№],DBGenzai[配属先],"",0,1)</f>
        <v/>
      </c>
      <c r="G81" s="111" t="str">
        <f>MID(TablaTransfor[[#This Row],[配属先]],1,8)</f>
        <v/>
      </c>
      <c r="H81" s="111" t="str">
        <f>MID(TablaTransfor[[#This Row],[配属先]],9,6)</f>
        <v/>
      </c>
      <c r="I81" s="111" t="str">
        <f>MID(TablaTransfor[[#This Row],[配属先]],15,12)</f>
        <v/>
      </c>
      <c r="J81" s="111" t="str">
        <f>_xlfn.XLOOKUP($C81,DBGenzai[社員№],DBGenzai[配属ライン],"",0,1)</f>
        <v/>
      </c>
      <c r="K81" s="111" t="str">
        <f>_xlfn.XLOOKUP($C81,DBGenzai[社員№],DBGenzai[氏名],"",0,1)</f>
        <v/>
      </c>
      <c r="L81" s="111" t="str">
        <f>_xlfn.XLOOKUP($C81,DBGenzai[社員№],DBGenzai[カナ],"",0,1)</f>
        <v/>
      </c>
      <c r="M81" s="111" t="str">
        <f>_xlfn.XLOOKUP($C81,DBGenzai[社員№],DBGenzai[性別],"",0,1)</f>
        <v/>
      </c>
      <c r="N81" s="111" t="str">
        <f>_xlfn.XLOOKUP($C81,DBGenzai[社員№],DBGenzai[国籍],"",0,1)</f>
        <v/>
      </c>
      <c r="O81" s="113" t="str">
        <f>_xlfn.XLOOKUP($C81,DBGenzai[社員№],DBGenzai[生年月日],"",0,1)</f>
        <v/>
      </c>
      <c r="P81" s="111" t="str">
        <f>_xlfn.XLOOKUP($C81,DBGenzai[社員№],DBGenzai[年齢],"",0,1)</f>
        <v/>
      </c>
      <c r="Q81" s="111" t="str">
        <f>_xlfn.XLOOKUP($C81,DBGenzai[社員№],DBGenzai[時給],"",0,1)</f>
        <v/>
      </c>
      <c r="R81" s="111" t="str">
        <f>_xlfn.XLOOKUP($C81,DBGenzai[社員№],DBGenzai[請求単価],"",0,1)</f>
        <v/>
      </c>
      <c r="S81" s="111" t="str">
        <f>_xlfn.XLOOKUP($C81,DBGenzai[社員№],DBGenzai[〒],"",0,1)</f>
        <v/>
      </c>
      <c r="T81" s="111" t="str">
        <f>_xlfn.XLOOKUP($C81,DBGenzai[社員№],DBGenzai[住所],"",0,1)</f>
        <v/>
      </c>
      <c r="U81" s="111" t="str">
        <f>_xlfn.XLOOKUP($C81,DBGenzai[社員№],DBGenzai[ｱﾊﾟｰﾄ],"",0,1)</f>
        <v/>
      </c>
      <c r="V81" s="113" t="str">
        <f>_xlfn.XLOOKUP($C81,DBGenzai[社員№],DBGenzai[入居],"",0,1)</f>
        <v/>
      </c>
      <c r="W81" s="197" t="str">
        <f>_xlfn.XLOOKUP($C81,DBGenzai[社員№],DBGenzai[入社日],"",0,1)</f>
        <v/>
      </c>
      <c r="X81" s="113" t="str">
        <f>_xlfn.XLOOKUP($C81,DBGenzai[社員№],DBGenzai[退社日],"",0,1)</f>
        <v/>
      </c>
      <c r="Y81" s="111" t="str">
        <f>_xlfn.XLOOKUP($C81,DBGenzai[社員№],DBGenzai[退去],"",0,1)</f>
        <v/>
      </c>
      <c r="Z81" s="111" t="str">
        <f>_xlfn.XLOOKUP($C81,DBGenzai[社員№],DBGenzai[備考],"",0,1)</f>
        <v/>
      </c>
      <c r="AA81" s="113">
        <f t="shared" si="0"/>
        <v>45199</v>
      </c>
      <c r="AB81" s="159" t="e">
        <f>(TablaTransfor[[#This Row],[unicos]]-TablaTransfor[[#This Row],[入社日]])/364</f>
        <v>#VALUE!</v>
      </c>
      <c r="AC81" s="190" t="s">
        <v>3015</v>
      </c>
      <c r="AD81" s="114">
        <v>44718</v>
      </c>
      <c r="AE81" s="116">
        <v>45017</v>
      </c>
      <c r="AF81" s="252" t="str">
        <f>_xlfn.XLOOKUP($C81,DBGenzai[社員№],DBGenzai[請求単価],"",0,1)</f>
        <v/>
      </c>
    </row>
    <row r="82" spans="1:32" hidden="1">
      <c r="A82" s="117">
        <f>SUBTOTAL(103,$C$3:C82)</f>
        <v>20</v>
      </c>
      <c r="B82" s="111">
        <v>63</v>
      </c>
      <c r="C82" s="111" t="str">
        <f>_xlfn.XLOOKUP($F$1&amp;B82,Filtro!B:B,Filtro!D:D,"",0,1)</f>
        <v/>
      </c>
      <c r="D82" s="111" t="str">
        <f>_xlfn.XLOOKUP(C82,DBGenzai[社員№],DBGenzai[現在],"",0,1)</f>
        <v/>
      </c>
      <c r="E82" s="111" t="str">
        <f>_xlfn.XLOOKUP($C82,DBGenzai[社員№],DBGenzai[派遣先ID],"",0,1)</f>
        <v/>
      </c>
      <c r="F82" s="111" t="str">
        <f>_xlfn.XLOOKUP($C82,DBGenzai[社員№],DBGenzai[配属先],"",0,1)</f>
        <v/>
      </c>
      <c r="G82" s="111" t="str">
        <f>MID(TablaTransfor[[#This Row],[配属先]],1,8)</f>
        <v/>
      </c>
      <c r="H82" s="111" t="str">
        <f>MID(TablaTransfor[[#This Row],[配属先]],9,6)</f>
        <v/>
      </c>
      <c r="I82" s="111" t="str">
        <f>MID(TablaTransfor[[#This Row],[配属先]],15,12)</f>
        <v/>
      </c>
      <c r="J82" s="111" t="str">
        <f>_xlfn.XLOOKUP($C82,DBGenzai[社員№],DBGenzai[配属ライン],"",0,1)</f>
        <v/>
      </c>
      <c r="K82" s="111" t="str">
        <f>_xlfn.XLOOKUP($C82,DBGenzai[社員№],DBGenzai[氏名],"",0,1)</f>
        <v/>
      </c>
      <c r="L82" s="111" t="str">
        <f>_xlfn.XLOOKUP($C82,DBGenzai[社員№],DBGenzai[カナ],"",0,1)</f>
        <v/>
      </c>
      <c r="M82" s="111" t="str">
        <f>_xlfn.XLOOKUP($C82,DBGenzai[社員№],DBGenzai[性別],"",0,1)</f>
        <v/>
      </c>
      <c r="N82" s="111" t="str">
        <f>_xlfn.XLOOKUP($C82,DBGenzai[社員№],DBGenzai[国籍],"",0,1)</f>
        <v/>
      </c>
      <c r="O82" s="113" t="str">
        <f>_xlfn.XLOOKUP($C82,DBGenzai[社員№],DBGenzai[生年月日],"",0,1)</f>
        <v/>
      </c>
      <c r="P82" s="111" t="str">
        <f>_xlfn.XLOOKUP($C82,DBGenzai[社員№],DBGenzai[年齢],"",0,1)</f>
        <v/>
      </c>
      <c r="Q82" s="111" t="str">
        <f>_xlfn.XLOOKUP($C82,DBGenzai[社員№],DBGenzai[時給],"",0,1)</f>
        <v/>
      </c>
      <c r="R82" s="111" t="str">
        <f>_xlfn.XLOOKUP($C82,DBGenzai[社員№],DBGenzai[請求単価],"",0,1)</f>
        <v/>
      </c>
      <c r="S82" s="111" t="str">
        <f>_xlfn.XLOOKUP($C82,DBGenzai[社員№],DBGenzai[〒],"",0,1)</f>
        <v/>
      </c>
      <c r="T82" s="111" t="str">
        <f>_xlfn.XLOOKUP($C82,DBGenzai[社員№],DBGenzai[住所],"",0,1)</f>
        <v/>
      </c>
      <c r="U82" s="111" t="str">
        <f>_xlfn.XLOOKUP($C82,DBGenzai[社員№],DBGenzai[ｱﾊﾟｰﾄ],"",0,1)</f>
        <v/>
      </c>
      <c r="V82" s="113" t="str">
        <f>_xlfn.XLOOKUP($C82,DBGenzai[社員№],DBGenzai[入居],"",0,1)</f>
        <v/>
      </c>
      <c r="W82" s="197" t="str">
        <f>_xlfn.XLOOKUP($C82,DBGenzai[社員№],DBGenzai[入社日],"",0,1)</f>
        <v/>
      </c>
      <c r="X82" s="113" t="str">
        <f>_xlfn.XLOOKUP($C82,DBGenzai[社員№],DBGenzai[退社日],"",0,1)</f>
        <v/>
      </c>
      <c r="Y82" s="111" t="str">
        <f>_xlfn.XLOOKUP($C82,DBGenzai[社員№],DBGenzai[退去],"",0,1)</f>
        <v/>
      </c>
      <c r="Z82" s="111" t="str">
        <f>_xlfn.XLOOKUP($C82,DBGenzai[社員№],DBGenzai[備考],"",0,1)</f>
        <v/>
      </c>
      <c r="AA82" s="113">
        <f t="shared" si="0"/>
        <v>45199</v>
      </c>
      <c r="AB82" s="159" t="e">
        <f>(TablaTransfor[[#This Row],[unicos]]-TablaTransfor[[#This Row],[入社日]])/364</f>
        <v>#VALUE!</v>
      </c>
      <c r="AC82" s="190" t="s">
        <v>3015</v>
      </c>
      <c r="AD82" s="114">
        <v>44854</v>
      </c>
      <c r="AE82" s="116">
        <v>45017</v>
      </c>
      <c r="AF82" s="252" t="str">
        <f>_xlfn.XLOOKUP($C82,DBGenzai[社員№],DBGenzai[請求単価],"",0,1)</f>
        <v/>
      </c>
    </row>
    <row r="83" spans="1:32" hidden="1">
      <c r="A83" s="117">
        <f>SUBTOTAL(103,$C$3:C83)</f>
        <v>20</v>
      </c>
      <c r="B83" s="111">
        <v>64</v>
      </c>
      <c r="C83" s="111" t="str">
        <f>_xlfn.XLOOKUP($F$1&amp;B83,Filtro!B:B,Filtro!D:D,"",0,1)</f>
        <v/>
      </c>
      <c r="D83" s="111" t="str">
        <f>_xlfn.XLOOKUP(C83,DBGenzai[社員№],DBGenzai[現在],"",0,1)</f>
        <v/>
      </c>
      <c r="E83" s="111" t="str">
        <f>_xlfn.XLOOKUP($C83,DBGenzai[社員№],DBGenzai[派遣先ID],"",0,1)</f>
        <v/>
      </c>
      <c r="F83" s="111" t="str">
        <f>_xlfn.XLOOKUP($C83,DBGenzai[社員№],DBGenzai[配属先],"",0,1)</f>
        <v/>
      </c>
      <c r="G83" s="111" t="str">
        <f>MID(TablaTransfor[[#This Row],[配属先]],1,8)</f>
        <v/>
      </c>
      <c r="H83" s="111" t="str">
        <f>MID(TablaTransfor[[#This Row],[配属先]],9,6)</f>
        <v/>
      </c>
      <c r="I83" s="111" t="str">
        <f>MID(TablaTransfor[[#This Row],[配属先]],15,12)</f>
        <v/>
      </c>
      <c r="J83" s="111" t="str">
        <f>_xlfn.XLOOKUP($C83,DBGenzai[社員№],DBGenzai[配属ライン],"",0,1)</f>
        <v/>
      </c>
      <c r="K83" s="111" t="str">
        <f>_xlfn.XLOOKUP($C83,DBGenzai[社員№],DBGenzai[氏名],"",0,1)</f>
        <v/>
      </c>
      <c r="L83" s="111" t="str">
        <f>_xlfn.XLOOKUP($C83,DBGenzai[社員№],DBGenzai[カナ],"",0,1)</f>
        <v/>
      </c>
      <c r="M83" s="111" t="str">
        <f>_xlfn.XLOOKUP($C83,DBGenzai[社員№],DBGenzai[性別],"",0,1)</f>
        <v/>
      </c>
      <c r="N83" s="111" t="str">
        <f>_xlfn.XLOOKUP($C83,DBGenzai[社員№],DBGenzai[国籍],"",0,1)</f>
        <v/>
      </c>
      <c r="O83" s="113" t="str">
        <f>_xlfn.XLOOKUP($C83,DBGenzai[社員№],DBGenzai[生年月日],"",0,1)</f>
        <v/>
      </c>
      <c r="P83" s="111" t="str">
        <f>_xlfn.XLOOKUP($C83,DBGenzai[社員№],DBGenzai[年齢],"",0,1)</f>
        <v/>
      </c>
      <c r="Q83" s="111" t="str">
        <f>_xlfn.XLOOKUP($C83,DBGenzai[社員№],DBGenzai[時給],"",0,1)</f>
        <v/>
      </c>
      <c r="R83" s="111" t="str">
        <f>_xlfn.XLOOKUP($C83,DBGenzai[社員№],DBGenzai[請求単価],"",0,1)</f>
        <v/>
      </c>
      <c r="S83" s="111" t="str">
        <f>_xlfn.XLOOKUP($C83,DBGenzai[社員№],DBGenzai[〒],"",0,1)</f>
        <v/>
      </c>
      <c r="T83" s="111" t="str">
        <f>_xlfn.XLOOKUP($C83,DBGenzai[社員№],DBGenzai[住所],"",0,1)</f>
        <v/>
      </c>
      <c r="U83" s="111" t="str">
        <f>_xlfn.XLOOKUP($C83,DBGenzai[社員№],DBGenzai[ｱﾊﾟｰﾄ],"",0,1)</f>
        <v/>
      </c>
      <c r="V83" s="113" t="str">
        <f>_xlfn.XLOOKUP($C83,DBGenzai[社員№],DBGenzai[入居],"",0,1)</f>
        <v/>
      </c>
      <c r="W83" s="197" t="str">
        <f>_xlfn.XLOOKUP($C83,DBGenzai[社員№],DBGenzai[入社日],"",0,1)</f>
        <v/>
      </c>
      <c r="X83" s="113" t="str">
        <f>_xlfn.XLOOKUP($C83,DBGenzai[社員№],DBGenzai[退社日],"",0,1)</f>
        <v/>
      </c>
      <c r="Y83" s="111" t="str">
        <f>_xlfn.XLOOKUP($C83,DBGenzai[社員№],DBGenzai[退去],"",0,1)</f>
        <v/>
      </c>
      <c r="Z83" s="111" t="str">
        <f>_xlfn.XLOOKUP($C83,DBGenzai[社員№],DBGenzai[備考],"",0,1)</f>
        <v/>
      </c>
      <c r="AA83" s="113">
        <f t="shared" si="0"/>
        <v>45199</v>
      </c>
      <c r="AB83" s="159" t="e">
        <f>(TablaTransfor[[#This Row],[unicos]]-TablaTransfor[[#This Row],[入社日]])/364</f>
        <v>#VALUE!</v>
      </c>
      <c r="AC83" s="190" t="s">
        <v>3015</v>
      </c>
      <c r="AD83" s="114">
        <v>44840</v>
      </c>
      <c r="AE83" s="116">
        <v>45017</v>
      </c>
      <c r="AF83" s="252" t="str">
        <f>_xlfn.XLOOKUP($C83,DBGenzai[社員№],DBGenzai[請求単価],"",0,1)</f>
        <v/>
      </c>
    </row>
    <row r="84" spans="1:32" hidden="1">
      <c r="A84" s="117">
        <f>SUBTOTAL(103,$C$3:C84)</f>
        <v>20</v>
      </c>
      <c r="B84" s="111">
        <v>65</v>
      </c>
      <c r="C84" s="111" t="str">
        <f>_xlfn.XLOOKUP($F$1&amp;B84,Filtro!B:B,Filtro!D:D,"",0,1)</f>
        <v/>
      </c>
      <c r="D84" s="111" t="str">
        <f>_xlfn.XLOOKUP(C84,DBGenzai[社員№],DBGenzai[現在],"",0,1)</f>
        <v/>
      </c>
      <c r="E84" s="111" t="str">
        <f>_xlfn.XLOOKUP($C84,DBGenzai[社員№],DBGenzai[派遣先ID],"",0,1)</f>
        <v/>
      </c>
      <c r="F84" s="111" t="str">
        <f>_xlfn.XLOOKUP($C84,DBGenzai[社員№],DBGenzai[配属先],"",0,1)</f>
        <v/>
      </c>
      <c r="G84" s="111" t="str">
        <f>MID(TablaTransfor[[#This Row],[配属先]],1,8)</f>
        <v/>
      </c>
      <c r="H84" s="111" t="str">
        <f>MID(TablaTransfor[[#This Row],[配属先]],9,6)</f>
        <v/>
      </c>
      <c r="I84" s="111" t="str">
        <f>MID(TablaTransfor[[#This Row],[配属先]],15,12)</f>
        <v/>
      </c>
      <c r="J84" s="111" t="str">
        <f>_xlfn.XLOOKUP($C84,DBGenzai[社員№],DBGenzai[配属ライン],"",0,1)</f>
        <v/>
      </c>
      <c r="K84" s="111" t="str">
        <f>_xlfn.XLOOKUP($C84,DBGenzai[社員№],DBGenzai[氏名],"",0,1)</f>
        <v/>
      </c>
      <c r="L84" s="111" t="str">
        <f>_xlfn.XLOOKUP($C84,DBGenzai[社員№],DBGenzai[カナ],"",0,1)</f>
        <v/>
      </c>
      <c r="M84" s="111" t="str">
        <f>_xlfn.XLOOKUP($C84,DBGenzai[社員№],DBGenzai[性別],"",0,1)</f>
        <v/>
      </c>
      <c r="N84" s="111" t="str">
        <f>_xlfn.XLOOKUP($C84,DBGenzai[社員№],DBGenzai[国籍],"",0,1)</f>
        <v/>
      </c>
      <c r="O84" s="113" t="str">
        <f>_xlfn.XLOOKUP($C84,DBGenzai[社員№],DBGenzai[生年月日],"",0,1)</f>
        <v/>
      </c>
      <c r="P84" s="111" t="str">
        <f>_xlfn.XLOOKUP($C84,DBGenzai[社員№],DBGenzai[年齢],"",0,1)</f>
        <v/>
      </c>
      <c r="Q84" s="111" t="str">
        <f>_xlfn.XLOOKUP($C84,DBGenzai[社員№],DBGenzai[時給],"",0,1)</f>
        <v/>
      </c>
      <c r="R84" s="111" t="str">
        <f>_xlfn.XLOOKUP($C84,DBGenzai[社員№],DBGenzai[請求単価],"",0,1)</f>
        <v/>
      </c>
      <c r="S84" s="111" t="str">
        <f>_xlfn.XLOOKUP($C84,DBGenzai[社員№],DBGenzai[〒],"",0,1)</f>
        <v/>
      </c>
      <c r="T84" s="111" t="str">
        <f>_xlfn.XLOOKUP($C84,DBGenzai[社員№],DBGenzai[住所],"",0,1)</f>
        <v/>
      </c>
      <c r="U84" s="111" t="str">
        <f>_xlfn.XLOOKUP($C84,DBGenzai[社員№],DBGenzai[ｱﾊﾟｰﾄ],"",0,1)</f>
        <v/>
      </c>
      <c r="V84" s="113" t="str">
        <f>_xlfn.XLOOKUP($C84,DBGenzai[社員№],DBGenzai[入居],"",0,1)</f>
        <v/>
      </c>
      <c r="W84" s="197" t="str">
        <f>_xlfn.XLOOKUP($C84,DBGenzai[社員№],DBGenzai[入社日],"",0,1)</f>
        <v/>
      </c>
      <c r="X84" s="113" t="str">
        <f>_xlfn.XLOOKUP($C84,DBGenzai[社員№],DBGenzai[退社日],"",0,1)</f>
        <v/>
      </c>
      <c r="Y84" s="111" t="str">
        <f>_xlfn.XLOOKUP($C84,DBGenzai[社員№],DBGenzai[退去],"",0,1)</f>
        <v/>
      </c>
      <c r="Z84" s="111" t="str">
        <f>_xlfn.XLOOKUP($C84,DBGenzai[社員№],DBGenzai[備考],"",0,1)</f>
        <v/>
      </c>
      <c r="AA84" s="113">
        <f t="shared" si="0"/>
        <v>45199</v>
      </c>
      <c r="AB84" s="159" t="e">
        <f>(TablaTransfor[[#This Row],[unicos]]-TablaTransfor[[#This Row],[入社日]])/364</f>
        <v>#VALUE!</v>
      </c>
      <c r="AC84" s="190" t="s">
        <v>3015</v>
      </c>
      <c r="AD84" s="114">
        <v>44840</v>
      </c>
      <c r="AE84" s="116">
        <v>45017</v>
      </c>
      <c r="AF84" s="252" t="str">
        <f>_xlfn.XLOOKUP($C84,DBGenzai[社員№],DBGenzai[請求単価],"",0,1)</f>
        <v/>
      </c>
    </row>
    <row r="85" spans="1:32" hidden="1">
      <c r="A85" s="117">
        <f>SUBTOTAL(103,$C$3:C85)</f>
        <v>20</v>
      </c>
      <c r="B85" s="111">
        <v>66</v>
      </c>
      <c r="C85" s="111" t="str">
        <f>_xlfn.XLOOKUP($F$1&amp;B85,Filtro!B:B,Filtro!D:D,"",0,1)</f>
        <v/>
      </c>
      <c r="D85" s="111" t="str">
        <f>_xlfn.XLOOKUP(C85,DBGenzai[社員№],DBGenzai[現在],"",0,1)</f>
        <v/>
      </c>
      <c r="E85" s="111" t="str">
        <f>_xlfn.XLOOKUP($C85,DBGenzai[社員№],DBGenzai[派遣先ID],"",0,1)</f>
        <v/>
      </c>
      <c r="F85" s="111" t="str">
        <f>_xlfn.XLOOKUP($C85,DBGenzai[社員№],DBGenzai[配属先],"",0,1)</f>
        <v/>
      </c>
      <c r="G85" s="111" t="str">
        <f>MID(TablaTransfor[[#This Row],[配属先]],1,8)</f>
        <v/>
      </c>
      <c r="H85" s="111" t="str">
        <f>MID(TablaTransfor[[#This Row],[配属先]],9,6)</f>
        <v/>
      </c>
      <c r="I85" s="111" t="str">
        <f>MID(TablaTransfor[[#This Row],[配属先]],15,12)</f>
        <v/>
      </c>
      <c r="J85" s="111" t="str">
        <f>_xlfn.XLOOKUP($C85,DBGenzai[社員№],DBGenzai[配属ライン],"",0,1)</f>
        <v/>
      </c>
      <c r="K85" s="111" t="str">
        <f>_xlfn.XLOOKUP($C85,DBGenzai[社員№],DBGenzai[氏名],"",0,1)</f>
        <v/>
      </c>
      <c r="L85" s="111" t="str">
        <f>_xlfn.XLOOKUP($C85,DBGenzai[社員№],DBGenzai[カナ],"",0,1)</f>
        <v/>
      </c>
      <c r="M85" s="111" t="str">
        <f>_xlfn.XLOOKUP($C85,DBGenzai[社員№],DBGenzai[性別],"",0,1)</f>
        <v/>
      </c>
      <c r="N85" s="111" t="str">
        <f>_xlfn.XLOOKUP($C85,DBGenzai[社員№],DBGenzai[国籍],"",0,1)</f>
        <v/>
      </c>
      <c r="O85" s="113" t="str">
        <f>_xlfn.XLOOKUP($C85,DBGenzai[社員№],DBGenzai[生年月日],"",0,1)</f>
        <v/>
      </c>
      <c r="P85" s="111" t="str">
        <f>_xlfn.XLOOKUP($C85,DBGenzai[社員№],DBGenzai[年齢],"",0,1)</f>
        <v/>
      </c>
      <c r="Q85" s="111" t="str">
        <f>_xlfn.XLOOKUP($C85,DBGenzai[社員№],DBGenzai[時給],"",0,1)</f>
        <v/>
      </c>
      <c r="R85" s="111" t="str">
        <f>_xlfn.XLOOKUP($C85,DBGenzai[社員№],DBGenzai[請求単価],"",0,1)</f>
        <v/>
      </c>
      <c r="S85" s="111" t="str">
        <f>_xlfn.XLOOKUP($C85,DBGenzai[社員№],DBGenzai[〒],"",0,1)</f>
        <v/>
      </c>
      <c r="T85" s="111" t="str">
        <f>_xlfn.XLOOKUP($C85,DBGenzai[社員№],DBGenzai[住所],"",0,1)</f>
        <v/>
      </c>
      <c r="U85" s="111" t="str">
        <f>_xlfn.XLOOKUP($C85,DBGenzai[社員№],DBGenzai[ｱﾊﾟｰﾄ],"",0,1)</f>
        <v/>
      </c>
      <c r="V85" s="113" t="str">
        <f>_xlfn.XLOOKUP($C85,DBGenzai[社員№],DBGenzai[入居],"",0,1)</f>
        <v/>
      </c>
      <c r="W85" s="200" t="str">
        <f>_xlfn.XLOOKUP($C85,DBGenzai[社員№],DBGenzai[入社日],"",0,1)</f>
        <v/>
      </c>
      <c r="X85" s="113" t="str">
        <f>_xlfn.XLOOKUP($C85,DBGenzai[社員№],DBGenzai[退社日],"",0,1)</f>
        <v/>
      </c>
      <c r="Y85" s="111" t="str">
        <f>_xlfn.XLOOKUP($C85,DBGenzai[社員№],DBGenzai[退去],"",0,1)</f>
        <v/>
      </c>
      <c r="Z85" s="111" t="str">
        <f>_xlfn.XLOOKUP($C85,DBGenzai[社員№],DBGenzai[備考],"",0,1)</f>
        <v/>
      </c>
      <c r="AA85" s="113">
        <f t="shared" si="0"/>
        <v>45199</v>
      </c>
      <c r="AB85" s="159" t="e">
        <f>(TablaTransfor[[#This Row],[unicos]]-TablaTransfor[[#This Row],[入社日]])/364</f>
        <v>#VALUE!</v>
      </c>
      <c r="AC85" s="190" t="s">
        <v>3015</v>
      </c>
      <c r="AD85" s="114">
        <v>44910</v>
      </c>
      <c r="AE85" s="116">
        <v>45017</v>
      </c>
      <c r="AF85" s="252" t="str">
        <f>_xlfn.XLOOKUP($C85,DBGenzai[社員№],DBGenzai[請求単価],"",0,1)</f>
        <v/>
      </c>
    </row>
    <row r="86" spans="1:32" hidden="1">
      <c r="A86" s="117">
        <f>SUBTOTAL(103,$C$3:C86)</f>
        <v>20</v>
      </c>
      <c r="B86" s="111">
        <v>67</v>
      </c>
      <c r="C86" s="111" t="str">
        <f>_xlfn.XLOOKUP($F$1&amp;B86,Filtro!B:B,Filtro!D:D,"",0,1)</f>
        <v/>
      </c>
      <c r="D86" s="111" t="str">
        <f>_xlfn.XLOOKUP(C86,DBGenzai[社員№],DBGenzai[現在],"",0,1)</f>
        <v/>
      </c>
      <c r="E86" s="111" t="str">
        <f>_xlfn.XLOOKUP($C86,DBGenzai[社員№],DBGenzai[派遣先ID],"",0,1)</f>
        <v/>
      </c>
      <c r="F86" s="111" t="str">
        <f>_xlfn.XLOOKUP($C86,DBGenzai[社員№],DBGenzai[配属先],"",0,1)</f>
        <v/>
      </c>
      <c r="G86" s="111" t="str">
        <f>MID(TablaTransfor[[#This Row],[配属先]],1,8)</f>
        <v/>
      </c>
      <c r="H86" s="111" t="str">
        <f>MID(TablaTransfor[[#This Row],[配属先]],9,6)</f>
        <v/>
      </c>
      <c r="I86" s="111" t="str">
        <f>MID(TablaTransfor[[#This Row],[配属先]],15,12)</f>
        <v/>
      </c>
      <c r="J86" s="111" t="str">
        <f>_xlfn.XLOOKUP($C86,DBGenzai[社員№],DBGenzai[配属ライン],"",0,1)</f>
        <v/>
      </c>
      <c r="K86" s="111" t="str">
        <f>_xlfn.XLOOKUP($C86,DBGenzai[社員№],DBGenzai[氏名],"",0,1)</f>
        <v/>
      </c>
      <c r="L86" s="111" t="str">
        <f>_xlfn.XLOOKUP($C86,DBGenzai[社員№],DBGenzai[カナ],"",0,1)</f>
        <v/>
      </c>
      <c r="M86" s="111" t="str">
        <f>_xlfn.XLOOKUP($C86,DBGenzai[社員№],DBGenzai[性別],"",0,1)</f>
        <v/>
      </c>
      <c r="N86" s="111" t="str">
        <f>_xlfn.XLOOKUP($C86,DBGenzai[社員№],DBGenzai[国籍],"",0,1)</f>
        <v/>
      </c>
      <c r="O86" s="113" t="str">
        <f>_xlfn.XLOOKUP($C86,DBGenzai[社員№],DBGenzai[生年月日],"",0,1)</f>
        <v/>
      </c>
      <c r="P86" s="111" t="str">
        <f>_xlfn.XLOOKUP($C86,DBGenzai[社員№],DBGenzai[年齢],"",0,1)</f>
        <v/>
      </c>
      <c r="Q86" s="111" t="str">
        <f>_xlfn.XLOOKUP($C86,DBGenzai[社員№],DBGenzai[時給],"",0,1)</f>
        <v/>
      </c>
      <c r="R86" s="111" t="str">
        <f>_xlfn.XLOOKUP($C86,DBGenzai[社員№],DBGenzai[請求単価],"",0,1)</f>
        <v/>
      </c>
      <c r="S86" s="111" t="str">
        <f>_xlfn.XLOOKUP($C86,DBGenzai[社員№],DBGenzai[〒],"",0,1)</f>
        <v/>
      </c>
      <c r="T86" s="111" t="str">
        <f>_xlfn.XLOOKUP($C86,DBGenzai[社員№],DBGenzai[住所],"",0,1)</f>
        <v/>
      </c>
      <c r="U86" s="111" t="str">
        <f>_xlfn.XLOOKUP($C86,DBGenzai[社員№],DBGenzai[ｱﾊﾟｰﾄ],"",0,1)</f>
        <v/>
      </c>
      <c r="V86" s="113" t="str">
        <f>_xlfn.XLOOKUP($C86,DBGenzai[社員№],DBGenzai[入居],"",0,1)</f>
        <v/>
      </c>
      <c r="W86" s="200" t="str">
        <f>_xlfn.XLOOKUP($C86,DBGenzai[社員№],DBGenzai[入社日],"",0,1)</f>
        <v/>
      </c>
      <c r="X86" s="113" t="str">
        <f>_xlfn.XLOOKUP($C86,DBGenzai[社員№],DBGenzai[退社日],"",0,1)</f>
        <v/>
      </c>
      <c r="Y86" s="111" t="str">
        <f>_xlfn.XLOOKUP($C86,DBGenzai[社員№],DBGenzai[退去],"",0,1)</f>
        <v/>
      </c>
      <c r="Z86" s="111" t="str">
        <f>_xlfn.XLOOKUP($C86,DBGenzai[社員№],DBGenzai[備考],"",0,1)</f>
        <v/>
      </c>
      <c r="AA86" s="113">
        <f t="shared" si="0"/>
        <v>45199</v>
      </c>
      <c r="AB86" s="159" t="e">
        <f>(TablaTransfor[[#This Row],[unicos]]-TablaTransfor[[#This Row],[入社日]])/364</f>
        <v>#VALUE!</v>
      </c>
      <c r="AC86" s="181" t="s">
        <v>2974</v>
      </c>
      <c r="AD86" s="114">
        <v>44978</v>
      </c>
      <c r="AE86" s="116" t="str">
        <f>TablaTransfor[[#This Row],[入社日]]</f>
        <v/>
      </c>
      <c r="AF86" s="252" t="str">
        <f>_xlfn.XLOOKUP($C86,DBGenzai[社員№],DBGenzai[請求単価],"",0,1)</f>
        <v/>
      </c>
    </row>
    <row r="87" spans="1:32" hidden="1">
      <c r="A87" s="117">
        <f>SUBTOTAL(103,$C$3:C87)</f>
        <v>20</v>
      </c>
      <c r="B87" s="111">
        <v>68</v>
      </c>
      <c r="C87" s="111" t="str">
        <f>_xlfn.XLOOKUP($F$1&amp;B87,Filtro!B:B,Filtro!D:D,"",0,1)</f>
        <v/>
      </c>
      <c r="D87" s="111" t="str">
        <f>_xlfn.XLOOKUP(C87,DBGenzai[社員№],DBGenzai[現在],"",0,1)</f>
        <v/>
      </c>
      <c r="E87" s="111" t="str">
        <f>_xlfn.XLOOKUP($C87,DBGenzai[社員№],DBGenzai[派遣先ID],"",0,1)</f>
        <v/>
      </c>
      <c r="F87" s="111" t="str">
        <f>_xlfn.XLOOKUP($C87,DBGenzai[社員№],DBGenzai[配属先],"",0,1)</f>
        <v/>
      </c>
      <c r="G87" s="111" t="str">
        <f>MID(TablaTransfor[[#This Row],[配属先]],1,8)</f>
        <v/>
      </c>
      <c r="H87" s="111" t="str">
        <f>MID(TablaTransfor[[#This Row],[配属先]],9,6)</f>
        <v/>
      </c>
      <c r="I87" s="111" t="str">
        <f>MID(TablaTransfor[[#This Row],[配属先]],15,12)</f>
        <v/>
      </c>
      <c r="J87" s="111" t="str">
        <f>_xlfn.XLOOKUP($C87,DBGenzai[社員№],DBGenzai[配属ライン],"",0,1)</f>
        <v/>
      </c>
      <c r="K87" s="111" t="str">
        <f>_xlfn.XLOOKUP($C87,DBGenzai[社員№],DBGenzai[氏名],"",0,1)</f>
        <v/>
      </c>
      <c r="L87" s="111" t="str">
        <f>_xlfn.XLOOKUP($C87,DBGenzai[社員№],DBGenzai[カナ],"",0,1)</f>
        <v/>
      </c>
      <c r="M87" s="111" t="str">
        <f>_xlfn.XLOOKUP($C87,DBGenzai[社員№],DBGenzai[性別],"",0,1)</f>
        <v/>
      </c>
      <c r="N87" s="111" t="str">
        <f>_xlfn.XLOOKUP($C87,DBGenzai[社員№],DBGenzai[国籍],"",0,1)</f>
        <v/>
      </c>
      <c r="O87" s="113" t="str">
        <f>_xlfn.XLOOKUP($C87,DBGenzai[社員№],DBGenzai[生年月日],"",0,1)</f>
        <v/>
      </c>
      <c r="P87" s="111" t="str">
        <f>_xlfn.XLOOKUP($C87,DBGenzai[社員№],DBGenzai[年齢],"",0,1)</f>
        <v/>
      </c>
      <c r="Q87" s="111" t="str">
        <f>_xlfn.XLOOKUP($C87,DBGenzai[社員№],DBGenzai[時給],"",0,1)</f>
        <v/>
      </c>
      <c r="R87" s="111" t="str">
        <f>_xlfn.XLOOKUP($C87,DBGenzai[社員№],DBGenzai[請求単価],"",0,1)</f>
        <v/>
      </c>
      <c r="S87" s="111" t="str">
        <f>_xlfn.XLOOKUP($C87,DBGenzai[社員№],DBGenzai[〒],"",0,1)</f>
        <v/>
      </c>
      <c r="T87" s="111" t="str">
        <f>_xlfn.XLOOKUP($C87,DBGenzai[社員№],DBGenzai[住所],"",0,1)</f>
        <v/>
      </c>
      <c r="U87" s="111" t="str">
        <f>_xlfn.XLOOKUP($C87,DBGenzai[社員№],DBGenzai[ｱﾊﾟｰﾄ],"",0,1)</f>
        <v/>
      </c>
      <c r="V87" s="113" t="str">
        <f>_xlfn.XLOOKUP($C87,DBGenzai[社員№],DBGenzai[入居],"",0,1)</f>
        <v/>
      </c>
      <c r="W87" s="200" t="str">
        <f>_xlfn.XLOOKUP($C87,DBGenzai[社員№],DBGenzai[入社日],"",0,1)</f>
        <v/>
      </c>
      <c r="X87" s="113" t="str">
        <f>_xlfn.XLOOKUP($C87,DBGenzai[社員№],DBGenzai[退社日],"",0,1)</f>
        <v/>
      </c>
      <c r="Y87" s="111" t="str">
        <f>_xlfn.XLOOKUP($C87,DBGenzai[社員№],DBGenzai[退去],"",0,1)</f>
        <v/>
      </c>
      <c r="Z87" s="111" t="str">
        <f>_xlfn.XLOOKUP($C87,DBGenzai[社員№],DBGenzai[備考],"",0,1)</f>
        <v/>
      </c>
      <c r="AA87" s="113">
        <f t="shared" si="0"/>
        <v>45199</v>
      </c>
      <c r="AB87" s="159" t="e">
        <f>(TablaTransfor[[#This Row],[unicos]]-TablaTransfor[[#This Row],[入社日]])/364</f>
        <v>#VALUE!</v>
      </c>
      <c r="AC87" s="181" t="s">
        <v>2974</v>
      </c>
      <c r="AD87" s="114">
        <v>44987</v>
      </c>
      <c r="AE87" s="116" t="str">
        <f>TablaTransfor[[#This Row],[入社日]]</f>
        <v/>
      </c>
      <c r="AF87" s="252" t="str">
        <f>_xlfn.XLOOKUP($C87,DBGenzai[社員№],DBGenzai[請求単価],"",0,1)</f>
        <v/>
      </c>
    </row>
    <row r="88" spans="1:32" hidden="1">
      <c r="A88" s="117">
        <f>SUBTOTAL(103,$C$3:C88)</f>
        <v>20</v>
      </c>
      <c r="B88" s="111">
        <v>69</v>
      </c>
      <c r="C88" s="111" t="str">
        <f>_xlfn.XLOOKUP($F$1&amp;B88,Filtro!B:B,Filtro!D:D,"",0,1)</f>
        <v/>
      </c>
      <c r="E88" s="111" t="str">
        <f>_xlfn.XLOOKUP($C88,DBGenzai[社員№],DBGenzai[派遣先ID],"",0,1)</f>
        <v/>
      </c>
      <c r="F88" s="186" t="str">
        <f>_xlfn.XLOOKUP($C88,DBGenzai[社員№],DBGenzai[配属先],"",0,1)</f>
        <v/>
      </c>
      <c r="G88" s="186" t="str">
        <f>MID(TablaTransfor[[#This Row],[配属先]],1,8)</f>
        <v/>
      </c>
      <c r="H88" s="186" t="str">
        <f>MID(TablaTransfor[[#This Row],[配属先]],9,6)</f>
        <v/>
      </c>
      <c r="I88" s="186" t="str">
        <f>MID(TablaTransfor[[#This Row],[配属先]],15,12)</f>
        <v/>
      </c>
      <c r="J88" s="186" t="str">
        <f>_xlfn.XLOOKUP($C88,DBGenzai[社員№],DBGenzai[配属ライン],"",0,1)</f>
        <v/>
      </c>
      <c r="K88" s="186" t="str">
        <f>_xlfn.XLOOKUP($C88,DBGenzai[社員№],DBGenzai[氏名],"",0,1)</f>
        <v/>
      </c>
      <c r="L88" s="186" t="str">
        <f>_xlfn.XLOOKUP($C88,DBGenzai[社員№],DBGenzai[カナ],"",0,1)</f>
        <v/>
      </c>
      <c r="M88" s="186" t="str">
        <f>_xlfn.XLOOKUP($C88,DBGenzai[社員№],DBGenzai[性別],"",0,1)</f>
        <v/>
      </c>
      <c r="N88" s="186" t="str">
        <f>_xlfn.XLOOKUP($C88,DBGenzai[社員№],DBGenzai[国籍],"",0,1)</f>
        <v/>
      </c>
      <c r="O88" s="113" t="str">
        <f>_xlfn.XLOOKUP($C88,DBGenzai[社員№],DBGenzai[生年月日],"",0,1)</f>
        <v/>
      </c>
      <c r="P88" s="111" t="str">
        <f>_xlfn.XLOOKUP($C88,DBGenzai[社員№],DBGenzai[年齢],"",0,1)</f>
        <v/>
      </c>
      <c r="Q88" s="111" t="str">
        <f>_xlfn.XLOOKUP($C88,DBGenzai[社員№],DBGenzai[時給],"",0,1)</f>
        <v/>
      </c>
      <c r="R88" s="111" t="str">
        <f>_xlfn.XLOOKUP($C88,DBGenzai[社員№],DBGenzai[請求単価],"",0,1)</f>
        <v/>
      </c>
      <c r="S88" s="111" t="str">
        <f>_xlfn.XLOOKUP($C88,DBGenzai[社員№],DBGenzai[〒],"",0,1)</f>
        <v/>
      </c>
      <c r="T88" s="111" t="str">
        <f>_xlfn.XLOOKUP($C88,DBGenzai[社員№],DBGenzai[住所],"",0,1)</f>
        <v/>
      </c>
      <c r="U88" s="111" t="str">
        <f>_xlfn.XLOOKUP($C88,DBGenzai[社員№],DBGenzai[ｱﾊﾟｰﾄ],"",0,1)</f>
        <v/>
      </c>
      <c r="V88" s="113" t="str">
        <f>_xlfn.XLOOKUP($C88,DBGenzai[社員№],DBGenzai[入居],"",0,1)</f>
        <v/>
      </c>
      <c r="W88" s="187" t="str">
        <f>_xlfn.XLOOKUP($C88,DBGenzai[社員№],DBGenzai[入社日],"",0,1)</f>
        <v/>
      </c>
      <c r="X88" s="113" t="str">
        <f>_xlfn.XLOOKUP($C88,DBGenzai[社員№],DBGenzai[退社日],"",0,1)</f>
        <v/>
      </c>
      <c r="Y88" s="111" t="str">
        <f>_xlfn.XLOOKUP($C88,DBGenzai[社員№],DBGenzai[退去],"",0,1)</f>
        <v/>
      </c>
      <c r="Z88" s="111" t="str">
        <f>_xlfn.XLOOKUP($C88,DBGenzai[社員№],DBGenzai[備考],"",0,1)</f>
        <v/>
      </c>
      <c r="AA88" s="187"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88" s="188" t="e">
        <f>(TablaTransfor[[#This Row],[unicos]]-TablaTransfor[[#This Row],[入社日]])/364</f>
        <v>#VALUE!</v>
      </c>
      <c r="AC88" s="192"/>
      <c r="AF88" s="251" t="str">
        <f>_xlfn.XLOOKUP($C88,DBGenzai[社員№],DBGenzai[請求単価],"",0,1)</f>
        <v/>
      </c>
    </row>
    <row r="89" spans="1:32" hidden="1">
      <c r="A89" s="117">
        <f>SUBTOTAL(103,$C$3:C89)</f>
        <v>20</v>
      </c>
      <c r="B89" s="111">
        <v>74</v>
      </c>
      <c r="C89" s="111" t="str">
        <f>_xlfn.XLOOKUP($F$1&amp;B89,Filtro!B:B,Filtro!D:D,"",0,1)</f>
        <v/>
      </c>
      <c r="D89" s="111" t="str">
        <f>_xlfn.XLOOKUP(C89,DBGenzai[社員№],DBGenzai[現在],"",0,1)</f>
        <v/>
      </c>
      <c r="E89" s="111" t="str">
        <f>_xlfn.XLOOKUP($C89,DBGenzai[社員№],DBGenzai[派遣先ID],"",0,1)</f>
        <v/>
      </c>
      <c r="F89" s="111" t="str">
        <f>_xlfn.XLOOKUP($C89,DBGenzai[社員№],DBGenzai[配属先],"",0,1)</f>
        <v/>
      </c>
      <c r="G89" s="111" t="str">
        <f>MID(TablaTransfor[[#This Row],[配属先]],1,8)</f>
        <v/>
      </c>
      <c r="H89" s="111" t="str">
        <f>MID(TablaTransfor[[#This Row],[配属先]],9,6)</f>
        <v/>
      </c>
      <c r="I89" s="111" t="str">
        <f>MID(TablaTransfor[[#This Row],[配属先]],15,12)</f>
        <v/>
      </c>
      <c r="J89" s="111" t="str">
        <f>_xlfn.XLOOKUP($C89,DBGenzai[社員№],DBGenzai[配属ライン],"",0,1)</f>
        <v/>
      </c>
      <c r="K89" s="111" t="str">
        <f>_xlfn.XLOOKUP($C89,DBGenzai[社員№],DBGenzai[氏名],"",0,1)</f>
        <v/>
      </c>
      <c r="L89" s="111" t="str">
        <f>_xlfn.XLOOKUP($C89,DBGenzai[社員№],DBGenzai[カナ],"",0,1)</f>
        <v/>
      </c>
      <c r="M89" s="111" t="str">
        <f>_xlfn.XLOOKUP($C89,DBGenzai[社員№],DBGenzai[性別],"",0,1)</f>
        <v/>
      </c>
      <c r="N89" s="111" t="str">
        <f>_xlfn.XLOOKUP($C89,DBGenzai[社員№],DBGenzai[国籍],"",0,1)</f>
        <v/>
      </c>
      <c r="O89" s="113" t="str">
        <f>_xlfn.XLOOKUP($C89,DBGenzai[社員№],DBGenzai[生年月日],"",0,1)</f>
        <v/>
      </c>
      <c r="P89" s="111" t="str">
        <f>_xlfn.XLOOKUP($C89,DBGenzai[社員№],DBGenzai[年齢],"",0,1)</f>
        <v/>
      </c>
      <c r="Q89" s="111" t="str">
        <f>_xlfn.XLOOKUP($C89,DBGenzai[社員№],DBGenzai[時給],"",0,1)</f>
        <v/>
      </c>
      <c r="R89" s="111" t="str">
        <f>_xlfn.XLOOKUP($C89,DBGenzai[社員№],DBGenzai[請求単価],"",0,1)</f>
        <v/>
      </c>
      <c r="S89" s="111" t="str">
        <f>_xlfn.XLOOKUP($C89,DBGenzai[社員№],DBGenzai[〒],"",0,1)</f>
        <v/>
      </c>
      <c r="T89" s="111" t="str">
        <f>_xlfn.XLOOKUP($C89,DBGenzai[社員№],DBGenzai[住所],"",0,1)</f>
        <v/>
      </c>
      <c r="U89" s="111" t="str">
        <f>_xlfn.XLOOKUP($C89,DBGenzai[社員№],DBGenzai[ｱﾊﾟｰﾄ],"",0,1)</f>
        <v/>
      </c>
      <c r="V89" s="113" t="str">
        <f>_xlfn.XLOOKUP($C89,DBGenzai[社員№],DBGenzai[入居],"",0,1)</f>
        <v/>
      </c>
      <c r="W89" s="200" t="str">
        <f>_xlfn.XLOOKUP($C89,DBGenzai[社員№],DBGenzai[入社日],"",0,1)</f>
        <v/>
      </c>
      <c r="X89" s="113" t="str">
        <f>_xlfn.XLOOKUP($C89,DBGenzai[社員№],DBGenzai[退社日],"",0,1)</f>
        <v/>
      </c>
      <c r="Y89" s="111" t="str">
        <f>_xlfn.XLOOKUP($C89,DBGenzai[社員№],DBGenzai[退去],"",0,1)</f>
        <v/>
      </c>
      <c r="Z89" s="111" t="str">
        <f>_xlfn.XLOOKUP($C89,DBGenzai[社員№],DBGenzai[備考],"",0,1)</f>
        <v/>
      </c>
      <c r="AA89" s="113">
        <f t="shared" ref="AA89:AA104" si="1">$AA$1</f>
        <v>45199</v>
      </c>
      <c r="AB89" s="159" t="e">
        <f>(TablaTransfor[[#This Row],[unicos]]-TablaTransfor[[#This Row],[入社日]])/364</f>
        <v>#VALUE!</v>
      </c>
      <c r="AC89" s="190" t="s">
        <v>3015</v>
      </c>
      <c r="AE89" s="116">
        <v>45017</v>
      </c>
      <c r="AF89" s="252" t="str">
        <f>_xlfn.XLOOKUP($C89,DBGenzai[社員№],DBGenzai[請求単価],"",0,1)</f>
        <v/>
      </c>
    </row>
    <row r="90" spans="1:32" hidden="1">
      <c r="A90" s="117">
        <f>SUBTOTAL(103,$C$3:C90)</f>
        <v>20</v>
      </c>
      <c r="B90" s="111">
        <v>70</v>
      </c>
      <c r="C90" s="111" t="str">
        <f>_xlfn.XLOOKUP($F$1&amp;B90,Filtro!B:B,Filtro!D:D,"",0,1)</f>
        <v/>
      </c>
      <c r="D90" s="111" t="str">
        <f>_xlfn.XLOOKUP(C90,DBGenzai[社員№],DBGenzai[現在],"",0,1)</f>
        <v/>
      </c>
      <c r="E90" s="111" t="str">
        <f>_xlfn.XLOOKUP($C90,DBGenzai[社員№],DBGenzai[派遣先ID],"",0,1)</f>
        <v/>
      </c>
      <c r="F90" s="111" t="str">
        <f>_xlfn.XLOOKUP($C90,DBGenzai[社員№],DBGenzai[配属先],"",0,1)</f>
        <v/>
      </c>
      <c r="G90" s="111" t="str">
        <f>MID(TablaTransfor[[#This Row],[配属先]],1,8)</f>
        <v/>
      </c>
      <c r="H90" s="111" t="str">
        <f>MID(TablaTransfor[[#This Row],[配属先]],9,6)</f>
        <v/>
      </c>
      <c r="I90" s="111" t="str">
        <f>MID(TablaTransfor[[#This Row],[配属先]],15,12)</f>
        <v/>
      </c>
      <c r="J90" s="111" t="str">
        <f>_xlfn.XLOOKUP($C90,DBGenzai[社員№],DBGenzai[配属ライン],"",0,1)</f>
        <v/>
      </c>
      <c r="K90" s="111" t="str">
        <f>_xlfn.XLOOKUP($C90,DBGenzai[社員№],DBGenzai[氏名],"",0,1)</f>
        <v/>
      </c>
      <c r="L90" s="111" t="str">
        <f>_xlfn.XLOOKUP($C90,DBGenzai[社員№],DBGenzai[カナ],"",0,1)</f>
        <v/>
      </c>
      <c r="M90" s="111" t="str">
        <f>_xlfn.XLOOKUP($C90,DBGenzai[社員№],DBGenzai[性別],"",0,1)</f>
        <v/>
      </c>
      <c r="N90" s="111" t="str">
        <f>_xlfn.XLOOKUP($C90,DBGenzai[社員№],DBGenzai[国籍],"",0,1)</f>
        <v/>
      </c>
      <c r="O90" s="113" t="str">
        <f>_xlfn.XLOOKUP($C90,DBGenzai[社員№],DBGenzai[生年月日],"",0,1)</f>
        <v/>
      </c>
      <c r="P90" s="111" t="str">
        <f>_xlfn.XLOOKUP($C90,DBGenzai[社員№],DBGenzai[年齢],"",0,1)</f>
        <v/>
      </c>
      <c r="Q90" s="111" t="str">
        <f>_xlfn.XLOOKUP($C90,DBGenzai[社員№],DBGenzai[時給],"",0,1)</f>
        <v/>
      </c>
      <c r="R90" s="111" t="str">
        <f>_xlfn.XLOOKUP($C90,DBGenzai[社員№],DBGenzai[請求単価],"",0,1)</f>
        <v/>
      </c>
      <c r="S90" s="111" t="str">
        <f>_xlfn.XLOOKUP($C90,DBGenzai[社員№],DBGenzai[〒],"",0,1)</f>
        <v/>
      </c>
      <c r="T90" s="111" t="str">
        <f>_xlfn.XLOOKUP($C90,DBGenzai[社員№],DBGenzai[住所],"",0,1)</f>
        <v/>
      </c>
      <c r="U90" s="111" t="str">
        <f>_xlfn.XLOOKUP($C90,DBGenzai[社員№],DBGenzai[ｱﾊﾟｰﾄ],"",0,1)</f>
        <v/>
      </c>
      <c r="V90" s="113" t="str">
        <f>_xlfn.XLOOKUP($C90,DBGenzai[社員№],DBGenzai[入居],"",0,1)</f>
        <v/>
      </c>
      <c r="W90" s="200" t="str">
        <f>_xlfn.XLOOKUP($C90,DBGenzai[社員№],DBGenzai[入社日],"",0,1)</f>
        <v/>
      </c>
      <c r="X90" s="113" t="str">
        <f>_xlfn.XLOOKUP($C90,DBGenzai[社員№],DBGenzai[退社日],"",0,1)</f>
        <v/>
      </c>
      <c r="Y90" s="111" t="str">
        <f>_xlfn.XLOOKUP($C90,DBGenzai[社員№],DBGenzai[退去],"",0,1)</f>
        <v/>
      </c>
      <c r="Z90" s="111" t="str">
        <f>_xlfn.XLOOKUP($C90,DBGenzai[社員№],DBGenzai[備考],"",0,1)</f>
        <v/>
      </c>
      <c r="AA90" s="113">
        <f t="shared" si="1"/>
        <v>45199</v>
      </c>
      <c r="AB90" s="159" t="e">
        <f>(TablaTransfor[[#This Row],[unicos]]-TablaTransfor[[#This Row],[入社日]])/364</f>
        <v>#VALUE!</v>
      </c>
      <c r="AC90" s="190" t="s">
        <v>3015</v>
      </c>
      <c r="AD90" s="114">
        <v>45021</v>
      </c>
      <c r="AE90" s="116">
        <v>45017</v>
      </c>
      <c r="AF90" s="252" t="str">
        <f>_xlfn.XLOOKUP($C90,DBGenzai[社員№],DBGenzai[請求単価],"",0,1)</f>
        <v/>
      </c>
    </row>
    <row r="91" spans="1:32" hidden="1">
      <c r="A91" s="117">
        <f>SUBTOTAL(103,$C$3:C91)</f>
        <v>20</v>
      </c>
      <c r="B91" s="111">
        <v>71</v>
      </c>
      <c r="C91" s="111" t="str">
        <f>_xlfn.XLOOKUP($F$1&amp;B91,Filtro!B:B,Filtro!D:D,"",0,1)</f>
        <v/>
      </c>
      <c r="D91" s="111" t="str">
        <f>_xlfn.XLOOKUP(C91,DBGenzai[社員№],DBGenzai[現在],"",0,1)</f>
        <v/>
      </c>
      <c r="E91" s="111" t="str">
        <f>_xlfn.XLOOKUP($C91,DBGenzai[社員№],DBGenzai[派遣先ID],"",0,1)</f>
        <v/>
      </c>
      <c r="F91" s="111" t="str">
        <f>_xlfn.XLOOKUP($C91,DBGenzai[社員№],DBGenzai[配属先],"",0,1)</f>
        <v/>
      </c>
      <c r="G91" s="111" t="str">
        <f>MID(TablaTransfor[[#This Row],[配属先]],1,8)</f>
        <v/>
      </c>
      <c r="H91" s="111" t="str">
        <f>MID(TablaTransfor[[#This Row],[配属先]],9,6)</f>
        <v/>
      </c>
      <c r="I91" s="111" t="str">
        <f>MID(TablaTransfor[[#This Row],[配属先]],15,12)</f>
        <v/>
      </c>
      <c r="J91" s="111" t="str">
        <f>_xlfn.XLOOKUP($C91,DBGenzai[社員№],DBGenzai[配属ライン],"",0,1)</f>
        <v/>
      </c>
      <c r="K91" s="111" t="str">
        <f>_xlfn.XLOOKUP($C91,DBGenzai[社員№],DBGenzai[氏名],"",0,1)</f>
        <v/>
      </c>
      <c r="L91" s="111" t="str">
        <f>_xlfn.XLOOKUP($C91,DBGenzai[社員№],DBGenzai[カナ],"",0,1)</f>
        <v/>
      </c>
      <c r="M91" s="111" t="str">
        <f>_xlfn.XLOOKUP($C91,DBGenzai[社員№],DBGenzai[性別],"",0,1)</f>
        <v/>
      </c>
      <c r="N91" s="111" t="str">
        <f>_xlfn.XLOOKUP($C91,DBGenzai[社員№],DBGenzai[国籍],"",0,1)</f>
        <v/>
      </c>
      <c r="O91" s="113" t="str">
        <f>_xlfn.XLOOKUP($C91,DBGenzai[社員№],DBGenzai[生年月日],"",0,1)</f>
        <v/>
      </c>
      <c r="P91" s="111" t="str">
        <f>_xlfn.XLOOKUP($C91,DBGenzai[社員№],DBGenzai[年齢],"",0,1)</f>
        <v/>
      </c>
      <c r="Q91" s="111" t="str">
        <f>_xlfn.XLOOKUP($C91,DBGenzai[社員№],DBGenzai[時給],"",0,1)</f>
        <v/>
      </c>
      <c r="R91" s="111" t="str">
        <f>_xlfn.XLOOKUP($C91,DBGenzai[社員№],DBGenzai[請求単価],"",0,1)</f>
        <v/>
      </c>
      <c r="S91" s="111" t="str">
        <f>_xlfn.XLOOKUP($C91,DBGenzai[社員№],DBGenzai[〒],"",0,1)</f>
        <v/>
      </c>
      <c r="T91" s="111" t="str">
        <f>_xlfn.XLOOKUP($C91,DBGenzai[社員№],DBGenzai[住所],"",0,1)</f>
        <v/>
      </c>
      <c r="U91" s="111" t="str">
        <f>_xlfn.XLOOKUP($C91,DBGenzai[社員№],DBGenzai[ｱﾊﾟｰﾄ],"",0,1)</f>
        <v/>
      </c>
      <c r="V91" s="113" t="str">
        <f>_xlfn.XLOOKUP($C91,DBGenzai[社員№],DBGenzai[入居],"",0,1)</f>
        <v/>
      </c>
      <c r="W91" s="200" t="str">
        <f>_xlfn.XLOOKUP($C91,DBGenzai[社員№],DBGenzai[入社日],"",0,1)</f>
        <v/>
      </c>
      <c r="X91" s="113" t="str">
        <f>_xlfn.XLOOKUP($C91,DBGenzai[社員№],DBGenzai[退社日],"",0,1)</f>
        <v/>
      </c>
      <c r="Y91" s="111" t="str">
        <f>_xlfn.XLOOKUP($C91,DBGenzai[社員№],DBGenzai[退去],"",0,1)</f>
        <v/>
      </c>
      <c r="Z91" s="111" t="str">
        <f>_xlfn.XLOOKUP($C91,DBGenzai[社員№],DBGenzai[備考],"",0,1)</f>
        <v/>
      </c>
      <c r="AA91" s="113">
        <f t="shared" si="1"/>
        <v>45199</v>
      </c>
      <c r="AB91" s="159" t="e">
        <f>(TablaTransfor[[#This Row],[unicos]]-TablaTransfor[[#This Row],[入社日]])/364</f>
        <v>#VALUE!</v>
      </c>
      <c r="AC91" s="190" t="s">
        <v>3015</v>
      </c>
      <c r="AD91" s="114">
        <v>45007</v>
      </c>
      <c r="AE91" s="116">
        <v>45017</v>
      </c>
      <c r="AF91" s="252" t="str">
        <f>_xlfn.XLOOKUP($C91,DBGenzai[社員№],DBGenzai[請求単価],"",0,1)</f>
        <v/>
      </c>
    </row>
    <row r="92" spans="1:32" hidden="1">
      <c r="A92" s="117">
        <f>SUBTOTAL(103,$C$3:C92)</f>
        <v>20</v>
      </c>
      <c r="B92" s="111">
        <v>72</v>
      </c>
      <c r="C92" s="111" t="str">
        <f>_xlfn.XLOOKUP($F$1&amp;B92,Filtro!B:B,Filtro!D:D,"",0,1)</f>
        <v/>
      </c>
      <c r="D92" s="111" t="str">
        <f>_xlfn.XLOOKUP(C92,DBGenzai[社員№],DBGenzai[現在],"",0,1)</f>
        <v/>
      </c>
      <c r="E92" s="111" t="str">
        <f>_xlfn.XLOOKUP($C92,DBGenzai[社員№],DBGenzai[派遣先ID],"",0,1)</f>
        <v/>
      </c>
      <c r="F92" s="111" t="str">
        <f>_xlfn.XLOOKUP($C92,DBGenzai[社員№],DBGenzai[配属先],"",0,1)</f>
        <v/>
      </c>
      <c r="G92" s="111" t="str">
        <f>MID(TablaTransfor[[#This Row],[配属先]],1,8)</f>
        <v/>
      </c>
      <c r="H92" s="111" t="str">
        <f>MID(TablaTransfor[[#This Row],[配属先]],9,6)</f>
        <v/>
      </c>
      <c r="I92" s="111" t="str">
        <f>MID(TablaTransfor[[#This Row],[配属先]],15,12)</f>
        <v/>
      </c>
      <c r="J92" s="111" t="str">
        <f>_xlfn.XLOOKUP($C92,DBGenzai[社員№],DBGenzai[配属ライン],"",0,1)</f>
        <v/>
      </c>
      <c r="K92" s="111" t="str">
        <f>_xlfn.XLOOKUP($C92,DBGenzai[社員№],DBGenzai[氏名],"",0,1)</f>
        <v/>
      </c>
      <c r="L92" s="111" t="str">
        <f>_xlfn.XLOOKUP($C92,DBGenzai[社員№],DBGenzai[カナ],"",0,1)</f>
        <v/>
      </c>
      <c r="M92" s="111" t="str">
        <f>_xlfn.XLOOKUP($C92,DBGenzai[社員№],DBGenzai[性別],"",0,1)</f>
        <v/>
      </c>
      <c r="N92" s="111" t="str">
        <f>_xlfn.XLOOKUP($C92,DBGenzai[社員№],DBGenzai[国籍],"",0,1)</f>
        <v/>
      </c>
      <c r="O92" s="113" t="str">
        <f>_xlfn.XLOOKUP($C92,DBGenzai[社員№],DBGenzai[生年月日],"",0,1)</f>
        <v/>
      </c>
      <c r="P92" s="111" t="str">
        <f>_xlfn.XLOOKUP($C92,DBGenzai[社員№],DBGenzai[年齢],"",0,1)</f>
        <v/>
      </c>
      <c r="Q92" s="111" t="str">
        <f>_xlfn.XLOOKUP($C92,DBGenzai[社員№],DBGenzai[時給],"",0,1)</f>
        <v/>
      </c>
      <c r="R92" s="111" t="str">
        <f>_xlfn.XLOOKUP($C92,DBGenzai[社員№],DBGenzai[請求単価],"",0,1)</f>
        <v/>
      </c>
      <c r="S92" s="111" t="str">
        <f>_xlfn.XLOOKUP($C92,DBGenzai[社員№],DBGenzai[〒],"",0,1)</f>
        <v/>
      </c>
      <c r="T92" s="111" t="str">
        <f>_xlfn.XLOOKUP($C92,DBGenzai[社員№],DBGenzai[住所],"",0,1)</f>
        <v/>
      </c>
      <c r="U92" s="111" t="str">
        <f>_xlfn.XLOOKUP($C92,DBGenzai[社員№],DBGenzai[ｱﾊﾟｰﾄ],"",0,1)</f>
        <v/>
      </c>
      <c r="V92" s="113" t="str">
        <f>_xlfn.XLOOKUP($C92,DBGenzai[社員№],DBGenzai[入居],"",0,1)</f>
        <v/>
      </c>
      <c r="W92" s="200" t="str">
        <f>_xlfn.XLOOKUP($C92,DBGenzai[社員№],DBGenzai[入社日],"",0,1)</f>
        <v/>
      </c>
      <c r="X92" s="113" t="str">
        <f>_xlfn.XLOOKUP($C92,DBGenzai[社員№],DBGenzai[退社日],"",0,1)</f>
        <v/>
      </c>
      <c r="Y92" s="111" t="str">
        <f>_xlfn.XLOOKUP($C92,DBGenzai[社員№],DBGenzai[退去],"",0,1)</f>
        <v/>
      </c>
      <c r="Z92" s="111" t="str">
        <f>_xlfn.XLOOKUP($C92,DBGenzai[社員№],DBGenzai[備考],"",0,1)</f>
        <v/>
      </c>
      <c r="AA92" s="113">
        <f t="shared" si="1"/>
        <v>45199</v>
      </c>
      <c r="AB92" s="159" t="e">
        <f>(TablaTransfor[[#This Row],[unicos]]-TablaTransfor[[#This Row],[入社日]])/364</f>
        <v>#VALUE!</v>
      </c>
      <c r="AC92" s="190" t="s">
        <v>3015</v>
      </c>
      <c r="AD92" s="114">
        <v>44999</v>
      </c>
      <c r="AE92" s="116">
        <v>45017</v>
      </c>
      <c r="AF92" s="252" t="str">
        <f>_xlfn.XLOOKUP($C92,DBGenzai[社員№],DBGenzai[請求単価],"",0,1)</f>
        <v/>
      </c>
    </row>
    <row r="93" spans="1:32" hidden="1">
      <c r="A93" s="117">
        <f>SUBTOTAL(103,$C$3:C93)</f>
        <v>20</v>
      </c>
      <c r="B93" s="111">
        <v>73</v>
      </c>
      <c r="C93" s="111" t="str">
        <f>_xlfn.XLOOKUP($F$1&amp;B93,Filtro!B:B,Filtro!D:D,"",0,1)</f>
        <v/>
      </c>
      <c r="D93" s="111" t="str">
        <f>_xlfn.XLOOKUP(C93,DBGenzai[社員№],DBGenzai[現在],"",0,1)</f>
        <v/>
      </c>
      <c r="E93" s="111" t="str">
        <f>_xlfn.XLOOKUP($C93,DBGenzai[社員№],DBGenzai[派遣先ID],"",0,1)</f>
        <v/>
      </c>
      <c r="F93" s="111" t="str">
        <f>_xlfn.XLOOKUP($C93,DBGenzai[社員№],DBGenzai[配属先],"",0,1)</f>
        <v/>
      </c>
      <c r="G93" s="111" t="str">
        <f>MID(TablaTransfor[[#This Row],[配属先]],1,8)</f>
        <v/>
      </c>
      <c r="H93" s="111" t="str">
        <f>MID(TablaTransfor[[#This Row],[配属先]],9,6)</f>
        <v/>
      </c>
      <c r="I93" s="111" t="str">
        <f>MID(TablaTransfor[[#This Row],[配属先]],15,12)</f>
        <v/>
      </c>
      <c r="J93" s="111" t="str">
        <f>_xlfn.XLOOKUP($C93,DBGenzai[社員№],DBGenzai[配属ライン],"",0,1)</f>
        <v/>
      </c>
      <c r="K93" s="111" t="str">
        <f>_xlfn.XLOOKUP($C93,DBGenzai[社員№],DBGenzai[氏名],"",0,1)</f>
        <v/>
      </c>
      <c r="L93" s="111" t="str">
        <f>_xlfn.XLOOKUP($C93,DBGenzai[社員№],DBGenzai[カナ],"",0,1)</f>
        <v/>
      </c>
      <c r="M93" s="111" t="str">
        <f>_xlfn.XLOOKUP($C93,DBGenzai[社員№],DBGenzai[性別],"",0,1)</f>
        <v/>
      </c>
      <c r="N93" s="111" t="str">
        <f>_xlfn.XLOOKUP($C93,DBGenzai[社員№],DBGenzai[国籍],"",0,1)</f>
        <v/>
      </c>
      <c r="O93" s="113" t="str">
        <f>_xlfn.XLOOKUP($C93,DBGenzai[社員№],DBGenzai[生年月日],"",0,1)</f>
        <v/>
      </c>
      <c r="P93" s="111" t="str">
        <f>_xlfn.XLOOKUP($C93,DBGenzai[社員№],DBGenzai[年齢],"",0,1)</f>
        <v/>
      </c>
      <c r="Q93" s="111" t="str">
        <f>_xlfn.XLOOKUP($C93,DBGenzai[社員№],DBGenzai[時給],"",0,1)</f>
        <v/>
      </c>
      <c r="R93" s="111" t="str">
        <f>_xlfn.XLOOKUP($C93,DBGenzai[社員№],DBGenzai[請求単価],"",0,1)</f>
        <v/>
      </c>
      <c r="S93" s="111" t="str">
        <f>_xlfn.XLOOKUP($C93,DBGenzai[社員№],DBGenzai[〒],"",0,1)</f>
        <v/>
      </c>
      <c r="T93" s="111" t="str">
        <f>_xlfn.XLOOKUP($C93,DBGenzai[社員№],DBGenzai[住所],"",0,1)</f>
        <v/>
      </c>
      <c r="U93" s="111" t="str">
        <f>_xlfn.XLOOKUP($C93,DBGenzai[社員№],DBGenzai[ｱﾊﾟｰﾄ],"",0,1)</f>
        <v/>
      </c>
      <c r="V93" s="113" t="str">
        <f>_xlfn.XLOOKUP($C93,DBGenzai[社員№],DBGenzai[入居],"",0,1)</f>
        <v/>
      </c>
      <c r="W93" s="200" t="str">
        <f>_xlfn.XLOOKUP($C93,DBGenzai[社員№],DBGenzai[入社日],"",0,1)</f>
        <v/>
      </c>
      <c r="X93" s="113" t="str">
        <f>_xlfn.XLOOKUP($C93,DBGenzai[社員№],DBGenzai[退社日],"",0,1)</f>
        <v/>
      </c>
      <c r="Y93" s="111" t="str">
        <f>_xlfn.XLOOKUP($C93,DBGenzai[社員№],DBGenzai[退去],"",0,1)</f>
        <v/>
      </c>
      <c r="Z93" s="111" t="str">
        <f>_xlfn.XLOOKUP($C93,DBGenzai[社員№],DBGenzai[備考],"",0,1)</f>
        <v/>
      </c>
      <c r="AA93" s="113">
        <f t="shared" si="1"/>
        <v>45199</v>
      </c>
      <c r="AB93" s="159" t="e">
        <f>(TablaTransfor[[#This Row],[unicos]]-TablaTransfor[[#This Row],[入社日]])/364</f>
        <v>#VALUE!</v>
      </c>
      <c r="AC93" s="190" t="s">
        <v>3015</v>
      </c>
      <c r="AD93" s="114">
        <v>45020</v>
      </c>
      <c r="AE93" s="116">
        <v>45017</v>
      </c>
      <c r="AF93" s="252" t="str">
        <f>_xlfn.XLOOKUP($C93,DBGenzai[社員№],DBGenzai[請求単価],"",0,1)</f>
        <v/>
      </c>
    </row>
    <row r="94" spans="1:32" hidden="1">
      <c r="A94" s="117">
        <f>SUBTOTAL(103,$C$3:C94)</f>
        <v>20</v>
      </c>
      <c r="B94" s="111">
        <v>75</v>
      </c>
      <c r="C94" s="111" t="str">
        <f>_xlfn.XLOOKUP($F$1&amp;B94,Filtro!B:B,Filtro!D:D,"",0,1)</f>
        <v/>
      </c>
      <c r="D94" s="111" t="str">
        <f>_xlfn.XLOOKUP(C94,DBGenzai[社員№],DBGenzai[現在],"",0,1)</f>
        <v/>
      </c>
      <c r="E94" s="111" t="str">
        <f>_xlfn.XLOOKUP($C94,DBGenzai[社員№],DBGenzai[派遣先ID],"",0,1)</f>
        <v/>
      </c>
      <c r="F94" s="111" t="str">
        <f>_xlfn.XLOOKUP($C94,DBGenzai[社員№],DBGenzai[配属先],"",0,1)</f>
        <v/>
      </c>
      <c r="G94" s="111" t="str">
        <f>MID(TablaTransfor[[#This Row],[配属先]],1,8)</f>
        <v/>
      </c>
      <c r="H94" s="111" t="str">
        <f>MID(TablaTransfor[[#This Row],[配属先]],9,6)</f>
        <v/>
      </c>
      <c r="I94" s="111" t="str">
        <f>MID(TablaTransfor[[#This Row],[配属先]],15,12)</f>
        <v/>
      </c>
      <c r="J94" s="111" t="str">
        <f>_xlfn.XLOOKUP($C94,DBGenzai[社員№],DBGenzai[配属ライン],"",0,1)</f>
        <v/>
      </c>
      <c r="K94" s="111" t="str">
        <f>_xlfn.XLOOKUP($C94,DBGenzai[社員№],DBGenzai[氏名],"",0,1)</f>
        <v/>
      </c>
      <c r="L94" s="111" t="str">
        <f>_xlfn.XLOOKUP($C94,DBGenzai[社員№],DBGenzai[カナ],"",0,1)</f>
        <v/>
      </c>
      <c r="M94" s="111" t="str">
        <f>_xlfn.XLOOKUP($C94,DBGenzai[社員№],DBGenzai[性別],"",0,1)</f>
        <v/>
      </c>
      <c r="N94" s="111" t="str">
        <f>_xlfn.XLOOKUP($C94,DBGenzai[社員№],DBGenzai[国籍],"",0,1)</f>
        <v/>
      </c>
      <c r="O94" s="113" t="str">
        <f>_xlfn.XLOOKUP($C94,DBGenzai[社員№],DBGenzai[生年月日],"",0,1)</f>
        <v/>
      </c>
      <c r="P94" s="111" t="str">
        <f>_xlfn.XLOOKUP($C94,DBGenzai[社員№],DBGenzai[年齢],"",0,1)</f>
        <v/>
      </c>
      <c r="Q94" s="111" t="str">
        <f>_xlfn.XLOOKUP($C94,DBGenzai[社員№],DBGenzai[時給],"",0,1)</f>
        <v/>
      </c>
      <c r="R94" s="111" t="str">
        <f>_xlfn.XLOOKUP($C94,DBGenzai[社員№],DBGenzai[請求単価],"",0,1)</f>
        <v/>
      </c>
      <c r="S94" s="111" t="str">
        <f>_xlfn.XLOOKUP($C94,DBGenzai[社員№],DBGenzai[〒],"",0,1)</f>
        <v/>
      </c>
      <c r="T94" s="111" t="str">
        <f>_xlfn.XLOOKUP($C94,DBGenzai[社員№],DBGenzai[住所],"",0,1)</f>
        <v/>
      </c>
      <c r="U94" s="111" t="str">
        <f>_xlfn.XLOOKUP($C94,DBGenzai[社員№],DBGenzai[ｱﾊﾟｰﾄ],"",0,1)</f>
        <v/>
      </c>
      <c r="V94" s="113" t="str">
        <f>_xlfn.XLOOKUP($C94,DBGenzai[社員№],DBGenzai[入居],"",0,1)</f>
        <v/>
      </c>
      <c r="W94" s="200">
        <v>44985</v>
      </c>
      <c r="X94" s="113" t="str">
        <f>_xlfn.XLOOKUP($C94,DBGenzai[社員№],DBGenzai[退社日],"",0,1)</f>
        <v/>
      </c>
      <c r="Y94" s="111" t="str">
        <f>_xlfn.XLOOKUP($C94,DBGenzai[社員№],DBGenzai[退去],"",0,1)</f>
        <v/>
      </c>
      <c r="Z94" s="111" t="str">
        <f>_xlfn.XLOOKUP($C94,DBGenzai[社員№],DBGenzai[備考],"",0,1)</f>
        <v/>
      </c>
      <c r="AA94" s="113">
        <f t="shared" si="1"/>
        <v>45199</v>
      </c>
      <c r="AB94" s="159">
        <f>(TablaTransfor[[#This Row],[unicos]]-TablaTransfor[[#This Row],[入社日]])/364</f>
        <v>0.58791208791208793</v>
      </c>
      <c r="AC94" s="190" t="s">
        <v>3015</v>
      </c>
      <c r="AD94" s="114">
        <v>45002</v>
      </c>
      <c r="AE94" s="116">
        <v>45017</v>
      </c>
      <c r="AF94" s="252" t="str">
        <f>_xlfn.XLOOKUP($C94,DBGenzai[社員№],DBGenzai[請求単価],"",0,1)</f>
        <v/>
      </c>
    </row>
    <row r="95" spans="1:32" hidden="1">
      <c r="A95" s="117">
        <f>SUBTOTAL(103,$C$3:C95)</f>
        <v>20</v>
      </c>
      <c r="B95" s="111">
        <v>76</v>
      </c>
      <c r="C95" s="111" t="str">
        <f>_xlfn.XLOOKUP($F$1&amp;B95,Filtro!B:B,Filtro!D:D,"",0,1)</f>
        <v/>
      </c>
      <c r="D95" s="111" t="str">
        <f>_xlfn.XLOOKUP(C95,DBGenzai[社員№],DBGenzai[現在],"",0,1)</f>
        <v/>
      </c>
      <c r="E95" s="111" t="str">
        <f>_xlfn.XLOOKUP($C95,DBGenzai[社員№],DBGenzai[派遣先ID],"",0,1)</f>
        <v/>
      </c>
      <c r="F95" s="111" t="str">
        <f>_xlfn.XLOOKUP($C95,DBGenzai[社員№],DBGenzai[配属先],"",0,1)</f>
        <v/>
      </c>
      <c r="G95" s="111" t="str">
        <f>MID(TablaTransfor[[#This Row],[配属先]],1,8)</f>
        <v/>
      </c>
      <c r="H95" s="111" t="str">
        <f>MID(TablaTransfor[[#This Row],[配属先]],9,6)</f>
        <v/>
      </c>
      <c r="I95" s="111" t="str">
        <f>MID(TablaTransfor[[#This Row],[配属先]],15,12)</f>
        <v/>
      </c>
      <c r="J95" s="111" t="str">
        <f>_xlfn.XLOOKUP($C95,DBGenzai[社員№],DBGenzai[配属ライン],"",0,1)</f>
        <v/>
      </c>
      <c r="K95" s="111" t="str">
        <f>_xlfn.XLOOKUP($C95,DBGenzai[社員№],DBGenzai[氏名],"",0,1)</f>
        <v/>
      </c>
      <c r="L95" s="111" t="str">
        <f>_xlfn.XLOOKUP($C95,DBGenzai[社員№],DBGenzai[カナ],"",0,1)</f>
        <v/>
      </c>
      <c r="M95" s="111" t="str">
        <f>_xlfn.XLOOKUP($C95,DBGenzai[社員№],DBGenzai[性別],"",0,1)</f>
        <v/>
      </c>
      <c r="N95" s="111" t="str">
        <f>_xlfn.XLOOKUP($C95,DBGenzai[社員№],DBGenzai[国籍],"",0,1)</f>
        <v/>
      </c>
      <c r="O95" s="113" t="str">
        <f>_xlfn.XLOOKUP($C95,DBGenzai[社員№],DBGenzai[生年月日],"",0,1)</f>
        <v/>
      </c>
      <c r="P95" s="111" t="str">
        <f>_xlfn.XLOOKUP($C95,DBGenzai[社員№],DBGenzai[年齢],"",0,1)</f>
        <v/>
      </c>
      <c r="Q95" s="111" t="str">
        <f>_xlfn.XLOOKUP($C95,DBGenzai[社員№],DBGenzai[時給],"",0,1)</f>
        <v/>
      </c>
      <c r="R95" s="111" t="str">
        <f>_xlfn.XLOOKUP($C95,DBGenzai[社員№],DBGenzai[請求単価],"",0,1)</f>
        <v/>
      </c>
      <c r="S95" s="111" t="str">
        <f>_xlfn.XLOOKUP($C95,DBGenzai[社員№],DBGenzai[〒],"",0,1)</f>
        <v/>
      </c>
      <c r="T95" s="111" t="str">
        <f>_xlfn.XLOOKUP($C95,DBGenzai[社員№],DBGenzai[住所],"",0,1)</f>
        <v/>
      </c>
      <c r="U95" s="111" t="str">
        <f>_xlfn.XLOOKUP($C95,DBGenzai[社員№],DBGenzai[ｱﾊﾟｰﾄ],"",0,1)</f>
        <v/>
      </c>
      <c r="V95" s="113" t="str">
        <f>_xlfn.XLOOKUP($C95,DBGenzai[社員№],DBGenzai[入居],"",0,1)</f>
        <v/>
      </c>
      <c r="W95" s="200">
        <v>44985</v>
      </c>
      <c r="X95" s="113" t="str">
        <f>_xlfn.XLOOKUP($C95,DBGenzai[社員№],DBGenzai[退社日],"",0,1)</f>
        <v/>
      </c>
      <c r="Y95" s="111" t="str">
        <f>_xlfn.XLOOKUP($C95,DBGenzai[社員№],DBGenzai[退去],"",0,1)</f>
        <v/>
      </c>
      <c r="Z95" s="111" t="str">
        <f>_xlfn.XLOOKUP($C95,DBGenzai[社員№],DBGenzai[備考],"",0,1)</f>
        <v/>
      </c>
      <c r="AA95" s="113">
        <f t="shared" si="1"/>
        <v>45199</v>
      </c>
      <c r="AB95" s="159">
        <f>(TablaTransfor[[#This Row],[unicos]]-TablaTransfor[[#This Row],[入社日]])/364</f>
        <v>0.58791208791208793</v>
      </c>
      <c r="AC95" s="190" t="s">
        <v>3015</v>
      </c>
      <c r="AD95" s="114">
        <v>45021</v>
      </c>
      <c r="AE95" s="116">
        <v>45017</v>
      </c>
      <c r="AF95" s="252" t="str">
        <f>_xlfn.XLOOKUP($C95,DBGenzai[社員№],DBGenzai[請求単価],"",0,1)</f>
        <v/>
      </c>
    </row>
    <row r="96" spans="1:32" hidden="1">
      <c r="A96" s="117">
        <f>SUBTOTAL(103,$C$3:C96)</f>
        <v>20</v>
      </c>
      <c r="B96" s="111">
        <v>77</v>
      </c>
      <c r="C96" s="111" t="str">
        <f>_xlfn.XLOOKUP($F$1&amp;B96,Filtro!B:B,Filtro!D:D,"",0,1)</f>
        <v/>
      </c>
      <c r="D96" s="111" t="str">
        <f>_xlfn.XLOOKUP(C96,DBGenzai[社員№],DBGenzai[現在],"",0,1)</f>
        <v/>
      </c>
      <c r="E96" s="111" t="str">
        <f>_xlfn.XLOOKUP($C96,DBGenzai[社員№],DBGenzai[派遣先ID],"",0,1)</f>
        <v/>
      </c>
      <c r="F96" s="111" t="str">
        <f>_xlfn.XLOOKUP($C96,DBGenzai[社員№],DBGenzai[配属先],"",0,1)</f>
        <v/>
      </c>
      <c r="G96" s="111" t="str">
        <f>MID(TablaTransfor[[#This Row],[配属先]],1,8)</f>
        <v/>
      </c>
      <c r="H96" s="111" t="str">
        <f>MID(TablaTransfor[[#This Row],[配属先]],9,6)</f>
        <v/>
      </c>
      <c r="I96" s="111" t="str">
        <f>MID(TablaTransfor[[#This Row],[配属先]],15,12)</f>
        <v/>
      </c>
      <c r="J96" s="111" t="str">
        <f>_xlfn.XLOOKUP($C96,DBGenzai[社員№],DBGenzai[配属ライン],"",0,1)</f>
        <v/>
      </c>
      <c r="K96" s="111" t="str">
        <f>_xlfn.XLOOKUP($C96,DBGenzai[社員№],DBGenzai[氏名],"",0,1)</f>
        <v/>
      </c>
      <c r="L96" s="111" t="str">
        <f>_xlfn.XLOOKUP($C96,DBGenzai[社員№],DBGenzai[カナ],"",0,1)</f>
        <v/>
      </c>
      <c r="M96" s="111" t="str">
        <f>_xlfn.XLOOKUP($C96,DBGenzai[社員№],DBGenzai[性別],"",0,1)</f>
        <v/>
      </c>
      <c r="N96" s="111" t="str">
        <f>_xlfn.XLOOKUP($C96,DBGenzai[社員№],DBGenzai[国籍],"",0,1)</f>
        <v/>
      </c>
      <c r="O96" s="113" t="str">
        <f>_xlfn.XLOOKUP($C96,DBGenzai[社員№],DBGenzai[生年月日],"",0,1)</f>
        <v/>
      </c>
      <c r="P96" s="111" t="str">
        <f>_xlfn.XLOOKUP($C96,DBGenzai[社員№],DBGenzai[年齢],"",0,1)</f>
        <v/>
      </c>
      <c r="Q96" s="111" t="str">
        <f>_xlfn.XLOOKUP($C96,DBGenzai[社員№],DBGenzai[時給],"",0,1)</f>
        <v/>
      </c>
      <c r="R96" s="111" t="str">
        <f>_xlfn.XLOOKUP($C96,DBGenzai[社員№],DBGenzai[請求単価],"",0,1)</f>
        <v/>
      </c>
      <c r="S96" s="111" t="str">
        <f>_xlfn.XLOOKUP($C96,DBGenzai[社員№],DBGenzai[〒],"",0,1)</f>
        <v/>
      </c>
      <c r="T96" s="111" t="str">
        <f>_xlfn.XLOOKUP($C96,DBGenzai[社員№],DBGenzai[住所],"",0,1)</f>
        <v/>
      </c>
      <c r="U96" s="111" t="str">
        <f>_xlfn.XLOOKUP($C96,DBGenzai[社員№],DBGenzai[ｱﾊﾟｰﾄ],"",0,1)</f>
        <v/>
      </c>
      <c r="V96" s="113" t="str">
        <f>_xlfn.XLOOKUP($C96,DBGenzai[社員№],DBGenzai[入居],"",0,1)</f>
        <v/>
      </c>
      <c r="W96" s="200">
        <v>44985</v>
      </c>
      <c r="X96" s="113" t="str">
        <f>_xlfn.XLOOKUP($C96,DBGenzai[社員№],DBGenzai[退社日],"",0,1)</f>
        <v/>
      </c>
      <c r="Y96" s="111" t="str">
        <f>_xlfn.XLOOKUP($C96,DBGenzai[社員№],DBGenzai[退去],"",0,1)</f>
        <v/>
      </c>
      <c r="Z96" s="111" t="str">
        <f>_xlfn.XLOOKUP($C96,DBGenzai[社員№],DBGenzai[備考],"",0,1)</f>
        <v/>
      </c>
      <c r="AA96" s="113">
        <f t="shared" si="1"/>
        <v>45199</v>
      </c>
      <c r="AB96" s="159">
        <f>(TablaTransfor[[#This Row],[unicos]]-TablaTransfor[[#This Row],[入社日]])/364</f>
        <v>0.58791208791208793</v>
      </c>
      <c r="AC96" s="182" t="s">
        <v>2975</v>
      </c>
      <c r="AD96" s="114">
        <v>45002</v>
      </c>
      <c r="AE96" s="116">
        <f>TablaTransfor[[#This Row],[入社日]]</f>
        <v>44985</v>
      </c>
      <c r="AF96" s="252" t="str">
        <f>_xlfn.XLOOKUP($C96,DBGenzai[社員№],DBGenzai[請求単価],"",0,1)</f>
        <v/>
      </c>
    </row>
    <row r="97" spans="1:32" hidden="1">
      <c r="A97" s="117">
        <f>SUBTOTAL(103,$C$3:C97)</f>
        <v>20</v>
      </c>
      <c r="B97" s="111">
        <v>78</v>
      </c>
      <c r="C97" s="111" t="str">
        <f>_xlfn.XLOOKUP($F$1&amp;B97,Filtro!B:B,Filtro!D:D,"",0,1)</f>
        <v/>
      </c>
      <c r="D97" s="111" t="str">
        <f>_xlfn.XLOOKUP(C97,DBGenzai[社員№],DBGenzai[現在],"",0,1)</f>
        <v/>
      </c>
      <c r="E97" s="111" t="str">
        <f>_xlfn.XLOOKUP($C97,DBGenzai[社員№],DBGenzai[派遣先ID],"",0,1)</f>
        <v/>
      </c>
      <c r="F97" s="111" t="str">
        <f>_xlfn.XLOOKUP($C97,DBGenzai[社員№],DBGenzai[配属先],"",0,1)</f>
        <v/>
      </c>
      <c r="G97" s="111" t="str">
        <f>MID(TablaTransfor[[#This Row],[配属先]],1,8)</f>
        <v/>
      </c>
      <c r="H97" s="111" t="str">
        <f>MID(TablaTransfor[[#This Row],[配属先]],9,6)</f>
        <v/>
      </c>
      <c r="I97" s="111" t="str">
        <f>MID(TablaTransfor[[#This Row],[配属先]],15,12)</f>
        <v/>
      </c>
      <c r="J97" s="111" t="str">
        <f>_xlfn.XLOOKUP($C97,DBGenzai[社員№],DBGenzai[配属ライン],"",0,1)</f>
        <v/>
      </c>
      <c r="K97" s="111" t="str">
        <f>_xlfn.XLOOKUP($C97,DBGenzai[社員№],DBGenzai[氏名],"",0,1)</f>
        <v/>
      </c>
      <c r="L97" s="111" t="str">
        <f>_xlfn.XLOOKUP($C97,DBGenzai[社員№],DBGenzai[カナ],"",0,1)</f>
        <v/>
      </c>
      <c r="M97" s="111" t="str">
        <f>_xlfn.XLOOKUP($C97,DBGenzai[社員№],DBGenzai[性別],"",0,1)</f>
        <v/>
      </c>
      <c r="N97" s="111" t="str">
        <f>_xlfn.XLOOKUP($C97,DBGenzai[社員№],DBGenzai[国籍],"",0,1)</f>
        <v/>
      </c>
      <c r="O97" s="113" t="str">
        <f>_xlfn.XLOOKUP($C97,DBGenzai[社員№],DBGenzai[生年月日],"",0,1)</f>
        <v/>
      </c>
      <c r="P97" s="111" t="str">
        <f>_xlfn.XLOOKUP($C97,DBGenzai[社員№],DBGenzai[年齢],"",0,1)</f>
        <v/>
      </c>
      <c r="Q97" s="111" t="str">
        <f>_xlfn.XLOOKUP($C97,DBGenzai[社員№],DBGenzai[時給],"",0,1)</f>
        <v/>
      </c>
      <c r="R97" s="111" t="str">
        <f>_xlfn.XLOOKUP($C97,DBGenzai[社員№],DBGenzai[請求単価],"",0,1)</f>
        <v/>
      </c>
      <c r="S97" s="111" t="str">
        <f>_xlfn.XLOOKUP($C97,DBGenzai[社員№],DBGenzai[〒],"",0,1)</f>
        <v/>
      </c>
      <c r="T97" s="111" t="str">
        <f>_xlfn.XLOOKUP($C97,DBGenzai[社員№],DBGenzai[住所],"",0,1)</f>
        <v/>
      </c>
      <c r="U97" s="111" t="str">
        <f>_xlfn.XLOOKUP($C97,DBGenzai[社員№],DBGenzai[ｱﾊﾟｰﾄ],"",0,1)</f>
        <v/>
      </c>
      <c r="V97" s="113" t="str">
        <f>_xlfn.XLOOKUP($C97,DBGenzai[社員№],DBGenzai[入居],"",0,1)</f>
        <v/>
      </c>
      <c r="W97" s="200">
        <v>44985</v>
      </c>
      <c r="X97" s="113" t="str">
        <f>_xlfn.XLOOKUP($C97,DBGenzai[社員№],DBGenzai[退社日],"",0,1)</f>
        <v/>
      </c>
      <c r="Y97" s="111" t="str">
        <f>_xlfn.XLOOKUP($C97,DBGenzai[社員№],DBGenzai[退去],"",0,1)</f>
        <v/>
      </c>
      <c r="Z97" s="111" t="str">
        <f>_xlfn.XLOOKUP($C97,DBGenzai[社員№],DBGenzai[備考],"",0,1)</f>
        <v/>
      </c>
      <c r="AA97" s="113">
        <f t="shared" si="1"/>
        <v>45199</v>
      </c>
      <c r="AB97" s="159">
        <f>(TablaTransfor[[#This Row],[unicos]]-TablaTransfor[[#This Row],[入社日]])/364</f>
        <v>0.58791208791208793</v>
      </c>
      <c r="AC97" s="190" t="s">
        <v>3015</v>
      </c>
      <c r="AD97" s="114">
        <v>45002</v>
      </c>
      <c r="AE97" s="116">
        <v>45017</v>
      </c>
      <c r="AF97" s="252" t="str">
        <f>_xlfn.XLOOKUP($C97,DBGenzai[社員№],DBGenzai[請求単価],"",0,1)</f>
        <v/>
      </c>
    </row>
    <row r="98" spans="1:32" hidden="1">
      <c r="A98" s="117">
        <f>SUBTOTAL(103,$C$3:C98)</f>
        <v>20</v>
      </c>
      <c r="B98" s="111">
        <v>79</v>
      </c>
      <c r="C98" s="111" t="str">
        <f>_xlfn.XLOOKUP($F$1&amp;B98,Filtro!B:B,Filtro!D:D,"",0,1)</f>
        <v/>
      </c>
      <c r="D98" s="111" t="str">
        <f>_xlfn.XLOOKUP(C98,DBGenzai[社員№],DBGenzai[現在],"",0,1)</f>
        <v/>
      </c>
      <c r="E98" s="111" t="str">
        <f>_xlfn.XLOOKUP($C98,DBGenzai[社員№],DBGenzai[派遣先ID],"",0,1)</f>
        <v/>
      </c>
      <c r="F98" s="111" t="str">
        <f>_xlfn.XLOOKUP($C98,DBGenzai[社員№],DBGenzai[配属先],"",0,1)</f>
        <v/>
      </c>
      <c r="G98" s="111" t="str">
        <f>MID(TablaTransfor[[#This Row],[配属先]],1,8)</f>
        <v/>
      </c>
      <c r="H98" s="111" t="str">
        <f>MID(TablaTransfor[[#This Row],[配属先]],9,6)</f>
        <v/>
      </c>
      <c r="I98" s="111" t="str">
        <f>MID(TablaTransfor[[#This Row],[配属先]],15,12)</f>
        <v/>
      </c>
      <c r="J98" s="111" t="str">
        <f>_xlfn.XLOOKUP($C98,DBGenzai[社員№],DBGenzai[配属ライン],"",0,1)</f>
        <v/>
      </c>
      <c r="K98" s="111" t="str">
        <f>_xlfn.XLOOKUP($C98,DBGenzai[社員№],DBGenzai[氏名],"",0,1)</f>
        <v/>
      </c>
      <c r="L98" s="111" t="str">
        <f>_xlfn.XLOOKUP($C98,DBGenzai[社員№],DBGenzai[カナ],"",0,1)</f>
        <v/>
      </c>
      <c r="M98" s="111" t="str">
        <f>_xlfn.XLOOKUP($C98,DBGenzai[社員№],DBGenzai[性別],"",0,1)</f>
        <v/>
      </c>
      <c r="N98" s="111" t="str">
        <f>_xlfn.XLOOKUP($C98,DBGenzai[社員№],DBGenzai[国籍],"",0,1)</f>
        <v/>
      </c>
      <c r="O98" s="113" t="str">
        <f>_xlfn.XLOOKUP($C98,DBGenzai[社員№],DBGenzai[生年月日],"",0,1)</f>
        <v/>
      </c>
      <c r="P98" s="111" t="str">
        <f>_xlfn.XLOOKUP($C98,DBGenzai[社員№],DBGenzai[年齢],"",0,1)</f>
        <v/>
      </c>
      <c r="Q98" s="111" t="str">
        <f>_xlfn.XLOOKUP($C98,DBGenzai[社員№],DBGenzai[時給],"",0,1)</f>
        <v/>
      </c>
      <c r="R98" s="111" t="str">
        <f>_xlfn.XLOOKUP($C98,DBGenzai[社員№],DBGenzai[請求単価],"",0,1)</f>
        <v/>
      </c>
      <c r="S98" s="111" t="str">
        <f>_xlfn.XLOOKUP($C98,DBGenzai[社員№],DBGenzai[〒],"",0,1)</f>
        <v/>
      </c>
      <c r="T98" s="111" t="str">
        <f>_xlfn.XLOOKUP($C98,DBGenzai[社員№],DBGenzai[住所],"",0,1)</f>
        <v/>
      </c>
      <c r="U98" s="111" t="str">
        <f>_xlfn.XLOOKUP($C98,DBGenzai[社員№],DBGenzai[ｱﾊﾟｰﾄ],"",0,1)</f>
        <v/>
      </c>
      <c r="V98" s="113" t="str">
        <f>_xlfn.XLOOKUP($C98,DBGenzai[社員№],DBGenzai[入居],"",0,1)</f>
        <v/>
      </c>
      <c r="W98" s="200">
        <v>44985</v>
      </c>
      <c r="X98" s="113" t="str">
        <f>_xlfn.XLOOKUP($C98,DBGenzai[社員№],DBGenzai[退社日],"",0,1)</f>
        <v/>
      </c>
      <c r="Y98" s="111" t="str">
        <f>_xlfn.XLOOKUP($C98,DBGenzai[社員№],DBGenzai[退去],"",0,1)</f>
        <v/>
      </c>
      <c r="Z98" s="111" t="str">
        <f>_xlfn.XLOOKUP($C98,DBGenzai[社員№],DBGenzai[備考],"",0,1)</f>
        <v/>
      </c>
      <c r="AA98" s="113">
        <f t="shared" si="1"/>
        <v>45199</v>
      </c>
      <c r="AB98" s="159">
        <f>(TablaTransfor[[#This Row],[unicos]]-TablaTransfor[[#This Row],[入社日]])/364</f>
        <v>0.58791208791208793</v>
      </c>
      <c r="AC98" s="190" t="s">
        <v>3015</v>
      </c>
      <c r="AE98" s="116">
        <v>45017</v>
      </c>
      <c r="AF98" s="252" t="str">
        <f>_xlfn.XLOOKUP($C98,DBGenzai[社員№],DBGenzai[請求単価],"",0,1)</f>
        <v/>
      </c>
    </row>
    <row r="99" spans="1:32" hidden="1">
      <c r="A99" s="117">
        <f>SUBTOTAL(103,$C$3:C99)</f>
        <v>20</v>
      </c>
      <c r="B99" s="111">
        <v>80</v>
      </c>
      <c r="C99" s="111" t="str">
        <f>_xlfn.XLOOKUP($F$1&amp;B99,Filtro!B:B,Filtro!D:D,"",0,1)</f>
        <v/>
      </c>
      <c r="D99" s="111" t="str">
        <f>_xlfn.XLOOKUP(C99,DBGenzai[社員№],DBGenzai[現在],"",0,1)</f>
        <v/>
      </c>
      <c r="E99" s="111" t="str">
        <f>_xlfn.XLOOKUP($C99,DBGenzai[社員№],DBGenzai[派遣先ID],"",0,1)</f>
        <v/>
      </c>
      <c r="F99" s="111" t="str">
        <f>_xlfn.XLOOKUP($C99,DBGenzai[社員№],DBGenzai[配属先],"",0,1)</f>
        <v/>
      </c>
      <c r="G99" s="111" t="str">
        <f>MID(TablaTransfor[[#This Row],[配属先]],1,8)</f>
        <v/>
      </c>
      <c r="H99" s="111" t="str">
        <f>MID(TablaTransfor[[#This Row],[配属先]],9,6)</f>
        <v/>
      </c>
      <c r="I99" s="111" t="str">
        <f>MID(TablaTransfor[[#This Row],[配属先]],15,12)</f>
        <v/>
      </c>
      <c r="J99" s="111" t="str">
        <f>_xlfn.XLOOKUP($C99,DBGenzai[社員№],DBGenzai[配属ライン],"",0,1)</f>
        <v/>
      </c>
      <c r="K99" s="111" t="str">
        <f>_xlfn.XLOOKUP($C99,DBGenzai[社員№],DBGenzai[氏名],"",0,1)</f>
        <v/>
      </c>
      <c r="L99" s="111" t="str">
        <f>_xlfn.XLOOKUP($C99,DBGenzai[社員№],DBGenzai[カナ],"",0,1)</f>
        <v/>
      </c>
      <c r="M99" s="111" t="str">
        <f>_xlfn.XLOOKUP($C99,DBGenzai[社員№],DBGenzai[性別],"",0,1)</f>
        <v/>
      </c>
      <c r="N99" s="111" t="str">
        <f>_xlfn.XLOOKUP($C99,DBGenzai[社員№],DBGenzai[国籍],"",0,1)</f>
        <v/>
      </c>
      <c r="O99" s="113" t="str">
        <f>_xlfn.XLOOKUP($C99,DBGenzai[社員№],DBGenzai[生年月日],"",0,1)</f>
        <v/>
      </c>
      <c r="P99" s="111" t="str">
        <f>_xlfn.XLOOKUP($C99,DBGenzai[社員№],DBGenzai[年齢],"",0,1)</f>
        <v/>
      </c>
      <c r="Q99" s="111" t="str">
        <f>_xlfn.XLOOKUP($C99,DBGenzai[社員№],DBGenzai[時給],"",0,1)</f>
        <v/>
      </c>
      <c r="R99" s="111" t="str">
        <f>_xlfn.XLOOKUP($C99,DBGenzai[社員№],DBGenzai[請求単価],"",0,1)</f>
        <v/>
      </c>
      <c r="S99" s="111" t="str">
        <f>_xlfn.XLOOKUP($C99,DBGenzai[社員№],DBGenzai[〒],"",0,1)</f>
        <v/>
      </c>
      <c r="T99" s="111" t="str">
        <f>_xlfn.XLOOKUP($C99,DBGenzai[社員№],DBGenzai[住所],"",0,1)</f>
        <v/>
      </c>
      <c r="U99" s="111" t="str">
        <f>_xlfn.XLOOKUP($C99,DBGenzai[社員№],DBGenzai[ｱﾊﾟｰﾄ],"",0,1)</f>
        <v/>
      </c>
      <c r="V99" s="113" t="str">
        <f>_xlfn.XLOOKUP($C99,DBGenzai[社員№],DBGenzai[入居],"",0,1)</f>
        <v/>
      </c>
      <c r="W99" s="200" t="str">
        <f>_xlfn.XLOOKUP($C99,DBGenzai[社員№],DBGenzai[入社日],"",0,1)</f>
        <v/>
      </c>
      <c r="X99" s="113" t="str">
        <f>_xlfn.XLOOKUP($C99,DBGenzai[社員№],DBGenzai[退社日],"",0,1)</f>
        <v/>
      </c>
      <c r="Y99" s="111" t="str">
        <f>_xlfn.XLOOKUP($C99,DBGenzai[社員№],DBGenzai[退去],"",0,1)</f>
        <v/>
      </c>
      <c r="Z99" s="111" t="str">
        <f>_xlfn.XLOOKUP($C99,DBGenzai[社員№],DBGenzai[備考],"",0,1)</f>
        <v/>
      </c>
      <c r="AA99" s="113">
        <f t="shared" si="1"/>
        <v>45199</v>
      </c>
      <c r="AB99" s="159" t="e">
        <f>(TablaTransfor[[#This Row],[unicos]]-TablaTransfor[[#This Row],[入社日]])/364</f>
        <v>#VALUE!</v>
      </c>
      <c r="AC99" s="190" t="s">
        <v>3015</v>
      </c>
      <c r="AE99" s="116">
        <v>45017</v>
      </c>
      <c r="AF99" s="252" t="str">
        <f>_xlfn.XLOOKUP($C99,DBGenzai[社員№],DBGenzai[請求単価],"",0,1)</f>
        <v/>
      </c>
    </row>
    <row r="100" spans="1:32" hidden="1">
      <c r="A100" s="117">
        <f>SUBTOTAL(103,$C$3:C100)</f>
        <v>20</v>
      </c>
      <c r="B100" s="111">
        <v>81</v>
      </c>
      <c r="C100" s="111" t="str">
        <f>_xlfn.XLOOKUP($F$1&amp;B100,Filtro!B:B,Filtro!D:D,"",0,1)</f>
        <v/>
      </c>
      <c r="D100" s="111" t="str">
        <f>_xlfn.XLOOKUP(C100,DBGenzai[社員№],DBGenzai[現在],"",0,1)</f>
        <v/>
      </c>
      <c r="E100" s="111" t="str">
        <f>_xlfn.XLOOKUP($C100,DBGenzai[社員№],DBGenzai[派遣先ID],"",0,1)</f>
        <v/>
      </c>
      <c r="F100" s="111" t="str">
        <f>_xlfn.XLOOKUP($C100,DBGenzai[社員№],DBGenzai[配属先],"",0,1)</f>
        <v/>
      </c>
      <c r="G100" s="111" t="str">
        <f>MID(TablaTransfor[[#This Row],[配属先]],1,8)</f>
        <v/>
      </c>
      <c r="H100" s="111" t="str">
        <f>MID(TablaTransfor[[#This Row],[配属先]],9,6)</f>
        <v/>
      </c>
      <c r="I100" s="111" t="str">
        <f>MID(TablaTransfor[[#This Row],[配属先]],15,12)</f>
        <v/>
      </c>
      <c r="J100" s="111" t="str">
        <f>_xlfn.XLOOKUP($C100,DBGenzai[社員№],DBGenzai[配属ライン],"",0,1)</f>
        <v/>
      </c>
      <c r="K100" s="111" t="str">
        <f>_xlfn.XLOOKUP($C100,DBGenzai[社員№],DBGenzai[氏名],"",0,1)</f>
        <v/>
      </c>
      <c r="L100" s="111" t="str">
        <f>_xlfn.XLOOKUP($C100,DBGenzai[社員№],DBGenzai[カナ],"",0,1)</f>
        <v/>
      </c>
      <c r="M100" s="111" t="str">
        <f>_xlfn.XLOOKUP($C100,DBGenzai[社員№],DBGenzai[性別],"",0,1)</f>
        <v/>
      </c>
      <c r="N100" s="111" t="str">
        <f>_xlfn.XLOOKUP($C100,DBGenzai[社員№],DBGenzai[国籍],"",0,1)</f>
        <v/>
      </c>
      <c r="O100" s="113" t="str">
        <f>_xlfn.XLOOKUP($C100,DBGenzai[社員№],DBGenzai[生年月日],"",0,1)</f>
        <v/>
      </c>
      <c r="P100" s="111" t="str">
        <f>_xlfn.XLOOKUP($C100,DBGenzai[社員№],DBGenzai[年齢],"",0,1)</f>
        <v/>
      </c>
      <c r="Q100" s="111" t="str">
        <f>_xlfn.XLOOKUP($C100,DBGenzai[社員№],DBGenzai[時給],"",0,1)</f>
        <v/>
      </c>
      <c r="R100" s="111" t="str">
        <f>_xlfn.XLOOKUP($C100,DBGenzai[社員№],DBGenzai[請求単価],"",0,1)</f>
        <v/>
      </c>
      <c r="S100" s="111" t="str">
        <f>_xlfn.XLOOKUP($C100,DBGenzai[社員№],DBGenzai[〒],"",0,1)</f>
        <v/>
      </c>
      <c r="T100" s="111" t="str">
        <f>_xlfn.XLOOKUP($C100,DBGenzai[社員№],DBGenzai[住所],"",0,1)</f>
        <v/>
      </c>
      <c r="U100" s="111" t="str">
        <f>_xlfn.XLOOKUP($C100,DBGenzai[社員№],DBGenzai[ｱﾊﾟｰﾄ],"",0,1)</f>
        <v/>
      </c>
      <c r="V100" s="113" t="str">
        <f>_xlfn.XLOOKUP($C100,DBGenzai[社員№],DBGenzai[入居],"",0,1)</f>
        <v/>
      </c>
      <c r="W100" s="200" t="str">
        <f>_xlfn.XLOOKUP($C100,DBGenzai[社員№],DBGenzai[入社日],"",0,1)</f>
        <v/>
      </c>
      <c r="X100" s="113" t="str">
        <f>_xlfn.XLOOKUP($C100,DBGenzai[社員№],DBGenzai[退社日],"",0,1)</f>
        <v/>
      </c>
      <c r="Y100" s="111" t="str">
        <f>_xlfn.XLOOKUP($C100,DBGenzai[社員№],DBGenzai[退去],"",0,1)</f>
        <v/>
      </c>
      <c r="Z100" s="111" t="str">
        <f>_xlfn.XLOOKUP($C100,DBGenzai[社員№],DBGenzai[備考],"",0,1)</f>
        <v/>
      </c>
      <c r="AA100" s="113">
        <f t="shared" si="1"/>
        <v>45199</v>
      </c>
      <c r="AB100" s="159" t="e">
        <f>(TablaTransfor[[#This Row],[unicos]]-TablaTransfor[[#This Row],[入社日]])/364</f>
        <v>#VALUE!</v>
      </c>
      <c r="AC100" s="190" t="s">
        <v>3015</v>
      </c>
      <c r="AE100" s="116">
        <v>45017</v>
      </c>
      <c r="AF100" s="252" t="str">
        <f>_xlfn.XLOOKUP($C100,DBGenzai[社員№],DBGenzai[請求単価],"",0,1)</f>
        <v/>
      </c>
    </row>
    <row r="101" spans="1:32" hidden="1">
      <c r="A101" s="117">
        <f>SUBTOTAL(103,$C$3:C101)</f>
        <v>20</v>
      </c>
      <c r="B101" s="111">
        <v>82</v>
      </c>
      <c r="C101" s="111" t="str">
        <f>_xlfn.XLOOKUP($F$1&amp;B101,Filtro!B:B,Filtro!D:D,"",0,1)</f>
        <v/>
      </c>
      <c r="D101" s="111" t="str">
        <f>_xlfn.XLOOKUP(C101,DBGenzai[社員№],DBGenzai[現在],"",0,1)</f>
        <v/>
      </c>
      <c r="E101" s="111" t="str">
        <f>_xlfn.XLOOKUP($C101,DBGenzai[社員№],DBGenzai[派遣先ID],"",0,1)</f>
        <v/>
      </c>
      <c r="F101" s="111" t="str">
        <f>_xlfn.XLOOKUP($C101,DBGenzai[社員№],DBGenzai[配属先],"",0,1)</f>
        <v/>
      </c>
      <c r="G101" s="111" t="str">
        <f>MID(TablaTransfor[[#This Row],[配属先]],1,8)</f>
        <v/>
      </c>
      <c r="H101" s="111" t="str">
        <f>MID(TablaTransfor[[#This Row],[配属先]],9,6)</f>
        <v/>
      </c>
      <c r="I101" s="111" t="str">
        <f>MID(TablaTransfor[[#This Row],[配属先]],15,12)</f>
        <v/>
      </c>
      <c r="J101" s="111" t="str">
        <f>_xlfn.XLOOKUP($C101,DBGenzai[社員№],DBGenzai[配属ライン],"",0,1)</f>
        <v/>
      </c>
      <c r="K101" s="111" t="str">
        <f>_xlfn.XLOOKUP($C101,DBGenzai[社員№],DBGenzai[氏名],"",0,1)</f>
        <v/>
      </c>
      <c r="L101" s="111" t="str">
        <f>_xlfn.XLOOKUP($C101,DBGenzai[社員№],DBGenzai[カナ],"",0,1)</f>
        <v/>
      </c>
      <c r="M101" s="111" t="str">
        <f>_xlfn.XLOOKUP($C101,DBGenzai[社員№],DBGenzai[性別],"",0,1)</f>
        <v/>
      </c>
      <c r="N101" s="111" t="str">
        <f>_xlfn.XLOOKUP($C101,DBGenzai[社員№],DBGenzai[国籍],"",0,1)</f>
        <v/>
      </c>
      <c r="O101" s="113" t="str">
        <f>_xlfn.XLOOKUP($C101,DBGenzai[社員№],DBGenzai[生年月日],"",0,1)</f>
        <v/>
      </c>
      <c r="P101" s="111" t="str">
        <f>_xlfn.XLOOKUP($C101,DBGenzai[社員№],DBGenzai[年齢],"",0,1)</f>
        <v/>
      </c>
      <c r="Q101" s="111" t="str">
        <f>_xlfn.XLOOKUP($C101,DBGenzai[社員№],DBGenzai[時給],"",0,1)</f>
        <v/>
      </c>
      <c r="R101" s="111" t="str">
        <f>_xlfn.XLOOKUP($C101,DBGenzai[社員№],DBGenzai[請求単価],"",0,1)</f>
        <v/>
      </c>
      <c r="S101" s="111" t="str">
        <f>_xlfn.XLOOKUP($C101,DBGenzai[社員№],DBGenzai[〒],"",0,1)</f>
        <v/>
      </c>
      <c r="T101" s="111" t="str">
        <f>_xlfn.XLOOKUP($C101,DBGenzai[社員№],DBGenzai[住所],"",0,1)</f>
        <v/>
      </c>
      <c r="U101" s="111" t="str">
        <f>_xlfn.XLOOKUP($C101,DBGenzai[社員№],DBGenzai[ｱﾊﾟｰﾄ],"",0,1)</f>
        <v/>
      </c>
      <c r="V101" s="113" t="str">
        <f>_xlfn.XLOOKUP($C101,DBGenzai[社員№],DBGenzai[入居],"",0,1)</f>
        <v/>
      </c>
      <c r="W101" s="200" t="str">
        <f>_xlfn.XLOOKUP($C101,DBGenzai[社員№],DBGenzai[入社日],"",0,1)</f>
        <v/>
      </c>
      <c r="X101" s="113" t="str">
        <f>_xlfn.XLOOKUP($C101,DBGenzai[社員№],DBGenzai[退社日],"",0,1)</f>
        <v/>
      </c>
      <c r="Y101" s="111" t="str">
        <f>_xlfn.XLOOKUP($C101,DBGenzai[社員№],DBGenzai[退去],"",0,1)</f>
        <v/>
      </c>
      <c r="Z101" s="111" t="str">
        <f>_xlfn.XLOOKUP($C101,DBGenzai[社員№],DBGenzai[備考],"",0,1)</f>
        <v/>
      </c>
      <c r="AA101" s="113">
        <f t="shared" si="1"/>
        <v>45199</v>
      </c>
      <c r="AB101" s="159" t="e">
        <f>(TablaTransfor[[#This Row],[unicos]]-TablaTransfor[[#This Row],[入社日]])/364</f>
        <v>#VALUE!</v>
      </c>
      <c r="AC101" s="190" t="s">
        <v>3015</v>
      </c>
      <c r="AE101" s="116">
        <v>45017</v>
      </c>
      <c r="AF101" s="252" t="str">
        <f>_xlfn.XLOOKUP($C101,DBGenzai[社員№],DBGenzai[請求単価],"",0,1)</f>
        <v/>
      </c>
    </row>
    <row r="102" spans="1:32" hidden="1">
      <c r="A102" s="117">
        <f>SUBTOTAL(103,$C$3:C102)</f>
        <v>20</v>
      </c>
      <c r="B102" s="111">
        <v>83</v>
      </c>
      <c r="C102" s="111" t="str">
        <f>_xlfn.XLOOKUP($F$1&amp;B102,Filtro!B:B,Filtro!D:D,"",0,1)</f>
        <v/>
      </c>
      <c r="D102" s="111" t="str">
        <f>_xlfn.XLOOKUP(C102,DBGenzai[社員№],DBGenzai[現在],"",0,1)</f>
        <v/>
      </c>
      <c r="E102" s="111" t="str">
        <f>_xlfn.XLOOKUP($C102,DBGenzai[社員№],DBGenzai[派遣先ID],"",0,1)</f>
        <v/>
      </c>
      <c r="F102" s="111" t="str">
        <f>_xlfn.XLOOKUP($C102,DBGenzai[社員№],DBGenzai[配属先],"",0,1)</f>
        <v/>
      </c>
      <c r="G102" s="111" t="str">
        <f>MID(TablaTransfor[[#This Row],[配属先]],1,8)</f>
        <v/>
      </c>
      <c r="H102" s="111" t="str">
        <f>MID(TablaTransfor[[#This Row],[配属先]],9,6)</f>
        <v/>
      </c>
      <c r="I102" s="111" t="str">
        <f>MID(TablaTransfor[[#This Row],[配属先]],15,12)</f>
        <v/>
      </c>
      <c r="J102" s="111" t="str">
        <f>_xlfn.XLOOKUP($C102,DBGenzai[社員№],DBGenzai[配属ライン],"",0,1)</f>
        <v/>
      </c>
      <c r="K102" s="111" t="str">
        <f>_xlfn.XLOOKUP($C102,DBGenzai[社員№],DBGenzai[氏名],"",0,1)</f>
        <v/>
      </c>
      <c r="L102" s="111" t="str">
        <f>_xlfn.XLOOKUP($C102,DBGenzai[社員№],DBGenzai[カナ],"",0,1)</f>
        <v/>
      </c>
      <c r="M102" s="111" t="str">
        <f>_xlfn.XLOOKUP($C102,DBGenzai[社員№],DBGenzai[性別],"",0,1)</f>
        <v/>
      </c>
      <c r="N102" s="111" t="str">
        <f>_xlfn.XLOOKUP($C102,DBGenzai[社員№],DBGenzai[国籍],"",0,1)</f>
        <v/>
      </c>
      <c r="O102" s="113" t="str">
        <f>_xlfn.XLOOKUP($C102,DBGenzai[社員№],DBGenzai[生年月日],"",0,1)</f>
        <v/>
      </c>
      <c r="P102" s="111" t="str">
        <f>_xlfn.XLOOKUP($C102,DBGenzai[社員№],DBGenzai[年齢],"",0,1)</f>
        <v/>
      </c>
      <c r="Q102" s="111" t="str">
        <f>_xlfn.XLOOKUP($C102,DBGenzai[社員№],DBGenzai[時給],"",0,1)</f>
        <v/>
      </c>
      <c r="R102" s="111" t="str">
        <f>_xlfn.XLOOKUP($C102,DBGenzai[社員№],DBGenzai[請求単価],"",0,1)</f>
        <v/>
      </c>
      <c r="S102" s="111" t="str">
        <f>_xlfn.XLOOKUP($C102,DBGenzai[社員№],DBGenzai[〒],"",0,1)</f>
        <v/>
      </c>
      <c r="T102" s="111" t="str">
        <f>_xlfn.XLOOKUP($C102,DBGenzai[社員№],DBGenzai[住所],"",0,1)</f>
        <v/>
      </c>
      <c r="U102" s="111" t="str">
        <f>_xlfn.XLOOKUP($C102,DBGenzai[社員№],DBGenzai[ｱﾊﾟｰﾄ],"",0,1)</f>
        <v/>
      </c>
      <c r="V102" s="113" t="str">
        <f>_xlfn.XLOOKUP($C102,DBGenzai[社員№],DBGenzai[入居],"",0,1)</f>
        <v/>
      </c>
      <c r="W102" s="200" t="str">
        <f>_xlfn.XLOOKUP($C102,DBGenzai[社員№],DBGenzai[入社日],"",0,1)</f>
        <v/>
      </c>
      <c r="X102" s="113" t="str">
        <f>_xlfn.XLOOKUP($C102,DBGenzai[社員№],DBGenzai[退社日],"",0,1)</f>
        <v/>
      </c>
      <c r="Y102" s="111" t="str">
        <f>_xlfn.XLOOKUP($C102,DBGenzai[社員№],DBGenzai[退去],"",0,1)</f>
        <v/>
      </c>
      <c r="Z102" s="111" t="str">
        <f>_xlfn.XLOOKUP($C102,DBGenzai[社員№],DBGenzai[備考],"",0,1)</f>
        <v/>
      </c>
      <c r="AA102" s="113">
        <f t="shared" si="1"/>
        <v>45199</v>
      </c>
      <c r="AB102" s="159" t="e">
        <f>(TablaTransfor[[#This Row],[unicos]]-TablaTransfor[[#This Row],[入社日]])/364</f>
        <v>#VALUE!</v>
      </c>
      <c r="AC102" s="190" t="s">
        <v>3015</v>
      </c>
      <c r="AE102" s="116">
        <v>45017</v>
      </c>
      <c r="AF102" s="252" t="str">
        <f>_xlfn.XLOOKUP($C102,DBGenzai[社員№],DBGenzai[請求単価],"",0,1)</f>
        <v/>
      </c>
    </row>
    <row r="103" spans="1:32" hidden="1">
      <c r="A103" s="117">
        <f>SUBTOTAL(103,$C$3:C103)</f>
        <v>20</v>
      </c>
      <c r="B103" s="111">
        <v>84</v>
      </c>
      <c r="C103" s="111" t="str">
        <f>_xlfn.XLOOKUP($F$1&amp;B103,Filtro!B:B,Filtro!D:D,"",0,1)</f>
        <v/>
      </c>
      <c r="D103" s="111" t="str">
        <f>_xlfn.XLOOKUP(C103,DBGenzai[社員№],DBGenzai[現在],"",0,1)</f>
        <v/>
      </c>
      <c r="E103" s="111" t="str">
        <f>_xlfn.XLOOKUP($C103,DBGenzai[社員№],DBGenzai[派遣先ID],"",0,1)</f>
        <v/>
      </c>
      <c r="F103" s="111" t="str">
        <f>_xlfn.XLOOKUP($C103,DBGenzai[社員№],DBGenzai[配属先],"",0,1)</f>
        <v/>
      </c>
      <c r="G103" s="111" t="str">
        <f>MID(TablaTransfor[[#This Row],[配属先]],1,8)</f>
        <v/>
      </c>
      <c r="H103" s="111" t="str">
        <f>MID(TablaTransfor[[#This Row],[配属先]],9,6)</f>
        <v/>
      </c>
      <c r="I103" s="111" t="str">
        <f>MID(TablaTransfor[[#This Row],[配属先]],15,12)</f>
        <v/>
      </c>
      <c r="J103" s="111" t="str">
        <f>_xlfn.XLOOKUP($C103,DBGenzai[社員№],DBGenzai[配属ライン],"",0,1)</f>
        <v/>
      </c>
      <c r="K103" s="111" t="str">
        <f>_xlfn.XLOOKUP($C103,DBGenzai[社員№],DBGenzai[氏名],"",0,1)</f>
        <v/>
      </c>
      <c r="L103" s="111" t="str">
        <f>_xlfn.XLOOKUP($C103,DBGenzai[社員№],DBGenzai[カナ],"",0,1)</f>
        <v/>
      </c>
      <c r="M103" s="111" t="str">
        <f>_xlfn.XLOOKUP($C103,DBGenzai[社員№],DBGenzai[性別],"",0,1)</f>
        <v/>
      </c>
      <c r="N103" s="111" t="str">
        <f>_xlfn.XLOOKUP($C103,DBGenzai[社員№],DBGenzai[国籍],"",0,1)</f>
        <v/>
      </c>
      <c r="O103" s="113" t="str">
        <f>_xlfn.XLOOKUP($C103,DBGenzai[社員№],DBGenzai[生年月日],"",0,1)</f>
        <v/>
      </c>
      <c r="P103" s="111" t="str">
        <f>_xlfn.XLOOKUP($C103,DBGenzai[社員№],DBGenzai[年齢],"",0,1)</f>
        <v/>
      </c>
      <c r="Q103" s="111" t="str">
        <f>_xlfn.XLOOKUP($C103,DBGenzai[社員№],DBGenzai[時給],"",0,1)</f>
        <v/>
      </c>
      <c r="R103" s="111" t="str">
        <f>_xlfn.XLOOKUP($C103,DBGenzai[社員№],DBGenzai[請求単価],"",0,1)</f>
        <v/>
      </c>
      <c r="S103" s="111" t="str">
        <f>_xlfn.XLOOKUP($C103,DBGenzai[社員№],DBGenzai[〒],"",0,1)</f>
        <v/>
      </c>
      <c r="T103" s="111" t="str">
        <f>_xlfn.XLOOKUP($C103,DBGenzai[社員№],DBGenzai[住所],"",0,1)</f>
        <v/>
      </c>
      <c r="U103" s="111" t="str">
        <f>_xlfn.XLOOKUP($C103,DBGenzai[社員№],DBGenzai[ｱﾊﾟｰﾄ],"",0,1)</f>
        <v/>
      </c>
      <c r="V103" s="113" t="str">
        <f>_xlfn.XLOOKUP($C103,DBGenzai[社員№],DBGenzai[入居],"",0,1)</f>
        <v/>
      </c>
      <c r="W103" s="200" t="str">
        <f>_xlfn.XLOOKUP($C103,DBGenzai[社員№],DBGenzai[入社日],"",0,1)</f>
        <v/>
      </c>
      <c r="X103" s="113" t="str">
        <f>_xlfn.XLOOKUP($C103,DBGenzai[社員№],DBGenzai[退社日],"",0,1)</f>
        <v/>
      </c>
      <c r="Y103" s="111" t="str">
        <f>_xlfn.XLOOKUP($C103,DBGenzai[社員№],DBGenzai[退去],"",0,1)</f>
        <v/>
      </c>
      <c r="Z103" s="111" t="str">
        <f>_xlfn.XLOOKUP($C103,DBGenzai[社員№],DBGenzai[備考],"",0,1)</f>
        <v/>
      </c>
      <c r="AA103" s="113">
        <f t="shared" si="1"/>
        <v>45199</v>
      </c>
      <c r="AB103" s="159" t="e">
        <f>(TablaTransfor[[#This Row],[unicos]]-TablaTransfor[[#This Row],[入社日]])/364</f>
        <v>#VALUE!</v>
      </c>
      <c r="AC103" s="190" t="s">
        <v>3015</v>
      </c>
      <c r="AE103" s="116">
        <v>45017</v>
      </c>
      <c r="AF103" s="252" t="str">
        <f>_xlfn.XLOOKUP($C103,DBGenzai[社員№],DBGenzai[請求単価],"",0,1)</f>
        <v/>
      </c>
    </row>
    <row r="104" spans="1:32" hidden="1">
      <c r="A104" s="117">
        <f>SUBTOTAL(103,$C$3:C104)</f>
        <v>20</v>
      </c>
      <c r="B104" s="111">
        <v>85</v>
      </c>
      <c r="C104" s="111" t="str">
        <f>_xlfn.XLOOKUP($F$1&amp;B104,Filtro!B:B,Filtro!D:D,"",0,1)</f>
        <v/>
      </c>
      <c r="D104" s="111" t="str">
        <f>_xlfn.XLOOKUP(C104,DBGenzai[社員№],DBGenzai[現在],"",0,1)</f>
        <v/>
      </c>
      <c r="E104" s="111" t="str">
        <f>_xlfn.XLOOKUP($C104,DBGenzai[社員№],DBGenzai[派遣先ID],"",0,1)</f>
        <v/>
      </c>
      <c r="F104" s="111" t="str">
        <f>_xlfn.XLOOKUP($C104,DBGenzai[社員№],DBGenzai[配属先],"",0,1)</f>
        <v/>
      </c>
      <c r="G104" s="111" t="str">
        <f>MID(TablaTransfor[[#This Row],[配属先]],1,8)</f>
        <v/>
      </c>
      <c r="H104" s="111" t="str">
        <f>MID(TablaTransfor[[#This Row],[配属先]],9,6)</f>
        <v/>
      </c>
      <c r="I104" s="111" t="str">
        <f>MID(TablaTransfor[[#This Row],[配属先]],15,12)</f>
        <v/>
      </c>
      <c r="J104" s="111" t="str">
        <f>_xlfn.XLOOKUP($C104,DBGenzai[社員№],DBGenzai[配属ライン],"",0,1)</f>
        <v/>
      </c>
      <c r="K104" s="111" t="str">
        <f>_xlfn.XLOOKUP($C104,DBGenzai[社員№],DBGenzai[氏名],"",0,1)</f>
        <v/>
      </c>
      <c r="L104" s="111" t="str">
        <f>_xlfn.XLOOKUP($C104,DBGenzai[社員№],DBGenzai[カナ],"",0,1)</f>
        <v/>
      </c>
      <c r="M104" s="111" t="str">
        <f>_xlfn.XLOOKUP($C104,DBGenzai[社員№],DBGenzai[性別],"",0,1)</f>
        <v/>
      </c>
      <c r="N104" s="111" t="str">
        <f>_xlfn.XLOOKUP($C104,DBGenzai[社員№],DBGenzai[国籍],"",0,1)</f>
        <v/>
      </c>
      <c r="O104" s="113" t="str">
        <f>_xlfn.XLOOKUP($C104,DBGenzai[社員№],DBGenzai[生年月日],"",0,1)</f>
        <v/>
      </c>
      <c r="P104" s="111" t="str">
        <f>_xlfn.XLOOKUP($C104,DBGenzai[社員№],DBGenzai[年齢],"",0,1)</f>
        <v/>
      </c>
      <c r="Q104" s="111" t="str">
        <f>_xlfn.XLOOKUP($C104,DBGenzai[社員№],DBGenzai[時給],"",0,1)</f>
        <v/>
      </c>
      <c r="R104" s="111" t="str">
        <f>_xlfn.XLOOKUP($C104,DBGenzai[社員№],DBGenzai[請求単価],"",0,1)</f>
        <v/>
      </c>
      <c r="S104" s="111" t="str">
        <f>_xlfn.XLOOKUP($C104,DBGenzai[社員№],DBGenzai[〒],"",0,1)</f>
        <v/>
      </c>
      <c r="T104" s="111" t="str">
        <f>_xlfn.XLOOKUP($C104,DBGenzai[社員№],DBGenzai[住所],"",0,1)</f>
        <v/>
      </c>
      <c r="U104" s="111" t="str">
        <f>_xlfn.XLOOKUP($C104,DBGenzai[社員№],DBGenzai[ｱﾊﾟｰﾄ],"",0,1)</f>
        <v/>
      </c>
      <c r="V104" s="113" t="str">
        <f>_xlfn.XLOOKUP($C104,DBGenzai[社員№],DBGenzai[入居],"",0,1)</f>
        <v/>
      </c>
      <c r="W104" s="200" t="str">
        <f>_xlfn.XLOOKUP($C104,DBGenzai[社員№],DBGenzai[入社日],"",0,1)</f>
        <v/>
      </c>
      <c r="X104" s="113" t="str">
        <f>_xlfn.XLOOKUP($C104,DBGenzai[社員№],DBGenzai[退社日],"",0,1)</f>
        <v/>
      </c>
      <c r="Y104" s="111" t="str">
        <f>_xlfn.XLOOKUP($C104,DBGenzai[社員№],DBGenzai[退去],"",0,1)</f>
        <v/>
      </c>
      <c r="Z104" s="111" t="str">
        <f>_xlfn.XLOOKUP($C104,DBGenzai[社員№],DBGenzai[備考],"",0,1)</f>
        <v/>
      </c>
      <c r="AA104" s="113">
        <f t="shared" si="1"/>
        <v>45199</v>
      </c>
      <c r="AB104" s="159" t="e">
        <f>(TablaTransfor[[#This Row],[unicos]]-TablaTransfor[[#This Row],[入社日]])/364</f>
        <v>#VALUE!</v>
      </c>
      <c r="AC104" s="190" t="s">
        <v>3015</v>
      </c>
      <c r="AE104" s="116">
        <v>45017</v>
      </c>
      <c r="AF104" s="252" t="str">
        <f>_xlfn.XLOOKUP($C104,DBGenzai[社員№],DBGenzai[請求単価],"",0,1)</f>
        <v/>
      </c>
    </row>
    <row r="105" spans="1:32" hidden="1">
      <c r="A105" s="117">
        <f>SUBTOTAL(103,$C$3:C105)</f>
        <v>20</v>
      </c>
      <c r="B105" s="111">
        <v>103</v>
      </c>
      <c r="C105" s="111" t="str">
        <f>_xlfn.XLOOKUP($F$1&amp;B105,Filtro!B:B,Filtro!D:D,"",0,1)</f>
        <v/>
      </c>
      <c r="D105" s="111" t="str">
        <f>_xlfn.XLOOKUP(C105,DBGenzai[社員№],DBGenzai[現在],"",0,1)</f>
        <v/>
      </c>
      <c r="E105" s="111" t="str">
        <f>_xlfn.XLOOKUP($C105,DBGenzai[社員№],DBGenzai[派遣先ID],"",0,1)</f>
        <v/>
      </c>
      <c r="F105" s="111" t="str">
        <f>_xlfn.XLOOKUP($C105,DBGenzai[社員№],DBGenzai[配属先],"",0,1)</f>
        <v/>
      </c>
      <c r="G105" s="111" t="str">
        <f>MID(TablaTransfor[[#This Row],[配属先]],1,8)</f>
        <v/>
      </c>
      <c r="H105" s="111" t="str">
        <f>MID(TablaTransfor[[#This Row],[配属先]],9,6)</f>
        <v/>
      </c>
      <c r="I105" s="111" t="str">
        <f>MID(TablaTransfor[[#This Row],[配属先]],15,12)</f>
        <v/>
      </c>
      <c r="J105" s="111" t="str">
        <f>_xlfn.XLOOKUP($C105,DBGenzai[社員№],DBGenzai[配属ライン],"",0,1)</f>
        <v/>
      </c>
      <c r="K105" s="111" t="str">
        <f>_xlfn.XLOOKUP($C105,DBGenzai[社員№],DBGenzai[氏名],"",0,1)</f>
        <v/>
      </c>
      <c r="L105" s="111" t="str">
        <f>_xlfn.XLOOKUP($C105,DBGenzai[社員№],DBGenzai[カナ],"",0,1)</f>
        <v/>
      </c>
      <c r="M105" s="111" t="str">
        <f>_xlfn.XLOOKUP($C105,DBGenzai[社員№],DBGenzai[性別],"",0,1)</f>
        <v/>
      </c>
      <c r="N105" s="111" t="str">
        <f>_xlfn.XLOOKUP($C105,DBGenzai[社員№],DBGenzai[国籍],"",0,1)</f>
        <v/>
      </c>
      <c r="O105" s="113" t="str">
        <f>_xlfn.XLOOKUP($C105,DBGenzai[社員№],DBGenzai[生年月日],"",0,1)</f>
        <v/>
      </c>
      <c r="P105" s="111" t="str">
        <f>_xlfn.XLOOKUP($C105,DBGenzai[社員№],DBGenzai[年齢],"",0,1)</f>
        <v/>
      </c>
      <c r="Q105" s="111" t="str">
        <f>_xlfn.XLOOKUP($C105,DBGenzai[社員№],DBGenzai[時給],"",0,1)</f>
        <v/>
      </c>
      <c r="R105" s="111" t="str">
        <f>_xlfn.XLOOKUP($C105,DBGenzai[社員№],DBGenzai[請求単価],"",0,1)</f>
        <v/>
      </c>
      <c r="S105" s="111" t="str">
        <f>_xlfn.XLOOKUP($C105,DBGenzai[社員№],DBGenzai[〒],"",0,1)</f>
        <v/>
      </c>
      <c r="T105" s="111" t="str">
        <f>_xlfn.XLOOKUP($C105,DBGenzai[社員№],DBGenzai[住所],"",0,1)</f>
        <v/>
      </c>
      <c r="U105" s="111" t="str">
        <f>_xlfn.XLOOKUP($C105,DBGenzai[社員№],DBGenzai[ｱﾊﾟｰﾄ],"",0,1)</f>
        <v/>
      </c>
      <c r="V105" s="113" t="str">
        <f>_xlfn.XLOOKUP($C105,DBGenzai[社員№],DBGenzai[入居],"",0,1)</f>
        <v/>
      </c>
      <c r="W105" s="113" t="str">
        <f>_xlfn.XLOOKUP($C105,DBGenzai[社員№],DBGenzai[入社日],"",0,1)</f>
        <v/>
      </c>
      <c r="X105" s="113" t="str">
        <f>_xlfn.XLOOKUP($C105,DBGenzai[社員№],DBGenzai[退社日],"",0,1)</f>
        <v/>
      </c>
      <c r="Y105" s="111" t="str">
        <f>_xlfn.XLOOKUP($C105,DBGenzai[社員№],DBGenzai[退去],"",0,1)</f>
        <v/>
      </c>
      <c r="Z105" s="111" t="str">
        <f>_xlfn.XLOOKUP($C105,DBGenzai[社員№],DBGenzai[備考],"",0,1)</f>
        <v/>
      </c>
      <c r="AA10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05" s="159" t="e">
        <f>(TablaTransfor[[#This Row],[unicos]]-TablaTransfor[[#This Row],[入社日]])/364</f>
        <v>#VALUE!</v>
      </c>
      <c r="AF105" s="251" t="str">
        <f>_xlfn.XLOOKUP($C105,DBGenzai[社員№],DBGenzai[請求単価],"",0,1)</f>
        <v/>
      </c>
    </row>
    <row r="106" spans="1:32" hidden="1">
      <c r="A106" s="117">
        <f>SUBTOTAL(103,$C$3:C106)</f>
        <v>20</v>
      </c>
      <c r="B106" s="111">
        <v>104</v>
      </c>
      <c r="C106" s="111" t="str">
        <f>_xlfn.XLOOKUP($F$1&amp;B106,Filtro!B:B,Filtro!D:D,"",0,1)</f>
        <v/>
      </c>
      <c r="D106" s="111" t="str">
        <f>_xlfn.XLOOKUP(C106,DBGenzai[社員№],DBGenzai[現在],"",0,1)</f>
        <v/>
      </c>
      <c r="E106" s="111" t="str">
        <f>_xlfn.XLOOKUP($C106,DBGenzai[社員№],DBGenzai[派遣先ID],"",0,1)</f>
        <v/>
      </c>
      <c r="F106" s="111" t="str">
        <f>_xlfn.XLOOKUP($C106,DBGenzai[社員№],DBGenzai[配属先],"",0,1)</f>
        <v/>
      </c>
      <c r="G106" s="111" t="str">
        <f>MID(TablaTransfor[[#This Row],[配属先]],1,8)</f>
        <v/>
      </c>
      <c r="H106" s="111" t="str">
        <f>MID(TablaTransfor[[#This Row],[配属先]],9,6)</f>
        <v/>
      </c>
      <c r="I106" s="111" t="str">
        <f>MID(TablaTransfor[[#This Row],[配属先]],15,12)</f>
        <v/>
      </c>
      <c r="J106" s="111" t="str">
        <f>_xlfn.XLOOKUP($C106,DBGenzai[社員№],DBGenzai[配属ライン],"",0,1)</f>
        <v/>
      </c>
      <c r="K106" s="111" t="str">
        <f>_xlfn.XLOOKUP($C106,DBGenzai[社員№],DBGenzai[氏名],"",0,1)</f>
        <v/>
      </c>
      <c r="L106" s="111" t="str">
        <f>_xlfn.XLOOKUP($C106,DBGenzai[社員№],DBGenzai[カナ],"",0,1)</f>
        <v/>
      </c>
      <c r="M106" s="111" t="str">
        <f>_xlfn.XLOOKUP($C106,DBGenzai[社員№],DBGenzai[性別],"",0,1)</f>
        <v/>
      </c>
      <c r="N106" s="111" t="str">
        <f>_xlfn.XLOOKUP($C106,DBGenzai[社員№],DBGenzai[国籍],"",0,1)</f>
        <v/>
      </c>
      <c r="O106" s="113" t="str">
        <f>_xlfn.XLOOKUP($C106,DBGenzai[社員№],DBGenzai[生年月日],"",0,1)</f>
        <v/>
      </c>
      <c r="P106" s="111" t="str">
        <f>_xlfn.XLOOKUP($C106,DBGenzai[社員№],DBGenzai[年齢],"",0,1)</f>
        <v/>
      </c>
      <c r="Q106" s="111" t="str">
        <f>_xlfn.XLOOKUP($C106,DBGenzai[社員№],DBGenzai[時給],"",0,1)</f>
        <v/>
      </c>
      <c r="R106" s="111" t="str">
        <f>_xlfn.XLOOKUP($C106,DBGenzai[社員№],DBGenzai[請求単価],"",0,1)</f>
        <v/>
      </c>
      <c r="S106" s="111" t="str">
        <f>_xlfn.XLOOKUP($C106,DBGenzai[社員№],DBGenzai[〒],"",0,1)</f>
        <v/>
      </c>
      <c r="T106" s="111" t="str">
        <f>_xlfn.XLOOKUP($C106,DBGenzai[社員№],DBGenzai[住所],"",0,1)</f>
        <v/>
      </c>
      <c r="U106" s="111" t="str">
        <f>_xlfn.XLOOKUP($C106,DBGenzai[社員№],DBGenzai[ｱﾊﾟｰﾄ],"",0,1)</f>
        <v/>
      </c>
      <c r="V106" s="113" t="str">
        <f>_xlfn.XLOOKUP($C106,DBGenzai[社員№],DBGenzai[入居],"",0,1)</f>
        <v/>
      </c>
      <c r="W106" s="113" t="str">
        <f>_xlfn.XLOOKUP($C106,DBGenzai[社員№],DBGenzai[入社日],"",0,1)</f>
        <v/>
      </c>
      <c r="X106" s="113" t="str">
        <f>_xlfn.XLOOKUP($C106,DBGenzai[社員№],DBGenzai[退社日],"",0,1)</f>
        <v/>
      </c>
      <c r="Y106" s="111" t="str">
        <f>_xlfn.XLOOKUP($C106,DBGenzai[社員№],DBGenzai[退去],"",0,1)</f>
        <v/>
      </c>
      <c r="Z106" s="111" t="str">
        <f>_xlfn.XLOOKUP($C106,DBGenzai[社員№],DBGenzai[備考],"",0,1)</f>
        <v/>
      </c>
      <c r="AA10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06" s="159" t="e">
        <f>(TablaTransfor[[#This Row],[unicos]]-TablaTransfor[[#This Row],[入社日]])/364</f>
        <v>#VALUE!</v>
      </c>
      <c r="AF106" s="251" t="str">
        <f>_xlfn.XLOOKUP($C106,DBGenzai[社員№],DBGenzai[請求単価],"",0,1)</f>
        <v/>
      </c>
    </row>
    <row r="107" spans="1:32" hidden="1">
      <c r="A107" s="117">
        <f>SUBTOTAL(103,$C$3:C107)</f>
        <v>20</v>
      </c>
      <c r="B107" s="111">
        <v>105</v>
      </c>
      <c r="C107" s="111" t="str">
        <f>_xlfn.XLOOKUP($F$1&amp;B107,Filtro!B:B,Filtro!D:D,"",0,1)</f>
        <v/>
      </c>
      <c r="D107" s="111" t="str">
        <f>_xlfn.XLOOKUP(C107,DBGenzai[社員№],DBGenzai[現在],"",0,1)</f>
        <v/>
      </c>
      <c r="E107" s="111" t="str">
        <f>_xlfn.XLOOKUP($C107,DBGenzai[社員№],DBGenzai[派遣先ID],"",0,1)</f>
        <v/>
      </c>
      <c r="F107" s="111" t="str">
        <f>_xlfn.XLOOKUP($C107,DBGenzai[社員№],DBGenzai[配属先],"",0,1)</f>
        <v/>
      </c>
      <c r="G107" s="111" t="str">
        <f>MID(TablaTransfor[[#This Row],[配属先]],1,8)</f>
        <v/>
      </c>
      <c r="H107" s="111" t="str">
        <f>MID(TablaTransfor[[#This Row],[配属先]],9,6)</f>
        <v/>
      </c>
      <c r="I107" s="111" t="str">
        <f>MID(TablaTransfor[[#This Row],[配属先]],15,12)</f>
        <v/>
      </c>
      <c r="J107" s="111" t="str">
        <f>_xlfn.XLOOKUP($C107,DBGenzai[社員№],DBGenzai[配属ライン],"",0,1)</f>
        <v/>
      </c>
      <c r="K107" s="111" t="str">
        <f>_xlfn.XLOOKUP($C107,DBGenzai[社員№],DBGenzai[氏名],"",0,1)</f>
        <v/>
      </c>
      <c r="L107" s="111" t="str">
        <f>_xlfn.XLOOKUP($C107,DBGenzai[社員№],DBGenzai[カナ],"",0,1)</f>
        <v/>
      </c>
      <c r="M107" s="111" t="str">
        <f>_xlfn.XLOOKUP($C107,DBGenzai[社員№],DBGenzai[性別],"",0,1)</f>
        <v/>
      </c>
      <c r="N107" s="111" t="str">
        <f>_xlfn.XLOOKUP($C107,DBGenzai[社員№],DBGenzai[国籍],"",0,1)</f>
        <v/>
      </c>
      <c r="O107" s="113" t="str">
        <f>_xlfn.XLOOKUP($C107,DBGenzai[社員№],DBGenzai[生年月日],"",0,1)</f>
        <v/>
      </c>
      <c r="P107" s="111" t="str">
        <f>_xlfn.XLOOKUP($C107,DBGenzai[社員№],DBGenzai[年齢],"",0,1)</f>
        <v/>
      </c>
      <c r="Q107" s="111" t="str">
        <f>_xlfn.XLOOKUP($C107,DBGenzai[社員№],DBGenzai[時給],"",0,1)</f>
        <v/>
      </c>
      <c r="R107" s="111" t="str">
        <f>_xlfn.XLOOKUP($C107,DBGenzai[社員№],DBGenzai[請求単価],"",0,1)</f>
        <v/>
      </c>
      <c r="S107" s="111" t="str">
        <f>_xlfn.XLOOKUP($C107,DBGenzai[社員№],DBGenzai[〒],"",0,1)</f>
        <v/>
      </c>
      <c r="T107" s="111" t="str">
        <f>_xlfn.XLOOKUP($C107,DBGenzai[社員№],DBGenzai[住所],"",0,1)</f>
        <v/>
      </c>
      <c r="U107" s="111" t="str">
        <f>_xlfn.XLOOKUP($C107,DBGenzai[社員№],DBGenzai[ｱﾊﾟｰﾄ],"",0,1)</f>
        <v/>
      </c>
      <c r="V107" s="113" t="str">
        <f>_xlfn.XLOOKUP($C107,DBGenzai[社員№],DBGenzai[入居],"",0,1)</f>
        <v/>
      </c>
      <c r="W107" s="113" t="str">
        <f>_xlfn.XLOOKUP($C107,DBGenzai[社員№],DBGenzai[入社日],"",0,1)</f>
        <v/>
      </c>
      <c r="X107" s="113" t="str">
        <f>_xlfn.XLOOKUP($C107,DBGenzai[社員№],DBGenzai[退社日],"",0,1)</f>
        <v/>
      </c>
      <c r="Y107" s="111" t="str">
        <f>_xlfn.XLOOKUP($C107,DBGenzai[社員№],DBGenzai[退去],"",0,1)</f>
        <v/>
      </c>
      <c r="Z107" s="111" t="str">
        <f>_xlfn.XLOOKUP($C107,DBGenzai[社員№],DBGenzai[備考],"",0,1)</f>
        <v/>
      </c>
      <c r="AA10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07" s="159" t="e">
        <f>(TablaTransfor[[#This Row],[unicos]]-TablaTransfor[[#This Row],[入社日]])/364</f>
        <v>#VALUE!</v>
      </c>
      <c r="AF107" s="251" t="str">
        <f>_xlfn.XLOOKUP($C107,DBGenzai[社員№],DBGenzai[請求単価],"",0,1)</f>
        <v/>
      </c>
    </row>
    <row r="108" spans="1:32" hidden="1">
      <c r="A108" s="117">
        <f>SUBTOTAL(103,$C$3:C108)</f>
        <v>20</v>
      </c>
      <c r="B108" s="111">
        <v>106</v>
      </c>
      <c r="C108" s="111" t="str">
        <f>_xlfn.XLOOKUP($F$1&amp;B108,Filtro!B:B,Filtro!D:D,"",0,1)</f>
        <v/>
      </c>
      <c r="D108" s="111" t="str">
        <f>_xlfn.XLOOKUP(C108,DBGenzai[社員№],DBGenzai[現在],"",0,1)</f>
        <v/>
      </c>
      <c r="E108" s="111" t="str">
        <f>_xlfn.XLOOKUP($C108,DBGenzai[社員№],DBGenzai[派遣先ID],"",0,1)</f>
        <v/>
      </c>
      <c r="F108" s="111" t="str">
        <f>_xlfn.XLOOKUP($C108,DBGenzai[社員№],DBGenzai[配属先],"",0,1)</f>
        <v/>
      </c>
      <c r="G108" s="111" t="str">
        <f>MID(TablaTransfor[[#This Row],[配属先]],1,8)</f>
        <v/>
      </c>
      <c r="H108" s="111" t="str">
        <f>MID(TablaTransfor[[#This Row],[配属先]],9,6)</f>
        <v/>
      </c>
      <c r="I108" s="111" t="str">
        <f>MID(TablaTransfor[[#This Row],[配属先]],15,12)</f>
        <v/>
      </c>
      <c r="J108" s="111" t="str">
        <f>_xlfn.XLOOKUP($C108,DBGenzai[社員№],DBGenzai[配属ライン],"",0,1)</f>
        <v/>
      </c>
      <c r="K108" s="111" t="str">
        <f>_xlfn.XLOOKUP($C108,DBGenzai[社員№],DBGenzai[氏名],"",0,1)</f>
        <v/>
      </c>
      <c r="L108" s="111" t="str">
        <f>_xlfn.XLOOKUP($C108,DBGenzai[社員№],DBGenzai[カナ],"",0,1)</f>
        <v/>
      </c>
      <c r="M108" s="111" t="str">
        <f>_xlfn.XLOOKUP($C108,DBGenzai[社員№],DBGenzai[性別],"",0,1)</f>
        <v/>
      </c>
      <c r="N108" s="111" t="str">
        <f>_xlfn.XLOOKUP($C108,DBGenzai[社員№],DBGenzai[国籍],"",0,1)</f>
        <v/>
      </c>
      <c r="O108" s="113" t="str">
        <f>_xlfn.XLOOKUP($C108,DBGenzai[社員№],DBGenzai[生年月日],"",0,1)</f>
        <v/>
      </c>
      <c r="P108" s="111" t="str">
        <f>_xlfn.XLOOKUP($C108,DBGenzai[社員№],DBGenzai[年齢],"",0,1)</f>
        <v/>
      </c>
      <c r="Q108" s="111" t="str">
        <f>_xlfn.XLOOKUP($C108,DBGenzai[社員№],DBGenzai[時給],"",0,1)</f>
        <v/>
      </c>
      <c r="R108" s="111" t="str">
        <f>_xlfn.XLOOKUP($C108,DBGenzai[社員№],DBGenzai[請求単価],"",0,1)</f>
        <v/>
      </c>
      <c r="S108" s="111" t="str">
        <f>_xlfn.XLOOKUP($C108,DBGenzai[社員№],DBGenzai[〒],"",0,1)</f>
        <v/>
      </c>
      <c r="T108" s="111" t="str">
        <f>_xlfn.XLOOKUP($C108,DBGenzai[社員№],DBGenzai[住所],"",0,1)</f>
        <v/>
      </c>
      <c r="U108" s="111" t="str">
        <f>_xlfn.XLOOKUP($C108,DBGenzai[社員№],DBGenzai[ｱﾊﾟｰﾄ],"",0,1)</f>
        <v/>
      </c>
      <c r="V108" s="113" t="str">
        <f>_xlfn.XLOOKUP($C108,DBGenzai[社員№],DBGenzai[入居],"",0,1)</f>
        <v/>
      </c>
      <c r="W108" s="113" t="str">
        <f>_xlfn.XLOOKUP($C108,DBGenzai[社員№],DBGenzai[入社日],"",0,1)</f>
        <v/>
      </c>
      <c r="X108" s="113" t="str">
        <f>_xlfn.XLOOKUP($C108,DBGenzai[社員№],DBGenzai[退社日],"",0,1)</f>
        <v/>
      </c>
      <c r="Y108" s="111" t="str">
        <f>_xlfn.XLOOKUP($C108,DBGenzai[社員№],DBGenzai[退去],"",0,1)</f>
        <v/>
      </c>
      <c r="Z108" s="111" t="str">
        <f>_xlfn.XLOOKUP($C108,DBGenzai[社員№],DBGenzai[備考],"",0,1)</f>
        <v/>
      </c>
      <c r="AA10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08" s="159" t="e">
        <f>(TablaTransfor[[#This Row],[unicos]]-TablaTransfor[[#This Row],[入社日]])/364</f>
        <v>#VALUE!</v>
      </c>
      <c r="AF108" s="251" t="str">
        <f>_xlfn.XLOOKUP($C108,DBGenzai[社員№],DBGenzai[請求単価],"",0,1)</f>
        <v/>
      </c>
    </row>
    <row r="109" spans="1:32" hidden="1">
      <c r="A109" s="117">
        <f>SUBTOTAL(103,$C$3:C109)</f>
        <v>20</v>
      </c>
      <c r="B109" s="111">
        <v>107</v>
      </c>
      <c r="C109" s="111" t="str">
        <f>_xlfn.XLOOKUP($F$1&amp;B109,Filtro!B:B,Filtro!D:D,"",0,1)</f>
        <v/>
      </c>
      <c r="D109" s="111" t="str">
        <f>_xlfn.XLOOKUP(C109,DBGenzai[社員№],DBGenzai[現在],"",0,1)</f>
        <v/>
      </c>
      <c r="E109" s="111" t="str">
        <f>_xlfn.XLOOKUP($C109,DBGenzai[社員№],DBGenzai[派遣先ID],"",0,1)</f>
        <v/>
      </c>
      <c r="F109" s="111" t="str">
        <f>_xlfn.XLOOKUP($C109,DBGenzai[社員№],DBGenzai[配属先],"",0,1)</f>
        <v/>
      </c>
      <c r="G109" s="111" t="str">
        <f>MID(TablaTransfor[[#This Row],[配属先]],1,8)</f>
        <v/>
      </c>
      <c r="H109" s="111" t="str">
        <f>MID(TablaTransfor[[#This Row],[配属先]],9,6)</f>
        <v/>
      </c>
      <c r="I109" s="111" t="str">
        <f>MID(TablaTransfor[[#This Row],[配属先]],15,12)</f>
        <v/>
      </c>
      <c r="J109" s="111" t="str">
        <f>_xlfn.XLOOKUP($C109,DBGenzai[社員№],DBGenzai[配属ライン],"",0,1)</f>
        <v/>
      </c>
      <c r="K109" s="111" t="str">
        <f>_xlfn.XLOOKUP($C109,DBGenzai[社員№],DBGenzai[氏名],"",0,1)</f>
        <v/>
      </c>
      <c r="L109" s="111" t="str">
        <f>_xlfn.XLOOKUP($C109,DBGenzai[社員№],DBGenzai[カナ],"",0,1)</f>
        <v/>
      </c>
      <c r="M109" s="111" t="str">
        <f>_xlfn.XLOOKUP($C109,DBGenzai[社員№],DBGenzai[性別],"",0,1)</f>
        <v/>
      </c>
      <c r="N109" s="111" t="str">
        <f>_xlfn.XLOOKUP($C109,DBGenzai[社員№],DBGenzai[国籍],"",0,1)</f>
        <v/>
      </c>
      <c r="O109" s="113" t="str">
        <f>_xlfn.XLOOKUP($C109,DBGenzai[社員№],DBGenzai[生年月日],"",0,1)</f>
        <v/>
      </c>
      <c r="P109" s="111" t="str">
        <f>_xlfn.XLOOKUP($C109,DBGenzai[社員№],DBGenzai[年齢],"",0,1)</f>
        <v/>
      </c>
      <c r="Q109" s="111" t="str">
        <f>_xlfn.XLOOKUP($C109,DBGenzai[社員№],DBGenzai[時給],"",0,1)</f>
        <v/>
      </c>
      <c r="R109" s="111" t="str">
        <f>_xlfn.XLOOKUP($C109,DBGenzai[社員№],DBGenzai[請求単価],"",0,1)</f>
        <v/>
      </c>
      <c r="S109" s="111" t="str">
        <f>_xlfn.XLOOKUP($C109,DBGenzai[社員№],DBGenzai[〒],"",0,1)</f>
        <v/>
      </c>
      <c r="T109" s="111" t="str">
        <f>_xlfn.XLOOKUP($C109,DBGenzai[社員№],DBGenzai[住所],"",0,1)</f>
        <v/>
      </c>
      <c r="U109" s="111" t="str">
        <f>_xlfn.XLOOKUP($C109,DBGenzai[社員№],DBGenzai[ｱﾊﾟｰﾄ],"",0,1)</f>
        <v/>
      </c>
      <c r="V109" s="113" t="str">
        <f>_xlfn.XLOOKUP($C109,DBGenzai[社員№],DBGenzai[入居],"",0,1)</f>
        <v/>
      </c>
      <c r="W109" s="113" t="str">
        <f>_xlfn.XLOOKUP($C109,DBGenzai[社員№],DBGenzai[入社日],"",0,1)</f>
        <v/>
      </c>
      <c r="X109" s="113" t="str">
        <f>_xlfn.XLOOKUP($C109,DBGenzai[社員№],DBGenzai[退社日],"",0,1)</f>
        <v/>
      </c>
      <c r="Y109" s="111" t="str">
        <f>_xlfn.XLOOKUP($C109,DBGenzai[社員№],DBGenzai[退去],"",0,1)</f>
        <v/>
      </c>
      <c r="Z109" s="111" t="str">
        <f>_xlfn.XLOOKUP($C109,DBGenzai[社員№],DBGenzai[備考],"",0,1)</f>
        <v/>
      </c>
      <c r="AA10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09" s="159" t="e">
        <f>(TablaTransfor[[#This Row],[unicos]]-TablaTransfor[[#This Row],[入社日]])/364</f>
        <v>#VALUE!</v>
      </c>
      <c r="AF109" s="251" t="str">
        <f>_xlfn.XLOOKUP($C109,DBGenzai[社員№],DBGenzai[請求単価],"",0,1)</f>
        <v/>
      </c>
    </row>
    <row r="110" spans="1:32" hidden="1">
      <c r="A110" s="117">
        <f>SUBTOTAL(103,$C$3:C110)</f>
        <v>20</v>
      </c>
      <c r="B110" s="111">
        <v>108</v>
      </c>
      <c r="C110" s="111" t="str">
        <f>_xlfn.XLOOKUP($F$1&amp;B110,Filtro!B:B,Filtro!D:D,"",0,1)</f>
        <v/>
      </c>
      <c r="D110" s="111" t="str">
        <f>_xlfn.XLOOKUP(C110,DBGenzai[社員№],DBGenzai[現在],"",0,1)</f>
        <v/>
      </c>
      <c r="E110" s="111" t="str">
        <f>_xlfn.XLOOKUP($C110,DBGenzai[社員№],DBGenzai[派遣先ID],"",0,1)</f>
        <v/>
      </c>
      <c r="F110" s="111" t="str">
        <f>_xlfn.XLOOKUP($C110,DBGenzai[社員№],DBGenzai[配属先],"",0,1)</f>
        <v/>
      </c>
      <c r="G110" s="111" t="str">
        <f>MID(TablaTransfor[[#This Row],[配属先]],1,8)</f>
        <v/>
      </c>
      <c r="H110" s="111" t="str">
        <f>MID(TablaTransfor[[#This Row],[配属先]],9,6)</f>
        <v/>
      </c>
      <c r="I110" s="111" t="str">
        <f>MID(TablaTransfor[[#This Row],[配属先]],15,12)</f>
        <v/>
      </c>
      <c r="J110" s="111" t="str">
        <f>_xlfn.XLOOKUP($C110,DBGenzai[社員№],DBGenzai[配属ライン],"",0,1)</f>
        <v/>
      </c>
      <c r="K110" s="111" t="str">
        <f>_xlfn.XLOOKUP($C110,DBGenzai[社員№],DBGenzai[氏名],"",0,1)</f>
        <v/>
      </c>
      <c r="L110" s="111" t="str">
        <f>_xlfn.XLOOKUP($C110,DBGenzai[社員№],DBGenzai[カナ],"",0,1)</f>
        <v/>
      </c>
      <c r="M110" s="111" t="str">
        <f>_xlfn.XLOOKUP($C110,DBGenzai[社員№],DBGenzai[性別],"",0,1)</f>
        <v/>
      </c>
      <c r="N110" s="111" t="str">
        <f>_xlfn.XLOOKUP($C110,DBGenzai[社員№],DBGenzai[国籍],"",0,1)</f>
        <v/>
      </c>
      <c r="O110" s="113" t="str">
        <f>_xlfn.XLOOKUP($C110,DBGenzai[社員№],DBGenzai[生年月日],"",0,1)</f>
        <v/>
      </c>
      <c r="P110" s="111" t="str">
        <f>_xlfn.XLOOKUP($C110,DBGenzai[社員№],DBGenzai[年齢],"",0,1)</f>
        <v/>
      </c>
      <c r="Q110" s="111" t="str">
        <f>_xlfn.XLOOKUP($C110,DBGenzai[社員№],DBGenzai[時給],"",0,1)</f>
        <v/>
      </c>
      <c r="R110" s="111" t="str">
        <f>_xlfn.XLOOKUP($C110,DBGenzai[社員№],DBGenzai[請求単価],"",0,1)</f>
        <v/>
      </c>
      <c r="S110" s="111" t="str">
        <f>_xlfn.XLOOKUP($C110,DBGenzai[社員№],DBGenzai[〒],"",0,1)</f>
        <v/>
      </c>
      <c r="T110" s="111" t="str">
        <f>_xlfn.XLOOKUP($C110,DBGenzai[社員№],DBGenzai[住所],"",0,1)</f>
        <v/>
      </c>
      <c r="U110" s="111" t="str">
        <f>_xlfn.XLOOKUP($C110,DBGenzai[社員№],DBGenzai[ｱﾊﾟｰﾄ],"",0,1)</f>
        <v/>
      </c>
      <c r="V110" s="113" t="str">
        <f>_xlfn.XLOOKUP($C110,DBGenzai[社員№],DBGenzai[入居],"",0,1)</f>
        <v/>
      </c>
      <c r="W110" s="113" t="str">
        <f>_xlfn.XLOOKUP($C110,DBGenzai[社員№],DBGenzai[入社日],"",0,1)</f>
        <v/>
      </c>
      <c r="X110" s="113" t="str">
        <f>_xlfn.XLOOKUP($C110,DBGenzai[社員№],DBGenzai[退社日],"",0,1)</f>
        <v/>
      </c>
      <c r="Y110" s="111" t="str">
        <f>_xlfn.XLOOKUP($C110,DBGenzai[社員№],DBGenzai[退去],"",0,1)</f>
        <v/>
      </c>
      <c r="Z110" s="111" t="str">
        <f>_xlfn.XLOOKUP($C110,DBGenzai[社員№],DBGenzai[備考],"",0,1)</f>
        <v/>
      </c>
      <c r="AA110"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0" s="159" t="e">
        <f>(TablaTransfor[[#This Row],[unicos]]-TablaTransfor[[#This Row],[入社日]])/364</f>
        <v>#VALUE!</v>
      </c>
      <c r="AF110" s="251" t="str">
        <f>_xlfn.XLOOKUP($C110,DBGenzai[社員№],DBGenzai[請求単価],"",0,1)</f>
        <v/>
      </c>
    </row>
    <row r="111" spans="1:32" hidden="1">
      <c r="A111" s="117">
        <f>SUBTOTAL(103,$C$3:C111)</f>
        <v>20</v>
      </c>
      <c r="B111" s="111">
        <v>109</v>
      </c>
      <c r="C111" s="111" t="str">
        <f>_xlfn.XLOOKUP($F$1&amp;B111,Filtro!B:B,Filtro!D:D,"",0,1)</f>
        <v/>
      </c>
      <c r="D111" s="111" t="str">
        <f>_xlfn.XLOOKUP(C111,DBGenzai[社員№],DBGenzai[現在],"",0,1)</f>
        <v/>
      </c>
      <c r="E111" s="111" t="str">
        <f>_xlfn.XLOOKUP($C111,DBGenzai[社員№],DBGenzai[派遣先ID],"",0,1)</f>
        <v/>
      </c>
      <c r="F111" s="111" t="str">
        <f>_xlfn.XLOOKUP($C111,DBGenzai[社員№],DBGenzai[配属先],"",0,1)</f>
        <v/>
      </c>
      <c r="G111" s="111" t="str">
        <f>MID(TablaTransfor[[#This Row],[配属先]],1,8)</f>
        <v/>
      </c>
      <c r="H111" s="111" t="str">
        <f>MID(TablaTransfor[[#This Row],[配属先]],9,6)</f>
        <v/>
      </c>
      <c r="I111" s="111" t="str">
        <f>MID(TablaTransfor[[#This Row],[配属先]],15,12)</f>
        <v/>
      </c>
      <c r="J111" s="111" t="str">
        <f>_xlfn.XLOOKUP($C111,DBGenzai[社員№],DBGenzai[配属ライン],"",0,1)</f>
        <v/>
      </c>
      <c r="K111" s="111" t="str">
        <f>_xlfn.XLOOKUP($C111,DBGenzai[社員№],DBGenzai[氏名],"",0,1)</f>
        <v/>
      </c>
      <c r="L111" s="111" t="str">
        <f>_xlfn.XLOOKUP($C111,DBGenzai[社員№],DBGenzai[カナ],"",0,1)</f>
        <v/>
      </c>
      <c r="M111" s="111" t="str">
        <f>_xlfn.XLOOKUP($C111,DBGenzai[社員№],DBGenzai[性別],"",0,1)</f>
        <v/>
      </c>
      <c r="N111" s="111" t="str">
        <f>_xlfn.XLOOKUP($C111,DBGenzai[社員№],DBGenzai[国籍],"",0,1)</f>
        <v/>
      </c>
      <c r="O111" s="113" t="str">
        <f>_xlfn.XLOOKUP($C111,DBGenzai[社員№],DBGenzai[生年月日],"",0,1)</f>
        <v/>
      </c>
      <c r="P111" s="111" t="str">
        <f>_xlfn.XLOOKUP($C111,DBGenzai[社員№],DBGenzai[年齢],"",0,1)</f>
        <v/>
      </c>
      <c r="Q111" s="111" t="str">
        <f>_xlfn.XLOOKUP($C111,DBGenzai[社員№],DBGenzai[時給],"",0,1)</f>
        <v/>
      </c>
      <c r="R111" s="111" t="str">
        <f>_xlfn.XLOOKUP($C111,DBGenzai[社員№],DBGenzai[請求単価],"",0,1)</f>
        <v/>
      </c>
      <c r="S111" s="111" t="str">
        <f>_xlfn.XLOOKUP($C111,DBGenzai[社員№],DBGenzai[〒],"",0,1)</f>
        <v/>
      </c>
      <c r="T111" s="111" t="str">
        <f>_xlfn.XLOOKUP($C111,DBGenzai[社員№],DBGenzai[住所],"",0,1)</f>
        <v/>
      </c>
      <c r="U111" s="111" t="str">
        <f>_xlfn.XLOOKUP($C111,DBGenzai[社員№],DBGenzai[ｱﾊﾟｰﾄ],"",0,1)</f>
        <v/>
      </c>
      <c r="V111" s="113" t="str">
        <f>_xlfn.XLOOKUP($C111,DBGenzai[社員№],DBGenzai[入居],"",0,1)</f>
        <v/>
      </c>
      <c r="W111" s="113" t="str">
        <f>_xlfn.XLOOKUP($C111,DBGenzai[社員№],DBGenzai[入社日],"",0,1)</f>
        <v/>
      </c>
      <c r="X111" s="113" t="str">
        <f>_xlfn.XLOOKUP($C111,DBGenzai[社員№],DBGenzai[退社日],"",0,1)</f>
        <v/>
      </c>
      <c r="Y111" s="111" t="str">
        <f>_xlfn.XLOOKUP($C111,DBGenzai[社員№],DBGenzai[退去],"",0,1)</f>
        <v/>
      </c>
      <c r="Z111" s="111" t="str">
        <f>_xlfn.XLOOKUP($C111,DBGenzai[社員№],DBGenzai[備考],"",0,1)</f>
        <v/>
      </c>
      <c r="AA111"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1" s="159" t="e">
        <f>(TablaTransfor[[#This Row],[unicos]]-TablaTransfor[[#This Row],[入社日]])/364</f>
        <v>#VALUE!</v>
      </c>
      <c r="AF111" s="251" t="str">
        <f>_xlfn.XLOOKUP($C111,DBGenzai[社員№],DBGenzai[請求単価],"",0,1)</f>
        <v/>
      </c>
    </row>
    <row r="112" spans="1:32" hidden="1">
      <c r="A112" s="117">
        <f>SUBTOTAL(103,$C$3:C112)</f>
        <v>20</v>
      </c>
      <c r="B112" s="111">
        <v>110</v>
      </c>
      <c r="C112" s="111" t="str">
        <f>_xlfn.XLOOKUP($F$1&amp;B112,Filtro!B:B,Filtro!D:D,"",0,1)</f>
        <v/>
      </c>
      <c r="D112" s="111" t="str">
        <f>_xlfn.XLOOKUP(C112,DBGenzai[社員№],DBGenzai[現在],"",0,1)</f>
        <v/>
      </c>
      <c r="E112" s="111" t="str">
        <f>_xlfn.XLOOKUP($C112,DBGenzai[社員№],DBGenzai[派遣先ID],"",0,1)</f>
        <v/>
      </c>
      <c r="F112" s="111" t="str">
        <f>_xlfn.XLOOKUP($C112,DBGenzai[社員№],DBGenzai[配属先],"",0,1)</f>
        <v/>
      </c>
      <c r="G112" s="111" t="str">
        <f>MID(TablaTransfor[[#This Row],[配属先]],1,8)</f>
        <v/>
      </c>
      <c r="H112" s="111" t="str">
        <f>MID(TablaTransfor[[#This Row],[配属先]],9,6)</f>
        <v/>
      </c>
      <c r="I112" s="111" t="str">
        <f>MID(TablaTransfor[[#This Row],[配属先]],15,12)</f>
        <v/>
      </c>
      <c r="J112" s="111" t="str">
        <f>_xlfn.XLOOKUP($C112,DBGenzai[社員№],DBGenzai[配属ライン],"",0,1)</f>
        <v/>
      </c>
      <c r="K112" s="111" t="str">
        <f>_xlfn.XLOOKUP($C112,DBGenzai[社員№],DBGenzai[氏名],"",0,1)</f>
        <v/>
      </c>
      <c r="L112" s="111" t="str">
        <f>_xlfn.XLOOKUP($C112,DBGenzai[社員№],DBGenzai[カナ],"",0,1)</f>
        <v/>
      </c>
      <c r="M112" s="111" t="str">
        <f>_xlfn.XLOOKUP($C112,DBGenzai[社員№],DBGenzai[性別],"",0,1)</f>
        <v/>
      </c>
      <c r="N112" s="111" t="str">
        <f>_xlfn.XLOOKUP($C112,DBGenzai[社員№],DBGenzai[国籍],"",0,1)</f>
        <v/>
      </c>
      <c r="O112" s="113" t="str">
        <f>_xlfn.XLOOKUP($C112,DBGenzai[社員№],DBGenzai[生年月日],"",0,1)</f>
        <v/>
      </c>
      <c r="P112" s="111" t="str">
        <f>_xlfn.XLOOKUP($C112,DBGenzai[社員№],DBGenzai[年齢],"",0,1)</f>
        <v/>
      </c>
      <c r="Q112" s="111" t="str">
        <f>_xlfn.XLOOKUP($C112,DBGenzai[社員№],DBGenzai[時給],"",0,1)</f>
        <v/>
      </c>
      <c r="R112" s="111" t="str">
        <f>_xlfn.XLOOKUP($C112,DBGenzai[社員№],DBGenzai[請求単価],"",0,1)</f>
        <v/>
      </c>
      <c r="S112" s="111" t="str">
        <f>_xlfn.XLOOKUP($C112,DBGenzai[社員№],DBGenzai[〒],"",0,1)</f>
        <v/>
      </c>
      <c r="T112" s="111" t="str">
        <f>_xlfn.XLOOKUP($C112,DBGenzai[社員№],DBGenzai[住所],"",0,1)</f>
        <v/>
      </c>
      <c r="U112" s="111" t="str">
        <f>_xlfn.XLOOKUP($C112,DBGenzai[社員№],DBGenzai[ｱﾊﾟｰﾄ],"",0,1)</f>
        <v/>
      </c>
      <c r="V112" s="113" t="str">
        <f>_xlfn.XLOOKUP($C112,DBGenzai[社員№],DBGenzai[入居],"",0,1)</f>
        <v/>
      </c>
      <c r="W112" s="113" t="str">
        <f>_xlfn.XLOOKUP($C112,DBGenzai[社員№],DBGenzai[入社日],"",0,1)</f>
        <v/>
      </c>
      <c r="X112" s="113" t="str">
        <f>_xlfn.XLOOKUP($C112,DBGenzai[社員№],DBGenzai[退社日],"",0,1)</f>
        <v/>
      </c>
      <c r="Y112" s="111" t="str">
        <f>_xlfn.XLOOKUP($C112,DBGenzai[社員№],DBGenzai[退去],"",0,1)</f>
        <v/>
      </c>
      <c r="Z112" s="111" t="str">
        <f>_xlfn.XLOOKUP($C112,DBGenzai[社員№],DBGenzai[備考],"",0,1)</f>
        <v/>
      </c>
      <c r="AA11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2" s="159" t="e">
        <f>(TablaTransfor[[#This Row],[unicos]]-TablaTransfor[[#This Row],[入社日]])/364</f>
        <v>#VALUE!</v>
      </c>
      <c r="AF112" s="251" t="str">
        <f>_xlfn.XLOOKUP($C112,DBGenzai[社員№],DBGenzai[請求単価],"",0,1)</f>
        <v/>
      </c>
    </row>
    <row r="113" spans="1:32" hidden="1">
      <c r="A113" s="117">
        <f>SUBTOTAL(103,$C$3:C113)</f>
        <v>20</v>
      </c>
      <c r="B113" s="111">
        <v>111</v>
      </c>
      <c r="C113" s="111" t="str">
        <f>_xlfn.XLOOKUP($F$1&amp;B113,Filtro!B:B,Filtro!D:D,"",0,1)</f>
        <v/>
      </c>
      <c r="D113" s="111" t="str">
        <f>_xlfn.XLOOKUP(C113,DBGenzai[社員№],DBGenzai[現在],"",0,1)</f>
        <v/>
      </c>
      <c r="E113" s="111" t="str">
        <f>_xlfn.XLOOKUP($C113,DBGenzai[社員№],DBGenzai[派遣先ID],"",0,1)</f>
        <v/>
      </c>
      <c r="F113" s="111" t="str">
        <f>_xlfn.XLOOKUP($C113,DBGenzai[社員№],DBGenzai[配属先],"",0,1)</f>
        <v/>
      </c>
      <c r="G113" s="111" t="str">
        <f>MID(TablaTransfor[[#This Row],[配属先]],1,8)</f>
        <v/>
      </c>
      <c r="H113" s="111" t="str">
        <f>MID(TablaTransfor[[#This Row],[配属先]],9,6)</f>
        <v/>
      </c>
      <c r="I113" s="111" t="str">
        <f>MID(TablaTransfor[[#This Row],[配属先]],15,12)</f>
        <v/>
      </c>
      <c r="J113" s="111" t="str">
        <f>_xlfn.XLOOKUP($C113,DBGenzai[社員№],DBGenzai[配属ライン],"",0,1)</f>
        <v/>
      </c>
      <c r="K113" s="111" t="str">
        <f>_xlfn.XLOOKUP($C113,DBGenzai[社員№],DBGenzai[氏名],"",0,1)</f>
        <v/>
      </c>
      <c r="L113" s="111" t="str">
        <f>_xlfn.XLOOKUP($C113,DBGenzai[社員№],DBGenzai[カナ],"",0,1)</f>
        <v/>
      </c>
      <c r="M113" s="111" t="str">
        <f>_xlfn.XLOOKUP($C113,DBGenzai[社員№],DBGenzai[性別],"",0,1)</f>
        <v/>
      </c>
      <c r="N113" s="111" t="str">
        <f>_xlfn.XLOOKUP($C113,DBGenzai[社員№],DBGenzai[国籍],"",0,1)</f>
        <v/>
      </c>
      <c r="O113" s="113" t="str">
        <f>_xlfn.XLOOKUP($C113,DBGenzai[社員№],DBGenzai[生年月日],"",0,1)</f>
        <v/>
      </c>
      <c r="P113" s="111" t="str">
        <f>_xlfn.XLOOKUP($C113,DBGenzai[社員№],DBGenzai[年齢],"",0,1)</f>
        <v/>
      </c>
      <c r="Q113" s="111" t="str">
        <f>_xlfn.XLOOKUP($C113,DBGenzai[社員№],DBGenzai[時給],"",0,1)</f>
        <v/>
      </c>
      <c r="R113" s="111" t="str">
        <f>_xlfn.XLOOKUP($C113,DBGenzai[社員№],DBGenzai[請求単価],"",0,1)</f>
        <v/>
      </c>
      <c r="S113" s="111" t="str">
        <f>_xlfn.XLOOKUP($C113,DBGenzai[社員№],DBGenzai[〒],"",0,1)</f>
        <v/>
      </c>
      <c r="T113" s="111" t="str">
        <f>_xlfn.XLOOKUP($C113,DBGenzai[社員№],DBGenzai[住所],"",0,1)</f>
        <v/>
      </c>
      <c r="U113" s="111" t="str">
        <f>_xlfn.XLOOKUP($C113,DBGenzai[社員№],DBGenzai[ｱﾊﾟｰﾄ],"",0,1)</f>
        <v/>
      </c>
      <c r="V113" s="113" t="str">
        <f>_xlfn.XLOOKUP($C113,DBGenzai[社員№],DBGenzai[入居],"",0,1)</f>
        <v/>
      </c>
      <c r="W113" s="113" t="str">
        <f>_xlfn.XLOOKUP($C113,DBGenzai[社員№],DBGenzai[入社日],"",0,1)</f>
        <v/>
      </c>
      <c r="X113" s="113" t="str">
        <f>_xlfn.XLOOKUP($C113,DBGenzai[社員№],DBGenzai[退社日],"",0,1)</f>
        <v/>
      </c>
      <c r="Y113" s="111" t="str">
        <f>_xlfn.XLOOKUP($C113,DBGenzai[社員№],DBGenzai[退去],"",0,1)</f>
        <v/>
      </c>
      <c r="Z113" s="111" t="str">
        <f>_xlfn.XLOOKUP($C113,DBGenzai[社員№],DBGenzai[備考],"",0,1)</f>
        <v/>
      </c>
      <c r="AA113"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3" s="159" t="e">
        <f>(TablaTransfor[[#This Row],[unicos]]-TablaTransfor[[#This Row],[入社日]])/364</f>
        <v>#VALUE!</v>
      </c>
      <c r="AF113" s="251" t="str">
        <f>_xlfn.XLOOKUP($C113,DBGenzai[社員№],DBGenzai[請求単価],"",0,1)</f>
        <v/>
      </c>
    </row>
    <row r="114" spans="1:32" hidden="1">
      <c r="A114" s="117">
        <f>SUBTOTAL(103,$C$3:C114)</f>
        <v>20</v>
      </c>
      <c r="B114" s="111">
        <v>112</v>
      </c>
      <c r="C114" s="111" t="str">
        <f>_xlfn.XLOOKUP($F$1&amp;B114,Filtro!B:B,Filtro!D:D,"",0,1)</f>
        <v/>
      </c>
      <c r="D114" s="111" t="str">
        <f>_xlfn.XLOOKUP(C114,DBGenzai[社員№],DBGenzai[現在],"",0,1)</f>
        <v/>
      </c>
      <c r="E114" s="111" t="str">
        <f>_xlfn.XLOOKUP($C114,DBGenzai[社員№],DBGenzai[派遣先ID],"",0,1)</f>
        <v/>
      </c>
      <c r="F114" s="111" t="str">
        <f>_xlfn.XLOOKUP($C114,DBGenzai[社員№],DBGenzai[配属先],"",0,1)</f>
        <v/>
      </c>
      <c r="G114" s="111" t="str">
        <f>MID(TablaTransfor[[#This Row],[配属先]],1,8)</f>
        <v/>
      </c>
      <c r="H114" s="111" t="str">
        <f>MID(TablaTransfor[[#This Row],[配属先]],9,6)</f>
        <v/>
      </c>
      <c r="I114" s="111" t="str">
        <f>MID(TablaTransfor[[#This Row],[配属先]],15,12)</f>
        <v/>
      </c>
      <c r="J114" s="111" t="str">
        <f>_xlfn.XLOOKUP($C114,DBGenzai[社員№],DBGenzai[配属ライン],"",0,1)</f>
        <v/>
      </c>
      <c r="K114" s="111" t="str">
        <f>_xlfn.XLOOKUP($C114,DBGenzai[社員№],DBGenzai[氏名],"",0,1)</f>
        <v/>
      </c>
      <c r="L114" s="111" t="str">
        <f>_xlfn.XLOOKUP($C114,DBGenzai[社員№],DBGenzai[カナ],"",0,1)</f>
        <v/>
      </c>
      <c r="M114" s="111" t="str">
        <f>_xlfn.XLOOKUP($C114,DBGenzai[社員№],DBGenzai[性別],"",0,1)</f>
        <v/>
      </c>
      <c r="N114" s="111" t="str">
        <f>_xlfn.XLOOKUP($C114,DBGenzai[社員№],DBGenzai[国籍],"",0,1)</f>
        <v/>
      </c>
      <c r="O114" s="113" t="str">
        <f>_xlfn.XLOOKUP($C114,DBGenzai[社員№],DBGenzai[生年月日],"",0,1)</f>
        <v/>
      </c>
      <c r="P114" s="111" t="str">
        <f>_xlfn.XLOOKUP($C114,DBGenzai[社員№],DBGenzai[年齢],"",0,1)</f>
        <v/>
      </c>
      <c r="Q114" s="111" t="str">
        <f>_xlfn.XLOOKUP($C114,DBGenzai[社員№],DBGenzai[時給],"",0,1)</f>
        <v/>
      </c>
      <c r="R114" s="111" t="str">
        <f>_xlfn.XLOOKUP($C114,DBGenzai[社員№],DBGenzai[請求単価],"",0,1)</f>
        <v/>
      </c>
      <c r="S114" s="111" t="str">
        <f>_xlfn.XLOOKUP($C114,DBGenzai[社員№],DBGenzai[〒],"",0,1)</f>
        <v/>
      </c>
      <c r="T114" s="111" t="str">
        <f>_xlfn.XLOOKUP($C114,DBGenzai[社員№],DBGenzai[住所],"",0,1)</f>
        <v/>
      </c>
      <c r="U114" s="111" t="str">
        <f>_xlfn.XLOOKUP($C114,DBGenzai[社員№],DBGenzai[ｱﾊﾟｰﾄ],"",0,1)</f>
        <v/>
      </c>
      <c r="V114" s="113" t="str">
        <f>_xlfn.XLOOKUP($C114,DBGenzai[社員№],DBGenzai[入居],"",0,1)</f>
        <v/>
      </c>
      <c r="W114" s="113" t="str">
        <f>_xlfn.XLOOKUP($C114,DBGenzai[社員№],DBGenzai[入社日],"",0,1)</f>
        <v/>
      </c>
      <c r="X114" s="113" t="str">
        <f>_xlfn.XLOOKUP($C114,DBGenzai[社員№],DBGenzai[退社日],"",0,1)</f>
        <v/>
      </c>
      <c r="Y114" s="111" t="str">
        <f>_xlfn.XLOOKUP($C114,DBGenzai[社員№],DBGenzai[退去],"",0,1)</f>
        <v/>
      </c>
      <c r="Z114" s="111" t="str">
        <f>_xlfn.XLOOKUP($C114,DBGenzai[社員№],DBGenzai[備考],"",0,1)</f>
        <v/>
      </c>
      <c r="AA114"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4" s="159" t="e">
        <f>(TablaTransfor[[#This Row],[unicos]]-TablaTransfor[[#This Row],[入社日]])/364</f>
        <v>#VALUE!</v>
      </c>
      <c r="AF114" s="251" t="str">
        <f>_xlfn.XLOOKUP($C114,DBGenzai[社員№],DBGenzai[請求単価],"",0,1)</f>
        <v/>
      </c>
    </row>
    <row r="115" spans="1:32" hidden="1">
      <c r="A115" s="117">
        <f>SUBTOTAL(103,$C$3:C115)</f>
        <v>20</v>
      </c>
      <c r="B115" s="111">
        <v>113</v>
      </c>
      <c r="C115" s="111" t="str">
        <f>_xlfn.XLOOKUP($F$1&amp;B115,Filtro!B:B,Filtro!D:D,"",0,1)</f>
        <v/>
      </c>
      <c r="D115" s="111" t="str">
        <f>_xlfn.XLOOKUP(C115,DBGenzai[社員№],DBGenzai[現在],"",0,1)</f>
        <v/>
      </c>
      <c r="E115" s="111" t="str">
        <f>_xlfn.XLOOKUP($C115,DBGenzai[社員№],DBGenzai[派遣先ID],"",0,1)</f>
        <v/>
      </c>
      <c r="F115" s="111" t="str">
        <f>_xlfn.XLOOKUP($C115,DBGenzai[社員№],DBGenzai[配属先],"",0,1)</f>
        <v/>
      </c>
      <c r="G115" s="111" t="str">
        <f>MID(TablaTransfor[[#This Row],[配属先]],1,8)</f>
        <v/>
      </c>
      <c r="H115" s="111" t="str">
        <f>MID(TablaTransfor[[#This Row],[配属先]],9,6)</f>
        <v/>
      </c>
      <c r="I115" s="111" t="str">
        <f>MID(TablaTransfor[[#This Row],[配属先]],15,12)</f>
        <v/>
      </c>
      <c r="J115" s="111" t="str">
        <f>_xlfn.XLOOKUP($C115,DBGenzai[社員№],DBGenzai[配属ライン],"",0,1)</f>
        <v/>
      </c>
      <c r="K115" s="111" t="str">
        <f>_xlfn.XLOOKUP($C115,DBGenzai[社員№],DBGenzai[氏名],"",0,1)</f>
        <v/>
      </c>
      <c r="L115" s="111" t="str">
        <f>_xlfn.XLOOKUP($C115,DBGenzai[社員№],DBGenzai[カナ],"",0,1)</f>
        <v/>
      </c>
      <c r="M115" s="111" t="str">
        <f>_xlfn.XLOOKUP($C115,DBGenzai[社員№],DBGenzai[性別],"",0,1)</f>
        <v/>
      </c>
      <c r="N115" s="111" t="str">
        <f>_xlfn.XLOOKUP($C115,DBGenzai[社員№],DBGenzai[国籍],"",0,1)</f>
        <v/>
      </c>
      <c r="O115" s="113" t="str">
        <f>_xlfn.XLOOKUP($C115,DBGenzai[社員№],DBGenzai[生年月日],"",0,1)</f>
        <v/>
      </c>
      <c r="P115" s="111" t="str">
        <f>_xlfn.XLOOKUP($C115,DBGenzai[社員№],DBGenzai[年齢],"",0,1)</f>
        <v/>
      </c>
      <c r="Q115" s="111" t="str">
        <f>_xlfn.XLOOKUP($C115,DBGenzai[社員№],DBGenzai[時給],"",0,1)</f>
        <v/>
      </c>
      <c r="R115" s="111" t="str">
        <f>_xlfn.XLOOKUP($C115,DBGenzai[社員№],DBGenzai[請求単価],"",0,1)</f>
        <v/>
      </c>
      <c r="S115" s="111" t="str">
        <f>_xlfn.XLOOKUP($C115,DBGenzai[社員№],DBGenzai[〒],"",0,1)</f>
        <v/>
      </c>
      <c r="T115" s="111" t="str">
        <f>_xlfn.XLOOKUP($C115,DBGenzai[社員№],DBGenzai[住所],"",0,1)</f>
        <v/>
      </c>
      <c r="U115" s="111" t="str">
        <f>_xlfn.XLOOKUP($C115,DBGenzai[社員№],DBGenzai[ｱﾊﾟｰﾄ],"",0,1)</f>
        <v/>
      </c>
      <c r="V115" s="113" t="str">
        <f>_xlfn.XLOOKUP($C115,DBGenzai[社員№],DBGenzai[入居],"",0,1)</f>
        <v/>
      </c>
      <c r="W115" s="113" t="str">
        <f>_xlfn.XLOOKUP($C115,DBGenzai[社員№],DBGenzai[入社日],"",0,1)</f>
        <v/>
      </c>
      <c r="X115" s="113" t="str">
        <f>_xlfn.XLOOKUP($C115,DBGenzai[社員№],DBGenzai[退社日],"",0,1)</f>
        <v/>
      </c>
      <c r="Y115" s="111" t="str">
        <f>_xlfn.XLOOKUP($C115,DBGenzai[社員№],DBGenzai[退去],"",0,1)</f>
        <v/>
      </c>
      <c r="Z115" s="111" t="str">
        <f>_xlfn.XLOOKUP($C115,DBGenzai[社員№],DBGenzai[備考],"",0,1)</f>
        <v/>
      </c>
      <c r="AA11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5" s="159" t="e">
        <f>(TablaTransfor[[#This Row],[unicos]]-TablaTransfor[[#This Row],[入社日]])/364</f>
        <v>#VALUE!</v>
      </c>
      <c r="AF115" s="251" t="str">
        <f>_xlfn.XLOOKUP($C115,DBGenzai[社員№],DBGenzai[請求単価],"",0,1)</f>
        <v/>
      </c>
    </row>
    <row r="116" spans="1:32" hidden="1">
      <c r="A116" s="117">
        <f>SUBTOTAL(103,$C$3:C116)</f>
        <v>20</v>
      </c>
      <c r="B116" s="111">
        <v>114</v>
      </c>
      <c r="C116" s="111" t="str">
        <f>_xlfn.XLOOKUP($F$1&amp;B116,Filtro!B:B,Filtro!D:D,"",0,1)</f>
        <v/>
      </c>
      <c r="D116" s="111" t="str">
        <f>_xlfn.XLOOKUP(C116,DBGenzai[社員№],DBGenzai[現在],"",0,1)</f>
        <v/>
      </c>
      <c r="E116" s="111" t="str">
        <f>_xlfn.XLOOKUP($C116,DBGenzai[社員№],DBGenzai[派遣先ID],"",0,1)</f>
        <v/>
      </c>
      <c r="F116" s="111" t="str">
        <f>_xlfn.XLOOKUP($C116,DBGenzai[社員№],DBGenzai[配属先],"",0,1)</f>
        <v/>
      </c>
      <c r="G116" s="111" t="str">
        <f>MID(TablaTransfor[[#This Row],[配属先]],1,8)</f>
        <v/>
      </c>
      <c r="H116" s="111" t="str">
        <f>MID(TablaTransfor[[#This Row],[配属先]],9,6)</f>
        <v/>
      </c>
      <c r="I116" s="111" t="str">
        <f>MID(TablaTransfor[[#This Row],[配属先]],15,12)</f>
        <v/>
      </c>
      <c r="J116" s="111" t="str">
        <f>_xlfn.XLOOKUP($C116,DBGenzai[社員№],DBGenzai[配属ライン],"",0,1)</f>
        <v/>
      </c>
      <c r="K116" s="111" t="str">
        <f>_xlfn.XLOOKUP($C116,DBGenzai[社員№],DBGenzai[氏名],"",0,1)</f>
        <v/>
      </c>
      <c r="L116" s="111" t="str">
        <f>_xlfn.XLOOKUP($C116,DBGenzai[社員№],DBGenzai[カナ],"",0,1)</f>
        <v/>
      </c>
      <c r="M116" s="111" t="str">
        <f>_xlfn.XLOOKUP($C116,DBGenzai[社員№],DBGenzai[性別],"",0,1)</f>
        <v/>
      </c>
      <c r="N116" s="111" t="str">
        <f>_xlfn.XLOOKUP($C116,DBGenzai[社員№],DBGenzai[国籍],"",0,1)</f>
        <v/>
      </c>
      <c r="O116" s="113" t="str">
        <f>_xlfn.XLOOKUP($C116,DBGenzai[社員№],DBGenzai[生年月日],"",0,1)</f>
        <v/>
      </c>
      <c r="P116" s="111" t="str">
        <f>_xlfn.XLOOKUP($C116,DBGenzai[社員№],DBGenzai[年齢],"",0,1)</f>
        <v/>
      </c>
      <c r="Q116" s="111" t="str">
        <f>_xlfn.XLOOKUP($C116,DBGenzai[社員№],DBGenzai[時給],"",0,1)</f>
        <v/>
      </c>
      <c r="R116" s="111" t="str">
        <f>_xlfn.XLOOKUP($C116,DBGenzai[社員№],DBGenzai[請求単価],"",0,1)</f>
        <v/>
      </c>
      <c r="S116" s="111" t="str">
        <f>_xlfn.XLOOKUP($C116,DBGenzai[社員№],DBGenzai[〒],"",0,1)</f>
        <v/>
      </c>
      <c r="T116" s="111" t="str">
        <f>_xlfn.XLOOKUP($C116,DBGenzai[社員№],DBGenzai[住所],"",0,1)</f>
        <v/>
      </c>
      <c r="U116" s="111" t="str">
        <f>_xlfn.XLOOKUP($C116,DBGenzai[社員№],DBGenzai[ｱﾊﾟｰﾄ],"",0,1)</f>
        <v/>
      </c>
      <c r="V116" s="113" t="str">
        <f>_xlfn.XLOOKUP($C116,DBGenzai[社員№],DBGenzai[入居],"",0,1)</f>
        <v/>
      </c>
      <c r="W116" s="113" t="str">
        <f>_xlfn.XLOOKUP($C116,DBGenzai[社員№],DBGenzai[入社日],"",0,1)</f>
        <v/>
      </c>
      <c r="X116" s="113" t="str">
        <f>_xlfn.XLOOKUP($C116,DBGenzai[社員№],DBGenzai[退社日],"",0,1)</f>
        <v/>
      </c>
      <c r="Y116" s="111" t="str">
        <f>_xlfn.XLOOKUP($C116,DBGenzai[社員№],DBGenzai[退去],"",0,1)</f>
        <v/>
      </c>
      <c r="Z116" s="111" t="str">
        <f>_xlfn.XLOOKUP($C116,DBGenzai[社員№],DBGenzai[備考],"",0,1)</f>
        <v/>
      </c>
      <c r="AA11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6" s="159" t="e">
        <f>(TablaTransfor[[#This Row],[unicos]]-TablaTransfor[[#This Row],[入社日]])/364</f>
        <v>#VALUE!</v>
      </c>
      <c r="AF116" s="251" t="str">
        <f>_xlfn.XLOOKUP($C116,DBGenzai[社員№],DBGenzai[請求単価],"",0,1)</f>
        <v/>
      </c>
    </row>
    <row r="117" spans="1:32" hidden="1">
      <c r="A117" s="117">
        <f>SUBTOTAL(103,$C$3:C117)</f>
        <v>20</v>
      </c>
      <c r="B117" s="111">
        <v>115</v>
      </c>
      <c r="C117" s="111" t="str">
        <f>_xlfn.XLOOKUP($F$1&amp;B117,Filtro!B:B,Filtro!D:D,"",0,1)</f>
        <v/>
      </c>
      <c r="D117" s="111" t="str">
        <f>_xlfn.XLOOKUP(C117,DBGenzai[社員№],DBGenzai[現在],"",0,1)</f>
        <v/>
      </c>
      <c r="E117" s="111" t="str">
        <f>_xlfn.XLOOKUP($C117,DBGenzai[社員№],DBGenzai[派遣先ID],"",0,1)</f>
        <v/>
      </c>
      <c r="F117" s="111" t="str">
        <f>_xlfn.XLOOKUP($C117,DBGenzai[社員№],DBGenzai[配属先],"",0,1)</f>
        <v/>
      </c>
      <c r="G117" s="111" t="str">
        <f>MID(TablaTransfor[[#This Row],[配属先]],1,8)</f>
        <v/>
      </c>
      <c r="H117" s="111" t="str">
        <f>MID(TablaTransfor[[#This Row],[配属先]],9,6)</f>
        <v/>
      </c>
      <c r="I117" s="111" t="str">
        <f>MID(TablaTransfor[[#This Row],[配属先]],15,12)</f>
        <v/>
      </c>
      <c r="J117" s="111" t="str">
        <f>_xlfn.XLOOKUP($C117,DBGenzai[社員№],DBGenzai[配属ライン],"",0,1)</f>
        <v/>
      </c>
      <c r="K117" s="111" t="str">
        <f>_xlfn.XLOOKUP($C117,DBGenzai[社員№],DBGenzai[氏名],"",0,1)</f>
        <v/>
      </c>
      <c r="L117" s="111" t="str">
        <f>_xlfn.XLOOKUP($C117,DBGenzai[社員№],DBGenzai[カナ],"",0,1)</f>
        <v/>
      </c>
      <c r="M117" s="111" t="str">
        <f>_xlfn.XLOOKUP($C117,DBGenzai[社員№],DBGenzai[性別],"",0,1)</f>
        <v/>
      </c>
      <c r="N117" s="111" t="str">
        <f>_xlfn.XLOOKUP($C117,DBGenzai[社員№],DBGenzai[国籍],"",0,1)</f>
        <v/>
      </c>
      <c r="O117" s="113" t="str">
        <f>_xlfn.XLOOKUP($C117,DBGenzai[社員№],DBGenzai[生年月日],"",0,1)</f>
        <v/>
      </c>
      <c r="P117" s="111" t="str">
        <f>_xlfn.XLOOKUP($C117,DBGenzai[社員№],DBGenzai[年齢],"",0,1)</f>
        <v/>
      </c>
      <c r="Q117" s="111" t="str">
        <f>_xlfn.XLOOKUP($C117,DBGenzai[社員№],DBGenzai[時給],"",0,1)</f>
        <v/>
      </c>
      <c r="R117" s="111" t="str">
        <f>_xlfn.XLOOKUP($C117,DBGenzai[社員№],DBGenzai[請求単価],"",0,1)</f>
        <v/>
      </c>
      <c r="S117" s="111" t="str">
        <f>_xlfn.XLOOKUP($C117,DBGenzai[社員№],DBGenzai[〒],"",0,1)</f>
        <v/>
      </c>
      <c r="T117" s="111" t="str">
        <f>_xlfn.XLOOKUP($C117,DBGenzai[社員№],DBGenzai[住所],"",0,1)</f>
        <v/>
      </c>
      <c r="U117" s="111" t="str">
        <f>_xlfn.XLOOKUP($C117,DBGenzai[社員№],DBGenzai[ｱﾊﾟｰﾄ],"",0,1)</f>
        <v/>
      </c>
      <c r="V117" s="113" t="str">
        <f>_xlfn.XLOOKUP($C117,DBGenzai[社員№],DBGenzai[入居],"",0,1)</f>
        <v/>
      </c>
      <c r="W117" s="113" t="str">
        <f>_xlfn.XLOOKUP($C117,DBGenzai[社員№],DBGenzai[入社日],"",0,1)</f>
        <v/>
      </c>
      <c r="X117" s="113" t="str">
        <f>_xlfn.XLOOKUP($C117,DBGenzai[社員№],DBGenzai[退社日],"",0,1)</f>
        <v/>
      </c>
      <c r="Y117" s="111" t="str">
        <f>_xlfn.XLOOKUP($C117,DBGenzai[社員№],DBGenzai[退去],"",0,1)</f>
        <v/>
      </c>
      <c r="Z117" s="111" t="str">
        <f>_xlfn.XLOOKUP($C117,DBGenzai[社員№],DBGenzai[備考],"",0,1)</f>
        <v/>
      </c>
      <c r="AA11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7" s="159" t="e">
        <f>(TablaTransfor[[#This Row],[unicos]]-TablaTransfor[[#This Row],[入社日]])/364</f>
        <v>#VALUE!</v>
      </c>
      <c r="AF117" s="251" t="str">
        <f>_xlfn.XLOOKUP($C117,DBGenzai[社員№],DBGenzai[請求単価],"",0,1)</f>
        <v/>
      </c>
    </row>
    <row r="118" spans="1:32" hidden="1">
      <c r="A118" s="117">
        <f>SUBTOTAL(103,$C$3:C118)</f>
        <v>20</v>
      </c>
      <c r="B118" s="111">
        <v>116</v>
      </c>
      <c r="C118" s="111" t="str">
        <f>_xlfn.XLOOKUP($F$1&amp;B118,Filtro!B:B,Filtro!D:D,"",0,1)</f>
        <v/>
      </c>
      <c r="D118" s="111" t="str">
        <f>_xlfn.XLOOKUP(C118,DBGenzai[社員№],DBGenzai[現在],"",0,1)</f>
        <v/>
      </c>
      <c r="E118" s="111" t="str">
        <f>_xlfn.XLOOKUP($C118,DBGenzai[社員№],DBGenzai[派遣先ID],"",0,1)</f>
        <v/>
      </c>
      <c r="F118" s="111" t="str">
        <f>_xlfn.XLOOKUP($C118,DBGenzai[社員№],DBGenzai[配属先],"",0,1)</f>
        <v/>
      </c>
      <c r="G118" s="111" t="str">
        <f>MID(TablaTransfor[[#This Row],[配属先]],1,8)</f>
        <v/>
      </c>
      <c r="H118" s="111" t="str">
        <f>MID(TablaTransfor[[#This Row],[配属先]],9,6)</f>
        <v/>
      </c>
      <c r="I118" s="111" t="str">
        <f>MID(TablaTransfor[[#This Row],[配属先]],15,12)</f>
        <v/>
      </c>
      <c r="J118" s="111" t="str">
        <f>_xlfn.XLOOKUP($C118,DBGenzai[社員№],DBGenzai[配属ライン],"",0,1)</f>
        <v/>
      </c>
      <c r="K118" s="111" t="str">
        <f>_xlfn.XLOOKUP($C118,DBGenzai[社員№],DBGenzai[氏名],"",0,1)</f>
        <v/>
      </c>
      <c r="L118" s="111" t="str">
        <f>_xlfn.XLOOKUP($C118,DBGenzai[社員№],DBGenzai[カナ],"",0,1)</f>
        <v/>
      </c>
      <c r="M118" s="111" t="str">
        <f>_xlfn.XLOOKUP($C118,DBGenzai[社員№],DBGenzai[性別],"",0,1)</f>
        <v/>
      </c>
      <c r="N118" s="111" t="str">
        <f>_xlfn.XLOOKUP($C118,DBGenzai[社員№],DBGenzai[国籍],"",0,1)</f>
        <v/>
      </c>
      <c r="O118" s="113" t="str">
        <f>_xlfn.XLOOKUP($C118,DBGenzai[社員№],DBGenzai[生年月日],"",0,1)</f>
        <v/>
      </c>
      <c r="P118" s="111" t="str">
        <f>_xlfn.XLOOKUP($C118,DBGenzai[社員№],DBGenzai[年齢],"",0,1)</f>
        <v/>
      </c>
      <c r="Q118" s="111" t="str">
        <f>_xlfn.XLOOKUP($C118,DBGenzai[社員№],DBGenzai[時給],"",0,1)</f>
        <v/>
      </c>
      <c r="R118" s="111" t="str">
        <f>_xlfn.XLOOKUP($C118,DBGenzai[社員№],DBGenzai[請求単価],"",0,1)</f>
        <v/>
      </c>
      <c r="S118" s="111" t="str">
        <f>_xlfn.XLOOKUP($C118,DBGenzai[社員№],DBGenzai[〒],"",0,1)</f>
        <v/>
      </c>
      <c r="T118" s="111" t="str">
        <f>_xlfn.XLOOKUP($C118,DBGenzai[社員№],DBGenzai[住所],"",0,1)</f>
        <v/>
      </c>
      <c r="U118" s="111" t="str">
        <f>_xlfn.XLOOKUP($C118,DBGenzai[社員№],DBGenzai[ｱﾊﾟｰﾄ],"",0,1)</f>
        <v/>
      </c>
      <c r="V118" s="113" t="str">
        <f>_xlfn.XLOOKUP($C118,DBGenzai[社員№],DBGenzai[入居],"",0,1)</f>
        <v/>
      </c>
      <c r="W118" s="113" t="str">
        <f>_xlfn.XLOOKUP($C118,DBGenzai[社員№],DBGenzai[入社日],"",0,1)</f>
        <v/>
      </c>
      <c r="X118" s="113" t="str">
        <f>_xlfn.XLOOKUP($C118,DBGenzai[社員№],DBGenzai[退社日],"",0,1)</f>
        <v/>
      </c>
      <c r="Y118" s="111" t="str">
        <f>_xlfn.XLOOKUP($C118,DBGenzai[社員№],DBGenzai[退去],"",0,1)</f>
        <v/>
      </c>
      <c r="Z118" s="111" t="str">
        <f>_xlfn.XLOOKUP($C118,DBGenzai[社員№],DBGenzai[備考],"",0,1)</f>
        <v/>
      </c>
      <c r="AA11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8" s="159" t="e">
        <f>(TablaTransfor[[#This Row],[unicos]]-TablaTransfor[[#This Row],[入社日]])/364</f>
        <v>#VALUE!</v>
      </c>
      <c r="AF118" s="251" t="str">
        <f>_xlfn.XLOOKUP($C118,DBGenzai[社員№],DBGenzai[請求単価],"",0,1)</f>
        <v/>
      </c>
    </row>
    <row r="119" spans="1:32" hidden="1">
      <c r="A119" s="117">
        <f>SUBTOTAL(103,$C$3:C119)</f>
        <v>20</v>
      </c>
      <c r="B119" s="111">
        <v>117</v>
      </c>
      <c r="C119" s="111" t="str">
        <f>_xlfn.XLOOKUP($F$1&amp;B119,Filtro!B:B,Filtro!D:D,"",0,1)</f>
        <v/>
      </c>
      <c r="D119" s="111" t="str">
        <f>_xlfn.XLOOKUP(C119,DBGenzai[社員№],DBGenzai[現在],"",0,1)</f>
        <v/>
      </c>
      <c r="E119" s="111" t="str">
        <f>_xlfn.XLOOKUP($C119,DBGenzai[社員№],DBGenzai[派遣先ID],"",0,1)</f>
        <v/>
      </c>
      <c r="F119" s="111" t="str">
        <f>_xlfn.XLOOKUP($C119,DBGenzai[社員№],DBGenzai[配属先],"",0,1)</f>
        <v/>
      </c>
      <c r="G119" s="111" t="str">
        <f>MID(TablaTransfor[[#This Row],[配属先]],1,8)</f>
        <v/>
      </c>
      <c r="H119" s="111" t="str">
        <f>MID(TablaTransfor[[#This Row],[配属先]],9,6)</f>
        <v/>
      </c>
      <c r="I119" s="111" t="str">
        <f>MID(TablaTransfor[[#This Row],[配属先]],15,12)</f>
        <v/>
      </c>
      <c r="J119" s="111" t="str">
        <f>_xlfn.XLOOKUP($C119,DBGenzai[社員№],DBGenzai[配属ライン],"",0,1)</f>
        <v/>
      </c>
      <c r="K119" s="111" t="str">
        <f>_xlfn.XLOOKUP($C119,DBGenzai[社員№],DBGenzai[氏名],"",0,1)</f>
        <v/>
      </c>
      <c r="L119" s="111" t="str">
        <f>_xlfn.XLOOKUP($C119,DBGenzai[社員№],DBGenzai[カナ],"",0,1)</f>
        <v/>
      </c>
      <c r="M119" s="111" t="str">
        <f>_xlfn.XLOOKUP($C119,DBGenzai[社員№],DBGenzai[性別],"",0,1)</f>
        <v/>
      </c>
      <c r="N119" s="111" t="str">
        <f>_xlfn.XLOOKUP($C119,DBGenzai[社員№],DBGenzai[国籍],"",0,1)</f>
        <v/>
      </c>
      <c r="O119" s="113" t="str">
        <f>_xlfn.XLOOKUP($C119,DBGenzai[社員№],DBGenzai[生年月日],"",0,1)</f>
        <v/>
      </c>
      <c r="P119" s="111" t="str">
        <f>_xlfn.XLOOKUP($C119,DBGenzai[社員№],DBGenzai[年齢],"",0,1)</f>
        <v/>
      </c>
      <c r="Q119" s="111" t="str">
        <f>_xlfn.XLOOKUP($C119,DBGenzai[社員№],DBGenzai[時給],"",0,1)</f>
        <v/>
      </c>
      <c r="R119" s="111" t="str">
        <f>_xlfn.XLOOKUP($C119,DBGenzai[社員№],DBGenzai[請求単価],"",0,1)</f>
        <v/>
      </c>
      <c r="S119" s="111" t="str">
        <f>_xlfn.XLOOKUP($C119,DBGenzai[社員№],DBGenzai[〒],"",0,1)</f>
        <v/>
      </c>
      <c r="T119" s="111" t="str">
        <f>_xlfn.XLOOKUP($C119,DBGenzai[社員№],DBGenzai[住所],"",0,1)</f>
        <v/>
      </c>
      <c r="U119" s="111" t="str">
        <f>_xlfn.XLOOKUP($C119,DBGenzai[社員№],DBGenzai[ｱﾊﾟｰﾄ],"",0,1)</f>
        <v/>
      </c>
      <c r="V119" s="113" t="str">
        <f>_xlfn.XLOOKUP($C119,DBGenzai[社員№],DBGenzai[入居],"",0,1)</f>
        <v/>
      </c>
      <c r="W119" s="113" t="str">
        <f>_xlfn.XLOOKUP($C119,DBGenzai[社員№],DBGenzai[入社日],"",0,1)</f>
        <v/>
      </c>
      <c r="X119" s="113" t="str">
        <f>_xlfn.XLOOKUP($C119,DBGenzai[社員№],DBGenzai[退社日],"",0,1)</f>
        <v/>
      </c>
      <c r="Y119" s="111" t="str">
        <f>_xlfn.XLOOKUP($C119,DBGenzai[社員№],DBGenzai[退去],"",0,1)</f>
        <v/>
      </c>
      <c r="Z119" s="111" t="str">
        <f>_xlfn.XLOOKUP($C119,DBGenzai[社員№],DBGenzai[備考],"",0,1)</f>
        <v/>
      </c>
      <c r="AA11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19" s="159" t="e">
        <f>(TablaTransfor[[#This Row],[unicos]]-TablaTransfor[[#This Row],[入社日]])/364</f>
        <v>#VALUE!</v>
      </c>
      <c r="AF119" s="251" t="str">
        <f>_xlfn.XLOOKUP($C119,DBGenzai[社員№],DBGenzai[請求単価],"",0,1)</f>
        <v/>
      </c>
    </row>
    <row r="120" spans="1:32" hidden="1">
      <c r="A120" s="117">
        <f>SUBTOTAL(103,$C$3:C120)</f>
        <v>20</v>
      </c>
      <c r="B120" s="111">
        <v>118</v>
      </c>
      <c r="C120" s="111" t="str">
        <f>_xlfn.XLOOKUP($F$1&amp;B120,Filtro!B:B,Filtro!D:D,"",0,1)</f>
        <v/>
      </c>
      <c r="D120" s="111" t="str">
        <f>_xlfn.XLOOKUP(C120,DBGenzai[社員№],DBGenzai[現在],"",0,1)</f>
        <v/>
      </c>
      <c r="E120" s="111" t="str">
        <f>_xlfn.XLOOKUP($C120,DBGenzai[社員№],DBGenzai[派遣先ID],"",0,1)</f>
        <v/>
      </c>
      <c r="F120" s="111" t="str">
        <f>_xlfn.XLOOKUP($C120,DBGenzai[社員№],DBGenzai[配属先],"",0,1)</f>
        <v/>
      </c>
      <c r="G120" s="111" t="str">
        <f>MID(TablaTransfor[[#This Row],[配属先]],1,8)</f>
        <v/>
      </c>
      <c r="H120" s="111" t="str">
        <f>MID(TablaTransfor[[#This Row],[配属先]],9,6)</f>
        <v/>
      </c>
      <c r="I120" s="111" t="str">
        <f>MID(TablaTransfor[[#This Row],[配属先]],15,12)</f>
        <v/>
      </c>
      <c r="J120" s="111" t="str">
        <f>_xlfn.XLOOKUP($C120,DBGenzai[社員№],DBGenzai[配属ライン],"",0,1)</f>
        <v/>
      </c>
      <c r="K120" s="111" t="str">
        <f>_xlfn.XLOOKUP($C120,DBGenzai[社員№],DBGenzai[氏名],"",0,1)</f>
        <v/>
      </c>
      <c r="L120" s="111" t="str">
        <f>_xlfn.XLOOKUP($C120,DBGenzai[社員№],DBGenzai[カナ],"",0,1)</f>
        <v/>
      </c>
      <c r="M120" s="111" t="str">
        <f>_xlfn.XLOOKUP($C120,DBGenzai[社員№],DBGenzai[性別],"",0,1)</f>
        <v/>
      </c>
      <c r="N120" s="111" t="str">
        <f>_xlfn.XLOOKUP($C120,DBGenzai[社員№],DBGenzai[国籍],"",0,1)</f>
        <v/>
      </c>
      <c r="O120" s="113" t="str">
        <f>_xlfn.XLOOKUP($C120,DBGenzai[社員№],DBGenzai[生年月日],"",0,1)</f>
        <v/>
      </c>
      <c r="P120" s="111" t="str">
        <f>_xlfn.XLOOKUP($C120,DBGenzai[社員№],DBGenzai[年齢],"",0,1)</f>
        <v/>
      </c>
      <c r="Q120" s="111" t="str">
        <f>_xlfn.XLOOKUP($C120,DBGenzai[社員№],DBGenzai[時給],"",0,1)</f>
        <v/>
      </c>
      <c r="R120" s="111" t="str">
        <f>_xlfn.XLOOKUP($C120,DBGenzai[社員№],DBGenzai[請求単価],"",0,1)</f>
        <v/>
      </c>
      <c r="S120" s="111" t="str">
        <f>_xlfn.XLOOKUP($C120,DBGenzai[社員№],DBGenzai[〒],"",0,1)</f>
        <v/>
      </c>
      <c r="T120" s="111" t="str">
        <f>_xlfn.XLOOKUP($C120,DBGenzai[社員№],DBGenzai[住所],"",0,1)</f>
        <v/>
      </c>
      <c r="U120" s="111" t="str">
        <f>_xlfn.XLOOKUP($C120,DBGenzai[社員№],DBGenzai[ｱﾊﾟｰﾄ],"",0,1)</f>
        <v/>
      </c>
      <c r="V120" s="113" t="str">
        <f>_xlfn.XLOOKUP($C120,DBGenzai[社員№],DBGenzai[入居],"",0,1)</f>
        <v/>
      </c>
      <c r="W120" s="113" t="str">
        <f>_xlfn.XLOOKUP($C120,DBGenzai[社員№],DBGenzai[入社日],"",0,1)</f>
        <v/>
      </c>
      <c r="X120" s="113" t="str">
        <f>_xlfn.XLOOKUP($C120,DBGenzai[社員№],DBGenzai[退社日],"",0,1)</f>
        <v/>
      </c>
      <c r="Y120" s="111" t="str">
        <f>_xlfn.XLOOKUP($C120,DBGenzai[社員№],DBGenzai[退去],"",0,1)</f>
        <v/>
      </c>
      <c r="Z120" s="111" t="str">
        <f>_xlfn.XLOOKUP($C120,DBGenzai[社員№],DBGenzai[備考],"",0,1)</f>
        <v/>
      </c>
      <c r="AA120"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0" s="159" t="e">
        <f>(TablaTransfor[[#This Row],[unicos]]-TablaTransfor[[#This Row],[入社日]])/364</f>
        <v>#VALUE!</v>
      </c>
      <c r="AF120" s="251" t="str">
        <f>_xlfn.XLOOKUP($C120,DBGenzai[社員№],DBGenzai[請求単価],"",0,1)</f>
        <v/>
      </c>
    </row>
    <row r="121" spans="1:32" hidden="1">
      <c r="A121" s="117">
        <f>SUBTOTAL(103,$C$3:C121)</f>
        <v>20</v>
      </c>
      <c r="B121" s="111">
        <v>119</v>
      </c>
      <c r="C121" s="111" t="str">
        <f>_xlfn.XLOOKUP($F$1&amp;B121,Filtro!B:B,Filtro!D:D,"",0,1)</f>
        <v/>
      </c>
      <c r="D121" s="111" t="str">
        <f>_xlfn.XLOOKUP(C121,DBGenzai[社員№],DBGenzai[現在],"",0,1)</f>
        <v/>
      </c>
      <c r="E121" s="111" t="str">
        <f>_xlfn.XLOOKUP($C121,DBGenzai[社員№],DBGenzai[派遣先ID],"",0,1)</f>
        <v/>
      </c>
      <c r="F121" s="111" t="str">
        <f>_xlfn.XLOOKUP($C121,DBGenzai[社員№],DBGenzai[配属先],"",0,1)</f>
        <v/>
      </c>
      <c r="G121" s="111" t="str">
        <f>MID(TablaTransfor[[#This Row],[配属先]],1,8)</f>
        <v/>
      </c>
      <c r="H121" s="111" t="str">
        <f>MID(TablaTransfor[[#This Row],[配属先]],9,6)</f>
        <v/>
      </c>
      <c r="I121" s="111" t="str">
        <f>MID(TablaTransfor[[#This Row],[配属先]],15,12)</f>
        <v/>
      </c>
      <c r="J121" s="111" t="str">
        <f>_xlfn.XLOOKUP($C121,DBGenzai[社員№],DBGenzai[配属ライン],"",0,1)</f>
        <v/>
      </c>
      <c r="K121" s="111" t="str">
        <f>_xlfn.XLOOKUP($C121,DBGenzai[社員№],DBGenzai[氏名],"",0,1)</f>
        <v/>
      </c>
      <c r="L121" s="111" t="str">
        <f>_xlfn.XLOOKUP($C121,DBGenzai[社員№],DBGenzai[カナ],"",0,1)</f>
        <v/>
      </c>
      <c r="M121" s="111" t="str">
        <f>_xlfn.XLOOKUP($C121,DBGenzai[社員№],DBGenzai[性別],"",0,1)</f>
        <v/>
      </c>
      <c r="N121" s="111" t="str">
        <f>_xlfn.XLOOKUP($C121,DBGenzai[社員№],DBGenzai[国籍],"",0,1)</f>
        <v/>
      </c>
      <c r="O121" s="113" t="str">
        <f>_xlfn.XLOOKUP($C121,DBGenzai[社員№],DBGenzai[生年月日],"",0,1)</f>
        <v/>
      </c>
      <c r="P121" s="111" t="str">
        <f>_xlfn.XLOOKUP($C121,DBGenzai[社員№],DBGenzai[年齢],"",0,1)</f>
        <v/>
      </c>
      <c r="Q121" s="111" t="str">
        <f>_xlfn.XLOOKUP($C121,DBGenzai[社員№],DBGenzai[時給],"",0,1)</f>
        <v/>
      </c>
      <c r="R121" s="111" t="str">
        <f>_xlfn.XLOOKUP($C121,DBGenzai[社員№],DBGenzai[請求単価],"",0,1)</f>
        <v/>
      </c>
      <c r="S121" s="111" t="str">
        <f>_xlfn.XLOOKUP($C121,DBGenzai[社員№],DBGenzai[〒],"",0,1)</f>
        <v/>
      </c>
      <c r="T121" s="111" t="str">
        <f>_xlfn.XLOOKUP($C121,DBGenzai[社員№],DBGenzai[住所],"",0,1)</f>
        <v/>
      </c>
      <c r="U121" s="111" t="str">
        <f>_xlfn.XLOOKUP($C121,DBGenzai[社員№],DBGenzai[ｱﾊﾟｰﾄ],"",0,1)</f>
        <v/>
      </c>
      <c r="V121" s="113" t="str">
        <f>_xlfn.XLOOKUP($C121,DBGenzai[社員№],DBGenzai[入居],"",0,1)</f>
        <v/>
      </c>
      <c r="W121" s="113" t="str">
        <f>_xlfn.XLOOKUP($C121,DBGenzai[社員№],DBGenzai[入社日],"",0,1)</f>
        <v/>
      </c>
      <c r="X121" s="113" t="str">
        <f>_xlfn.XLOOKUP($C121,DBGenzai[社員№],DBGenzai[退社日],"",0,1)</f>
        <v/>
      </c>
      <c r="Y121" s="111" t="str">
        <f>_xlfn.XLOOKUP($C121,DBGenzai[社員№],DBGenzai[退去],"",0,1)</f>
        <v/>
      </c>
      <c r="Z121" s="111" t="str">
        <f>_xlfn.XLOOKUP($C121,DBGenzai[社員№],DBGenzai[備考],"",0,1)</f>
        <v/>
      </c>
      <c r="AA121"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1" s="159" t="e">
        <f>(TablaTransfor[[#This Row],[unicos]]-TablaTransfor[[#This Row],[入社日]])/364</f>
        <v>#VALUE!</v>
      </c>
      <c r="AF121" s="251" t="str">
        <f>_xlfn.XLOOKUP($C121,DBGenzai[社員№],DBGenzai[請求単価],"",0,1)</f>
        <v/>
      </c>
    </row>
    <row r="122" spans="1:32" hidden="1">
      <c r="A122" s="117">
        <f>SUBTOTAL(103,$C$3:C122)</f>
        <v>20</v>
      </c>
      <c r="B122" s="111">
        <v>120</v>
      </c>
      <c r="C122" s="111" t="str">
        <f>_xlfn.XLOOKUP($F$1&amp;B122,Filtro!B:B,Filtro!D:D,"",0,1)</f>
        <v/>
      </c>
      <c r="D122" s="111" t="str">
        <f>_xlfn.XLOOKUP(C122,DBGenzai[社員№],DBGenzai[現在],"",0,1)</f>
        <v/>
      </c>
      <c r="E122" s="111" t="str">
        <f>_xlfn.XLOOKUP($C122,DBGenzai[社員№],DBGenzai[派遣先ID],"",0,1)</f>
        <v/>
      </c>
      <c r="F122" s="111" t="str">
        <f>_xlfn.XLOOKUP($C122,DBGenzai[社員№],DBGenzai[配属先],"",0,1)</f>
        <v/>
      </c>
      <c r="G122" s="111" t="str">
        <f>MID(TablaTransfor[[#This Row],[配属先]],1,8)</f>
        <v/>
      </c>
      <c r="H122" s="111" t="str">
        <f>MID(TablaTransfor[[#This Row],[配属先]],9,6)</f>
        <v/>
      </c>
      <c r="I122" s="111" t="str">
        <f>MID(TablaTransfor[[#This Row],[配属先]],15,12)</f>
        <v/>
      </c>
      <c r="J122" s="111" t="str">
        <f>_xlfn.XLOOKUP($C122,DBGenzai[社員№],DBGenzai[配属ライン],"",0,1)</f>
        <v/>
      </c>
      <c r="K122" s="111" t="str">
        <f>_xlfn.XLOOKUP($C122,DBGenzai[社員№],DBGenzai[氏名],"",0,1)</f>
        <v/>
      </c>
      <c r="L122" s="111" t="str">
        <f>_xlfn.XLOOKUP($C122,DBGenzai[社員№],DBGenzai[カナ],"",0,1)</f>
        <v/>
      </c>
      <c r="M122" s="111" t="str">
        <f>_xlfn.XLOOKUP($C122,DBGenzai[社員№],DBGenzai[性別],"",0,1)</f>
        <v/>
      </c>
      <c r="N122" s="111" t="str">
        <f>_xlfn.XLOOKUP($C122,DBGenzai[社員№],DBGenzai[国籍],"",0,1)</f>
        <v/>
      </c>
      <c r="O122" s="113" t="str">
        <f>_xlfn.XLOOKUP($C122,DBGenzai[社員№],DBGenzai[生年月日],"",0,1)</f>
        <v/>
      </c>
      <c r="P122" s="111" t="str">
        <f>_xlfn.XLOOKUP($C122,DBGenzai[社員№],DBGenzai[年齢],"",0,1)</f>
        <v/>
      </c>
      <c r="Q122" s="111" t="str">
        <f>_xlfn.XLOOKUP($C122,DBGenzai[社員№],DBGenzai[時給],"",0,1)</f>
        <v/>
      </c>
      <c r="R122" s="111" t="str">
        <f>_xlfn.XLOOKUP($C122,DBGenzai[社員№],DBGenzai[請求単価],"",0,1)</f>
        <v/>
      </c>
      <c r="S122" s="111" t="str">
        <f>_xlfn.XLOOKUP($C122,DBGenzai[社員№],DBGenzai[〒],"",0,1)</f>
        <v/>
      </c>
      <c r="T122" s="111" t="str">
        <f>_xlfn.XLOOKUP($C122,DBGenzai[社員№],DBGenzai[住所],"",0,1)</f>
        <v/>
      </c>
      <c r="U122" s="111" t="str">
        <f>_xlfn.XLOOKUP($C122,DBGenzai[社員№],DBGenzai[ｱﾊﾟｰﾄ],"",0,1)</f>
        <v/>
      </c>
      <c r="V122" s="113" t="str">
        <f>_xlfn.XLOOKUP($C122,DBGenzai[社員№],DBGenzai[入居],"",0,1)</f>
        <v/>
      </c>
      <c r="W122" s="113" t="str">
        <f>_xlfn.XLOOKUP($C122,DBGenzai[社員№],DBGenzai[入社日],"",0,1)</f>
        <v/>
      </c>
      <c r="X122" s="113" t="str">
        <f>_xlfn.XLOOKUP($C122,DBGenzai[社員№],DBGenzai[退社日],"",0,1)</f>
        <v/>
      </c>
      <c r="Y122" s="111" t="str">
        <f>_xlfn.XLOOKUP($C122,DBGenzai[社員№],DBGenzai[退去],"",0,1)</f>
        <v/>
      </c>
      <c r="Z122" s="111" t="str">
        <f>_xlfn.XLOOKUP($C122,DBGenzai[社員№],DBGenzai[備考],"",0,1)</f>
        <v/>
      </c>
      <c r="AA12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2" s="159" t="e">
        <f>(TablaTransfor[[#This Row],[unicos]]-TablaTransfor[[#This Row],[入社日]])/364</f>
        <v>#VALUE!</v>
      </c>
      <c r="AF122" s="251" t="str">
        <f>_xlfn.XLOOKUP($C122,DBGenzai[社員№],DBGenzai[請求単価],"",0,1)</f>
        <v/>
      </c>
    </row>
    <row r="123" spans="1:32" hidden="1">
      <c r="A123" s="117">
        <f>SUBTOTAL(103,$C$3:C123)</f>
        <v>20</v>
      </c>
      <c r="B123" s="111">
        <v>121</v>
      </c>
      <c r="C123" s="111" t="str">
        <f>_xlfn.XLOOKUP($F$1&amp;B123,Filtro!B:B,Filtro!D:D,"",0,1)</f>
        <v/>
      </c>
      <c r="D123" s="111" t="str">
        <f>_xlfn.XLOOKUP(C123,DBGenzai[社員№],DBGenzai[現在],"",0,1)</f>
        <v/>
      </c>
      <c r="E123" s="111" t="str">
        <f>_xlfn.XLOOKUP($C123,DBGenzai[社員№],DBGenzai[派遣先ID],"",0,1)</f>
        <v/>
      </c>
      <c r="F123" s="111" t="str">
        <f>_xlfn.XLOOKUP($C123,DBGenzai[社員№],DBGenzai[配属先],"",0,1)</f>
        <v/>
      </c>
      <c r="G123" s="111" t="str">
        <f>MID(TablaTransfor[[#This Row],[配属先]],1,8)</f>
        <v/>
      </c>
      <c r="H123" s="111" t="str">
        <f>MID(TablaTransfor[[#This Row],[配属先]],9,6)</f>
        <v/>
      </c>
      <c r="I123" s="111" t="str">
        <f>MID(TablaTransfor[[#This Row],[配属先]],15,12)</f>
        <v/>
      </c>
      <c r="J123" s="111" t="str">
        <f>_xlfn.XLOOKUP($C123,DBGenzai[社員№],DBGenzai[配属ライン],"",0,1)</f>
        <v/>
      </c>
      <c r="K123" s="111" t="str">
        <f>_xlfn.XLOOKUP($C123,DBGenzai[社員№],DBGenzai[氏名],"",0,1)</f>
        <v/>
      </c>
      <c r="L123" s="111" t="str">
        <f>_xlfn.XLOOKUP($C123,DBGenzai[社員№],DBGenzai[カナ],"",0,1)</f>
        <v/>
      </c>
      <c r="M123" s="111" t="str">
        <f>_xlfn.XLOOKUP($C123,DBGenzai[社員№],DBGenzai[性別],"",0,1)</f>
        <v/>
      </c>
      <c r="N123" s="111" t="str">
        <f>_xlfn.XLOOKUP($C123,DBGenzai[社員№],DBGenzai[国籍],"",0,1)</f>
        <v/>
      </c>
      <c r="O123" s="113" t="str">
        <f>_xlfn.XLOOKUP($C123,DBGenzai[社員№],DBGenzai[生年月日],"",0,1)</f>
        <v/>
      </c>
      <c r="P123" s="111" t="str">
        <f>_xlfn.XLOOKUP($C123,DBGenzai[社員№],DBGenzai[年齢],"",0,1)</f>
        <v/>
      </c>
      <c r="Q123" s="111" t="str">
        <f>_xlfn.XLOOKUP($C123,DBGenzai[社員№],DBGenzai[時給],"",0,1)</f>
        <v/>
      </c>
      <c r="R123" s="111" t="str">
        <f>_xlfn.XLOOKUP($C123,DBGenzai[社員№],DBGenzai[請求単価],"",0,1)</f>
        <v/>
      </c>
      <c r="S123" s="111" t="str">
        <f>_xlfn.XLOOKUP($C123,DBGenzai[社員№],DBGenzai[〒],"",0,1)</f>
        <v/>
      </c>
      <c r="T123" s="111" t="str">
        <f>_xlfn.XLOOKUP($C123,DBGenzai[社員№],DBGenzai[住所],"",0,1)</f>
        <v/>
      </c>
      <c r="U123" s="111" t="str">
        <f>_xlfn.XLOOKUP($C123,DBGenzai[社員№],DBGenzai[ｱﾊﾟｰﾄ],"",0,1)</f>
        <v/>
      </c>
      <c r="V123" s="113" t="str">
        <f>_xlfn.XLOOKUP($C123,DBGenzai[社員№],DBGenzai[入居],"",0,1)</f>
        <v/>
      </c>
      <c r="W123" s="113" t="str">
        <f>_xlfn.XLOOKUP($C123,DBGenzai[社員№],DBGenzai[入社日],"",0,1)</f>
        <v/>
      </c>
      <c r="X123" s="113" t="str">
        <f>_xlfn.XLOOKUP($C123,DBGenzai[社員№],DBGenzai[退社日],"",0,1)</f>
        <v/>
      </c>
      <c r="Y123" s="111" t="str">
        <f>_xlfn.XLOOKUP($C123,DBGenzai[社員№],DBGenzai[退去],"",0,1)</f>
        <v/>
      </c>
      <c r="Z123" s="111" t="str">
        <f>_xlfn.XLOOKUP($C123,DBGenzai[社員№],DBGenzai[備考],"",0,1)</f>
        <v/>
      </c>
      <c r="AA123"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3" s="159" t="e">
        <f>(TablaTransfor[[#This Row],[unicos]]-TablaTransfor[[#This Row],[入社日]])/364</f>
        <v>#VALUE!</v>
      </c>
      <c r="AF123" s="251" t="str">
        <f>_xlfn.XLOOKUP($C123,DBGenzai[社員№],DBGenzai[請求単価],"",0,1)</f>
        <v/>
      </c>
    </row>
    <row r="124" spans="1:32" hidden="1">
      <c r="A124" s="117">
        <f>SUBTOTAL(103,$C$3:C124)</f>
        <v>20</v>
      </c>
      <c r="B124" s="111">
        <v>122</v>
      </c>
      <c r="C124" s="111" t="str">
        <f>_xlfn.XLOOKUP($F$1&amp;B124,Filtro!B:B,Filtro!D:D,"",0,1)</f>
        <v/>
      </c>
      <c r="D124" s="111" t="str">
        <f>_xlfn.XLOOKUP(C124,DBGenzai[社員№],DBGenzai[現在],"",0,1)</f>
        <v/>
      </c>
      <c r="E124" s="111" t="str">
        <f>_xlfn.XLOOKUP($C124,DBGenzai[社員№],DBGenzai[派遣先ID],"",0,1)</f>
        <v/>
      </c>
      <c r="F124" s="111" t="str">
        <f>_xlfn.XLOOKUP($C124,DBGenzai[社員№],DBGenzai[配属先],"",0,1)</f>
        <v/>
      </c>
      <c r="G124" s="111" t="str">
        <f>MID(TablaTransfor[[#This Row],[配属先]],1,8)</f>
        <v/>
      </c>
      <c r="H124" s="111" t="str">
        <f>MID(TablaTransfor[[#This Row],[配属先]],9,6)</f>
        <v/>
      </c>
      <c r="I124" s="111" t="str">
        <f>MID(TablaTransfor[[#This Row],[配属先]],15,12)</f>
        <v/>
      </c>
      <c r="J124" s="111" t="str">
        <f>_xlfn.XLOOKUP($C124,DBGenzai[社員№],DBGenzai[配属ライン],"",0,1)</f>
        <v/>
      </c>
      <c r="K124" s="111" t="str">
        <f>_xlfn.XLOOKUP($C124,DBGenzai[社員№],DBGenzai[氏名],"",0,1)</f>
        <v/>
      </c>
      <c r="L124" s="111" t="str">
        <f>_xlfn.XLOOKUP($C124,DBGenzai[社員№],DBGenzai[カナ],"",0,1)</f>
        <v/>
      </c>
      <c r="M124" s="111" t="str">
        <f>_xlfn.XLOOKUP($C124,DBGenzai[社員№],DBGenzai[性別],"",0,1)</f>
        <v/>
      </c>
      <c r="N124" s="111" t="str">
        <f>_xlfn.XLOOKUP($C124,DBGenzai[社員№],DBGenzai[国籍],"",0,1)</f>
        <v/>
      </c>
      <c r="O124" s="113" t="str">
        <f>_xlfn.XLOOKUP($C124,DBGenzai[社員№],DBGenzai[生年月日],"",0,1)</f>
        <v/>
      </c>
      <c r="P124" s="111" t="str">
        <f>_xlfn.XLOOKUP($C124,DBGenzai[社員№],DBGenzai[年齢],"",0,1)</f>
        <v/>
      </c>
      <c r="Q124" s="111" t="str">
        <f>_xlfn.XLOOKUP($C124,DBGenzai[社員№],DBGenzai[時給],"",0,1)</f>
        <v/>
      </c>
      <c r="R124" s="111" t="str">
        <f>_xlfn.XLOOKUP($C124,DBGenzai[社員№],DBGenzai[請求単価],"",0,1)</f>
        <v/>
      </c>
      <c r="S124" s="111" t="str">
        <f>_xlfn.XLOOKUP($C124,DBGenzai[社員№],DBGenzai[〒],"",0,1)</f>
        <v/>
      </c>
      <c r="T124" s="111" t="str">
        <f>_xlfn.XLOOKUP($C124,DBGenzai[社員№],DBGenzai[住所],"",0,1)</f>
        <v/>
      </c>
      <c r="U124" s="111" t="str">
        <f>_xlfn.XLOOKUP($C124,DBGenzai[社員№],DBGenzai[ｱﾊﾟｰﾄ],"",0,1)</f>
        <v/>
      </c>
      <c r="V124" s="113" t="str">
        <f>_xlfn.XLOOKUP($C124,DBGenzai[社員№],DBGenzai[入居],"",0,1)</f>
        <v/>
      </c>
      <c r="W124" s="113" t="str">
        <f>_xlfn.XLOOKUP($C124,DBGenzai[社員№],DBGenzai[入社日],"",0,1)</f>
        <v/>
      </c>
      <c r="X124" s="113" t="str">
        <f>_xlfn.XLOOKUP($C124,DBGenzai[社員№],DBGenzai[退社日],"",0,1)</f>
        <v/>
      </c>
      <c r="Y124" s="111" t="str">
        <f>_xlfn.XLOOKUP($C124,DBGenzai[社員№],DBGenzai[退去],"",0,1)</f>
        <v/>
      </c>
      <c r="Z124" s="111" t="str">
        <f>_xlfn.XLOOKUP($C124,DBGenzai[社員№],DBGenzai[備考],"",0,1)</f>
        <v/>
      </c>
      <c r="AA124"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4" s="159" t="e">
        <f>(TablaTransfor[[#This Row],[unicos]]-TablaTransfor[[#This Row],[入社日]])/364</f>
        <v>#VALUE!</v>
      </c>
      <c r="AF124" s="251" t="str">
        <f>_xlfn.XLOOKUP($C124,DBGenzai[社員№],DBGenzai[請求単価],"",0,1)</f>
        <v/>
      </c>
    </row>
    <row r="125" spans="1:32" hidden="1">
      <c r="A125" s="117">
        <f>SUBTOTAL(103,$C$3:C125)</f>
        <v>20</v>
      </c>
      <c r="B125" s="111">
        <v>123</v>
      </c>
      <c r="C125" s="111" t="str">
        <f>_xlfn.XLOOKUP($F$1&amp;B125,Filtro!B:B,Filtro!D:D,"",0,1)</f>
        <v/>
      </c>
      <c r="D125" s="111" t="str">
        <f>_xlfn.XLOOKUP(C125,DBGenzai[社員№],DBGenzai[現在],"",0,1)</f>
        <v/>
      </c>
      <c r="E125" s="111" t="str">
        <f>_xlfn.XLOOKUP($C125,DBGenzai[社員№],DBGenzai[派遣先ID],"",0,1)</f>
        <v/>
      </c>
      <c r="F125" s="111" t="str">
        <f>_xlfn.XLOOKUP($C125,DBGenzai[社員№],DBGenzai[配属先],"",0,1)</f>
        <v/>
      </c>
      <c r="G125" s="111" t="str">
        <f>MID(TablaTransfor[[#This Row],[配属先]],1,8)</f>
        <v/>
      </c>
      <c r="H125" s="111" t="str">
        <f>MID(TablaTransfor[[#This Row],[配属先]],9,6)</f>
        <v/>
      </c>
      <c r="I125" s="111" t="str">
        <f>MID(TablaTransfor[[#This Row],[配属先]],15,12)</f>
        <v/>
      </c>
      <c r="J125" s="111" t="str">
        <f>_xlfn.XLOOKUP($C125,DBGenzai[社員№],DBGenzai[配属ライン],"",0,1)</f>
        <v/>
      </c>
      <c r="K125" s="111" t="str">
        <f>_xlfn.XLOOKUP($C125,DBGenzai[社員№],DBGenzai[氏名],"",0,1)</f>
        <v/>
      </c>
      <c r="L125" s="111" t="str">
        <f>_xlfn.XLOOKUP($C125,DBGenzai[社員№],DBGenzai[カナ],"",0,1)</f>
        <v/>
      </c>
      <c r="M125" s="111" t="str">
        <f>_xlfn.XLOOKUP($C125,DBGenzai[社員№],DBGenzai[性別],"",0,1)</f>
        <v/>
      </c>
      <c r="N125" s="111" t="str">
        <f>_xlfn.XLOOKUP($C125,DBGenzai[社員№],DBGenzai[国籍],"",0,1)</f>
        <v/>
      </c>
      <c r="O125" s="113" t="str">
        <f>_xlfn.XLOOKUP($C125,DBGenzai[社員№],DBGenzai[生年月日],"",0,1)</f>
        <v/>
      </c>
      <c r="P125" s="111" t="str">
        <f>_xlfn.XLOOKUP($C125,DBGenzai[社員№],DBGenzai[年齢],"",0,1)</f>
        <v/>
      </c>
      <c r="Q125" s="111" t="str">
        <f>_xlfn.XLOOKUP($C125,DBGenzai[社員№],DBGenzai[時給],"",0,1)</f>
        <v/>
      </c>
      <c r="R125" s="111" t="str">
        <f>_xlfn.XLOOKUP($C125,DBGenzai[社員№],DBGenzai[請求単価],"",0,1)</f>
        <v/>
      </c>
      <c r="S125" s="111" t="str">
        <f>_xlfn.XLOOKUP($C125,DBGenzai[社員№],DBGenzai[〒],"",0,1)</f>
        <v/>
      </c>
      <c r="T125" s="111" t="str">
        <f>_xlfn.XLOOKUP($C125,DBGenzai[社員№],DBGenzai[住所],"",0,1)</f>
        <v/>
      </c>
      <c r="U125" s="111" t="str">
        <f>_xlfn.XLOOKUP($C125,DBGenzai[社員№],DBGenzai[ｱﾊﾟｰﾄ],"",0,1)</f>
        <v/>
      </c>
      <c r="V125" s="113" t="str">
        <f>_xlfn.XLOOKUP($C125,DBGenzai[社員№],DBGenzai[入居],"",0,1)</f>
        <v/>
      </c>
      <c r="W125" s="113" t="str">
        <f>_xlfn.XLOOKUP($C125,DBGenzai[社員№],DBGenzai[入社日],"",0,1)</f>
        <v/>
      </c>
      <c r="X125" s="113" t="str">
        <f>_xlfn.XLOOKUP($C125,DBGenzai[社員№],DBGenzai[退社日],"",0,1)</f>
        <v/>
      </c>
      <c r="Y125" s="111" t="str">
        <f>_xlfn.XLOOKUP($C125,DBGenzai[社員№],DBGenzai[退去],"",0,1)</f>
        <v/>
      </c>
      <c r="Z125" s="111" t="str">
        <f>_xlfn.XLOOKUP($C125,DBGenzai[社員№],DBGenzai[備考],"",0,1)</f>
        <v/>
      </c>
      <c r="AA12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5" s="159" t="e">
        <f>(TablaTransfor[[#This Row],[unicos]]-TablaTransfor[[#This Row],[入社日]])/364</f>
        <v>#VALUE!</v>
      </c>
      <c r="AF125" s="251" t="str">
        <f>_xlfn.XLOOKUP($C125,DBGenzai[社員№],DBGenzai[請求単価],"",0,1)</f>
        <v/>
      </c>
    </row>
    <row r="126" spans="1:32" hidden="1">
      <c r="A126" s="117">
        <f>SUBTOTAL(103,$C$3:C126)</f>
        <v>20</v>
      </c>
      <c r="B126" s="111">
        <v>124</v>
      </c>
      <c r="C126" s="111" t="str">
        <f>_xlfn.XLOOKUP($F$1&amp;B126,Filtro!B:B,Filtro!D:D,"",0,1)</f>
        <v/>
      </c>
      <c r="D126" s="111" t="str">
        <f>_xlfn.XLOOKUP(C126,DBGenzai[社員№],DBGenzai[現在],"",0,1)</f>
        <v/>
      </c>
      <c r="E126" s="111" t="str">
        <f>_xlfn.XLOOKUP($C126,DBGenzai[社員№],DBGenzai[派遣先ID],"",0,1)</f>
        <v/>
      </c>
      <c r="F126" s="111" t="str">
        <f>_xlfn.XLOOKUP($C126,DBGenzai[社員№],DBGenzai[配属先],"",0,1)</f>
        <v/>
      </c>
      <c r="G126" s="111" t="str">
        <f>MID(TablaTransfor[[#This Row],[配属先]],1,8)</f>
        <v/>
      </c>
      <c r="H126" s="111" t="str">
        <f>MID(TablaTransfor[[#This Row],[配属先]],9,6)</f>
        <v/>
      </c>
      <c r="I126" s="111" t="str">
        <f>MID(TablaTransfor[[#This Row],[配属先]],15,12)</f>
        <v/>
      </c>
      <c r="J126" s="111" t="str">
        <f>_xlfn.XLOOKUP($C126,DBGenzai[社員№],DBGenzai[配属ライン],"",0,1)</f>
        <v/>
      </c>
      <c r="K126" s="111" t="str">
        <f>_xlfn.XLOOKUP($C126,DBGenzai[社員№],DBGenzai[氏名],"",0,1)</f>
        <v/>
      </c>
      <c r="L126" s="111" t="str">
        <f>_xlfn.XLOOKUP($C126,DBGenzai[社員№],DBGenzai[カナ],"",0,1)</f>
        <v/>
      </c>
      <c r="M126" s="111" t="str">
        <f>_xlfn.XLOOKUP($C126,DBGenzai[社員№],DBGenzai[性別],"",0,1)</f>
        <v/>
      </c>
      <c r="N126" s="111" t="str">
        <f>_xlfn.XLOOKUP($C126,DBGenzai[社員№],DBGenzai[国籍],"",0,1)</f>
        <v/>
      </c>
      <c r="O126" s="113" t="str">
        <f>_xlfn.XLOOKUP($C126,DBGenzai[社員№],DBGenzai[生年月日],"",0,1)</f>
        <v/>
      </c>
      <c r="P126" s="111" t="str">
        <f>_xlfn.XLOOKUP($C126,DBGenzai[社員№],DBGenzai[年齢],"",0,1)</f>
        <v/>
      </c>
      <c r="Q126" s="111" t="str">
        <f>_xlfn.XLOOKUP($C126,DBGenzai[社員№],DBGenzai[時給],"",0,1)</f>
        <v/>
      </c>
      <c r="R126" s="111" t="str">
        <f>_xlfn.XLOOKUP($C126,DBGenzai[社員№],DBGenzai[請求単価],"",0,1)</f>
        <v/>
      </c>
      <c r="S126" s="111" t="str">
        <f>_xlfn.XLOOKUP($C126,DBGenzai[社員№],DBGenzai[〒],"",0,1)</f>
        <v/>
      </c>
      <c r="T126" s="111" t="str">
        <f>_xlfn.XLOOKUP($C126,DBGenzai[社員№],DBGenzai[住所],"",0,1)</f>
        <v/>
      </c>
      <c r="U126" s="111" t="str">
        <f>_xlfn.XLOOKUP($C126,DBGenzai[社員№],DBGenzai[ｱﾊﾟｰﾄ],"",0,1)</f>
        <v/>
      </c>
      <c r="V126" s="113" t="str">
        <f>_xlfn.XLOOKUP($C126,DBGenzai[社員№],DBGenzai[入居],"",0,1)</f>
        <v/>
      </c>
      <c r="W126" s="113" t="str">
        <f>_xlfn.XLOOKUP($C126,DBGenzai[社員№],DBGenzai[入社日],"",0,1)</f>
        <v/>
      </c>
      <c r="X126" s="113" t="str">
        <f>_xlfn.XLOOKUP($C126,DBGenzai[社員№],DBGenzai[退社日],"",0,1)</f>
        <v/>
      </c>
      <c r="Y126" s="111" t="str">
        <f>_xlfn.XLOOKUP($C126,DBGenzai[社員№],DBGenzai[退去],"",0,1)</f>
        <v/>
      </c>
      <c r="Z126" s="111" t="str">
        <f>_xlfn.XLOOKUP($C126,DBGenzai[社員№],DBGenzai[備考],"",0,1)</f>
        <v/>
      </c>
      <c r="AA12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6" s="159" t="e">
        <f>(TablaTransfor[[#This Row],[unicos]]-TablaTransfor[[#This Row],[入社日]])/364</f>
        <v>#VALUE!</v>
      </c>
      <c r="AF126" s="251" t="str">
        <f>_xlfn.XLOOKUP($C126,DBGenzai[社員№],DBGenzai[請求単価],"",0,1)</f>
        <v/>
      </c>
    </row>
    <row r="127" spans="1:32" hidden="1">
      <c r="A127" s="117">
        <f>SUBTOTAL(103,$C$3:C127)</f>
        <v>20</v>
      </c>
      <c r="B127" s="111">
        <v>125</v>
      </c>
      <c r="C127" s="111" t="str">
        <f>_xlfn.XLOOKUP($F$1&amp;B127,Filtro!B:B,Filtro!D:D,"",0,1)</f>
        <v/>
      </c>
      <c r="D127" s="111" t="str">
        <f>_xlfn.XLOOKUP(C127,DBGenzai[社員№],DBGenzai[現在],"",0,1)</f>
        <v/>
      </c>
      <c r="E127" s="111" t="str">
        <f>_xlfn.XLOOKUP($C127,DBGenzai[社員№],DBGenzai[派遣先ID],"",0,1)</f>
        <v/>
      </c>
      <c r="F127" s="111" t="str">
        <f>_xlfn.XLOOKUP($C127,DBGenzai[社員№],DBGenzai[配属先],"",0,1)</f>
        <v/>
      </c>
      <c r="G127" s="111" t="str">
        <f>MID(TablaTransfor[[#This Row],[配属先]],1,8)</f>
        <v/>
      </c>
      <c r="H127" s="111" t="str">
        <f>MID(TablaTransfor[[#This Row],[配属先]],9,6)</f>
        <v/>
      </c>
      <c r="I127" s="111" t="str">
        <f>MID(TablaTransfor[[#This Row],[配属先]],15,12)</f>
        <v/>
      </c>
      <c r="J127" s="111" t="str">
        <f>_xlfn.XLOOKUP($C127,DBGenzai[社員№],DBGenzai[配属ライン],"",0,1)</f>
        <v/>
      </c>
      <c r="K127" s="111" t="str">
        <f>_xlfn.XLOOKUP($C127,DBGenzai[社員№],DBGenzai[氏名],"",0,1)</f>
        <v/>
      </c>
      <c r="L127" s="111" t="str">
        <f>_xlfn.XLOOKUP($C127,DBGenzai[社員№],DBGenzai[カナ],"",0,1)</f>
        <v/>
      </c>
      <c r="M127" s="111" t="str">
        <f>_xlfn.XLOOKUP($C127,DBGenzai[社員№],DBGenzai[性別],"",0,1)</f>
        <v/>
      </c>
      <c r="N127" s="111" t="str">
        <f>_xlfn.XLOOKUP($C127,DBGenzai[社員№],DBGenzai[国籍],"",0,1)</f>
        <v/>
      </c>
      <c r="O127" s="113" t="str">
        <f>_xlfn.XLOOKUP($C127,DBGenzai[社員№],DBGenzai[生年月日],"",0,1)</f>
        <v/>
      </c>
      <c r="P127" s="111" t="str">
        <f>_xlfn.XLOOKUP($C127,DBGenzai[社員№],DBGenzai[年齢],"",0,1)</f>
        <v/>
      </c>
      <c r="Q127" s="111" t="str">
        <f>_xlfn.XLOOKUP($C127,DBGenzai[社員№],DBGenzai[時給],"",0,1)</f>
        <v/>
      </c>
      <c r="R127" s="111" t="str">
        <f>_xlfn.XLOOKUP($C127,DBGenzai[社員№],DBGenzai[請求単価],"",0,1)</f>
        <v/>
      </c>
      <c r="S127" s="111" t="str">
        <f>_xlfn.XLOOKUP($C127,DBGenzai[社員№],DBGenzai[〒],"",0,1)</f>
        <v/>
      </c>
      <c r="T127" s="111" t="str">
        <f>_xlfn.XLOOKUP($C127,DBGenzai[社員№],DBGenzai[住所],"",0,1)</f>
        <v/>
      </c>
      <c r="U127" s="111" t="str">
        <f>_xlfn.XLOOKUP($C127,DBGenzai[社員№],DBGenzai[ｱﾊﾟｰﾄ],"",0,1)</f>
        <v/>
      </c>
      <c r="V127" s="113" t="str">
        <f>_xlfn.XLOOKUP($C127,DBGenzai[社員№],DBGenzai[入居],"",0,1)</f>
        <v/>
      </c>
      <c r="W127" s="113" t="str">
        <f>_xlfn.XLOOKUP($C127,DBGenzai[社員№],DBGenzai[入社日],"",0,1)</f>
        <v/>
      </c>
      <c r="X127" s="113" t="str">
        <f>_xlfn.XLOOKUP($C127,DBGenzai[社員№],DBGenzai[退社日],"",0,1)</f>
        <v/>
      </c>
      <c r="Y127" s="111" t="str">
        <f>_xlfn.XLOOKUP($C127,DBGenzai[社員№],DBGenzai[退去],"",0,1)</f>
        <v/>
      </c>
      <c r="Z127" s="111" t="str">
        <f>_xlfn.XLOOKUP($C127,DBGenzai[社員№],DBGenzai[備考],"",0,1)</f>
        <v/>
      </c>
      <c r="AA12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7" s="159" t="e">
        <f>(TablaTransfor[[#This Row],[unicos]]-TablaTransfor[[#This Row],[入社日]])/364</f>
        <v>#VALUE!</v>
      </c>
      <c r="AF127" s="251" t="str">
        <f>_xlfn.XLOOKUP($C127,DBGenzai[社員№],DBGenzai[請求単価],"",0,1)</f>
        <v/>
      </c>
    </row>
    <row r="128" spans="1:32" hidden="1">
      <c r="A128" s="117">
        <f>SUBTOTAL(103,$C$3:C128)</f>
        <v>20</v>
      </c>
      <c r="B128" s="111">
        <v>126</v>
      </c>
      <c r="C128" s="111" t="str">
        <f>_xlfn.XLOOKUP($F$1&amp;B128,Filtro!B:B,Filtro!D:D,"",0,1)</f>
        <v/>
      </c>
      <c r="D128" s="111" t="str">
        <f>_xlfn.XLOOKUP(C128,DBGenzai[社員№],DBGenzai[現在],"",0,1)</f>
        <v/>
      </c>
      <c r="E128" s="111" t="str">
        <f>_xlfn.XLOOKUP($C128,DBGenzai[社員№],DBGenzai[派遣先ID],"",0,1)</f>
        <v/>
      </c>
      <c r="F128" s="111" t="str">
        <f>_xlfn.XLOOKUP($C128,DBGenzai[社員№],DBGenzai[配属先],"",0,1)</f>
        <v/>
      </c>
      <c r="G128" s="111" t="str">
        <f>MID(TablaTransfor[[#This Row],[配属先]],1,8)</f>
        <v/>
      </c>
      <c r="H128" s="111" t="str">
        <f>MID(TablaTransfor[[#This Row],[配属先]],9,6)</f>
        <v/>
      </c>
      <c r="I128" s="111" t="str">
        <f>MID(TablaTransfor[[#This Row],[配属先]],15,12)</f>
        <v/>
      </c>
      <c r="J128" s="111" t="str">
        <f>_xlfn.XLOOKUP($C128,DBGenzai[社員№],DBGenzai[配属ライン],"",0,1)</f>
        <v/>
      </c>
      <c r="K128" s="111" t="str">
        <f>_xlfn.XLOOKUP($C128,DBGenzai[社員№],DBGenzai[氏名],"",0,1)</f>
        <v/>
      </c>
      <c r="L128" s="111" t="str">
        <f>_xlfn.XLOOKUP($C128,DBGenzai[社員№],DBGenzai[カナ],"",0,1)</f>
        <v/>
      </c>
      <c r="M128" s="111" t="str">
        <f>_xlfn.XLOOKUP($C128,DBGenzai[社員№],DBGenzai[性別],"",0,1)</f>
        <v/>
      </c>
      <c r="N128" s="111" t="str">
        <f>_xlfn.XLOOKUP($C128,DBGenzai[社員№],DBGenzai[国籍],"",0,1)</f>
        <v/>
      </c>
      <c r="O128" s="113" t="str">
        <f>_xlfn.XLOOKUP($C128,DBGenzai[社員№],DBGenzai[生年月日],"",0,1)</f>
        <v/>
      </c>
      <c r="P128" s="111" t="str">
        <f>_xlfn.XLOOKUP($C128,DBGenzai[社員№],DBGenzai[年齢],"",0,1)</f>
        <v/>
      </c>
      <c r="Q128" s="111" t="str">
        <f>_xlfn.XLOOKUP($C128,DBGenzai[社員№],DBGenzai[時給],"",0,1)</f>
        <v/>
      </c>
      <c r="R128" s="111" t="str">
        <f>_xlfn.XLOOKUP($C128,DBGenzai[社員№],DBGenzai[請求単価],"",0,1)</f>
        <v/>
      </c>
      <c r="S128" s="111" t="str">
        <f>_xlfn.XLOOKUP($C128,DBGenzai[社員№],DBGenzai[〒],"",0,1)</f>
        <v/>
      </c>
      <c r="T128" s="111" t="str">
        <f>_xlfn.XLOOKUP($C128,DBGenzai[社員№],DBGenzai[住所],"",0,1)</f>
        <v/>
      </c>
      <c r="U128" s="111" t="str">
        <f>_xlfn.XLOOKUP($C128,DBGenzai[社員№],DBGenzai[ｱﾊﾟｰﾄ],"",0,1)</f>
        <v/>
      </c>
      <c r="V128" s="113" t="str">
        <f>_xlfn.XLOOKUP($C128,DBGenzai[社員№],DBGenzai[入居],"",0,1)</f>
        <v/>
      </c>
      <c r="W128" s="113" t="str">
        <f>_xlfn.XLOOKUP($C128,DBGenzai[社員№],DBGenzai[入社日],"",0,1)</f>
        <v/>
      </c>
      <c r="X128" s="113" t="str">
        <f>_xlfn.XLOOKUP($C128,DBGenzai[社員№],DBGenzai[退社日],"",0,1)</f>
        <v/>
      </c>
      <c r="Y128" s="111" t="str">
        <f>_xlfn.XLOOKUP($C128,DBGenzai[社員№],DBGenzai[退去],"",0,1)</f>
        <v/>
      </c>
      <c r="Z128" s="111" t="str">
        <f>_xlfn.XLOOKUP($C128,DBGenzai[社員№],DBGenzai[備考],"",0,1)</f>
        <v/>
      </c>
      <c r="AA12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8" s="159" t="e">
        <f>(TablaTransfor[[#This Row],[unicos]]-TablaTransfor[[#This Row],[入社日]])/364</f>
        <v>#VALUE!</v>
      </c>
      <c r="AF128" s="251" t="str">
        <f>_xlfn.XLOOKUP($C128,DBGenzai[社員№],DBGenzai[請求単価],"",0,1)</f>
        <v/>
      </c>
    </row>
    <row r="129" spans="1:32" hidden="1">
      <c r="A129" s="117">
        <f>SUBTOTAL(103,$C$3:C129)</f>
        <v>20</v>
      </c>
      <c r="B129" s="111">
        <v>127</v>
      </c>
      <c r="C129" s="111" t="str">
        <f>_xlfn.XLOOKUP($F$1&amp;B129,Filtro!B:B,Filtro!D:D,"",0,1)</f>
        <v/>
      </c>
      <c r="D129" s="111" t="str">
        <f>_xlfn.XLOOKUP(C129,DBGenzai[社員№],DBGenzai[現在],"",0,1)</f>
        <v/>
      </c>
      <c r="E129" s="111" t="str">
        <f>_xlfn.XLOOKUP($C129,DBGenzai[社員№],DBGenzai[派遣先ID],"",0,1)</f>
        <v/>
      </c>
      <c r="F129" s="111" t="str">
        <f>_xlfn.XLOOKUP($C129,DBGenzai[社員№],DBGenzai[配属先],"",0,1)</f>
        <v/>
      </c>
      <c r="G129" s="111" t="str">
        <f>MID(TablaTransfor[[#This Row],[配属先]],1,8)</f>
        <v/>
      </c>
      <c r="H129" s="111" t="str">
        <f>MID(TablaTransfor[[#This Row],[配属先]],9,6)</f>
        <v/>
      </c>
      <c r="I129" s="111" t="str">
        <f>MID(TablaTransfor[[#This Row],[配属先]],15,12)</f>
        <v/>
      </c>
      <c r="J129" s="111" t="str">
        <f>_xlfn.XLOOKUP($C129,DBGenzai[社員№],DBGenzai[配属ライン],"",0,1)</f>
        <v/>
      </c>
      <c r="K129" s="111" t="str">
        <f>_xlfn.XLOOKUP($C129,DBGenzai[社員№],DBGenzai[氏名],"",0,1)</f>
        <v/>
      </c>
      <c r="L129" s="111" t="str">
        <f>_xlfn.XLOOKUP($C129,DBGenzai[社員№],DBGenzai[カナ],"",0,1)</f>
        <v/>
      </c>
      <c r="M129" s="111" t="str">
        <f>_xlfn.XLOOKUP($C129,DBGenzai[社員№],DBGenzai[性別],"",0,1)</f>
        <v/>
      </c>
      <c r="N129" s="111" t="str">
        <f>_xlfn.XLOOKUP($C129,DBGenzai[社員№],DBGenzai[国籍],"",0,1)</f>
        <v/>
      </c>
      <c r="O129" s="113" t="str">
        <f>_xlfn.XLOOKUP($C129,DBGenzai[社員№],DBGenzai[生年月日],"",0,1)</f>
        <v/>
      </c>
      <c r="P129" s="111" t="str">
        <f>_xlfn.XLOOKUP($C129,DBGenzai[社員№],DBGenzai[年齢],"",0,1)</f>
        <v/>
      </c>
      <c r="Q129" s="111" t="str">
        <f>_xlfn.XLOOKUP($C129,DBGenzai[社員№],DBGenzai[時給],"",0,1)</f>
        <v/>
      </c>
      <c r="R129" s="111" t="str">
        <f>_xlfn.XLOOKUP($C129,DBGenzai[社員№],DBGenzai[請求単価],"",0,1)</f>
        <v/>
      </c>
      <c r="S129" s="111" t="str">
        <f>_xlfn.XLOOKUP($C129,DBGenzai[社員№],DBGenzai[〒],"",0,1)</f>
        <v/>
      </c>
      <c r="T129" s="111" t="str">
        <f>_xlfn.XLOOKUP($C129,DBGenzai[社員№],DBGenzai[住所],"",0,1)</f>
        <v/>
      </c>
      <c r="U129" s="111" t="str">
        <f>_xlfn.XLOOKUP($C129,DBGenzai[社員№],DBGenzai[ｱﾊﾟｰﾄ],"",0,1)</f>
        <v/>
      </c>
      <c r="V129" s="113" t="str">
        <f>_xlfn.XLOOKUP($C129,DBGenzai[社員№],DBGenzai[入居],"",0,1)</f>
        <v/>
      </c>
      <c r="W129" s="113" t="str">
        <f>_xlfn.XLOOKUP($C129,DBGenzai[社員№],DBGenzai[入社日],"",0,1)</f>
        <v/>
      </c>
      <c r="X129" s="113" t="str">
        <f>_xlfn.XLOOKUP($C129,DBGenzai[社員№],DBGenzai[退社日],"",0,1)</f>
        <v/>
      </c>
      <c r="Y129" s="111" t="str">
        <f>_xlfn.XLOOKUP($C129,DBGenzai[社員№],DBGenzai[退去],"",0,1)</f>
        <v/>
      </c>
      <c r="Z129" s="111" t="str">
        <f>_xlfn.XLOOKUP($C129,DBGenzai[社員№],DBGenzai[備考],"",0,1)</f>
        <v/>
      </c>
      <c r="AA12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29" s="159" t="e">
        <f>(TablaTransfor[[#This Row],[unicos]]-TablaTransfor[[#This Row],[入社日]])/364</f>
        <v>#VALUE!</v>
      </c>
      <c r="AF129" s="251" t="str">
        <f>_xlfn.XLOOKUP($C129,DBGenzai[社員№],DBGenzai[請求単価],"",0,1)</f>
        <v/>
      </c>
    </row>
    <row r="130" spans="1:32" hidden="1">
      <c r="A130" s="117">
        <f>SUBTOTAL(103,$C$3:C130)</f>
        <v>20</v>
      </c>
      <c r="B130" s="111">
        <v>128</v>
      </c>
      <c r="C130" s="111" t="str">
        <f>_xlfn.XLOOKUP($F$1&amp;B130,Filtro!B:B,Filtro!D:D,"",0,1)</f>
        <v/>
      </c>
      <c r="D130" s="111" t="str">
        <f>_xlfn.XLOOKUP(C130,DBGenzai[社員№],DBGenzai[現在],"",0,1)</f>
        <v/>
      </c>
      <c r="E130" s="111" t="str">
        <f>_xlfn.XLOOKUP($C130,DBGenzai[社員№],DBGenzai[派遣先ID],"",0,1)</f>
        <v/>
      </c>
      <c r="F130" s="111" t="str">
        <f>_xlfn.XLOOKUP($C130,DBGenzai[社員№],DBGenzai[配属先],"",0,1)</f>
        <v/>
      </c>
      <c r="G130" s="111" t="str">
        <f>MID(TablaTransfor[[#This Row],[配属先]],1,8)</f>
        <v/>
      </c>
      <c r="H130" s="111" t="str">
        <f>MID(TablaTransfor[[#This Row],[配属先]],9,6)</f>
        <v/>
      </c>
      <c r="I130" s="111" t="str">
        <f>MID(TablaTransfor[[#This Row],[配属先]],15,12)</f>
        <v/>
      </c>
      <c r="J130" s="111" t="str">
        <f>_xlfn.XLOOKUP($C130,DBGenzai[社員№],DBGenzai[配属ライン],"",0,1)</f>
        <v/>
      </c>
      <c r="K130" s="111" t="str">
        <f>_xlfn.XLOOKUP($C130,DBGenzai[社員№],DBGenzai[氏名],"",0,1)</f>
        <v/>
      </c>
      <c r="L130" s="111" t="str">
        <f>_xlfn.XLOOKUP($C130,DBGenzai[社員№],DBGenzai[カナ],"",0,1)</f>
        <v/>
      </c>
      <c r="M130" s="111" t="str">
        <f>_xlfn.XLOOKUP($C130,DBGenzai[社員№],DBGenzai[性別],"",0,1)</f>
        <v/>
      </c>
      <c r="N130" s="111" t="str">
        <f>_xlfn.XLOOKUP($C130,DBGenzai[社員№],DBGenzai[国籍],"",0,1)</f>
        <v/>
      </c>
      <c r="O130" s="113" t="str">
        <f>_xlfn.XLOOKUP($C130,DBGenzai[社員№],DBGenzai[生年月日],"",0,1)</f>
        <v/>
      </c>
      <c r="P130" s="111" t="str">
        <f>_xlfn.XLOOKUP($C130,DBGenzai[社員№],DBGenzai[年齢],"",0,1)</f>
        <v/>
      </c>
      <c r="Q130" s="111" t="str">
        <f>_xlfn.XLOOKUP($C130,DBGenzai[社員№],DBGenzai[時給],"",0,1)</f>
        <v/>
      </c>
      <c r="R130" s="111" t="str">
        <f>_xlfn.XLOOKUP($C130,DBGenzai[社員№],DBGenzai[請求単価],"",0,1)</f>
        <v/>
      </c>
      <c r="S130" s="111" t="str">
        <f>_xlfn.XLOOKUP($C130,DBGenzai[社員№],DBGenzai[〒],"",0,1)</f>
        <v/>
      </c>
      <c r="T130" s="111" t="str">
        <f>_xlfn.XLOOKUP($C130,DBGenzai[社員№],DBGenzai[住所],"",0,1)</f>
        <v/>
      </c>
      <c r="U130" s="111" t="str">
        <f>_xlfn.XLOOKUP($C130,DBGenzai[社員№],DBGenzai[ｱﾊﾟｰﾄ],"",0,1)</f>
        <v/>
      </c>
      <c r="V130" s="113" t="str">
        <f>_xlfn.XLOOKUP($C130,DBGenzai[社員№],DBGenzai[入居],"",0,1)</f>
        <v/>
      </c>
      <c r="W130" s="113" t="str">
        <f>_xlfn.XLOOKUP($C130,DBGenzai[社員№],DBGenzai[入社日],"",0,1)</f>
        <v/>
      </c>
      <c r="X130" s="113" t="str">
        <f>_xlfn.XLOOKUP($C130,DBGenzai[社員№],DBGenzai[退社日],"",0,1)</f>
        <v/>
      </c>
      <c r="Y130" s="111" t="str">
        <f>_xlfn.XLOOKUP($C130,DBGenzai[社員№],DBGenzai[退去],"",0,1)</f>
        <v/>
      </c>
      <c r="Z130" s="111" t="str">
        <f>_xlfn.XLOOKUP($C130,DBGenzai[社員№],DBGenzai[備考],"",0,1)</f>
        <v/>
      </c>
      <c r="AA130"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0" s="159" t="e">
        <f>(TablaTransfor[[#This Row],[unicos]]-TablaTransfor[[#This Row],[入社日]])/364</f>
        <v>#VALUE!</v>
      </c>
      <c r="AF130" s="251" t="str">
        <f>_xlfn.XLOOKUP($C130,DBGenzai[社員№],DBGenzai[請求単価],"",0,1)</f>
        <v/>
      </c>
    </row>
    <row r="131" spans="1:32" hidden="1">
      <c r="A131" s="117">
        <f>SUBTOTAL(103,$C$3:C131)</f>
        <v>20</v>
      </c>
      <c r="B131" s="111">
        <v>129</v>
      </c>
      <c r="C131" s="111" t="str">
        <f>_xlfn.XLOOKUP($F$1&amp;B131,Filtro!B:B,Filtro!D:D,"",0,1)</f>
        <v/>
      </c>
      <c r="D131" s="111" t="str">
        <f>_xlfn.XLOOKUP(C131,DBGenzai[社員№],DBGenzai[現在],"",0,1)</f>
        <v/>
      </c>
      <c r="E131" s="111" t="str">
        <f>_xlfn.XLOOKUP($C131,DBGenzai[社員№],DBGenzai[派遣先ID],"",0,1)</f>
        <v/>
      </c>
      <c r="F131" s="111" t="str">
        <f>_xlfn.XLOOKUP($C131,DBGenzai[社員№],DBGenzai[配属先],"",0,1)</f>
        <v/>
      </c>
      <c r="G131" s="111" t="str">
        <f>MID(TablaTransfor[[#This Row],[配属先]],1,8)</f>
        <v/>
      </c>
      <c r="H131" s="111" t="str">
        <f>MID(TablaTransfor[[#This Row],[配属先]],9,6)</f>
        <v/>
      </c>
      <c r="I131" s="111" t="str">
        <f>MID(TablaTransfor[[#This Row],[配属先]],15,12)</f>
        <v/>
      </c>
      <c r="J131" s="111" t="str">
        <f>_xlfn.XLOOKUP($C131,DBGenzai[社員№],DBGenzai[配属ライン],"",0,1)</f>
        <v/>
      </c>
      <c r="K131" s="111" t="str">
        <f>_xlfn.XLOOKUP($C131,DBGenzai[社員№],DBGenzai[氏名],"",0,1)</f>
        <v/>
      </c>
      <c r="L131" s="111" t="str">
        <f>_xlfn.XLOOKUP($C131,DBGenzai[社員№],DBGenzai[カナ],"",0,1)</f>
        <v/>
      </c>
      <c r="M131" s="111" t="str">
        <f>_xlfn.XLOOKUP($C131,DBGenzai[社員№],DBGenzai[性別],"",0,1)</f>
        <v/>
      </c>
      <c r="N131" s="111" t="str">
        <f>_xlfn.XLOOKUP($C131,DBGenzai[社員№],DBGenzai[国籍],"",0,1)</f>
        <v/>
      </c>
      <c r="O131" s="113" t="str">
        <f>_xlfn.XLOOKUP($C131,DBGenzai[社員№],DBGenzai[生年月日],"",0,1)</f>
        <v/>
      </c>
      <c r="P131" s="111" t="str">
        <f>_xlfn.XLOOKUP($C131,DBGenzai[社員№],DBGenzai[年齢],"",0,1)</f>
        <v/>
      </c>
      <c r="Q131" s="111" t="str">
        <f>_xlfn.XLOOKUP($C131,DBGenzai[社員№],DBGenzai[時給],"",0,1)</f>
        <v/>
      </c>
      <c r="R131" s="111" t="str">
        <f>_xlfn.XLOOKUP($C131,DBGenzai[社員№],DBGenzai[請求単価],"",0,1)</f>
        <v/>
      </c>
      <c r="S131" s="111" t="str">
        <f>_xlfn.XLOOKUP($C131,DBGenzai[社員№],DBGenzai[〒],"",0,1)</f>
        <v/>
      </c>
      <c r="T131" s="111" t="str">
        <f>_xlfn.XLOOKUP($C131,DBGenzai[社員№],DBGenzai[住所],"",0,1)</f>
        <v/>
      </c>
      <c r="U131" s="111" t="str">
        <f>_xlfn.XLOOKUP($C131,DBGenzai[社員№],DBGenzai[ｱﾊﾟｰﾄ],"",0,1)</f>
        <v/>
      </c>
      <c r="V131" s="113" t="str">
        <f>_xlfn.XLOOKUP($C131,DBGenzai[社員№],DBGenzai[入居],"",0,1)</f>
        <v/>
      </c>
      <c r="W131" s="113" t="str">
        <f>_xlfn.XLOOKUP($C131,DBGenzai[社員№],DBGenzai[入社日],"",0,1)</f>
        <v/>
      </c>
      <c r="X131" s="113" t="str">
        <f>_xlfn.XLOOKUP($C131,DBGenzai[社員№],DBGenzai[退社日],"",0,1)</f>
        <v/>
      </c>
      <c r="Y131" s="111" t="str">
        <f>_xlfn.XLOOKUP($C131,DBGenzai[社員№],DBGenzai[退去],"",0,1)</f>
        <v/>
      </c>
      <c r="Z131" s="111" t="str">
        <f>_xlfn.XLOOKUP($C131,DBGenzai[社員№],DBGenzai[備考],"",0,1)</f>
        <v/>
      </c>
      <c r="AA131"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1" s="159" t="e">
        <f>(TablaTransfor[[#This Row],[unicos]]-TablaTransfor[[#This Row],[入社日]])/364</f>
        <v>#VALUE!</v>
      </c>
      <c r="AF131" s="251" t="str">
        <f>_xlfn.XLOOKUP($C131,DBGenzai[社員№],DBGenzai[請求単価],"",0,1)</f>
        <v/>
      </c>
    </row>
    <row r="132" spans="1:32" hidden="1">
      <c r="A132" s="117">
        <f>SUBTOTAL(103,$C$3:C132)</f>
        <v>20</v>
      </c>
      <c r="B132" s="111">
        <v>130</v>
      </c>
      <c r="C132" s="111" t="str">
        <f>_xlfn.XLOOKUP($F$1&amp;B132,Filtro!B:B,Filtro!D:D,"",0,1)</f>
        <v/>
      </c>
      <c r="D132" s="111" t="str">
        <f>_xlfn.XLOOKUP(C132,DBGenzai[社員№],DBGenzai[現在],"",0,1)</f>
        <v/>
      </c>
      <c r="E132" s="111" t="str">
        <f>_xlfn.XLOOKUP($C132,DBGenzai[社員№],DBGenzai[派遣先ID],"",0,1)</f>
        <v/>
      </c>
      <c r="F132" s="111" t="str">
        <f>_xlfn.XLOOKUP($C132,DBGenzai[社員№],DBGenzai[配属先],"",0,1)</f>
        <v/>
      </c>
      <c r="G132" s="111" t="str">
        <f>MID(TablaTransfor[[#This Row],[配属先]],1,8)</f>
        <v/>
      </c>
      <c r="H132" s="111" t="str">
        <f>MID(TablaTransfor[[#This Row],[配属先]],9,6)</f>
        <v/>
      </c>
      <c r="I132" s="111" t="str">
        <f>MID(TablaTransfor[[#This Row],[配属先]],15,12)</f>
        <v/>
      </c>
      <c r="J132" s="111" t="str">
        <f>_xlfn.XLOOKUP($C132,DBGenzai[社員№],DBGenzai[配属ライン],"",0,1)</f>
        <v/>
      </c>
      <c r="K132" s="111" t="str">
        <f>_xlfn.XLOOKUP($C132,DBGenzai[社員№],DBGenzai[氏名],"",0,1)</f>
        <v/>
      </c>
      <c r="L132" s="111" t="str">
        <f>_xlfn.XLOOKUP($C132,DBGenzai[社員№],DBGenzai[カナ],"",0,1)</f>
        <v/>
      </c>
      <c r="M132" s="111" t="str">
        <f>_xlfn.XLOOKUP($C132,DBGenzai[社員№],DBGenzai[性別],"",0,1)</f>
        <v/>
      </c>
      <c r="N132" s="111" t="str">
        <f>_xlfn.XLOOKUP($C132,DBGenzai[社員№],DBGenzai[国籍],"",0,1)</f>
        <v/>
      </c>
      <c r="O132" s="113" t="str">
        <f>_xlfn.XLOOKUP($C132,DBGenzai[社員№],DBGenzai[生年月日],"",0,1)</f>
        <v/>
      </c>
      <c r="P132" s="111" t="str">
        <f>_xlfn.XLOOKUP($C132,DBGenzai[社員№],DBGenzai[年齢],"",0,1)</f>
        <v/>
      </c>
      <c r="Q132" s="111" t="str">
        <f>_xlfn.XLOOKUP($C132,DBGenzai[社員№],DBGenzai[時給],"",0,1)</f>
        <v/>
      </c>
      <c r="R132" s="111" t="str">
        <f>_xlfn.XLOOKUP($C132,DBGenzai[社員№],DBGenzai[請求単価],"",0,1)</f>
        <v/>
      </c>
      <c r="S132" s="111" t="str">
        <f>_xlfn.XLOOKUP($C132,DBGenzai[社員№],DBGenzai[〒],"",0,1)</f>
        <v/>
      </c>
      <c r="T132" s="111" t="str">
        <f>_xlfn.XLOOKUP($C132,DBGenzai[社員№],DBGenzai[住所],"",0,1)</f>
        <v/>
      </c>
      <c r="U132" s="111" t="str">
        <f>_xlfn.XLOOKUP($C132,DBGenzai[社員№],DBGenzai[ｱﾊﾟｰﾄ],"",0,1)</f>
        <v/>
      </c>
      <c r="V132" s="113" t="str">
        <f>_xlfn.XLOOKUP($C132,DBGenzai[社員№],DBGenzai[入居],"",0,1)</f>
        <v/>
      </c>
      <c r="W132" s="113" t="str">
        <f>_xlfn.XLOOKUP($C132,DBGenzai[社員№],DBGenzai[入社日],"",0,1)</f>
        <v/>
      </c>
      <c r="X132" s="113" t="str">
        <f>_xlfn.XLOOKUP($C132,DBGenzai[社員№],DBGenzai[退社日],"",0,1)</f>
        <v/>
      </c>
      <c r="Y132" s="111" t="str">
        <f>_xlfn.XLOOKUP($C132,DBGenzai[社員№],DBGenzai[退去],"",0,1)</f>
        <v/>
      </c>
      <c r="Z132" s="111" t="str">
        <f>_xlfn.XLOOKUP($C132,DBGenzai[社員№],DBGenzai[備考],"",0,1)</f>
        <v/>
      </c>
      <c r="AA13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2" s="159" t="e">
        <f>(TablaTransfor[[#This Row],[unicos]]-TablaTransfor[[#This Row],[入社日]])/364</f>
        <v>#VALUE!</v>
      </c>
      <c r="AF132" s="251" t="str">
        <f>_xlfn.XLOOKUP($C132,DBGenzai[社員№],DBGenzai[請求単価],"",0,1)</f>
        <v/>
      </c>
    </row>
    <row r="133" spans="1:32" hidden="1">
      <c r="A133" s="117">
        <f>SUBTOTAL(103,$C$3:C133)</f>
        <v>20</v>
      </c>
      <c r="B133" s="111">
        <v>131</v>
      </c>
      <c r="C133" s="111" t="str">
        <f>_xlfn.XLOOKUP($F$1&amp;B133,Filtro!B:B,Filtro!D:D,"",0,1)</f>
        <v/>
      </c>
      <c r="D133" s="111" t="str">
        <f>_xlfn.XLOOKUP(C133,DBGenzai[社員№],DBGenzai[現在],"",0,1)</f>
        <v/>
      </c>
      <c r="E133" s="111" t="str">
        <f>_xlfn.XLOOKUP($C133,DBGenzai[社員№],DBGenzai[派遣先ID],"",0,1)</f>
        <v/>
      </c>
      <c r="F133" s="111" t="str">
        <f>_xlfn.XLOOKUP($C133,DBGenzai[社員№],DBGenzai[配属先],"",0,1)</f>
        <v/>
      </c>
      <c r="G133" s="111" t="str">
        <f>MID(TablaTransfor[[#This Row],[配属先]],1,8)</f>
        <v/>
      </c>
      <c r="H133" s="111" t="str">
        <f>MID(TablaTransfor[[#This Row],[配属先]],9,6)</f>
        <v/>
      </c>
      <c r="I133" s="111" t="str">
        <f>MID(TablaTransfor[[#This Row],[配属先]],15,12)</f>
        <v/>
      </c>
      <c r="J133" s="111" t="str">
        <f>_xlfn.XLOOKUP($C133,DBGenzai[社員№],DBGenzai[配属ライン],"",0,1)</f>
        <v/>
      </c>
      <c r="K133" s="111" t="str">
        <f>_xlfn.XLOOKUP($C133,DBGenzai[社員№],DBGenzai[氏名],"",0,1)</f>
        <v/>
      </c>
      <c r="L133" s="111" t="str">
        <f>_xlfn.XLOOKUP($C133,DBGenzai[社員№],DBGenzai[カナ],"",0,1)</f>
        <v/>
      </c>
      <c r="M133" s="111" t="str">
        <f>_xlfn.XLOOKUP($C133,DBGenzai[社員№],DBGenzai[性別],"",0,1)</f>
        <v/>
      </c>
      <c r="N133" s="111" t="str">
        <f>_xlfn.XLOOKUP($C133,DBGenzai[社員№],DBGenzai[国籍],"",0,1)</f>
        <v/>
      </c>
      <c r="O133" s="113" t="str">
        <f>_xlfn.XLOOKUP($C133,DBGenzai[社員№],DBGenzai[生年月日],"",0,1)</f>
        <v/>
      </c>
      <c r="P133" s="111" t="str">
        <f>_xlfn.XLOOKUP($C133,DBGenzai[社員№],DBGenzai[年齢],"",0,1)</f>
        <v/>
      </c>
      <c r="Q133" s="111" t="str">
        <f>_xlfn.XLOOKUP($C133,DBGenzai[社員№],DBGenzai[時給],"",0,1)</f>
        <v/>
      </c>
      <c r="R133" s="111" t="str">
        <f>_xlfn.XLOOKUP($C133,DBGenzai[社員№],DBGenzai[請求単価],"",0,1)</f>
        <v/>
      </c>
      <c r="S133" s="111" t="str">
        <f>_xlfn.XLOOKUP($C133,DBGenzai[社員№],DBGenzai[〒],"",0,1)</f>
        <v/>
      </c>
      <c r="T133" s="111" t="str">
        <f>_xlfn.XLOOKUP($C133,DBGenzai[社員№],DBGenzai[住所],"",0,1)</f>
        <v/>
      </c>
      <c r="U133" s="111" t="str">
        <f>_xlfn.XLOOKUP($C133,DBGenzai[社員№],DBGenzai[ｱﾊﾟｰﾄ],"",0,1)</f>
        <v/>
      </c>
      <c r="V133" s="113" t="str">
        <f>_xlfn.XLOOKUP($C133,DBGenzai[社員№],DBGenzai[入居],"",0,1)</f>
        <v/>
      </c>
      <c r="W133" s="113" t="str">
        <f>_xlfn.XLOOKUP($C133,DBGenzai[社員№],DBGenzai[入社日],"",0,1)</f>
        <v/>
      </c>
      <c r="X133" s="113" t="str">
        <f>_xlfn.XLOOKUP($C133,DBGenzai[社員№],DBGenzai[退社日],"",0,1)</f>
        <v/>
      </c>
      <c r="Y133" s="111" t="str">
        <f>_xlfn.XLOOKUP($C133,DBGenzai[社員№],DBGenzai[退去],"",0,1)</f>
        <v/>
      </c>
      <c r="Z133" s="111" t="str">
        <f>_xlfn.XLOOKUP($C133,DBGenzai[社員№],DBGenzai[備考],"",0,1)</f>
        <v/>
      </c>
      <c r="AA133"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3" s="159" t="e">
        <f>(TablaTransfor[[#This Row],[unicos]]-TablaTransfor[[#This Row],[入社日]])/364</f>
        <v>#VALUE!</v>
      </c>
      <c r="AF133" s="251" t="str">
        <f>_xlfn.XLOOKUP($C133,DBGenzai[社員№],DBGenzai[請求単価],"",0,1)</f>
        <v/>
      </c>
    </row>
    <row r="134" spans="1:32" hidden="1">
      <c r="A134" s="117">
        <f>SUBTOTAL(103,$C$3:C134)</f>
        <v>20</v>
      </c>
      <c r="B134" s="111">
        <v>132</v>
      </c>
      <c r="C134" s="111" t="str">
        <f>_xlfn.XLOOKUP($F$1&amp;B134,Filtro!B:B,Filtro!D:D,"",0,1)</f>
        <v/>
      </c>
      <c r="D134" s="111" t="str">
        <f>_xlfn.XLOOKUP(C134,DBGenzai[社員№],DBGenzai[現在],"",0,1)</f>
        <v/>
      </c>
      <c r="E134" s="111" t="str">
        <f>_xlfn.XLOOKUP($C134,DBGenzai[社員№],DBGenzai[派遣先ID],"",0,1)</f>
        <v/>
      </c>
      <c r="F134" s="111" t="str">
        <f>_xlfn.XLOOKUP($C134,DBGenzai[社員№],DBGenzai[配属先],"",0,1)</f>
        <v/>
      </c>
      <c r="G134" s="111" t="str">
        <f>MID(TablaTransfor[[#This Row],[配属先]],1,8)</f>
        <v/>
      </c>
      <c r="H134" s="111" t="str">
        <f>MID(TablaTransfor[[#This Row],[配属先]],9,6)</f>
        <v/>
      </c>
      <c r="I134" s="111" t="str">
        <f>MID(TablaTransfor[[#This Row],[配属先]],15,12)</f>
        <v/>
      </c>
      <c r="J134" s="111" t="str">
        <f>_xlfn.XLOOKUP($C134,DBGenzai[社員№],DBGenzai[配属ライン],"",0,1)</f>
        <v/>
      </c>
      <c r="K134" s="111" t="str">
        <f>_xlfn.XLOOKUP($C134,DBGenzai[社員№],DBGenzai[氏名],"",0,1)</f>
        <v/>
      </c>
      <c r="L134" s="111" t="str">
        <f>_xlfn.XLOOKUP($C134,DBGenzai[社員№],DBGenzai[カナ],"",0,1)</f>
        <v/>
      </c>
      <c r="M134" s="111" t="str">
        <f>_xlfn.XLOOKUP($C134,DBGenzai[社員№],DBGenzai[性別],"",0,1)</f>
        <v/>
      </c>
      <c r="N134" s="111" t="str">
        <f>_xlfn.XLOOKUP($C134,DBGenzai[社員№],DBGenzai[国籍],"",0,1)</f>
        <v/>
      </c>
      <c r="O134" s="113" t="str">
        <f>_xlfn.XLOOKUP($C134,DBGenzai[社員№],DBGenzai[生年月日],"",0,1)</f>
        <v/>
      </c>
      <c r="P134" s="111" t="str">
        <f>_xlfn.XLOOKUP($C134,DBGenzai[社員№],DBGenzai[年齢],"",0,1)</f>
        <v/>
      </c>
      <c r="Q134" s="111" t="str">
        <f>_xlfn.XLOOKUP($C134,DBGenzai[社員№],DBGenzai[時給],"",0,1)</f>
        <v/>
      </c>
      <c r="R134" s="111" t="str">
        <f>_xlfn.XLOOKUP($C134,DBGenzai[社員№],DBGenzai[請求単価],"",0,1)</f>
        <v/>
      </c>
      <c r="S134" s="111" t="str">
        <f>_xlfn.XLOOKUP($C134,DBGenzai[社員№],DBGenzai[〒],"",0,1)</f>
        <v/>
      </c>
      <c r="T134" s="111" t="str">
        <f>_xlfn.XLOOKUP($C134,DBGenzai[社員№],DBGenzai[住所],"",0,1)</f>
        <v/>
      </c>
      <c r="U134" s="111" t="str">
        <f>_xlfn.XLOOKUP($C134,DBGenzai[社員№],DBGenzai[ｱﾊﾟｰﾄ],"",0,1)</f>
        <v/>
      </c>
      <c r="V134" s="113" t="str">
        <f>_xlfn.XLOOKUP($C134,DBGenzai[社員№],DBGenzai[入居],"",0,1)</f>
        <v/>
      </c>
      <c r="W134" s="113" t="str">
        <f>_xlfn.XLOOKUP($C134,DBGenzai[社員№],DBGenzai[入社日],"",0,1)</f>
        <v/>
      </c>
      <c r="X134" s="113" t="str">
        <f>_xlfn.XLOOKUP($C134,DBGenzai[社員№],DBGenzai[退社日],"",0,1)</f>
        <v/>
      </c>
      <c r="Y134" s="111" t="str">
        <f>_xlfn.XLOOKUP($C134,DBGenzai[社員№],DBGenzai[退去],"",0,1)</f>
        <v/>
      </c>
      <c r="Z134" s="111" t="str">
        <f>_xlfn.XLOOKUP($C134,DBGenzai[社員№],DBGenzai[備考],"",0,1)</f>
        <v/>
      </c>
      <c r="AA134"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4" s="159" t="e">
        <f>(TablaTransfor[[#This Row],[unicos]]-TablaTransfor[[#This Row],[入社日]])/364</f>
        <v>#VALUE!</v>
      </c>
      <c r="AF134" s="251" t="str">
        <f>_xlfn.XLOOKUP($C134,DBGenzai[社員№],DBGenzai[請求単価],"",0,1)</f>
        <v/>
      </c>
    </row>
    <row r="135" spans="1:32" hidden="1">
      <c r="A135" s="117">
        <f>SUBTOTAL(103,$C$3:C135)</f>
        <v>20</v>
      </c>
      <c r="B135" s="111">
        <v>133</v>
      </c>
      <c r="C135" s="111" t="str">
        <f>_xlfn.XLOOKUP($F$1&amp;B135,Filtro!B:B,Filtro!D:D,"",0,1)</f>
        <v/>
      </c>
      <c r="D135" s="111" t="str">
        <f>_xlfn.XLOOKUP(C135,DBGenzai[社員№],DBGenzai[現在],"",0,1)</f>
        <v/>
      </c>
      <c r="E135" s="111" t="str">
        <f>_xlfn.XLOOKUP($C135,DBGenzai[社員№],DBGenzai[派遣先ID],"",0,1)</f>
        <v/>
      </c>
      <c r="F135" s="111" t="str">
        <f>_xlfn.XLOOKUP($C135,DBGenzai[社員№],DBGenzai[配属先],"",0,1)</f>
        <v/>
      </c>
      <c r="G135" s="111" t="str">
        <f>MID(TablaTransfor[[#This Row],[配属先]],1,8)</f>
        <v/>
      </c>
      <c r="H135" s="111" t="str">
        <f>MID(TablaTransfor[[#This Row],[配属先]],9,6)</f>
        <v/>
      </c>
      <c r="I135" s="111" t="str">
        <f>MID(TablaTransfor[[#This Row],[配属先]],15,12)</f>
        <v/>
      </c>
      <c r="J135" s="111" t="str">
        <f>_xlfn.XLOOKUP($C135,DBGenzai[社員№],DBGenzai[配属ライン],"",0,1)</f>
        <v/>
      </c>
      <c r="K135" s="111" t="str">
        <f>_xlfn.XLOOKUP($C135,DBGenzai[社員№],DBGenzai[氏名],"",0,1)</f>
        <v/>
      </c>
      <c r="L135" s="111" t="str">
        <f>_xlfn.XLOOKUP($C135,DBGenzai[社員№],DBGenzai[カナ],"",0,1)</f>
        <v/>
      </c>
      <c r="M135" s="111" t="str">
        <f>_xlfn.XLOOKUP($C135,DBGenzai[社員№],DBGenzai[性別],"",0,1)</f>
        <v/>
      </c>
      <c r="N135" s="111" t="str">
        <f>_xlfn.XLOOKUP($C135,DBGenzai[社員№],DBGenzai[国籍],"",0,1)</f>
        <v/>
      </c>
      <c r="O135" s="113" t="str">
        <f>_xlfn.XLOOKUP($C135,DBGenzai[社員№],DBGenzai[生年月日],"",0,1)</f>
        <v/>
      </c>
      <c r="P135" s="111" t="str">
        <f>_xlfn.XLOOKUP($C135,DBGenzai[社員№],DBGenzai[年齢],"",0,1)</f>
        <v/>
      </c>
      <c r="Q135" s="111" t="str">
        <f>_xlfn.XLOOKUP($C135,DBGenzai[社員№],DBGenzai[時給],"",0,1)</f>
        <v/>
      </c>
      <c r="R135" s="111" t="str">
        <f>_xlfn.XLOOKUP($C135,DBGenzai[社員№],DBGenzai[請求単価],"",0,1)</f>
        <v/>
      </c>
      <c r="S135" s="111" t="str">
        <f>_xlfn.XLOOKUP($C135,DBGenzai[社員№],DBGenzai[〒],"",0,1)</f>
        <v/>
      </c>
      <c r="T135" s="111" t="str">
        <f>_xlfn.XLOOKUP($C135,DBGenzai[社員№],DBGenzai[住所],"",0,1)</f>
        <v/>
      </c>
      <c r="U135" s="111" t="str">
        <f>_xlfn.XLOOKUP($C135,DBGenzai[社員№],DBGenzai[ｱﾊﾟｰﾄ],"",0,1)</f>
        <v/>
      </c>
      <c r="V135" s="113" t="str">
        <f>_xlfn.XLOOKUP($C135,DBGenzai[社員№],DBGenzai[入居],"",0,1)</f>
        <v/>
      </c>
      <c r="W135" s="113" t="str">
        <f>_xlfn.XLOOKUP($C135,DBGenzai[社員№],DBGenzai[入社日],"",0,1)</f>
        <v/>
      </c>
      <c r="X135" s="113" t="str">
        <f>_xlfn.XLOOKUP($C135,DBGenzai[社員№],DBGenzai[退社日],"",0,1)</f>
        <v/>
      </c>
      <c r="Y135" s="111" t="str">
        <f>_xlfn.XLOOKUP($C135,DBGenzai[社員№],DBGenzai[退去],"",0,1)</f>
        <v/>
      </c>
      <c r="Z135" s="111" t="str">
        <f>_xlfn.XLOOKUP($C135,DBGenzai[社員№],DBGenzai[備考],"",0,1)</f>
        <v/>
      </c>
      <c r="AA13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5" s="159" t="e">
        <f>(TablaTransfor[[#This Row],[unicos]]-TablaTransfor[[#This Row],[入社日]])/364</f>
        <v>#VALUE!</v>
      </c>
      <c r="AF135" s="251" t="str">
        <f>_xlfn.XLOOKUP($C135,DBGenzai[社員№],DBGenzai[請求単価],"",0,1)</f>
        <v/>
      </c>
    </row>
    <row r="136" spans="1:32" hidden="1">
      <c r="A136" s="117">
        <f>SUBTOTAL(103,$C$3:C136)</f>
        <v>20</v>
      </c>
      <c r="B136" s="111">
        <v>134</v>
      </c>
      <c r="C136" s="111" t="str">
        <f>_xlfn.XLOOKUP($F$1&amp;B136,Filtro!B:B,Filtro!D:D,"",0,1)</f>
        <v/>
      </c>
      <c r="D136" s="111" t="str">
        <f>_xlfn.XLOOKUP(C136,DBGenzai[社員№],DBGenzai[現在],"",0,1)</f>
        <v/>
      </c>
      <c r="E136" s="111" t="str">
        <f>_xlfn.XLOOKUP($C136,DBGenzai[社員№],DBGenzai[派遣先ID],"",0,1)</f>
        <v/>
      </c>
      <c r="F136" s="111" t="str">
        <f>_xlfn.XLOOKUP($C136,DBGenzai[社員№],DBGenzai[配属先],"",0,1)</f>
        <v/>
      </c>
      <c r="G136" s="111" t="str">
        <f>MID(TablaTransfor[[#This Row],[配属先]],1,8)</f>
        <v/>
      </c>
      <c r="H136" s="111" t="str">
        <f>MID(TablaTransfor[[#This Row],[配属先]],9,6)</f>
        <v/>
      </c>
      <c r="I136" s="111" t="str">
        <f>MID(TablaTransfor[[#This Row],[配属先]],15,12)</f>
        <v/>
      </c>
      <c r="J136" s="111" t="str">
        <f>_xlfn.XLOOKUP($C136,DBGenzai[社員№],DBGenzai[配属ライン],"",0,1)</f>
        <v/>
      </c>
      <c r="K136" s="111" t="str">
        <f>_xlfn.XLOOKUP($C136,DBGenzai[社員№],DBGenzai[氏名],"",0,1)</f>
        <v/>
      </c>
      <c r="L136" s="111" t="str">
        <f>_xlfn.XLOOKUP($C136,DBGenzai[社員№],DBGenzai[カナ],"",0,1)</f>
        <v/>
      </c>
      <c r="M136" s="111" t="str">
        <f>_xlfn.XLOOKUP($C136,DBGenzai[社員№],DBGenzai[性別],"",0,1)</f>
        <v/>
      </c>
      <c r="N136" s="111" t="str">
        <f>_xlfn.XLOOKUP($C136,DBGenzai[社員№],DBGenzai[国籍],"",0,1)</f>
        <v/>
      </c>
      <c r="O136" s="113" t="str">
        <f>_xlfn.XLOOKUP($C136,DBGenzai[社員№],DBGenzai[生年月日],"",0,1)</f>
        <v/>
      </c>
      <c r="P136" s="111" t="str">
        <f>_xlfn.XLOOKUP($C136,DBGenzai[社員№],DBGenzai[年齢],"",0,1)</f>
        <v/>
      </c>
      <c r="Q136" s="111" t="str">
        <f>_xlfn.XLOOKUP($C136,DBGenzai[社員№],DBGenzai[時給],"",0,1)</f>
        <v/>
      </c>
      <c r="R136" s="111" t="str">
        <f>_xlfn.XLOOKUP($C136,DBGenzai[社員№],DBGenzai[請求単価],"",0,1)</f>
        <v/>
      </c>
      <c r="S136" s="111" t="str">
        <f>_xlfn.XLOOKUP($C136,DBGenzai[社員№],DBGenzai[〒],"",0,1)</f>
        <v/>
      </c>
      <c r="T136" s="111" t="str">
        <f>_xlfn.XLOOKUP($C136,DBGenzai[社員№],DBGenzai[住所],"",0,1)</f>
        <v/>
      </c>
      <c r="U136" s="111" t="str">
        <f>_xlfn.XLOOKUP($C136,DBGenzai[社員№],DBGenzai[ｱﾊﾟｰﾄ],"",0,1)</f>
        <v/>
      </c>
      <c r="V136" s="113" t="str">
        <f>_xlfn.XLOOKUP($C136,DBGenzai[社員№],DBGenzai[入居],"",0,1)</f>
        <v/>
      </c>
      <c r="W136" s="113" t="str">
        <f>_xlfn.XLOOKUP($C136,DBGenzai[社員№],DBGenzai[入社日],"",0,1)</f>
        <v/>
      </c>
      <c r="X136" s="113" t="str">
        <f>_xlfn.XLOOKUP($C136,DBGenzai[社員№],DBGenzai[退社日],"",0,1)</f>
        <v/>
      </c>
      <c r="Y136" s="111" t="str">
        <f>_xlfn.XLOOKUP($C136,DBGenzai[社員№],DBGenzai[退去],"",0,1)</f>
        <v/>
      </c>
      <c r="Z136" s="111" t="str">
        <f>_xlfn.XLOOKUP($C136,DBGenzai[社員№],DBGenzai[備考],"",0,1)</f>
        <v/>
      </c>
      <c r="AA13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6" s="159" t="e">
        <f>(TablaTransfor[[#This Row],[unicos]]-TablaTransfor[[#This Row],[入社日]])/364</f>
        <v>#VALUE!</v>
      </c>
      <c r="AF136" s="251" t="str">
        <f>_xlfn.XLOOKUP($C136,DBGenzai[社員№],DBGenzai[請求単価],"",0,1)</f>
        <v/>
      </c>
    </row>
    <row r="137" spans="1:32" hidden="1">
      <c r="A137" s="117">
        <f>SUBTOTAL(103,$C$3:C137)</f>
        <v>20</v>
      </c>
      <c r="B137" s="111">
        <v>135</v>
      </c>
      <c r="C137" s="111" t="str">
        <f>_xlfn.XLOOKUP($F$1&amp;B137,Filtro!B:B,Filtro!D:D,"",0,1)</f>
        <v/>
      </c>
      <c r="D137" s="111" t="str">
        <f>_xlfn.XLOOKUP(C137,DBGenzai[社員№],DBGenzai[現在],"",0,1)</f>
        <v/>
      </c>
      <c r="E137" s="111" t="str">
        <f>_xlfn.XLOOKUP($C137,DBGenzai[社員№],DBGenzai[派遣先ID],"",0,1)</f>
        <v/>
      </c>
      <c r="F137" s="111" t="str">
        <f>_xlfn.XLOOKUP($C137,DBGenzai[社員№],DBGenzai[配属先],"",0,1)</f>
        <v/>
      </c>
      <c r="G137" s="111" t="str">
        <f>MID(TablaTransfor[[#This Row],[配属先]],1,8)</f>
        <v/>
      </c>
      <c r="H137" s="111" t="str">
        <f>MID(TablaTransfor[[#This Row],[配属先]],9,6)</f>
        <v/>
      </c>
      <c r="I137" s="111" t="str">
        <f>MID(TablaTransfor[[#This Row],[配属先]],15,12)</f>
        <v/>
      </c>
      <c r="J137" s="111" t="str">
        <f>_xlfn.XLOOKUP($C137,DBGenzai[社員№],DBGenzai[配属ライン],"",0,1)</f>
        <v/>
      </c>
      <c r="K137" s="111" t="str">
        <f>_xlfn.XLOOKUP($C137,DBGenzai[社員№],DBGenzai[氏名],"",0,1)</f>
        <v/>
      </c>
      <c r="L137" s="111" t="str">
        <f>_xlfn.XLOOKUP($C137,DBGenzai[社員№],DBGenzai[カナ],"",0,1)</f>
        <v/>
      </c>
      <c r="M137" s="111" t="str">
        <f>_xlfn.XLOOKUP($C137,DBGenzai[社員№],DBGenzai[性別],"",0,1)</f>
        <v/>
      </c>
      <c r="N137" s="111" t="str">
        <f>_xlfn.XLOOKUP($C137,DBGenzai[社員№],DBGenzai[国籍],"",0,1)</f>
        <v/>
      </c>
      <c r="O137" s="113" t="str">
        <f>_xlfn.XLOOKUP($C137,DBGenzai[社員№],DBGenzai[生年月日],"",0,1)</f>
        <v/>
      </c>
      <c r="P137" s="111" t="str">
        <f>_xlfn.XLOOKUP($C137,DBGenzai[社員№],DBGenzai[年齢],"",0,1)</f>
        <v/>
      </c>
      <c r="Q137" s="111" t="str">
        <f>_xlfn.XLOOKUP($C137,DBGenzai[社員№],DBGenzai[時給],"",0,1)</f>
        <v/>
      </c>
      <c r="R137" s="111" t="str">
        <f>_xlfn.XLOOKUP($C137,DBGenzai[社員№],DBGenzai[請求単価],"",0,1)</f>
        <v/>
      </c>
      <c r="S137" s="111" t="str">
        <f>_xlfn.XLOOKUP($C137,DBGenzai[社員№],DBGenzai[〒],"",0,1)</f>
        <v/>
      </c>
      <c r="T137" s="111" t="str">
        <f>_xlfn.XLOOKUP($C137,DBGenzai[社員№],DBGenzai[住所],"",0,1)</f>
        <v/>
      </c>
      <c r="U137" s="111" t="str">
        <f>_xlfn.XLOOKUP($C137,DBGenzai[社員№],DBGenzai[ｱﾊﾟｰﾄ],"",0,1)</f>
        <v/>
      </c>
      <c r="V137" s="113" t="str">
        <f>_xlfn.XLOOKUP($C137,DBGenzai[社員№],DBGenzai[入居],"",0,1)</f>
        <v/>
      </c>
      <c r="W137" s="113" t="str">
        <f>_xlfn.XLOOKUP($C137,DBGenzai[社員№],DBGenzai[入社日],"",0,1)</f>
        <v/>
      </c>
      <c r="X137" s="113" t="str">
        <f>_xlfn.XLOOKUP($C137,DBGenzai[社員№],DBGenzai[退社日],"",0,1)</f>
        <v/>
      </c>
      <c r="Y137" s="111" t="str">
        <f>_xlfn.XLOOKUP($C137,DBGenzai[社員№],DBGenzai[退去],"",0,1)</f>
        <v/>
      </c>
      <c r="Z137" s="111" t="str">
        <f>_xlfn.XLOOKUP($C137,DBGenzai[社員№],DBGenzai[備考],"",0,1)</f>
        <v/>
      </c>
      <c r="AA13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7" s="159" t="e">
        <f>(TablaTransfor[[#This Row],[unicos]]-TablaTransfor[[#This Row],[入社日]])/364</f>
        <v>#VALUE!</v>
      </c>
      <c r="AF137" s="251" t="str">
        <f>_xlfn.XLOOKUP($C137,DBGenzai[社員№],DBGenzai[請求単価],"",0,1)</f>
        <v/>
      </c>
    </row>
    <row r="138" spans="1:32" hidden="1">
      <c r="A138" s="117">
        <f>SUBTOTAL(103,$C$3:C138)</f>
        <v>20</v>
      </c>
      <c r="B138" s="111">
        <v>136</v>
      </c>
      <c r="C138" s="111" t="str">
        <f>_xlfn.XLOOKUP($F$1&amp;B138,Filtro!B:B,Filtro!D:D,"",0,1)</f>
        <v/>
      </c>
      <c r="D138" s="111" t="str">
        <f>_xlfn.XLOOKUP(C138,DBGenzai[社員№],DBGenzai[現在],"",0,1)</f>
        <v/>
      </c>
      <c r="E138" s="111" t="str">
        <f>_xlfn.XLOOKUP($C138,DBGenzai[社員№],DBGenzai[派遣先ID],"",0,1)</f>
        <v/>
      </c>
      <c r="F138" s="111" t="str">
        <f>_xlfn.XLOOKUP($C138,DBGenzai[社員№],DBGenzai[配属先],"",0,1)</f>
        <v/>
      </c>
      <c r="G138" s="111" t="str">
        <f>MID(TablaTransfor[[#This Row],[配属先]],1,8)</f>
        <v/>
      </c>
      <c r="H138" s="111" t="str">
        <f>MID(TablaTransfor[[#This Row],[配属先]],9,6)</f>
        <v/>
      </c>
      <c r="I138" s="111" t="str">
        <f>MID(TablaTransfor[[#This Row],[配属先]],15,12)</f>
        <v/>
      </c>
      <c r="J138" s="111" t="str">
        <f>_xlfn.XLOOKUP($C138,DBGenzai[社員№],DBGenzai[配属ライン],"",0,1)</f>
        <v/>
      </c>
      <c r="K138" s="111" t="str">
        <f>_xlfn.XLOOKUP($C138,DBGenzai[社員№],DBGenzai[氏名],"",0,1)</f>
        <v/>
      </c>
      <c r="L138" s="111" t="str">
        <f>_xlfn.XLOOKUP($C138,DBGenzai[社員№],DBGenzai[カナ],"",0,1)</f>
        <v/>
      </c>
      <c r="M138" s="111" t="str">
        <f>_xlfn.XLOOKUP($C138,DBGenzai[社員№],DBGenzai[性別],"",0,1)</f>
        <v/>
      </c>
      <c r="N138" s="111" t="str">
        <f>_xlfn.XLOOKUP($C138,DBGenzai[社員№],DBGenzai[国籍],"",0,1)</f>
        <v/>
      </c>
      <c r="O138" s="113" t="str">
        <f>_xlfn.XLOOKUP($C138,DBGenzai[社員№],DBGenzai[生年月日],"",0,1)</f>
        <v/>
      </c>
      <c r="P138" s="111" t="str">
        <f>_xlfn.XLOOKUP($C138,DBGenzai[社員№],DBGenzai[年齢],"",0,1)</f>
        <v/>
      </c>
      <c r="Q138" s="111" t="str">
        <f>_xlfn.XLOOKUP($C138,DBGenzai[社員№],DBGenzai[時給],"",0,1)</f>
        <v/>
      </c>
      <c r="R138" s="111" t="str">
        <f>_xlfn.XLOOKUP($C138,DBGenzai[社員№],DBGenzai[請求単価],"",0,1)</f>
        <v/>
      </c>
      <c r="S138" s="111" t="str">
        <f>_xlfn.XLOOKUP($C138,DBGenzai[社員№],DBGenzai[〒],"",0,1)</f>
        <v/>
      </c>
      <c r="T138" s="111" t="str">
        <f>_xlfn.XLOOKUP($C138,DBGenzai[社員№],DBGenzai[住所],"",0,1)</f>
        <v/>
      </c>
      <c r="U138" s="111" t="str">
        <f>_xlfn.XLOOKUP($C138,DBGenzai[社員№],DBGenzai[ｱﾊﾟｰﾄ],"",0,1)</f>
        <v/>
      </c>
      <c r="V138" s="113" t="str">
        <f>_xlfn.XLOOKUP($C138,DBGenzai[社員№],DBGenzai[入居],"",0,1)</f>
        <v/>
      </c>
      <c r="W138" s="113" t="str">
        <f>_xlfn.XLOOKUP($C138,DBGenzai[社員№],DBGenzai[入社日],"",0,1)</f>
        <v/>
      </c>
      <c r="X138" s="113" t="str">
        <f>_xlfn.XLOOKUP($C138,DBGenzai[社員№],DBGenzai[退社日],"",0,1)</f>
        <v/>
      </c>
      <c r="Y138" s="111" t="str">
        <f>_xlfn.XLOOKUP($C138,DBGenzai[社員№],DBGenzai[退去],"",0,1)</f>
        <v/>
      </c>
      <c r="Z138" s="111" t="str">
        <f>_xlfn.XLOOKUP($C138,DBGenzai[社員№],DBGenzai[備考],"",0,1)</f>
        <v/>
      </c>
      <c r="AA13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8" s="159" t="e">
        <f>(TablaTransfor[[#This Row],[unicos]]-TablaTransfor[[#This Row],[入社日]])/364</f>
        <v>#VALUE!</v>
      </c>
      <c r="AF138" s="251" t="str">
        <f>_xlfn.XLOOKUP($C138,DBGenzai[社員№],DBGenzai[請求単価],"",0,1)</f>
        <v/>
      </c>
    </row>
    <row r="139" spans="1:32" hidden="1">
      <c r="A139" s="117">
        <f>SUBTOTAL(103,$C$3:C139)</f>
        <v>20</v>
      </c>
      <c r="B139" s="111">
        <v>137</v>
      </c>
      <c r="C139" s="111" t="str">
        <f>_xlfn.XLOOKUP($F$1&amp;B139,Filtro!B:B,Filtro!D:D,"",0,1)</f>
        <v/>
      </c>
      <c r="D139" s="111" t="str">
        <f>_xlfn.XLOOKUP(C139,DBGenzai[社員№],DBGenzai[現在],"",0,1)</f>
        <v/>
      </c>
      <c r="E139" s="111" t="str">
        <f>_xlfn.XLOOKUP($C139,DBGenzai[社員№],DBGenzai[派遣先ID],"",0,1)</f>
        <v/>
      </c>
      <c r="F139" s="111" t="str">
        <f>_xlfn.XLOOKUP($C139,DBGenzai[社員№],DBGenzai[配属先],"",0,1)</f>
        <v/>
      </c>
      <c r="G139" s="111" t="str">
        <f>MID(TablaTransfor[[#This Row],[配属先]],1,8)</f>
        <v/>
      </c>
      <c r="H139" s="111" t="str">
        <f>MID(TablaTransfor[[#This Row],[配属先]],9,6)</f>
        <v/>
      </c>
      <c r="I139" s="111" t="str">
        <f>MID(TablaTransfor[[#This Row],[配属先]],15,12)</f>
        <v/>
      </c>
      <c r="J139" s="111" t="str">
        <f>_xlfn.XLOOKUP($C139,DBGenzai[社員№],DBGenzai[配属ライン],"",0,1)</f>
        <v/>
      </c>
      <c r="K139" s="111" t="str">
        <f>_xlfn.XLOOKUP($C139,DBGenzai[社員№],DBGenzai[氏名],"",0,1)</f>
        <v/>
      </c>
      <c r="L139" s="111" t="str">
        <f>_xlfn.XLOOKUP($C139,DBGenzai[社員№],DBGenzai[カナ],"",0,1)</f>
        <v/>
      </c>
      <c r="M139" s="111" t="str">
        <f>_xlfn.XLOOKUP($C139,DBGenzai[社員№],DBGenzai[性別],"",0,1)</f>
        <v/>
      </c>
      <c r="N139" s="111" t="str">
        <f>_xlfn.XLOOKUP($C139,DBGenzai[社員№],DBGenzai[国籍],"",0,1)</f>
        <v/>
      </c>
      <c r="O139" s="113" t="str">
        <f>_xlfn.XLOOKUP($C139,DBGenzai[社員№],DBGenzai[生年月日],"",0,1)</f>
        <v/>
      </c>
      <c r="P139" s="111" t="str">
        <f>_xlfn.XLOOKUP($C139,DBGenzai[社員№],DBGenzai[年齢],"",0,1)</f>
        <v/>
      </c>
      <c r="Q139" s="111" t="str">
        <f>_xlfn.XLOOKUP($C139,DBGenzai[社員№],DBGenzai[時給],"",0,1)</f>
        <v/>
      </c>
      <c r="R139" s="111" t="str">
        <f>_xlfn.XLOOKUP($C139,DBGenzai[社員№],DBGenzai[請求単価],"",0,1)</f>
        <v/>
      </c>
      <c r="S139" s="111" t="str">
        <f>_xlfn.XLOOKUP($C139,DBGenzai[社員№],DBGenzai[〒],"",0,1)</f>
        <v/>
      </c>
      <c r="T139" s="111" t="str">
        <f>_xlfn.XLOOKUP($C139,DBGenzai[社員№],DBGenzai[住所],"",0,1)</f>
        <v/>
      </c>
      <c r="U139" s="111" t="str">
        <f>_xlfn.XLOOKUP($C139,DBGenzai[社員№],DBGenzai[ｱﾊﾟｰﾄ],"",0,1)</f>
        <v/>
      </c>
      <c r="V139" s="113" t="str">
        <f>_xlfn.XLOOKUP($C139,DBGenzai[社員№],DBGenzai[入居],"",0,1)</f>
        <v/>
      </c>
      <c r="W139" s="113" t="str">
        <f>_xlfn.XLOOKUP($C139,DBGenzai[社員№],DBGenzai[入社日],"",0,1)</f>
        <v/>
      </c>
      <c r="X139" s="113" t="str">
        <f>_xlfn.XLOOKUP($C139,DBGenzai[社員№],DBGenzai[退社日],"",0,1)</f>
        <v/>
      </c>
      <c r="Y139" s="111" t="str">
        <f>_xlfn.XLOOKUP($C139,DBGenzai[社員№],DBGenzai[退去],"",0,1)</f>
        <v/>
      </c>
      <c r="Z139" s="111" t="str">
        <f>_xlfn.XLOOKUP($C139,DBGenzai[社員№],DBGenzai[備考],"",0,1)</f>
        <v/>
      </c>
      <c r="AA13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39" s="159" t="e">
        <f>(TablaTransfor[[#This Row],[unicos]]-TablaTransfor[[#This Row],[入社日]])/364</f>
        <v>#VALUE!</v>
      </c>
      <c r="AF139" s="251" t="str">
        <f>_xlfn.XLOOKUP($C139,DBGenzai[社員№],DBGenzai[請求単価],"",0,1)</f>
        <v/>
      </c>
    </row>
    <row r="140" spans="1:32" hidden="1">
      <c r="A140" s="117">
        <f>SUBTOTAL(103,$C$3:C140)</f>
        <v>20</v>
      </c>
      <c r="B140" s="111">
        <v>138</v>
      </c>
      <c r="C140" s="111" t="str">
        <f>_xlfn.XLOOKUP($F$1&amp;B140,Filtro!B:B,Filtro!D:D,"",0,1)</f>
        <v/>
      </c>
      <c r="D140" s="111" t="str">
        <f>_xlfn.XLOOKUP(C140,DBGenzai[社員№],DBGenzai[現在],"",0,1)</f>
        <v/>
      </c>
      <c r="E140" s="111" t="str">
        <f>_xlfn.XLOOKUP($C140,DBGenzai[社員№],DBGenzai[派遣先ID],"",0,1)</f>
        <v/>
      </c>
      <c r="F140" s="111" t="str">
        <f>_xlfn.XLOOKUP($C140,DBGenzai[社員№],DBGenzai[配属先],"",0,1)</f>
        <v/>
      </c>
      <c r="G140" s="111" t="str">
        <f>MID(TablaTransfor[[#This Row],[配属先]],1,8)</f>
        <v/>
      </c>
      <c r="H140" s="111" t="str">
        <f>MID(TablaTransfor[[#This Row],[配属先]],9,6)</f>
        <v/>
      </c>
      <c r="I140" s="111" t="str">
        <f>MID(TablaTransfor[[#This Row],[配属先]],15,12)</f>
        <v/>
      </c>
      <c r="J140" s="111" t="str">
        <f>_xlfn.XLOOKUP($C140,DBGenzai[社員№],DBGenzai[配属ライン],"",0,1)</f>
        <v/>
      </c>
      <c r="K140" s="111" t="str">
        <f>_xlfn.XLOOKUP($C140,DBGenzai[社員№],DBGenzai[氏名],"",0,1)</f>
        <v/>
      </c>
      <c r="L140" s="111" t="str">
        <f>_xlfn.XLOOKUP($C140,DBGenzai[社員№],DBGenzai[カナ],"",0,1)</f>
        <v/>
      </c>
      <c r="M140" s="111" t="str">
        <f>_xlfn.XLOOKUP($C140,DBGenzai[社員№],DBGenzai[性別],"",0,1)</f>
        <v/>
      </c>
      <c r="N140" s="111" t="str">
        <f>_xlfn.XLOOKUP($C140,DBGenzai[社員№],DBGenzai[国籍],"",0,1)</f>
        <v/>
      </c>
      <c r="O140" s="113" t="str">
        <f>_xlfn.XLOOKUP($C140,DBGenzai[社員№],DBGenzai[生年月日],"",0,1)</f>
        <v/>
      </c>
      <c r="P140" s="111" t="str">
        <f>_xlfn.XLOOKUP($C140,DBGenzai[社員№],DBGenzai[年齢],"",0,1)</f>
        <v/>
      </c>
      <c r="Q140" s="111" t="str">
        <f>_xlfn.XLOOKUP($C140,DBGenzai[社員№],DBGenzai[時給],"",0,1)</f>
        <v/>
      </c>
      <c r="R140" s="111" t="str">
        <f>_xlfn.XLOOKUP($C140,DBGenzai[社員№],DBGenzai[請求単価],"",0,1)</f>
        <v/>
      </c>
      <c r="S140" s="111" t="str">
        <f>_xlfn.XLOOKUP($C140,DBGenzai[社員№],DBGenzai[〒],"",0,1)</f>
        <v/>
      </c>
      <c r="T140" s="111" t="str">
        <f>_xlfn.XLOOKUP($C140,DBGenzai[社員№],DBGenzai[住所],"",0,1)</f>
        <v/>
      </c>
      <c r="U140" s="111" t="str">
        <f>_xlfn.XLOOKUP($C140,DBGenzai[社員№],DBGenzai[ｱﾊﾟｰﾄ],"",0,1)</f>
        <v/>
      </c>
      <c r="V140" s="113" t="str">
        <f>_xlfn.XLOOKUP($C140,DBGenzai[社員№],DBGenzai[入居],"",0,1)</f>
        <v/>
      </c>
      <c r="W140" s="113" t="str">
        <f>_xlfn.XLOOKUP($C140,DBGenzai[社員№],DBGenzai[入社日],"",0,1)</f>
        <v/>
      </c>
      <c r="X140" s="113" t="str">
        <f>_xlfn.XLOOKUP($C140,DBGenzai[社員№],DBGenzai[退社日],"",0,1)</f>
        <v/>
      </c>
      <c r="Y140" s="111" t="str">
        <f>_xlfn.XLOOKUP($C140,DBGenzai[社員№],DBGenzai[退去],"",0,1)</f>
        <v/>
      </c>
      <c r="Z140" s="111" t="str">
        <f>_xlfn.XLOOKUP($C140,DBGenzai[社員№],DBGenzai[備考],"",0,1)</f>
        <v/>
      </c>
      <c r="AA140"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0" s="159" t="e">
        <f>(TablaTransfor[[#This Row],[unicos]]-TablaTransfor[[#This Row],[入社日]])/364</f>
        <v>#VALUE!</v>
      </c>
      <c r="AF140" s="251" t="str">
        <f>_xlfn.XLOOKUP($C140,DBGenzai[社員№],DBGenzai[請求単価],"",0,1)</f>
        <v/>
      </c>
    </row>
    <row r="141" spans="1:32" hidden="1">
      <c r="A141" s="117">
        <f>SUBTOTAL(103,$C$3:C141)</f>
        <v>20</v>
      </c>
      <c r="B141" s="111">
        <v>139</v>
      </c>
      <c r="C141" s="111" t="str">
        <f>_xlfn.XLOOKUP($F$1&amp;B141,Filtro!B:B,Filtro!D:D,"",0,1)</f>
        <v/>
      </c>
      <c r="D141" s="111" t="str">
        <f>_xlfn.XLOOKUP(C141,DBGenzai[社員№],DBGenzai[現在],"",0,1)</f>
        <v/>
      </c>
      <c r="E141" s="111" t="str">
        <f>_xlfn.XLOOKUP($C141,DBGenzai[社員№],DBGenzai[派遣先ID],"",0,1)</f>
        <v/>
      </c>
      <c r="F141" s="111" t="str">
        <f>_xlfn.XLOOKUP($C141,DBGenzai[社員№],DBGenzai[配属先],"",0,1)</f>
        <v/>
      </c>
      <c r="G141" s="111" t="str">
        <f>MID(TablaTransfor[[#This Row],[配属先]],1,8)</f>
        <v/>
      </c>
      <c r="H141" s="111" t="str">
        <f>MID(TablaTransfor[[#This Row],[配属先]],9,6)</f>
        <v/>
      </c>
      <c r="I141" s="111" t="str">
        <f>MID(TablaTransfor[[#This Row],[配属先]],15,12)</f>
        <v/>
      </c>
      <c r="J141" s="111" t="str">
        <f>_xlfn.XLOOKUP($C141,DBGenzai[社員№],DBGenzai[配属ライン],"",0,1)</f>
        <v/>
      </c>
      <c r="K141" s="111" t="str">
        <f>_xlfn.XLOOKUP($C141,DBGenzai[社員№],DBGenzai[氏名],"",0,1)</f>
        <v/>
      </c>
      <c r="L141" s="111" t="str">
        <f>_xlfn.XLOOKUP($C141,DBGenzai[社員№],DBGenzai[カナ],"",0,1)</f>
        <v/>
      </c>
      <c r="M141" s="111" t="str">
        <f>_xlfn.XLOOKUP($C141,DBGenzai[社員№],DBGenzai[性別],"",0,1)</f>
        <v/>
      </c>
      <c r="N141" s="111" t="str">
        <f>_xlfn.XLOOKUP($C141,DBGenzai[社員№],DBGenzai[国籍],"",0,1)</f>
        <v/>
      </c>
      <c r="O141" s="113" t="str">
        <f>_xlfn.XLOOKUP($C141,DBGenzai[社員№],DBGenzai[生年月日],"",0,1)</f>
        <v/>
      </c>
      <c r="P141" s="111" t="str">
        <f>_xlfn.XLOOKUP($C141,DBGenzai[社員№],DBGenzai[年齢],"",0,1)</f>
        <v/>
      </c>
      <c r="Q141" s="111" t="str">
        <f>_xlfn.XLOOKUP($C141,DBGenzai[社員№],DBGenzai[時給],"",0,1)</f>
        <v/>
      </c>
      <c r="R141" s="111" t="str">
        <f>_xlfn.XLOOKUP($C141,DBGenzai[社員№],DBGenzai[請求単価],"",0,1)</f>
        <v/>
      </c>
      <c r="S141" s="111" t="str">
        <f>_xlfn.XLOOKUP($C141,DBGenzai[社員№],DBGenzai[〒],"",0,1)</f>
        <v/>
      </c>
      <c r="T141" s="111" t="str">
        <f>_xlfn.XLOOKUP($C141,DBGenzai[社員№],DBGenzai[住所],"",0,1)</f>
        <v/>
      </c>
      <c r="U141" s="111" t="str">
        <f>_xlfn.XLOOKUP($C141,DBGenzai[社員№],DBGenzai[ｱﾊﾟｰﾄ],"",0,1)</f>
        <v/>
      </c>
      <c r="V141" s="113" t="str">
        <f>_xlfn.XLOOKUP($C141,DBGenzai[社員№],DBGenzai[入居],"",0,1)</f>
        <v/>
      </c>
      <c r="W141" s="113" t="str">
        <f>_xlfn.XLOOKUP($C141,DBGenzai[社員№],DBGenzai[入社日],"",0,1)</f>
        <v/>
      </c>
      <c r="X141" s="113" t="str">
        <f>_xlfn.XLOOKUP($C141,DBGenzai[社員№],DBGenzai[退社日],"",0,1)</f>
        <v/>
      </c>
      <c r="Y141" s="111" t="str">
        <f>_xlfn.XLOOKUP($C141,DBGenzai[社員№],DBGenzai[退去],"",0,1)</f>
        <v/>
      </c>
      <c r="Z141" s="111" t="str">
        <f>_xlfn.XLOOKUP($C141,DBGenzai[社員№],DBGenzai[備考],"",0,1)</f>
        <v/>
      </c>
      <c r="AA141"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1" s="159" t="e">
        <f>(TablaTransfor[[#This Row],[unicos]]-TablaTransfor[[#This Row],[入社日]])/364</f>
        <v>#VALUE!</v>
      </c>
      <c r="AF141" s="251" t="str">
        <f>_xlfn.XLOOKUP($C141,DBGenzai[社員№],DBGenzai[請求単価],"",0,1)</f>
        <v/>
      </c>
    </row>
    <row r="142" spans="1:32" hidden="1">
      <c r="A142" s="117">
        <f>SUBTOTAL(103,$C$3:C142)</f>
        <v>20</v>
      </c>
      <c r="B142" s="111">
        <v>140</v>
      </c>
      <c r="C142" s="111" t="str">
        <f>_xlfn.XLOOKUP($F$1&amp;B142,Filtro!B:B,Filtro!D:D,"",0,1)</f>
        <v/>
      </c>
      <c r="D142" s="111" t="str">
        <f>_xlfn.XLOOKUP(C142,DBGenzai[社員№],DBGenzai[現在],"",0,1)</f>
        <v/>
      </c>
      <c r="E142" s="111" t="str">
        <f>_xlfn.XLOOKUP($C142,DBGenzai[社員№],DBGenzai[派遣先ID],"",0,1)</f>
        <v/>
      </c>
      <c r="F142" s="111" t="str">
        <f>_xlfn.XLOOKUP($C142,DBGenzai[社員№],DBGenzai[配属先],"",0,1)</f>
        <v/>
      </c>
      <c r="G142" s="111" t="str">
        <f>MID(TablaTransfor[[#This Row],[配属先]],1,8)</f>
        <v/>
      </c>
      <c r="H142" s="111" t="str">
        <f>MID(TablaTransfor[[#This Row],[配属先]],9,6)</f>
        <v/>
      </c>
      <c r="I142" s="111" t="str">
        <f>MID(TablaTransfor[[#This Row],[配属先]],15,12)</f>
        <v/>
      </c>
      <c r="J142" s="111" t="str">
        <f>_xlfn.XLOOKUP($C142,DBGenzai[社員№],DBGenzai[配属ライン],"",0,1)</f>
        <v/>
      </c>
      <c r="K142" s="111" t="str">
        <f>_xlfn.XLOOKUP($C142,DBGenzai[社員№],DBGenzai[氏名],"",0,1)</f>
        <v/>
      </c>
      <c r="L142" s="111" t="str">
        <f>_xlfn.XLOOKUP($C142,DBGenzai[社員№],DBGenzai[カナ],"",0,1)</f>
        <v/>
      </c>
      <c r="M142" s="111" t="str">
        <f>_xlfn.XLOOKUP($C142,DBGenzai[社員№],DBGenzai[性別],"",0,1)</f>
        <v/>
      </c>
      <c r="N142" s="111" t="str">
        <f>_xlfn.XLOOKUP($C142,DBGenzai[社員№],DBGenzai[国籍],"",0,1)</f>
        <v/>
      </c>
      <c r="O142" s="113" t="str">
        <f>_xlfn.XLOOKUP($C142,DBGenzai[社員№],DBGenzai[生年月日],"",0,1)</f>
        <v/>
      </c>
      <c r="P142" s="111" t="str">
        <f>_xlfn.XLOOKUP($C142,DBGenzai[社員№],DBGenzai[年齢],"",0,1)</f>
        <v/>
      </c>
      <c r="Q142" s="111" t="str">
        <f>_xlfn.XLOOKUP($C142,DBGenzai[社員№],DBGenzai[時給],"",0,1)</f>
        <v/>
      </c>
      <c r="R142" s="111" t="str">
        <f>_xlfn.XLOOKUP($C142,DBGenzai[社員№],DBGenzai[請求単価],"",0,1)</f>
        <v/>
      </c>
      <c r="S142" s="111" t="str">
        <f>_xlfn.XLOOKUP($C142,DBGenzai[社員№],DBGenzai[〒],"",0,1)</f>
        <v/>
      </c>
      <c r="T142" s="111" t="str">
        <f>_xlfn.XLOOKUP($C142,DBGenzai[社員№],DBGenzai[住所],"",0,1)</f>
        <v/>
      </c>
      <c r="U142" s="111" t="str">
        <f>_xlfn.XLOOKUP($C142,DBGenzai[社員№],DBGenzai[ｱﾊﾟｰﾄ],"",0,1)</f>
        <v/>
      </c>
      <c r="V142" s="113" t="str">
        <f>_xlfn.XLOOKUP($C142,DBGenzai[社員№],DBGenzai[入居],"",0,1)</f>
        <v/>
      </c>
      <c r="W142" s="113" t="str">
        <f>_xlfn.XLOOKUP($C142,DBGenzai[社員№],DBGenzai[入社日],"",0,1)</f>
        <v/>
      </c>
      <c r="X142" s="113" t="str">
        <f>_xlfn.XLOOKUP($C142,DBGenzai[社員№],DBGenzai[退社日],"",0,1)</f>
        <v/>
      </c>
      <c r="Y142" s="111" t="str">
        <f>_xlfn.XLOOKUP($C142,DBGenzai[社員№],DBGenzai[退去],"",0,1)</f>
        <v/>
      </c>
      <c r="Z142" s="111" t="str">
        <f>_xlfn.XLOOKUP($C142,DBGenzai[社員№],DBGenzai[備考],"",0,1)</f>
        <v/>
      </c>
      <c r="AA14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2" s="159" t="e">
        <f>(TablaTransfor[[#This Row],[unicos]]-TablaTransfor[[#This Row],[入社日]])/364</f>
        <v>#VALUE!</v>
      </c>
      <c r="AF142" s="251" t="str">
        <f>_xlfn.XLOOKUP($C142,DBGenzai[社員№],DBGenzai[請求単価],"",0,1)</f>
        <v/>
      </c>
    </row>
    <row r="143" spans="1:32" hidden="1">
      <c r="A143" s="117">
        <f>SUBTOTAL(103,$C$3:C143)</f>
        <v>20</v>
      </c>
      <c r="B143" s="111">
        <v>141</v>
      </c>
      <c r="C143" s="111" t="str">
        <f>_xlfn.XLOOKUP($F$1&amp;B143,Filtro!B:B,Filtro!D:D,"",0,1)</f>
        <v/>
      </c>
      <c r="D143" s="111" t="str">
        <f>_xlfn.XLOOKUP(C143,DBGenzai[社員№],DBGenzai[現在],"",0,1)</f>
        <v/>
      </c>
      <c r="E143" s="111" t="str">
        <f>_xlfn.XLOOKUP($C143,DBGenzai[社員№],DBGenzai[派遣先ID],"",0,1)</f>
        <v/>
      </c>
      <c r="F143" s="111" t="str">
        <f>_xlfn.XLOOKUP($C143,DBGenzai[社員№],DBGenzai[配属先],"",0,1)</f>
        <v/>
      </c>
      <c r="G143" s="111" t="str">
        <f>MID(TablaTransfor[[#This Row],[配属先]],1,8)</f>
        <v/>
      </c>
      <c r="H143" s="111" t="str">
        <f>MID(TablaTransfor[[#This Row],[配属先]],9,6)</f>
        <v/>
      </c>
      <c r="I143" s="111" t="str">
        <f>MID(TablaTransfor[[#This Row],[配属先]],15,12)</f>
        <v/>
      </c>
      <c r="J143" s="111" t="str">
        <f>_xlfn.XLOOKUP($C143,DBGenzai[社員№],DBGenzai[配属ライン],"",0,1)</f>
        <v/>
      </c>
      <c r="K143" s="111" t="str">
        <f>_xlfn.XLOOKUP($C143,DBGenzai[社員№],DBGenzai[氏名],"",0,1)</f>
        <v/>
      </c>
      <c r="L143" s="111" t="str">
        <f>_xlfn.XLOOKUP($C143,DBGenzai[社員№],DBGenzai[カナ],"",0,1)</f>
        <v/>
      </c>
      <c r="M143" s="111" t="str">
        <f>_xlfn.XLOOKUP($C143,DBGenzai[社員№],DBGenzai[性別],"",0,1)</f>
        <v/>
      </c>
      <c r="N143" s="111" t="str">
        <f>_xlfn.XLOOKUP($C143,DBGenzai[社員№],DBGenzai[国籍],"",0,1)</f>
        <v/>
      </c>
      <c r="O143" s="113" t="str">
        <f>_xlfn.XLOOKUP($C143,DBGenzai[社員№],DBGenzai[生年月日],"",0,1)</f>
        <v/>
      </c>
      <c r="P143" s="111" t="str">
        <f>_xlfn.XLOOKUP($C143,DBGenzai[社員№],DBGenzai[年齢],"",0,1)</f>
        <v/>
      </c>
      <c r="Q143" s="111" t="str">
        <f>_xlfn.XLOOKUP($C143,DBGenzai[社員№],DBGenzai[時給],"",0,1)</f>
        <v/>
      </c>
      <c r="R143" s="111" t="str">
        <f>_xlfn.XLOOKUP($C143,DBGenzai[社員№],DBGenzai[請求単価],"",0,1)</f>
        <v/>
      </c>
      <c r="S143" s="111" t="str">
        <f>_xlfn.XLOOKUP($C143,DBGenzai[社員№],DBGenzai[〒],"",0,1)</f>
        <v/>
      </c>
      <c r="T143" s="111" t="str">
        <f>_xlfn.XLOOKUP($C143,DBGenzai[社員№],DBGenzai[住所],"",0,1)</f>
        <v/>
      </c>
      <c r="U143" s="111" t="str">
        <f>_xlfn.XLOOKUP($C143,DBGenzai[社員№],DBGenzai[ｱﾊﾟｰﾄ],"",0,1)</f>
        <v/>
      </c>
      <c r="V143" s="113" t="str">
        <f>_xlfn.XLOOKUP($C143,DBGenzai[社員№],DBGenzai[入居],"",0,1)</f>
        <v/>
      </c>
      <c r="W143" s="113" t="str">
        <f>_xlfn.XLOOKUP($C143,DBGenzai[社員№],DBGenzai[入社日],"",0,1)</f>
        <v/>
      </c>
      <c r="X143" s="113" t="str">
        <f>_xlfn.XLOOKUP($C143,DBGenzai[社員№],DBGenzai[退社日],"",0,1)</f>
        <v/>
      </c>
      <c r="Y143" s="111" t="str">
        <f>_xlfn.XLOOKUP($C143,DBGenzai[社員№],DBGenzai[退去],"",0,1)</f>
        <v/>
      </c>
      <c r="Z143" s="111" t="str">
        <f>_xlfn.XLOOKUP($C143,DBGenzai[社員№],DBGenzai[備考],"",0,1)</f>
        <v/>
      </c>
      <c r="AA143"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3" s="159" t="e">
        <f>(TablaTransfor[[#This Row],[unicos]]-TablaTransfor[[#This Row],[入社日]])/364</f>
        <v>#VALUE!</v>
      </c>
      <c r="AF143" s="251" t="str">
        <f>_xlfn.XLOOKUP($C143,DBGenzai[社員№],DBGenzai[請求単価],"",0,1)</f>
        <v/>
      </c>
    </row>
    <row r="144" spans="1:32" hidden="1">
      <c r="A144" s="117">
        <f>SUBTOTAL(103,$C$3:C144)</f>
        <v>20</v>
      </c>
      <c r="B144" s="111">
        <v>142</v>
      </c>
      <c r="C144" s="111" t="str">
        <f>_xlfn.XLOOKUP($F$1&amp;B144,Filtro!B:B,Filtro!D:D,"",0,1)</f>
        <v/>
      </c>
      <c r="D144" s="111" t="str">
        <f>_xlfn.XLOOKUP(C144,DBGenzai[社員№],DBGenzai[現在],"",0,1)</f>
        <v/>
      </c>
      <c r="E144" s="111" t="str">
        <f>_xlfn.XLOOKUP($C144,DBGenzai[社員№],DBGenzai[派遣先ID],"",0,1)</f>
        <v/>
      </c>
      <c r="F144" s="111" t="str">
        <f>_xlfn.XLOOKUP($C144,DBGenzai[社員№],DBGenzai[配属先],"",0,1)</f>
        <v/>
      </c>
      <c r="G144" s="111" t="str">
        <f>MID(TablaTransfor[[#This Row],[配属先]],1,8)</f>
        <v/>
      </c>
      <c r="H144" s="111" t="str">
        <f>MID(TablaTransfor[[#This Row],[配属先]],9,6)</f>
        <v/>
      </c>
      <c r="I144" s="111" t="str">
        <f>MID(TablaTransfor[[#This Row],[配属先]],15,12)</f>
        <v/>
      </c>
      <c r="J144" s="111" t="str">
        <f>_xlfn.XLOOKUP($C144,DBGenzai[社員№],DBGenzai[配属ライン],"",0,1)</f>
        <v/>
      </c>
      <c r="K144" s="111" t="str">
        <f>_xlfn.XLOOKUP($C144,DBGenzai[社員№],DBGenzai[氏名],"",0,1)</f>
        <v/>
      </c>
      <c r="L144" s="111" t="str">
        <f>_xlfn.XLOOKUP($C144,DBGenzai[社員№],DBGenzai[カナ],"",0,1)</f>
        <v/>
      </c>
      <c r="M144" s="111" t="str">
        <f>_xlfn.XLOOKUP($C144,DBGenzai[社員№],DBGenzai[性別],"",0,1)</f>
        <v/>
      </c>
      <c r="N144" s="111" t="str">
        <f>_xlfn.XLOOKUP($C144,DBGenzai[社員№],DBGenzai[国籍],"",0,1)</f>
        <v/>
      </c>
      <c r="O144" s="113" t="str">
        <f>_xlfn.XLOOKUP($C144,DBGenzai[社員№],DBGenzai[生年月日],"",0,1)</f>
        <v/>
      </c>
      <c r="P144" s="111" t="str">
        <f>_xlfn.XLOOKUP($C144,DBGenzai[社員№],DBGenzai[年齢],"",0,1)</f>
        <v/>
      </c>
      <c r="Q144" s="111" t="str">
        <f>_xlfn.XLOOKUP($C144,DBGenzai[社員№],DBGenzai[時給],"",0,1)</f>
        <v/>
      </c>
      <c r="R144" s="111" t="str">
        <f>_xlfn.XLOOKUP($C144,DBGenzai[社員№],DBGenzai[請求単価],"",0,1)</f>
        <v/>
      </c>
      <c r="S144" s="111" t="str">
        <f>_xlfn.XLOOKUP($C144,DBGenzai[社員№],DBGenzai[〒],"",0,1)</f>
        <v/>
      </c>
      <c r="T144" s="111" t="str">
        <f>_xlfn.XLOOKUP($C144,DBGenzai[社員№],DBGenzai[住所],"",0,1)</f>
        <v/>
      </c>
      <c r="U144" s="111" t="str">
        <f>_xlfn.XLOOKUP($C144,DBGenzai[社員№],DBGenzai[ｱﾊﾟｰﾄ],"",0,1)</f>
        <v/>
      </c>
      <c r="V144" s="113" t="str">
        <f>_xlfn.XLOOKUP($C144,DBGenzai[社員№],DBGenzai[入居],"",0,1)</f>
        <v/>
      </c>
      <c r="W144" s="113" t="str">
        <f>_xlfn.XLOOKUP($C144,DBGenzai[社員№],DBGenzai[入社日],"",0,1)</f>
        <v/>
      </c>
      <c r="X144" s="113" t="str">
        <f>_xlfn.XLOOKUP($C144,DBGenzai[社員№],DBGenzai[退社日],"",0,1)</f>
        <v/>
      </c>
      <c r="Y144" s="111" t="str">
        <f>_xlfn.XLOOKUP($C144,DBGenzai[社員№],DBGenzai[退去],"",0,1)</f>
        <v/>
      </c>
      <c r="Z144" s="111" t="str">
        <f>_xlfn.XLOOKUP($C144,DBGenzai[社員№],DBGenzai[備考],"",0,1)</f>
        <v/>
      </c>
      <c r="AA144"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4" s="159" t="e">
        <f>(TablaTransfor[[#This Row],[unicos]]-TablaTransfor[[#This Row],[入社日]])/364</f>
        <v>#VALUE!</v>
      </c>
      <c r="AF144" s="251" t="str">
        <f>_xlfn.XLOOKUP($C144,DBGenzai[社員№],DBGenzai[請求単価],"",0,1)</f>
        <v/>
      </c>
    </row>
    <row r="145" spans="1:32" hidden="1">
      <c r="A145" s="117">
        <f>SUBTOTAL(103,$C$3:C145)</f>
        <v>20</v>
      </c>
      <c r="B145" s="111">
        <v>143</v>
      </c>
      <c r="C145" s="111" t="str">
        <f>_xlfn.XLOOKUP($F$1&amp;B145,Filtro!B:B,Filtro!D:D,"",0,1)</f>
        <v/>
      </c>
      <c r="D145" s="111" t="str">
        <f>_xlfn.XLOOKUP(C145,DBGenzai[社員№],DBGenzai[現在],"",0,1)</f>
        <v/>
      </c>
      <c r="E145" s="111" t="str">
        <f>_xlfn.XLOOKUP($C145,DBGenzai[社員№],DBGenzai[派遣先ID],"",0,1)</f>
        <v/>
      </c>
      <c r="F145" s="111" t="str">
        <f>_xlfn.XLOOKUP($C145,DBGenzai[社員№],DBGenzai[配属先],"",0,1)</f>
        <v/>
      </c>
      <c r="G145" s="111" t="str">
        <f>MID(TablaTransfor[[#This Row],[配属先]],1,8)</f>
        <v/>
      </c>
      <c r="H145" s="111" t="str">
        <f>MID(TablaTransfor[[#This Row],[配属先]],9,6)</f>
        <v/>
      </c>
      <c r="I145" s="111" t="str">
        <f>MID(TablaTransfor[[#This Row],[配属先]],15,12)</f>
        <v/>
      </c>
      <c r="J145" s="111" t="str">
        <f>_xlfn.XLOOKUP($C145,DBGenzai[社員№],DBGenzai[配属ライン],"",0,1)</f>
        <v/>
      </c>
      <c r="K145" s="111" t="str">
        <f>_xlfn.XLOOKUP($C145,DBGenzai[社員№],DBGenzai[氏名],"",0,1)</f>
        <v/>
      </c>
      <c r="L145" s="111" t="str">
        <f>_xlfn.XLOOKUP($C145,DBGenzai[社員№],DBGenzai[カナ],"",0,1)</f>
        <v/>
      </c>
      <c r="M145" s="111" t="str">
        <f>_xlfn.XLOOKUP($C145,DBGenzai[社員№],DBGenzai[性別],"",0,1)</f>
        <v/>
      </c>
      <c r="N145" s="111" t="str">
        <f>_xlfn.XLOOKUP($C145,DBGenzai[社員№],DBGenzai[国籍],"",0,1)</f>
        <v/>
      </c>
      <c r="O145" s="113" t="str">
        <f>_xlfn.XLOOKUP($C145,DBGenzai[社員№],DBGenzai[生年月日],"",0,1)</f>
        <v/>
      </c>
      <c r="P145" s="111" t="str">
        <f>_xlfn.XLOOKUP($C145,DBGenzai[社員№],DBGenzai[年齢],"",0,1)</f>
        <v/>
      </c>
      <c r="Q145" s="111" t="str">
        <f>_xlfn.XLOOKUP($C145,DBGenzai[社員№],DBGenzai[時給],"",0,1)</f>
        <v/>
      </c>
      <c r="R145" s="111" t="str">
        <f>_xlfn.XLOOKUP($C145,DBGenzai[社員№],DBGenzai[請求単価],"",0,1)</f>
        <v/>
      </c>
      <c r="S145" s="111" t="str">
        <f>_xlfn.XLOOKUP($C145,DBGenzai[社員№],DBGenzai[〒],"",0,1)</f>
        <v/>
      </c>
      <c r="T145" s="111" t="str">
        <f>_xlfn.XLOOKUP($C145,DBGenzai[社員№],DBGenzai[住所],"",0,1)</f>
        <v/>
      </c>
      <c r="U145" s="111" t="str">
        <f>_xlfn.XLOOKUP($C145,DBGenzai[社員№],DBGenzai[ｱﾊﾟｰﾄ],"",0,1)</f>
        <v/>
      </c>
      <c r="V145" s="113" t="str">
        <f>_xlfn.XLOOKUP($C145,DBGenzai[社員№],DBGenzai[入居],"",0,1)</f>
        <v/>
      </c>
      <c r="W145" s="113" t="str">
        <f>_xlfn.XLOOKUP($C145,DBGenzai[社員№],DBGenzai[入社日],"",0,1)</f>
        <v/>
      </c>
      <c r="X145" s="113" t="str">
        <f>_xlfn.XLOOKUP($C145,DBGenzai[社員№],DBGenzai[退社日],"",0,1)</f>
        <v/>
      </c>
      <c r="Y145" s="111" t="str">
        <f>_xlfn.XLOOKUP($C145,DBGenzai[社員№],DBGenzai[退去],"",0,1)</f>
        <v/>
      </c>
      <c r="Z145" s="111" t="str">
        <f>_xlfn.XLOOKUP($C145,DBGenzai[社員№],DBGenzai[備考],"",0,1)</f>
        <v/>
      </c>
      <c r="AA14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5" s="159" t="e">
        <f>(TablaTransfor[[#This Row],[unicos]]-TablaTransfor[[#This Row],[入社日]])/364</f>
        <v>#VALUE!</v>
      </c>
      <c r="AF145" s="251" t="str">
        <f>_xlfn.XLOOKUP($C145,DBGenzai[社員№],DBGenzai[請求単価],"",0,1)</f>
        <v/>
      </c>
    </row>
    <row r="146" spans="1:32" hidden="1">
      <c r="A146" s="117">
        <f>SUBTOTAL(103,$C$3:C146)</f>
        <v>20</v>
      </c>
      <c r="B146" s="111">
        <v>144</v>
      </c>
      <c r="C146" s="111" t="str">
        <f>_xlfn.XLOOKUP($F$1&amp;B146,Filtro!B:B,Filtro!D:D,"",0,1)</f>
        <v/>
      </c>
      <c r="D146" s="111" t="str">
        <f>_xlfn.XLOOKUP(C146,DBGenzai[社員№],DBGenzai[現在],"",0,1)</f>
        <v/>
      </c>
      <c r="E146" s="111" t="str">
        <f>_xlfn.XLOOKUP($C146,DBGenzai[社員№],DBGenzai[派遣先ID],"",0,1)</f>
        <v/>
      </c>
      <c r="F146" s="111" t="str">
        <f>_xlfn.XLOOKUP($C146,DBGenzai[社員№],DBGenzai[配属先],"",0,1)</f>
        <v/>
      </c>
      <c r="G146" s="111" t="str">
        <f>MID(TablaTransfor[[#This Row],[配属先]],1,8)</f>
        <v/>
      </c>
      <c r="H146" s="111" t="str">
        <f>MID(TablaTransfor[[#This Row],[配属先]],9,6)</f>
        <v/>
      </c>
      <c r="I146" s="111" t="str">
        <f>MID(TablaTransfor[[#This Row],[配属先]],15,12)</f>
        <v/>
      </c>
      <c r="J146" s="111" t="str">
        <f>_xlfn.XLOOKUP($C146,DBGenzai[社員№],DBGenzai[配属ライン],"",0,1)</f>
        <v/>
      </c>
      <c r="K146" s="111" t="str">
        <f>_xlfn.XLOOKUP($C146,DBGenzai[社員№],DBGenzai[氏名],"",0,1)</f>
        <v/>
      </c>
      <c r="L146" s="111" t="str">
        <f>_xlfn.XLOOKUP($C146,DBGenzai[社員№],DBGenzai[カナ],"",0,1)</f>
        <v/>
      </c>
      <c r="M146" s="111" t="str">
        <f>_xlfn.XLOOKUP($C146,DBGenzai[社員№],DBGenzai[性別],"",0,1)</f>
        <v/>
      </c>
      <c r="N146" s="111" t="str">
        <f>_xlfn.XLOOKUP($C146,DBGenzai[社員№],DBGenzai[国籍],"",0,1)</f>
        <v/>
      </c>
      <c r="O146" s="113" t="str">
        <f>_xlfn.XLOOKUP($C146,DBGenzai[社員№],DBGenzai[生年月日],"",0,1)</f>
        <v/>
      </c>
      <c r="P146" s="111" t="str">
        <f>_xlfn.XLOOKUP($C146,DBGenzai[社員№],DBGenzai[年齢],"",0,1)</f>
        <v/>
      </c>
      <c r="Q146" s="111" t="str">
        <f>_xlfn.XLOOKUP($C146,DBGenzai[社員№],DBGenzai[時給],"",0,1)</f>
        <v/>
      </c>
      <c r="R146" s="111" t="str">
        <f>_xlfn.XLOOKUP($C146,DBGenzai[社員№],DBGenzai[請求単価],"",0,1)</f>
        <v/>
      </c>
      <c r="S146" s="111" t="str">
        <f>_xlfn.XLOOKUP($C146,DBGenzai[社員№],DBGenzai[〒],"",0,1)</f>
        <v/>
      </c>
      <c r="T146" s="111" t="str">
        <f>_xlfn.XLOOKUP($C146,DBGenzai[社員№],DBGenzai[住所],"",0,1)</f>
        <v/>
      </c>
      <c r="U146" s="111" t="str">
        <f>_xlfn.XLOOKUP($C146,DBGenzai[社員№],DBGenzai[ｱﾊﾟｰﾄ],"",0,1)</f>
        <v/>
      </c>
      <c r="V146" s="113" t="str">
        <f>_xlfn.XLOOKUP($C146,DBGenzai[社員№],DBGenzai[入居],"",0,1)</f>
        <v/>
      </c>
      <c r="W146" s="113" t="str">
        <f>_xlfn.XLOOKUP($C146,DBGenzai[社員№],DBGenzai[入社日],"",0,1)</f>
        <v/>
      </c>
      <c r="X146" s="113" t="str">
        <f>_xlfn.XLOOKUP($C146,DBGenzai[社員№],DBGenzai[退社日],"",0,1)</f>
        <v/>
      </c>
      <c r="Y146" s="111" t="str">
        <f>_xlfn.XLOOKUP($C146,DBGenzai[社員№],DBGenzai[退去],"",0,1)</f>
        <v/>
      </c>
      <c r="Z146" s="111" t="str">
        <f>_xlfn.XLOOKUP($C146,DBGenzai[社員№],DBGenzai[備考],"",0,1)</f>
        <v/>
      </c>
      <c r="AA14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6" s="159" t="e">
        <f>(TablaTransfor[[#This Row],[unicos]]-TablaTransfor[[#This Row],[入社日]])/364</f>
        <v>#VALUE!</v>
      </c>
      <c r="AF146" s="251" t="str">
        <f>_xlfn.XLOOKUP($C146,DBGenzai[社員№],DBGenzai[請求単価],"",0,1)</f>
        <v/>
      </c>
    </row>
    <row r="147" spans="1:32" hidden="1">
      <c r="A147" s="117">
        <f>SUBTOTAL(103,$C$3:C147)</f>
        <v>20</v>
      </c>
      <c r="B147" s="111">
        <v>145</v>
      </c>
      <c r="C147" s="111" t="str">
        <f>_xlfn.XLOOKUP($F$1&amp;B147,Filtro!B:B,Filtro!D:D,"",0,1)</f>
        <v/>
      </c>
      <c r="D147" s="111" t="str">
        <f>_xlfn.XLOOKUP(C147,DBGenzai[社員№],DBGenzai[現在],"",0,1)</f>
        <v/>
      </c>
      <c r="E147" s="111" t="str">
        <f>_xlfn.XLOOKUP($C147,DBGenzai[社員№],DBGenzai[派遣先ID],"",0,1)</f>
        <v/>
      </c>
      <c r="F147" s="111" t="str">
        <f>_xlfn.XLOOKUP($C147,DBGenzai[社員№],DBGenzai[配属先],"",0,1)</f>
        <v/>
      </c>
      <c r="G147" s="111" t="str">
        <f>MID(TablaTransfor[[#This Row],[配属先]],1,8)</f>
        <v/>
      </c>
      <c r="H147" s="111" t="str">
        <f>MID(TablaTransfor[[#This Row],[配属先]],9,6)</f>
        <v/>
      </c>
      <c r="I147" s="111" t="str">
        <f>MID(TablaTransfor[[#This Row],[配属先]],15,12)</f>
        <v/>
      </c>
      <c r="J147" s="111" t="str">
        <f>_xlfn.XLOOKUP($C147,DBGenzai[社員№],DBGenzai[配属ライン],"",0,1)</f>
        <v/>
      </c>
      <c r="K147" s="111" t="str">
        <f>_xlfn.XLOOKUP($C147,DBGenzai[社員№],DBGenzai[氏名],"",0,1)</f>
        <v/>
      </c>
      <c r="L147" s="111" t="str">
        <f>_xlfn.XLOOKUP($C147,DBGenzai[社員№],DBGenzai[カナ],"",0,1)</f>
        <v/>
      </c>
      <c r="M147" s="111" t="str">
        <f>_xlfn.XLOOKUP($C147,DBGenzai[社員№],DBGenzai[性別],"",0,1)</f>
        <v/>
      </c>
      <c r="N147" s="111" t="str">
        <f>_xlfn.XLOOKUP($C147,DBGenzai[社員№],DBGenzai[国籍],"",0,1)</f>
        <v/>
      </c>
      <c r="O147" s="113" t="str">
        <f>_xlfn.XLOOKUP($C147,DBGenzai[社員№],DBGenzai[生年月日],"",0,1)</f>
        <v/>
      </c>
      <c r="P147" s="111" t="str">
        <f>_xlfn.XLOOKUP($C147,DBGenzai[社員№],DBGenzai[年齢],"",0,1)</f>
        <v/>
      </c>
      <c r="Q147" s="111" t="str">
        <f>_xlfn.XLOOKUP($C147,DBGenzai[社員№],DBGenzai[時給],"",0,1)</f>
        <v/>
      </c>
      <c r="R147" s="111" t="str">
        <f>_xlfn.XLOOKUP($C147,DBGenzai[社員№],DBGenzai[請求単価],"",0,1)</f>
        <v/>
      </c>
      <c r="S147" s="111" t="str">
        <f>_xlfn.XLOOKUP($C147,DBGenzai[社員№],DBGenzai[〒],"",0,1)</f>
        <v/>
      </c>
      <c r="T147" s="111" t="str">
        <f>_xlfn.XLOOKUP($C147,DBGenzai[社員№],DBGenzai[住所],"",0,1)</f>
        <v/>
      </c>
      <c r="U147" s="111" t="str">
        <f>_xlfn.XLOOKUP($C147,DBGenzai[社員№],DBGenzai[ｱﾊﾟｰﾄ],"",0,1)</f>
        <v/>
      </c>
      <c r="V147" s="113" t="str">
        <f>_xlfn.XLOOKUP($C147,DBGenzai[社員№],DBGenzai[入居],"",0,1)</f>
        <v/>
      </c>
      <c r="W147" s="113" t="str">
        <f>_xlfn.XLOOKUP($C147,DBGenzai[社員№],DBGenzai[入社日],"",0,1)</f>
        <v/>
      </c>
      <c r="X147" s="113" t="str">
        <f>_xlfn.XLOOKUP($C147,DBGenzai[社員№],DBGenzai[退社日],"",0,1)</f>
        <v/>
      </c>
      <c r="Y147" s="111" t="str">
        <f>_xlfn.XLOOKUP($C147,DBGenzai[社員№],DBGenzai[退去],"",0,1)</f>
        <v/>
      </c>
      <c r="Z147" s="111" t="str">
        <f>_xlfn.XLOOKUP($C147,DBGenzai[社員№],DBGenzai[備考],"",0,1)</f>
        <v/>
      </c>
      <c r="AA14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7" s="159" t="e">
        <f>(TablaTransfor[[#This Row],[unicos]]-TablaTransfor[[#This Row],[入社日]])/364</f>
        <v>#VALUE!</v>
      </c>
      <c r="AF147" s="251" t="str">
        <f>_xlfn.XLOOKUP($C147,DBGenzai[社員№],DBGenzai[請求単価],"",0,1)</f>
        <v/>
      </c>
    </row>
    <row r="148" spans="1:32" hidden="1">
      <c r="A148" s="117">
        <f>SUBTOTAL(103,$C$3:C148)</f>
        <v>20</v>
      </c>
      <c r="B148" s="111">
        <v>146</v>
      </c>
      <c r="C148" s="111" t="str">
        <f>_xlfn.XLOOKUP($F$1&amp;B148,Filtro!B:B,Filtro!D:D,"",0,1)</f>
        <v/>
      </c>
      <c r="D148" s="111" t="str">
        <f>_xlfn.XLOOKUP(C148,DBGenzai[社員№],DBGenzai[現在],"",0,1)</f>
        <v/>
      </c>
      <c r="E148" s="111" t="str">
        <f>_xlfn.XLOOKUP($C148,DBGenzai[社員№],DBGenzai[派遣先ID],"",0,1)</f>
        <v/>
      </c>
      <c r="F148" s="111" t="str">
        <f>_xlfn.XLOOKUP($C148,DBGenzai[社員№],DBGenzai[配属先],"",0,1)</f>
        <v/>
      </c>
      <c r="G148" s="111" t="str">
        <f>MID(TablaTransfor[[#This Row],[配属先]],1,8)</f>
        <v/>
      </c>
      <c r="H148" s="111" t="str">
        <f>MID(TablaTransfor[[#This Row],[配属先]],9,6)</f>
        <v/>
      </c>
      <c r="I148" s="111" t="str">
        <f>MID(TablaTransfor[[#This Row],[配属先]],15,12)</f>
        <v/>
      </c>
      <c r="J148" s="111" t="str">
        <f>_xlfn.XLOOKUP($C148,DBGenzai[社員№],DBGenzai[配属ライン],"",0,1)</f>
        <v/>
      </c>
      <c r="K148" s="111" t="str">
        <f>_xlfn.XLOOKUP($C148,DBGenzai[社員№],DBGenzai[氏名],"",0,1)</f>
        <v/>
      </c>
      <c r="L148" s="111" t="str">
        <f>_xlfn.XLOOKUP($C148,DBGenzai[社員№],DBGenzai[カナ],"",0,1)</f>
        <v/>
      </c>
      <c r="M148" s="111" t="str">
        <f>_xlfn.XLOOKUP($C148,DBGenzai[社員№],DBGenzai[性別],"",0,1)</f>
        <v/>
      </c>
      <c r="N148" s="111" t="str">
        <f>_xlfn.XLOOKUP($C148,DBGenzai[社員№],DBGenzai[国籍],"",0,1)</f>
        <v/>
      </c>
      <c r="O148" s="113" t="str">
        <f>_xlfn.XLOOKUP($C148,DBGenzai[社員№],DBGenzai[生年月日],"",0,1)</f>
        <v/>
      </c>
      <c r="P148" s="111" t="str">
        <f>_xlfn.XLOOKUP($C148,DBGenzai[社員№],DBGenzai[年齢],"",0,1)</f>
        <v/>
      </c>
      <c r="Q148" s="111" t="str">
        <f>_xlfn.XLOOKUP($C148,DBGenzai[社員№],DBGenzai[時給],"",0,1)</f>
        <v/>
      </c>
      <c r="R148" s="111" t="str">
        <f>_xlfn.XLOOKUP($C148,DBGenzai[社員№],DBGenzai[請求単価],"",0,1)</f>
        <v/>
      </c>
      <c r="S148" s="111" t="str">
        <f>_xlfn.XLOOKUP($C148,DBGenzai[社員№],DBGenzai[〒],"",0,1)</f>
        <v/>
      </c>
      <c r="T148" s="111" t="str">
        <f>_xlfn.XLOOKUP($C148,DBGenzai[社員№],DBGenzai[住所],"",0,1)</f>
        <v/>
      </c>
      <c r="U148" s="111" t="str">
        <f>_xlfn.XLOOKUP($C148,DBGenzai[社員№],DBGenzai[ｱﾊﾟｰﾄ],"",0,1)</f>
        <v/>
      </c>
      <c r="V148" s="113" t="str">
        <f>_xlfn.XLOOKUP($C148,DBGenzai[社員№],DBGenzai[入居],"",0,1)</f>
        <v/>
      </c>
      <c r="W148" s="113" t="str">
        <f>_xlfn.XLOOKUP($C148,DBGenzai[社員№],DBGenzai[入社日],"",0,1)</f>
        <v/>
      </c>
      <c r="X148" s="113" t="str">
        <f>_xlfn.XLOOKUP($C148,DBGenzai[社員№],DBGenzai[退社日],"",0,1)</f>
        <v/>
      </c>
      <c r="Y148" s="111" t="str">
        <f>_xlfn.XLOOKUP($C148,DBGenzai[社員№],DBGenzai[退去],"",0,1)</f>
        <v/>
      </c>
      <c r="Z148" s="111" t="str">
        <f>_xlfn.XLOOKUP($C148,DBGenzai[社員№],DBGenzai[備考],"",0,1)</f>
        <v/>
      </c>
      <c r="AA14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8" s="159" t="e">
        <f>(TablaTransfor[[#This Row],[unicos]]-TablaTransfor[[#This Row],[入社日]])/364</f>
        <v>#VALUE!</v>
      </c>
      <c r="AF148" s="251" t="str">
        <f>_xlfn.XLOOKUP($C148,DBGenzai[社員№],DBGenzai[請求単価],"",0,1)</f>
        <v/>
      </c>
    </row>
    <row r="149" spans="1:32" hidden="1">
      <c r="A149" s="111" t="str" cm="1">
        <f t="array" ref="A149">INDEX(DBGenzai[派遣先],MATCH(0,INDEX(COUNTIF($A$148:A148,DBGenzai[派遣先]),),0))</f>
        <v>ピーエムアイ</v>
      </c>
      <c r="C149" s="111" t="str">
        <f>_xlfn.XLOOKUP($F$1&amp;B149,Filtro!B:B,Filtro!D:D,"",0,1)</f>
        <v/>
      </c>
      <c r="D149" s="111" t="str">
        <f>_xlfn.XLOOKUP(C149,DBGenzai[社員№],DBGenzai[現在],"",0,1)</f>
        <v/>
      </c>
      <c r="E149" s="111" t="str">
        <f>_xlfn.XLOOKUP($C149,DBGenzai[社員№],DBGenzai[派遣先ID],"",0,1)</f>
        <v/>
      </c>
      <c r="F149" s="111" t="str">
        <f>_xlfn.XLOOKUP($C149,DBGenzai[社員№],DBGenzai[配属先],"",0,1)</f>
        <v/>
      </c>
      <c r="G149" s="111" t="str">
        <f>MID(TablaTransfor[[#This Row],[配属先]],1,8)</f>
        <v/>
      </c>
      <c r="H149" s="111" t="str">
        <f>MID(TablaTransfor[[#This Row],[配属先]],9,6)</f>
        <v/>
      </c>
      <c r="I149" s="111" t="str">
        <f>MID(TablaTransfor[[#This Row],[配属先]],15,12)</f>
        <v/>
      </c>
      <c r="J149" s="111" t="str">
        <f>_xlfn.XLOOKUP($C149,DBGenzai[社員№],DBGenzai[配属ライン],"",0,1)</f>
        <v/>
      </c>
      <c r="K149" s="111" t="str">
        <f>_xlfn.XLOOKUP($C149,DBGenzai[社員№],DBGenzai[氏名],"",0,1)</f>
        <v/>
      </c>
      <c r="L149" s="111" t="str">
        <f>_xlfn.XLOOKUP($C149,DBGenzai[社員№],DBGenzai[カナ],"",0,1)</f>
        <v/>
      </c>
      <c r="M149" s="111" t="str">
        <f>_xlfn.XLOOKUP($C149,DBGenzai[社員№],DBGenzai[性別],"",0,1)</f>
        <v/>
      </c>
      <c r="N149" s="111" t="str">
        <f>_xlfn.XLOOKUP($C149,DBGenzai[社員№],DBGenzai[国籍],"",0,1)</f>
        <v/>
      </c>
      <c r="O149" s="113" t="str">
        <f>_xlfn.XLOOKUP($C149,DBGenzai[社員№],DBGenzai[生年月日],"",0,1)</f>
        <v/>
      </c>
      <c r="P149" s="111" t="str">
        <f>_xlfn.XLOOKUP($C149,DBGenzai[社員№],DBGenzai[年齢],"",0,1)</f>
        <v/>
      </c>
      <c r="Q149" s="111" t="str">
        <f>_xlfn.XLOOKUP($C149,DBGenzai[社員№],DBGenzai[時給],"",0,1)</f>
        <v/>
      </c>
      <c r="R149" s="111" t="str">
        <f>_xlfn.XLOOKUP($C149,DBGenzai[社員№],DBGenzai[請求単価],"",0,1)</f>
        <v/>
      </c>
      <c r="S149" s="111" t="str">
        <f>_xlfn.XLOOKUP($C149,DBGenzai[社員№],DBGenzai[〒],"",0,1)</f>
        <v/>
      </c>
      <c r="T149" s="111" t="str">
        <f>_xlfn.XLOOKUP($C149,DBGenzai[社員№],DBGenzai[住所],"",0,1)</f>
        <v/>
      </c>
      <c r="U149" s="111" t="str">
        <f>_xlfn.XLOOKUP($C149,DBGenzai[社員№],DBGenzai[ｱﾊﾟｰﾄ],"",0,1)</f>
        <v/>
      </c>
      <c r="V149" s="113" t="str">
        <f>_xlfn.XLOOKUP($C149,DBGenzai[社員№],DBGenzai[入居],"",0,1)</f>
        <v/>
      </c>
      <c r="W149" s="113" t="str">
        <f>_xlfn.XLOOKUP($C149,DBGenzai[社員№],DBGenzai[入社日],"",0,1)</f>
        <v/>
      </c>
      <c r="X149" s="113" t="str">
        <f>_xlfn.XLOOKUP($C149,DBGenzai[社員№],DBGenzai[退社日],"",0,1)</f>
        <v/>
      </c>
      <c r="Y149" s="111" t="str">
        <f>_xlfn.XLOOKUP($C149,DBGenzai[社員№],DBGenzai[退去],"",0,1)</f>
        <v/>
      </c>
      <c r="Z149" s="111" t="str">
        <f>_xlfn.XLOOKUP($C149,DBGenzai[社員№],DBGenzai[備考],"",0,1)</f>
        <v/>
      </c>
      <c r="AA14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49" s="159" t="e">
        <f>(TablaTransfor[[#This Row],[unicos]]-TablaTransfor[[#This Row],[入社日]])/364</f>
        <v>#VALUE!</v>
      </c>
      <c r="AF149" s="251" t="str">
        <f>_xlfn.XLOOKUP($C149,DBGenzai[社員№],DBGenzai[請求単価],"",0,1)</f>
        <v/>
      </c>
    </row>
    <row r="150" spans="1:32" hidden="1">
      <c r="A150" s="111" t="str" cm="1">
        <f t="array" ref="A150">INDEX(DBGenzai[派遣先],MATCH(0,INDEX(COUNTIF($A$148:A149,DBGenzai[派遣先]),),0))</f>
        <v>三幸技研</v>
      </c>
      <c r="C150" s="111" t="str">
        <f>_xlfn.XLOOKUP($F$1&amp;B150,Filtro!B:B,Filtro!D:D,"",0,1)</f>
        <v/>
      </c>
      <c r="D150" s="111" t="str">
        <f>_xlfn.XLOOKUP(C150,DBGenzai[社員№],DBGenzai[現在],"",0,1)</f>
        <v/>
      </c>
      <c r="E150" s="111" t="str">
        <f>_xlfn.XLOOKUP($C150,DBGenzai[社員№],DBGenzai[派遣先ID],"",0,1)</f>
        <v/>
      </c>
      <c r="F150" s="111" t="str">
        <f>_xlfn.XLOOKUP($C150,DBGenzai[社員№],DBGenzai[配属先],"",0,1)</f>
        <v/>
      </c>
      <c r="G150" s="111" t="str">
        <f>MID(TablaTransfor[[#This Row],[配属先]],1,8)</f>
        <v/>
      </c>
      <c r="H150" s="111" t="str">
        <f>MID(TablaTransfor[[#This Row],[配属先]],9,6)</f>
        <v/>
      </c>
      <c r="I150" s="111" t="str">
        <f>MID(TablaTransfor[[#This Row],[配属先]],15,12)</f>
        <v/>
      </c>
      <c r="J150" s="111" t="str">
        <f>_xlfn.XLOOKUP($C150,DBGenzai[社員№],DBGenzai[配属ライン],"",0,1)</f>
        <v/>
      </c>
      <c r="K150" s="111" t="str">
        <f>_xlfn.XLOOKUP($C150,DBGenzai[社員№],DBGenzai[氏名],"",0,1)</f>
        <v/>
      </c>
      <c r="L150" s="111" t="str">
        <f>_xlfn.XLOOKUP($C150,DBGenzai[社員№],DBGenzai[カナ],"",0,1)</f>
        <v/>
      </c>
      <c r="M150" s="111" t="str">
        <f>_xlfn.XLOOKUP($C150,DBGenzai[社員№],DBGenzai[性別],"",0,1)</f>
        <v/>
      </c>
      <c r="N150" s="111" t="str">
        <f>_xlfn.XLOOKUP($C150,DBGenzai[社員№],DBGenzai[国籍],"",0,1)</f>
        <v/>
      </c>
      <c r="O150" s="113" t="str">
        <f>_xlfn.XLOOKUP($C150,DBGenzai[社員№],DBGenzai[生年月日],"",0,1)</f>
        <v/>
      </c>
      <c r="P150" s="111" t="str">
        <f>_xlfn.XLOOKUP($C150,DBGenzai[社員№],DBGenzai[年齢],"",0,1)</f>
        <v/>
      </c>
      <c r="Q150" s="111" t="str">
        <f>_xlfn.XLOOKUP($C150,DBGenzai[社員№],DBGenzai[時給],"",0,1)</f>
        <v/>
      </c>
      <c r="R150" s="111" t="str">
        <f>_xlfn.XLOOKUP($C150,DBGenzai[社員№],DBGenzai[請求単価],"",0,1)</f>
        <v/>
      </c>
      <c r="S150" s="111" t="str">
        <f>_xlfn.XLOOKUP($C150,DBGenzai[社員№],DBGenzai[〒],"",0,1)</f>
        <v/>
      </c>
      <c r="T150" s="111" t="str">
        <f>_xlfn.XLOOKUP($C150,DBGenzai[社員№],DBGenzai[住所],"",0,1)</f>
        <v/>
      </c>
      <c r="U150" s="111" t="str">
        <f>_xlfn.XLOOKUP($C150,DBGenzai[社員№],DBGenzai[ｱﾊﾟｰﾄ],"",0,1)</f>
        <v/>
      </c>
      <c r="V150" s="113" t="str">
        <f>_xlfn.XLOOKUP($C150,DBGenzai[社員№],DBGenzai[入居],"",0,1)</f>
        <v/>
      </c>
      <c r="W150" s="113" t="str">
        <f>_xlfn.XLOOKUP($C150,DBGenzai[社員№],DBGenzai[入社日],"",0,1)</f>
        <v/>
      </c>
      <c r="X150" s="113" t="str">
        <f>_xlfn.XLOOKUP($C150,DBGenzai[社員№],DBGenzai[退社日],"",0,1)</f>
        <v/>
      </c>
      <c r="Y150" s="111" t="str">
        <f>_xlfn.XLOOKUP($C150,DBGenzai[社員№],DBGenzai[退去],"",0,1)</f>
        <v/>
      </c>
      <c r="Z150" s="111" t="str">
        <f>_xlfn.XLOOKUP($C150,DBGenzai[社員№],DBGenzai[備考],"",0,1)</f>
        <v/>
      </c>
      <c r="AA150"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0" s="159" t="e">
        <f>(TablaTransfor[[#This Row],[unicos]]-TablaTransfor[[#This Row],[入社日]])/364</f>
        <v>#VALUE!</v>
      </c>
      <c r="AF150" s="251" t="str">
        <f>_xlfn.XLOOKUP($C150,DBGenzai[社員№],DBGenzai[請求単価],"",0,1)</f>
        <v/>
      </c>
    </row>
    <row r="151" spans="1:32" hidden="1">
      <c r="A151" s="111" t="str" cm="1">
        <f t="array" ref="A151">INDEX(DBGenzai[派遣先],MATCH(0,INDEX(COUNTIF($A$148:A150,DBGenzai[派遣先]),),0))</f>
        <v>加藤木材工業 本社</v>
      </c>
      <c r="C151" s="111" t="str">
        <f>_xlfn.XLOOKUP($F$1&amp;B151,Filtro!B:B,Filtro!D:D,"",0,1)</f>
        <v/>
      </c>
      <c r="D151" s="111" t="str">
        <f>_xlfn.XLOOKUP(C151,DBGenzai[社員№],DBGenzai[現在],"",0,1)</f>
        <v/>
      </c>
      <c r="E151" s="111" t="str">
        <f>_xlfn.XLOOKUP($C151,DBGenzai[社員№],DBGenzai[派遣先ID],"",0,1)</f>
        <v/>
      </c>
      <c r="F151" s="111" t="str">
        <f>_xlfn.XLOOKUP($C151,DBGenzai[社員№],DBGenzai[配属先],"",0,1)</f>
        <v/>
      </c>
      <c r="G151" s="111" t="str">
        <f>MID(TablaTransfor[[#This Row],[配属先]],1,8)</f>
        <v/>
      </c>
      <c r="H151" s="111" t="str">
        <f>MID(TablaTransfor[[#This Row],[配属先]],9,6)</f>
        <v/>
      </c>
      <c r="I151" s="111" t="str">
        <f>MID(TablaTransfor[[#This Row],[配属先]],15,12)</f>
        <v/>
      </c>
      <c r="J151" s="111" t="str">
        <f>_xlfn.XLOOKUP($C151,DBGenzai[社員№],DBGenzai[配属ライン],"",0,1)</f>
        <v/>
      </c>
      <c r="K151" s="111" t="str">
        <f>_xlfn.XLOOKUP($C151,DBGenzai[社員№],DBGenzai[氏名],"",0,1)</f>
        <v/>
      </c>
      <c r="L151" s="111" t="str">
        <f>_xlfn.XLOOKUP($C151,DBGenzai[社員№],DBGenzai[カナ],"",0,1)</f>
        <v/>
      </c>
      <c r="M151" s="111" t="str">
        <f>_xlfn.XLOOKUP($C151,DBGenzai[社員№],DBGenzai[性別],"",0,1)</f>
        <v/>
      </c>
      <c r="N151" s="111" t="str">
        <f>_xlfn.XLOOKUP($C151,DBGenzai[社員№],DBGenzai[国籍],"",0,1)</f>
        <v/>
      </c>
      <c r="O151" s="113" t="str">
        <f>_xlfn.XLOOKUP($C151,DBGenzai[社員№],DBGenzai[生年月日],"",0,1)</f>
        <v/>
      </c>
      <c r="P151" s="111" t="str">
        <f>_xlfn.XLOOKUP($C151,DBGenzai[社員№],DBGenzai[年齢],"",0,1)</f>
        <v/>
      </c>
      <c r="Q151" s="111" t="str">
        <f>_xlfn.XLOOKUP($C151,DBGenzai[社員№],DBGenzai[時給],"",0,1)</f>
        <v/>
      </c>
      <c r="R151" s="111" t="str">
        <f>_xlfn.XLOOKUP($C151,DBGenzai[社員№],DBGenzai[請求単価],"",0,1)</f>
        <v/>
      </c>
      <c r="S151" s="111" t="str">
        <f>_xlfn.XLOOKUP($C151,DBGenzai[社員№],DBGenzai[〒],"",0,1)</f>
        <v/>
      </c>
      <c r="T151" s="111" t="str">
        <f>_xlfn.XLOOKUP($C151,DBGenzai[社員№],DBGenzai[住所],"",0,1)</f>
        <v/>
      </c>
      <c r="U151" s="111" t="str">
        <f>_xlfn.XLOOKUP($C151,DBGenzai[社員№],DBGenzai[ｱﾊﾟｰﾄ],"",0,1)</f>
        <v/>
      </c>
      <c r="V151" s="113" t="str">
        <f>_xlfn.XLOOKUP($C151,DBGenzai[社員№],DBGenzai[入居],"",0,1)</f>
        <v/>
      </c>
      <c r="W151" s="113" t="str">
        <f>_xlfn.XLOOKUP($C151,DBGenzai[社員№],DBGenzai[入社日],"",0,1)</f>
        <v/>
      </c>
      <c r="X151" s="113" t="str">
        <f>_xlfn.XLOOKUP($C151,DBGenzai[社員№],DBGenzai[退社日],"",0,1)</f>
        <v/>
      </c>
      <c r="Y151" s="111" t="str">
        <f>_xlfn.XLOOKUP($C151,DBGenzai[社員№],DBGenzai[退去],"",0,1)</f>
        <v/>
      </c>
      <c r="Z151" s="111" t="str">
        <f>_xlfn.XLOOKUP($C151,DBGenzai[社員№],DBGenzai[備考],"",0,1)</f>
        <v/>
      </c>
      <c r="AA151"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1" s="159" t="e">
        <f>(TablaTransfor[[#This Row],[unicos]]-TablaTransfor[[#This Row],[入社日]])/364</f>
        <v>#VALUE!</v>
      </c>
      <c r="AF151" s="251" t="str">
        <f>_xlfn.XLOOKUP($C151,DBGenzai[社員№],DBGenzai[請求単価],"",0,1)</f>
        <v/>
      </c>
    </row>
    <row r="152" spans="1:32" hidden="1">
      <c r="A152" s="111" t="str" cm="1">
        <f t="array" ref="A152">INDEX(DBGenzai[派遣先],MATCH(0,INDEX(COUNTIF($A$148:A151,DBGenzai[派遣先]),),0))</f>
        <v>加藤木材工業 春日井</v>
      </c>
      <c r="C152" s="111" t="str">
        <f>_xlfn.XLOOKUP($F$1&amp;B152,Filtro!B:B,Filtro!D:D,"",0,1)</f>
        <v/>
      </c>
      <c r="D152" s="111" t="str">
        <f>_xlfn.XLOOKUP(C152,DBGenzai[社員№],DBGenzai[現在],"",0,1)</f>
        <v/>
      </c>
      <c r="E152" s="111" t="str">
        <f>_xlfn.XLOOKUP($C152,DBGenzai[社員№],DBGenzai[派遣先ID],"",0,1)</f>
        <v/>
      </c>
      <c r="F152" s="111" t="str">
        <f>_xlfn.XLOOKUP($C152,DBGenzai[社員№],DBGenzai[配属先],"",0,1)</f>
        <v/>
      </c>
      <c r="G152" s="111" t="str">
        <f>MID(TablaTransfor[[#This Row],[配属先]],1,8)</f>
        <v/>
      </c>
      <c r="H152" s="111" t="str">
        <f>MID(TablaTransfor[[#This Row],[配属先]],9,6)</f>
        <v/>
      </c>
      <c r="I152" s="111" t="str">
        <f>MID(TablaTransfor[[#This Row],[配属先]],15,12)</f>
        <v/>
      </c>
      <c r="J152" s="111" t="str">
        <f>_xlfn.XLOOKUP($C152,DBGenzai[社員№],DBGenzai[配属ライン],"",0,1)</f>
        <v/>
      </c>
      <c r="K152" s="111" t="str">
        <f>_xlfn.XLOOKUP($C152,DBGenzai[社員№],DBGenzai[氏名],"",0,1)</f>
        <v/>
      </c>
      <c r="L152" s="111" t="str">
        <f>_xlfn.XLOOKUP($C152,DBGenzai[社員№],DBGenzai[カナ],"",0,1)</f>
        <v/>
      </c>
      <c r="M152" s="111" t="str">
        <f>_xlfn.XLOOKUP($C152,DBGenzai[社員№],DBGenzai[性別],"",0,1)</f>
        <v/>
      </c>
      <c r="N152" s="111" t="str">
        <f>_xlfn.XLOOKUP($C152,DBGenzai[社員№],DBGenzai[国籍],"",0,1)</f>
        <v/>
      </c>
      <c r="O152" s="113" t="str">
        <f>_xlfn.XLOOKUP($C152,DBGenzai[社員№],DBGenzai[生年月日],"",0,1)</f>
        <v/>
      </c>
      <c r="P152" s="111" t="str">
        <f>_xlfn.XLOOKUP($C152,DBGenzai[社員№],DBGenzai[年齢],"",0,1)</f>
        <v/>
      </c>
      <c r="Q152" s="111" t="str">
        <f>_xlfn.XLOOKUP($C152,DBGenzai[社員№],DBGenzai[時給],"",0,1)</f>
        <v/>
      </c>
      <c r="R152" s="111" t="str">
        <f>_xlfn.XLOOKUP($C152,DBGenzai[社員№],DBGenzai[請求単価],"",0,1)</f>
        <v/>
      </c>
      <c r="S152" s="111" t="str">
        <f>_xlfn.XLOOKUP($C152,DBGenzai[社員№],DBGenzai[〒],"",0,1)</f>
        <v/>
      </c>
      <c r="T152" s="111" t="str">
        <f>_xlfn.XLOOKUP($C152,DBGenzai[社員№],DBGenzai[住所],"",0,1)</f>
        <v/>
      </c>
      <c r="U152" s="111" t="str">
        <f>_xlfn.XLOOKUP($C152,DBGenzai[社員№],DBGenzai[ｱﾊﾟｰﾄ],"",0,1)</f>
        <v/>
      </c>
      <c r="V152" s="113" t="str">
        <f>_xlfn.XLOOKUP($C152,DBGenzai[社員№],DBGenzai[入居],"",0,1)</f>
        <v/>
      </c>
      <c r="W152" s="113" t="str">
        <f>_xlfn.XLOOKUP($C152,DBGenzai[社員№],DBGenzai[入社日],"",0,1)</f>
        <v/>
      </c>
      <c r="X152" s="113" t="str">
        <f>_xlfn.XLOOKUP($C152,DBGenzai[社員№],DBGenzai[退社日],"",0,1)</f>
        <v/>
      </c>
      <c r="Y152" s="111" t="str">
        <f>_xlfn.XLOOKUP($C152,DBGenzai[社員№],DBGenzai[退去],"",0,1)</f>
        <v/>
      </c>
      <c r="Z152" s="111" t="str">
        <f>_xlfn.XLOOKUP($C152,DBGenzai[社員№],DBGenzai[備考],"",0,1)</f>
        <v/>
      </c>
      <c r="AA152"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2" s="159" t="e">
        <f>(TablaTransfor[[#This Row],[unicos]]-TablaTransfor[[#This Row],[入社日]])/364</f>
        <v>#VALUE!</v>
      </c>
      <c r="AF152" s="251" t="str">
        <f>_xlfn.XLOOKUP($C152,DBGenzai[社員№],DBGenzai[請求単価],"",0,1)</f>
        <v/>
      </c>
    </row>
    <row r="153" spans="1:32" hidden="1">
      <c r="A153" s="111" t="str" cm="1">
        <f t="array" ref="A153">INDEX(DBGenzai[派遣先],MATCH(0,INDEX(COUNTIF($A$148:A152,DBGenzai[派遣先]),),0))</f>
        <v>ユアサ工機 本社</v>
      </c>
      <c r="C153" s="111" t="str">
        <f>_xlfn.XLOOKUP($F$1&amp;B153,Filtro!B:B,Filtro!D:D,"",0,1)</f>
        <v/>
      </c>
      <c r="D153" s="111" t="str">
        <f>_xlfn.XLOOKUP(C153,DBGenzai[社員№],DBGenzai[現在],"",0,1)</f>
        <v/>
      </c>
      <c r="E153" s="111" t="str">
        <f>_xlfn.XLOOKUP($C153,DBGenzai[社員№],DBGenzai[派遣先ID],"",0,1)</f>
        <v/>
      </c>
      <c r="F153" s="111" t="str">
        <f>_xlfn.XLOOKUP($C153,DBGenzai[社員№],DBGenzai[配属先],"",0,1)</f>
        <v/>
      </c>
      <c r="G153" s="111" t="str">
        <f>MID(TablaTransfor[[#This Row],[配属先]],1,8)</f>
        <v/>
      </c>
      <c r="H153" s="111" t="str">
        <f>MID(TablaTransfor[[#This Row],[配属先]],9,6)</f>
        <v/>
      </c>
      <c r="I153" s="111" t="str">
        <f>MID(TablaTransfor[[#This Row],[配属先]],15,12)</f>
        <v/>
      </c>
      <c r="J153" s="111" t="str">
        <f>_xlfn.XLOOKUP($C153,DBGenzai[社員№],DBGenzai[配属ライン],"",0,1)</f>
        <v/>
      </c>
      <c r="K153" s="111" t="str">
        <f>_xlfn.XLOOKUP($C153,DBGenzai[社員№],DBGenzai[氏名],"",0,1)</f>
        <v/>
      </c>
      <c r="L153" s="111" t="str">
        <f>_xlfn.XLOOKUP($C153,DBGenzai[社員№],DBGenzai[カナ],"",0,1)</f>
        <v/>
      </c>
      <c r="M153" s="111" t="str">
        <f>_xlfn.XLOOKUP($C153,DBGenzai[社員№],DBGenzai[性別],"",0,1)</f>
        <v/>
      </c>
      <c r="N153" s="111" t="str">
        <f>_xlfn.XLOOKUP($C153,DBGenzai[社員№],DBGenzai[国籍],"",0,1)</f>
        <v/>
      </c>
      <c r="O153" s="113" t="str">
        <f>_xlfn.XLOOKUP($C153,DBGenzai[社員№],DBGenzai[生年月日],"",0,1)</f>
        <v/>
      </c>
      <c r="P153" s="111" t="str">
        <f>_xlfn.XLOOKUP($C153,DBGenzai[社員№],DBGenzai[年齢],"",0,1)</f>
        <v/>
      </c>
      <c r="Q153" s="111" t="str">
        <f>_xlfn.XLOOKUP($C153,DBGenzai[社員№],DBGenzai[時給],"",0,1)</f>
        <v/>
      </c>
      <c r="R153" s="111" t="str">
        <f>_xlfn.XLOOKUP($C153,DBGenzai[社員№],DBGenzai[請求単価],"",0,1)</f>
        <v/>
      </c>
      <c r="S153" s="111" t="str">
        <f>_xlfn.XLOOKUP($C153,DBGenzai[社員№],DBGenzai[〒],"",0,1)</f>
        <v/>
      </c>
      <c r="T153" s="111" t="str">
        <f>_xlfn.XLOOKUP($C153,DBGenzai[社員№],DBGenzai[住所],"",0,1)</f>
        <v/>
      </c>
      <c r="U153" s="111" t="str">
        <f>_xlfn.XLOOKUP($C153,DBGenzai[社員№],DBGenzai[ｱﾊﾟｰﾄ],"",0,1)</f>
        <v/>
      </c>
      <c r="V153" s="113" t="str">
        <f>_xlfn.XLOOKUP($C153,DBGenzai[社員№],DBGenzai[入居],"",0,1)</f>
        <v/>
      </c>
      <c r="W153" s="113" t="str">
        <f>_xlfn.XLOOKUP($C153,DBGenzai[社員№],DBGenzai[入社日],"",0,1)</f>
        <v/>
      </c>
      <c r="X153" s="113" t="str">
        <f>_xlfn.XLOOKUP($C153,DBGenzai[社員№],DBGenzai[退社日],"",0,1)</f>
        <v/>
      </c>
      <c r="Y153" s="111" t="str">
        <f>_xlfn.XLOOKUP($C153,DBGenzai[社員№],DBGenzai[退去],"",0,1)</f>
        <v/>
      </c>
      <c r="Z153" s="111" t="str">
        <f>_xlfn.XLOOKUP($C153,DBGenzai[社員№],DBGenzai[備考],"",0,1)</f>
        <v/>
      </c>
      <c r="AA153"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3" s="159" t="e">
        <f>(TablaTransfor[[#This Row],[unicos]]-TablaTransfor[[#This Row],[入社日]])/364</f>
        <v>#VALUE!</v>
      </c>
      <c r="AF153" s="251" t="str">
        <f>_xlfn.XLOOKUP($C153,DBGenzai[社員№],DBGenzai[請求単価],"",0,1)</f>
        <v/>
      </c>
    </row>
    <row r="154" spans="1:32" hidden="1">
      <c r="A154" s="111" t="str" cm="1">
        <f t="array" ref="A154">INDEX(DBGenzai[派遣先],MATCH(0,INDEX(COUNTIF($A$148:A153,DBGenzai[派遣先]),),0))</f>
        <v>ユアサ工機 新城</v>
      </c>
      <c r="C154" s="111" t="str">
        <f>_xlfn.XLOOKUP($F$1&amp;B154,Filtro!B:B,Filtro!D:D,"",0,1)</f>
        <v/>
      </c>
      <c r="D154" s="111" t="str">
        <f>_xlfn.XLOOKUP(C154,DBGenzai[社員№],DBGenzai[現在],"",0,1)</f>
        <v/>
      </c>
      <c r="E154" s="111" t="str">
        <f>_xlfn.XLOOKUP($C154,DBGenzai[社員№],DBGenzai[派遣先ID],"",0,1)</f>
        <v/>
      </c>
      <c r="F154" s="111" t="str">
        <f>_xlfn.XLOOKUP($C154,DBGenzai[社員№],DBGenzai[配属先],"",0,1)</f>
        <v/>
      </c>
      <c r="G154" s="111" t="str">
        <f>MID(TablaTransfor[[#This Row],[配属先]],1,8)</f>
        <v/>
      </c>
      <c r="H154" s="111" t="str">
        <f>MID(TablaTransfor[[#This Row],[配属先]],9,6)</f>
        <v/>
      </c>
      <c r="I154" s="111" t="str">
        <f>MID(TablaTransfor[[#This Row],[配属先]],15,12)</f>
        <v/>
      </c>
      <c r="J154" s="111" t="str">
        <f>_xlfn.XLOOKUP($C154,DBGenzai[社員№],DBGenzai[配属ライン],"",0,1)</f>
        <v/>
      </c>
      <c r="K154" s="111" t="str">
        <f>_xlfn.XLOOKUP($C154,DBGenzai[社員№],DBGenzai[氏名],"",0,1)</f>
        <v/>
      </c>
      <c r="L154" s="111" t="str">
        <f>_xlfn.XLOOKUP($C154,DBGenzai[社員№],DBGenzai[カナ],"",0,1)</f>
        <v/>
      </c>
      <c r="M154" s="111" t="str">
        <f>_xlfn.XLOOKUP($C154,DBGenzai[社員№],DBGenzai[性別],"",0,1)</f>
        <v/>
      </c>
      <c r="N154" s="111" t="str">
        <f>_xlfn.XLOOKUP($C154,DBGenzai[社員№],DBGenzai[国籍],"",0,1)</f>
        <v/>
      </c>
      <c r="O154" s="113" t="str">
        <f>_xlfn.XLOOKUP($C154,DBGenzai[社員№],DBGenzai[生年月日],"",0,1)</f>
        <v/>
      </c>
      <c r="P154" s="111" t="str">
        <f>_xlfn.XLOOKUP($C154,DBGenzai[社員№],DBGenzai[年齢],"",0,1)</f>
        <v/>
      </c>
      <c r="Q154" s="111" t="str">
        <f>_xlfn.XLOOKUP($C154,DBGenzai[社員№],DBGenzai[時給],"",0,1)</f>
        <v/>
      </c>
      <c r="R154" s="111" t="str">
        <f>_xlfn.XLOOKUP($C154,DBGenzai[社員№],DBGenzai[請求単価],"",0,1)</f>
        <v/>
      </c>
      <c r="S154" s="111" t="str">
        <f>_xlfn.XLOOKUP($C154,DBGenzai[社員№],DBGenzai[〒],"",0,1)</f>
        <v/>
      </c>
      <c r="T154" s="111" t="str">
        <f>_xlfn.XLOOKUP($C154,DBGenzai[社員№],DBGenzai[住所],"",0,1)</f>
        <v/>
      </c>
      <c r="U154" s="111" t="str">
        <f>_xlfn.XLOOKUP($C154,DBGenzai[社員№],DBGenzai[ｱﾊﾟｰﾄ],"",0,1)</f>
        <v/>
      </c>
      <c r="V154" s="113" t="str">
        <f>_xlfn.XLOOKUP($C154,DBGenzai[社員№],DBGenzai[入居],"",0,1)</f>
        <v/>
      </c>
      <c r="W154" s="113" t="str">
        <f>_xlfn.XLOOKUP($C154,DBGenzai[社員№],DBGenzai[入社日],"",0,1)</f>
        <v/>
      </c>
      <c r="X154" s="113" t="str">
        <f>_xlfn.XLOOKUP($C154,DBGenzai[社員№],DBGenzai[退社日],"",0,1)</f>
        <v/>
      </c>
      <c r="Y154" s="111" t="str">
        <f>_xlfn.XLOOKUP($C154,DBGenzai[社員№],DBGenzai[退去],"",0,1)</f>
        <v/>
      </c>
      <c r="Z154" s="111" t="str">
        <f>_xlfn.XLOOKUP($C154,DBGenzai[社員№],DBGenzai[備考],"",0,1)</f>
        <v/>
      </c>
      <c r="AA154"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4" s="159" t="e">
        <f>(TablaTransfor[[#This Row],[unicos]]-TablaTransfor[[#This Row],[入社日]])/364</f>
        <v>#VALUE!</v>
      </c>
      <c r="AF154" s="251" t="str">
        <f>_xlfn.XLOOKUP($C154,DBGenzai[社員№],DBGenzai[請求単価],"",0,1)</f>
        <v/>
      </c>
    </row>
    <row r="155" spans="1:32" hidden="1">
      <c r="A155" s="111" t="str" cm="1">
        <f t="array" ref="A155">INDEX(DBGenzai[派遣先],MATCH(0,INDEX(COUNTIF($A$148:A154,DBGenzai[派遣先]),),0))</f>
        <v>六甲電子</v>
      </c>
      <c r="C155" s="111" t="str">
        <f>_xlfn.XLOOKUP($F$1&amp;B155,Filtro!B:B,Filtro!D:D,"",0,1)</f>
        <v/>
      </c>
      <c r="D155" s="111" t="str">
        <f>_xlfn.XLOOKUP(C155,DBGenzai[社員№],DBGenzai[現在],"",0,1)</f>
        <v/>
      </c>
      <c r="E155" s="111" t="str">
        <f>_xlfn.XLOOKUP($C155,DBGenzai[社員№],DBGenzai[派遣先ID],"",0,1)</f>
        <v/>
      </c>
      <c r="F155" s="111" t="str">
        <f>_xlfn.XLOOKUP($C155,DBGenzai[社員№],DBGenzai[配属先],"",0,1)</f>
        <v/>
      </c>
      <c r="G155" s="111" t="str">
        <f>MID(TablaTransfor[[#This Row],[配属先]],1,8)</f>
        <v/>
      </c>
      <c r="H155" s="111" t="str">
        <f>MID(TablaTransfor[[#This Row],[配属先]],9,6)</f>
        <v/>
      </c>
      <c r="I155" s="111" t="str">
        <f>MID(TablaTransfor[[#This Row],[配属先]],15,12)</f>
        <v/>
      </c>
      <c r="J155" s="111" t="str">
        <f>_xlfn.XLOOKUP($C155,DBGenzai[社員№],DBGenzai[配属ライン],"",0,1)</f>
        <v/>
      </c>
      <c r="K155" s="111" t="str">
        <f>_xlfn.XLOOKUP($C155,DBGenzai[社員№],DBGenzai[氏名],"",0,1)</f>
        <v/>
      </c>
      <c r="L155" s="111" t="str">
        <f>_xlfn.XLOOKUP($C155,DBGenzai[社員№],DBGenzai[カナ],"",0,1)</f>
        <v/>
      </c>
      <c r="M155" s="111" t="str">
        <f>_xlfn.XLOOKUP($C155,DBGenzai[社員№],DBGenzai[性別],"",0,1)</f>
        <v/>
      </c>
      <c r="N155" s="111" t="str">
        <f>_xlfn.XLOOKUP($C155,DBGenzai[社員№],DBGenzai[国籍],"",0,1)</f>
        <v/>
      </c>
      <c r="O155" s="113" t="str">
        <f>_xlfn.XLOOKUP($C155,DBGenzai[社員№],DBGenzai[生年月日],"",0,1)</f>
        <v/>
      </c>
      <c r="P155" s="111" t="str">
        <f>_xlfn.XLOOKUP($C155,DBGenzai[社員№],DBGenzai[年齢],"",0,1)</f>
        <v/>
      </c>
      <c r="Q155" s="111" t="str">
        <f>_xlfn.XLOOKUP($C155,DBGenzai[社員№],DBGenzai[時給],"",0,1)</f>
        <v/>
      </c>
      <c r="R155" s="111" t="str">
        <f>_xlfn.XLOOKUP($C155,DBGenzai[社員№],DBGenzai[請求単価],"",0,1)</f>
        <v/>
      </c>
      <c r="S155" s="111" t="str">
        <f>_xlfn.XLOOKUP($C155,DBGenzai[社員№],DBGenzai[〒],"",0,1)</f>
        <v/>
      </c>
      <c r="T155" s="111" t="str">
        <f>_xlfn.XLOOKUP($C155,DBGenzai[社員№],DBGenzai[住所],"",0,1)</f>
        <v/>
      </c>
      <c r="U155" s="111" t="str">
        <f>_xlfn.XLOOKUP($C155,DBGenzai[社員№],DBGenzai[ｱﾊﾟｰﾄ],"",0,1)</f>
        <v/>
      </c>
      <c r="V155" s="113" t="str">
        <f>_xlfn.XLOOKUP($C155,DBGenzai[社員№],DBGenzai[入居],"",0,1)</f>
        <v/>
      </c>
      <c r="W155" s="113" t="str">
        <f>_xlfn.XLOOKUP($C155,DBGenzai[社員№],DBGenzai[入社日],"",0,1)</f>
        <v/>
      </c>
      <c r="X155" s="113" t="str">
        <f>_xlfn.XLOOKUP($C155,DBGenzai[社員№],DBGenzai[退社日],"",0,1)</f>
        <v/>
      </c>
      <c r="Y155" s="111" t="str">
        <f>_xlfn.XLOOKUP($C155,DBGenzai[社員№],DBGenzai[退去],"",0,1)</f>
        <v/>
      </c>
      <c r="Z155" s="111" t="str">
        <f>_xlfn.XLOOKUP($C155,DBGenzai[社員№],DBGenzai[備考],"",0,1)</f>
        <v/>
      </c>
      <c r="AA155"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5" s="159" t="e">
        <f>(TablaTransfor[[#This Row],[unicos]]-TablaTransfor[[#This Row],[入社日]])/364</f>
        <v>#VALUE!</v>
      </c>
      <c r="AF155" s="251" t="str">
        <f>_xlfn.XLOOKUP($C155,DBGenzai[社員№],DBGenzai[請求単価],"",0,1)</f>
        <v/>
      </c>
    </row>
    <row r="156" spans="1:32" hidden="1">
      <c r="A156" s="111" t="str" cm="1">
        <f t="array" ref="A156">INDEX(DBGenzai[派遣先],MATCH(0,INDEX(COUNTIF($A$148:A155,DBGenzai[派遣先]),),0))</f>
        <v>プレテック</v>
      </c>
      <c r="C156" s="111" t="str">
        <f>_xlfn.XLOOKUP($F$1&amp;B156,Filtro!B:B,Filtro!D:D,"",0,1)</f>
        <v/>
      </c>
      <c r="D156" s="111" t="str">
        <f>_xlfn.XLOOKUP(C156,DBGenzai[社員№],DBGenzai[現在],"",0,1)</f>
        <v/>
      </c>
      <c r="E156" s="111" t="str">
        <f>_xlfn.XLOOKUP($C156,DBGenzai[社員№],DBGenzai[派遣先ID],"",0,1)</f>
        <v/>
      </c>
      <c r="F156" s="111" t="str">
        <f>_xlfn.XLOOKUP($C156,DBGenzai[社員№],DBGenzai[配属先],"",0,1)</f>
        <v/>
      </c>
      <c r="G156" s="111" t="str">
        <f>MID(TablaTransfor[[#This Row],[配属先]],1,8)</f>
        <v/>
      </c>
      <c r="H156" s="111" t="str">
        <f>MID(TablaTransfor[[#This Row],[配属先]],9,6)</f>
        <v/>
      </c>
      <c r="I156" s="111" t="str">
        <f>MID(TablaTransfor[[#This Row],[配属先]],15,12)</f>
        <v/>
      </c>
      <c r="J156" s="111" t="str">
        <f>_xlfn.XLOOKUP($C156,DBGenzai[社員№],DBGenzai[配属ライン],"",0,1)</f>
        <v/>
      </c>
      <c r="K156" s="111" t="str">
        <f>_xlfn.XLOOKUP($C156,DBGenzai[社員№],DBGenzai[氏名],"",0,1)</f>
        <v/>
      </c>
      <c r="L156" s="111" t="str">
        <f>_xlfn.XLOOKUP($C156,DBGenzai[社員№],DBGenzai[カナ],"",0,1)</f>
        <v/>
      </c>
      <c r="M156" s="111" t="str">
        <f>_xlfn.XLOOKUP($C156,DBGenzai[社員№],DBGenzai[性別],"",0,1)</f>
        <v/>
      </c>
      <c r="N156" s="111" t="str">
        <f>_xlfn.XLOOKUP($C156,DBGenzai[社員№],DBGenzai[国籍],"",0,1)</f>
        <v/>
      </c>
      <c r="O156" s="113" t="str">
        <f>_xlfn.XLOOKUP($C156,DBGenzai[社員№],DBGenzai[生年月日],"",0,1)</f>
        <v/>
      </c>
      <c r="P156" s="111" t="str">
        <f>_xlfn.XLOOKUP($C156,DBGenzai[社員№],DBGenzai[年齢],"",0,1)</f>
        <v/>
      </c>
      <c r="Q156" s="111" t="str">
        <f>_xlfn.XLOOKUP($C156,DBGenzai[社員№],DBGenzai[時給],"",0,1)</f>
        <v/>
      </c>
      <c r="R156" s="111" t="str">
        <f>_xlfn.XLOOKUP($C156,DBGenzai[社員№],DBGenzai[請求単価],"",0,1)</f>
        <v/>
      </c>
      <c r="S156" s="111" t="str">
        <f>_xlfn.XLOOKUP($C156,DBGenzai[社員№],DBGenzai[〒],"",0,1)</f>
        <v/>
      </c>
      <c r="T156" s="111" t="str">
        <f>_xlfn.XLOOKUP($C156,DBGenzai[社員№],DBGenzai[住所],"",0,1)</f>
        <v/>
      </c>
      <c r="U156" s="111" t="str">
        <f>_xlfn.XLOOKUP($C156,DBGenzai[社員№],DBGenzai[ｱﾊﾟｰﾄ],"",0,1)</f>
        <v/>
      </c>
      <c r="V156" s="113" t="str">
        <f>_xlfn.XLOOKUP($C156,DBGenzai[社員№],DBGenzai[入居],"",0,1)</f>
        <v/>
      </c>
      <c r="W156" s="113" t="str">
        <f>_xlfn.XLOOKUP($C156,DBGenzai[社員№],DBGenzai[入社日],"",0,1)</f>
        <v/>
      </c>
      <c r="X156" s="113" t="str">
        <f>_xlfn.XLOOKUP($C156,DBGenzai[社員№],DBGenzai[退社日],"",0,1)</f>
        <v/>
      </c>
      <c r="Y156" s="111" t="str">
        <f>_xlfn.XLOOKUP($C156,DBGenzai[社員№],DBGenzai[退去],"",0,1)</f>
        <v/>
      </c>
      <c r="Z156" s="111" t="str">
        <f>_xlfn.XLOOKUP($C156,DBGenzai[社員№],DBGenzai[備考],"",0,1)</f>
        <v/>
      </c>
      <c r="AA156"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6" s="159" t="e">
        <f>(TablaTransfor[[#This Row],[unicos]]-TablaTransfor[[#This Row],[入社日]])/364</f>
        <v>#VALUE!</v>
      </c>
      <c r="AF156" s="251" t="str">
        <f>_xlfn.XLOOKUP($C156,DBGenzai[社員№],DBGenzai[請求単価],"",0,1)</f>
        <v/>
      </c>
    </row>
    <row r="157" spans="1:32" hidden="1">
      <c r="A157" s="111" t="str" cm="1">
        <f t="array" ref="A157">INDEX(DBGenzai[派遣先],MATCH(0,INDEX(COUNTIF($A$148:A156,DBGenzai[派遣先]),),0))</f>
        <v>ﾌｪﾆﾃｯｸｾﾐｺﾝﾀﾞｸﾀｰ 岡山</v>
      </c>
      <c r="C157" s="111" t="str">
        <f>_xlfn.XLOOKUP($F$1&amp;B157,Filtro!B:B,Filtro!D:D,"",0,1)</f>
        <v/>
      </c>
      <c r="D157" s="111" t="str">
        <f>_xlfn.XLOOKUP(C157,DBGenzai[社員№],DBGenzai[現在],"",0,1)</f>
        <v/>
      </c>
      <c r="E157" s="111" t="str">
        <f>_xlfn.XLOOKUP($C157,DBGenzai[社員№],DBGenzai[派遣先ID],"",0,1)</f>
        <v/>
      </c>
      <c r="F157" s="111" t="str">
        <f>_xlfn.XLOOKUP($C157,DBGenzai[社員№],DBGenzai[配属先],"",0,1)</f>
        <v/>
      </c>
      <c r="G157" s="111" t="str">
        <f>MID(TablaTransfor[[#This Row],[配属先]],1,8)</f>
        <v/>
      </c>
      <c r="H157" s="111" t="str">
        <f>MID(TablaTransfor[[#This Row],[配属先]],9,6)</f>
        <v/>
      </c>
      <c r="I157" s="111" t="str">
        <f>MID(TablaTransfor[[#This Row],[配属先]],15,12)</f>
        <v/>
      </c>
      <c r="J157" s="111" t="str">
        <f>_xlfn.XLOOKUP($C157,DBGenzai[社員№],DBGenzai[配属ライン],"",0,1)</f>
        <v/>
      </c>
      <c r="K157" s="111" t="str">
        <f>_xlfn.XLOOKUP($C157,DBGenzai[社員№],DBGenzai[氏名],"",0,1)</f>
        <v/>
      </c>
      <c r="L157" s="111" t="str">
        <f>_xlfn.XLOOKUP($C157,DBGenzai[社員№],DBGenzai[カナ],"",0,1)</f>
        <v/>
      </c>
      <c r="M157" s="111" t="str">
        <f>_xlfn.XLOOKUP($C157,DBGenzai[社員№],DBGenzai[性別],"",0,1)</f>
        <v/>
      </c>
      <c r="N157" s="111" t="str">
        <f>_xlfn.XLOOKUP($C157,DBGenzai[社員№],DBGenzai[国籍],"",0,1)</f>
        <v/>
      </c>
      <c r="O157" s="113" t="str">
        <f>_xlfn.XLOOKUP($C157,DBGenzai[社員№],DBGenzai[生年月日],"",0,1)</f>
        <v/>
      </c>
      <c r="P157" s="111" t="str">
        <f>_xlfn.XLOOKUP($C157,DBGenzai[社員№],DBGenzai[年齢],"",0,1)</f>
        <v/>
      </c>
      <c r="Q157" s="111" t="str">
        <f>_xlfn.XLOOKUP($C157,DBGenzai[社員№],DBGenzai[時給],"",0,1)</f>
        <v/>
      </c>
      <c r="R157" s="111" t="str">
        <f>_xlfn.XLOOKUP($C157,DBGenzai[社員№],DBGenzai[請求単価],"",0,1)</f>
        <v/>
      </c>
      <c r="S157" s="111" t="str">
        <f>_xlfn.XLOOKUP($C157,DBGenzai[社員№],DBGenzai[〒],"",0,1)</f>
        <v/>
      </c>
      <c r="T157" s="111" t="str">
        <f>_xlfn.XLOOKUP($C157,DBGenzai[社員№],DBGenzai[住所],"",0,1)</f>
        <v/>
      </c>
      <c r="U157" s="111" t="str">
        <f>_xlfn.XLOOKUP($C157,DBGenzai[社員№],DBGenzai[ｱﾊﾟｰﾄ],"",0,1)</f>
        <v/>
      </c>
      <c r="V157" s="113" t="str">
        <f>_xlfn.XLOOKUP($C157,DBGenzai[社員№],DBGenzai[入居],"",0,1)</f>
        <v/>
      </c>
      <c r="W157" s="113" t="str">
        <f>_xlfn.XLOOKUP($C157,DBGenzai[社員№],DBGenzai[入社日],"",0,1)</f>
        <v/>
      </c>
      <c r="X157" s="113" t="str">
        <f>_xlfn.XLOOKUP($C157,DBGenzai[社員№],DBGenzai[退社日],"",0,1)</f>
        <v/>
      </c>
      <c r="Y157" s="111" t="str">
        <f>_xlfn.XLOOKUP($C157,DBGenzai[社員№],DBGenzai[退去],"",0,1)</f>
        <v/>
      </c>
      <c r="Z157" s="111" t="str">
        <f>_xlfn.XLOOKUP($C157,DBGenzai[社員№],DBGenzai[備考],"",0,1)</f>
        <v/>
      </c>
      <c r="AA157"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7" s="159" t="e">
        <f>(TablaTransfor[[#This Row],[unicos]]-TablaTransfor[[#This Row],[入社日]])/364</f>
        <v>#VALUE!</v>
      </c>
      <c r="AF157" s="251" t="str">
        <f>_xlfn.XLOOKUP($C157,DBGenzai[社員№],DBGenzai[請求単価],"",0,1)</f>
        <v/>
      </c>
    </row>
    <row r="158" spans="1:32" hidden="1">
      <c r="A158" s="111" t="str" cm="1">
        <f t="array" ref="A158">INDEX(DBGenzai[派遣先],MATCH(0,INDEX(COUNTIF($A$148:A157,DBGenzai[派遣先]),),0))</f>
        <v>高雄工業 本社</v>
      </c>
      <c r="C158" s="111" t="str">
        <f>_xlfn.XLOOKUP($F$1&amp;B158,Filtro!B:B,Filtro!D:D,"",0,1)</f>
        <v/>
      </c>
      <c r="D158" s="111" t="str">
        <f>_xlfn.XLOOKUP(C158,DBGenzai[社員№],DBGenzai[現在],"",0,1)</f>
        <v/>
      </c>
      <c r="E158" s="111" t="str">
        <f>_xlfn.XLOOKUP($C158,DBGenzai[社員№],DBGenzai[派遣先ID],"",0,1)</f>
        <v/>
      </c>
      <c r="F158" s="111" t="str">
        <f>_xlfn.XLOOKUP($C158,DBGenzai[社員№],DBGenzai[配属先],"",0,1)</f>
        <v/>
      </c>
      <c r="G158" s="111" t="str">
        <f>MID(TablaTransfor[[#This Row],[配属先]],1,8)</f>
        <v/>
      </c>
      <c r="H158" s="111" t="str">
        <f>MID(TablaTransfor[[#This Row],[配属先]],9,6)</f>
        <v/>
      </c>
      <c r="I158" s="111" t="str">
        <f>MID(TablaTransfor[[#This Row],[配属先]],15,12)</f>
        <v/>
      </c>
      <c r="J158" s="111" t="str">
        <f>_xlfn.XLOOKUP($C158,DBGenzai[社員№],DBGenzai[配属ライン],"",0,1)</f>
        <v/>
      </c>
      <c r="K158" s="111" t="str">
        <f>_xlfn.XLOOKUP($C158,DBGenzai[社員№],DBGenzai[氏名],"",0,1)</f>
        <v/>
      </c>
      <c r="L158" s="111" t="str">
        <f>_xlfn.XLOOKUP($C158,DBGenzai[社員№],DBGenzai[カナ],"",0,1)</f>
        <v/>
      </c>
      <c r="M158" s="111" t="str">
        <f>_xlfn.XLOOKUP($C158,DBGenzai[社員№],DBGenzai[性別],"",0,1)</f>
        <v/>
      </c>
      <c r="N158" s="111" t="str">
        <f>_xlfn.XLOOKUP($C158,DBGenzai[社員№],DBGenzai[国籍],"",0,1)</f>
        <v/>
      </c>
      <c r="O158" s="113" t="str">
        <f>_xlfn.XLOOKUP($C158,DBGenzai[社員№],DBGenzai[生年月日],"",0,1)</f>
        <v/>
      </c>
      <c r="P158" s="111" t="str">
        <f>_xlfn.XLOOKUP($C158,DBGenzai[社員№],DBGenzai[年齢],"",0,1)</f>
        <v/>
      </c>
      <c r="Q158" s="111" t="str">
        <f>_xlfn.XLOOKUP($C158,DBGenzai[社員№],DBGenzai[時給],"",0,1)</f>
        <v/>
      </c>
      <c r="R158" s="111" t="str">
        <f>_xlfn.XLOOKUP($C158,DBGenzai[社員№],DBGenzai[請求単価],"",0,1)</f>
        <v/>
      </c>
      <c r="S158" s="111" t="str">
        <f>_xlfn.XLOOKUP($C158,DBGenzai[社員№],DBGenzai[〒],"",0,1)</f>
        <v/>
      </c>
      <c r="T158" s="111" t="str">
        <f>_xlfn.XLOOKUP($C158,DBGenzai[社員№],DBGenzai[住所],"",0,1)</f>
        <v/>
      </c>
      <c r="U158" s="111" t="str">
        <f>_xlfn.XLOOKUP($C158,DBGenzai[社員№],DBGenzai[ｱﾊﾟｰﾄ],"",0,1)</f>
        <v/>
      </c>
      <c r="V158" s="113" t="str">
        <f>_xlfn.XLOOKUP($C158,DBGenzai[社員№],DBGenzai[入居],"",0,1)</f>
        <v/>
      </c>
      <c r="W158" s="113" t="str">
        <f>_xlfn.XLOOKUP($C158,DBGenzai[社員№],DBGenzai[入社日],"",0,1)</f>
        <v/>
      </c>
      <c r="X158" s="113" t="str">
        <f>_xlfn.XLOOKUP($C158,DBGenzai[社員№],DBGenzai[退社日],"",0,1)</f>
        <v/>
      </c>
      <c r="Y158" s="111" t="str">
        <f>_xlfn.XLOOKUP($C158,DBGenzai[社員№],DBGenzai[退去],"",0,1)</f>
        <v/>
      </c>
      <c r="Z158" s="111" t="str">
        <f>_xlfn.XLOOKUP($C158,DBGenzai[社員№],DBGenzai[備考],"",0,1)</f>
        <v/>
      </c>
      <c r="AA158"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8" s="159" t="e">
        <f>(TablaTransfor[[#This Row],[unicos]]-TablaTransfor[[#This Row],[入社日]])/364</f>
        <v>#VALUE!</v>
      </c>
      <c r="AF158" s="251" t="str">
        <f>_xlfn.XLOOKUP($C158,DBGenzai[社員№],DBGenzai[請求単価],"",0,1)</f>
        <v/>
      </c>
    </row>
    <row r="159" spans="1:32" hidden="1">
      <c r="A159" s="111" t="str" cm="1">
        <f t="array" ref="A159">INDEX(DBGenzai[派遣先],MATCH(0,INDEX(COUNTIF($A$148:A158,DBGenzai[派遣先]),),0))</f>
        <v>高雄工業 海南第一</v>
      </c>
      <c r="C159" s="111" t="str">
        <f>_xlfn.XLOOKUP($F$1&amp;B159,Filtro!B:B,Filtro!D:D,"",0,1)</f>
        <v/>
      </c>
      <c r="D159" s="111" t="str">
        <f>_xlfn.XLOOKUP(C159,DBGenzai[社員№],DBGenzai[現在],"",0,1)</f>
        <v/>
      </c>
      <c r="E159" s="111" t="str">
        <f>_xlfn.XLOOKUP($C159,DBGenzai[社員№],DBGenzai[派遣先ID],"",0,1)</f>
        <v/>
      </c>
      <c r="F159" s="111" t="str">
        <f>_xlfn.XLOOKUP($C159,DBGenzai[社員№],DBGenzai[配属先],"",0,1)</f>
        <v/>
      </c>
      <c r="G159" s="111" t="str">
        <f>MID(TablaTransfor[[#This Row],[配属先]],1,8)</f>
        <v/>
      </c>
      <c r="H159" s="111" t="str">
        <f>MID(TablaTransfor[[#This Row],[配属先]],9,6)</f>
        <v/>
      </c>
      <c r="I159" s="111" t="str">
        <f>MID(TablaTransfor[[#This Row],[配属先]],15,12)</f>
        <v/>
      </c>
      <c r="J159" s="111" t="str">
        <f>_xlfn.XLOOKUP($C159,DBGenzai[社員№],DBGenzai[配属ライン],"",0,1)</f>
        <v/>
      </c>
      <c r="K159" s="111" t="str">
        <f>_xlfn.XLOOKUP($C159,DBGenzai[社員№],DBGenzai[氏名],"",0,1)</f>
        <v/>
      </c>
      <c r="L159" s="111" t="str">
        <f>_xlfn.XLOOKUP($C159,DBGenzai[社員№],DBGenzai[カナ],"",0,1)</f>
        <v/>
      </c>
      <c r="M159" s="111" t="str">
        <f>_xlfn.XLOOKUP($C159,DBGenzai[社員№],DBGenzai[性別],"",0,1)</f>
        <v/>
      </c>
      <c r="N159" s="111" t="str">
        <f>_xlfn.XLOOKUP($C159,DBGenzai[社員№],DBGenzai[国籍],"",0,1)</f>
        <v/>
      </c>
      <c r="O159" s="113" t="str">
        <f>_xlfn.XLOOKUP($C159,DBGenzai[社員№],DBGenzai[生年月日],"",0,1)</f>
        <v/>
      </c>
      <c r="P159" s="111" t="str">
        <f>_xlfn.XLOOKUP($C159,DBGenzai[社員№],DBGenzai[年齢],"",0,1)</f>
        <v/>
      </c>
      <c r="Q159" s="111" t="str">
        <f>_xlfn.XLOOKUP($C159,DBGenzai[社員№],DBGenzai[時給],"",0,1)</f>
        <v/>
      </c>
      <c r="R159" s="111" t="str">
        <f>_xlfn.XLOOKUP($C159,DBGenzai[社員№],DBGenzai[請求単価],"",0,1)</f>
        <v/>
      </c>
      <c r="S159" s="111" t="str">
        <f>_xlfn.XLOOKUP($C159,DBGenzai[社員№],DBGenzai[〒],"",0,1)</f>
        <v/>
      </c>
      <c r="T159" s="111" t="str">
        <f>_xlfn.XLOOKUP($C159,DBGenzai[社員№],DBGenzai[住所],"",0,1)</f>
        <v/>
      </c>
      <c r="U159" s="111" t="str">
        <f>_xlfn.XLOOKUP($C159,DBGenzai[社員№],DBGenzai[ｱﾊﾟｰﾄ],"",0,1)</f>
        <v/>
      </c>
      <c r="V159" s="113" t="str">
        <f>_xlfn.XLOOKUP($C159,DBGenzai[社員№],DBGenzai[入居],"",0,1)</f>
        <v/>
      </c>
      <c r="W159" s="113" t="str">
        <f>_xlfn.XLOOKUP($C159,DBGenzai[社員№],DBGenzai[入社日],"",0,1)</f>
        <v/>
      </c>
      <c r="X159" s="113" t="str">
        <f>_xlfn.XLOOKUP($C159,DBGenzai[社員№],DBGenzai[退社日],"",0,1)</f>
        <v/>
      </c>
      <c r="Y159" s="111" t="str">
        <f>_xlfn.XLOOKUP($C159,DBGenzai[社員№],DBGenzai[退去],"",0,1)</f>
        <v/>
      </c>
      <c r="Z159" s="111" t="str">
        <f>_xlfn.XLOOKUP($C159,DBGenzai[社員№],DBGenzai[備考],"",0,1)</f>
        <v/>
      </c>
      <c r="AA159" s="113" t="b">
        <f>IF(AND(TablaTransfor[[#This Row],[入社日]]&gt;dosmilcero,TablaTransfor[[#This Row],[入社日]]&lt;dosmiluno),dosmiluno,IF(AND(TablaTransfor[[#This Row],[入社日]]&gt;dosmiluno,TablaTransfor[[#This Row],[入社日]]&lt;dosmildos),dosmildos,IF(AND(TablaTransfor[[#This Row],[入社日]]&gt;dosmildos,TablaTransfor[[#This Row],[入社日]]&lt;dosmiltres),dosmiltres,IF(AND(TablaTransfor[[#This Row],[入社日]]&gt;dosmiltres,TablaTransfor[[#This Row],[入社日]]&lt;dosmilcuatro),dosmilcuatro,IF(AND(TablaTransfor[[#This Row],[入社日]]&gt;dosmilcuatro,TablaTransfor[[#This Row],[入社日]]&lt;DOSMILCINCO),DOSMILCINCO,IF(AND(TablaTransfor[[#This Row],[入社日]]&gt;DOSMILCINCO,TablaTransfor[[#This Row],[入社日]]&lt;DOSMILSEIS),DOSMILSEIS))))))</f>
        <v>0</v>
      </c>
      <c r="AB159" s="159" t="e">
        <f>(TablaTransfor[[#This Row],[unicos]]-TablaTransfor[[#This Row],[入社日]])/364</f>
        <v>#VALUE!</v>
      </c>
      <c r="AF159" s="251" t="str">
        <f>_xlfn.XLOOKUP($C159,DBGenzai[社員№],DBGenzai[請求単価],"",0,1)</f>
        <v/>
      </c>
    </row>
    <row r="160" spans="1:32">
      <c r="A160" s="111" t="str" cm="1">
        <f t="array" ref="A160">INDEX(DBGenzai[派遣先],MATCH(0,INDEX(COUNTIF($A$148:A159,DBGenzai[派遣先]),),0))</f>
        <v>高雄工業 海南第二</v>
      </c>
    </row>
    <row r="161" spans="1:1">
      <c r="A161" s="111" t="str" cm="1">
        <f t="array" ref="A161">INDEX(DBGenzai[派遣先],MATCH(0,INDEX(COUNTIF($A$148:A160,DBGenzai[派遣先]),),0))</f>
        <v>高雄工業 岡山</v>
      </c>
    </row>
    <row r="162" spans="1:1">
      <c r="A162" s="111" t="str" cm="1">
        <f t="array" ref="A162">INDEX(DBGenzai[派遣先],MATCH(0,INDEX(COUNTIF($A$148:A161,DBGenzai[派遣先]),),0))</f>
        <v>高雄工業 静岡</v>
      </c>
    </row>
    <row r="163" spans="1:1">
      <c r="A163" s="111" t="str" cm="1">
        <f t="array" ref="A163">INDEX(DBGenzai[派遣先],MATCH(0,INDEX(COUNTIF($A$148:A162,DBGenzai[派遣先]),),0))</f>
        <v>瑞陵精機</v>
      </c>
    </row>
    <row r="164" spans="1:1">
      <c r="A164" s="111" t="str" cm="1">
        <f t="array" ref="A164">INDEX(DBGenzai[派遣先],MATCH(0,INDEX(COUNTIF($A$148:A163,DBGenzai[派遣先]),),0))</f>
        <v>セイビテック</v>
      </c>
    </row>
    <row r="165" spans="1:1">
      <c r="A165" s="111" t="str" cm="1">
        <f t="array" ref="A165">INDEX(DBGenzai[派遣先],MATCH(0,INDEX(COUNTIF($A$148:A164,DBGenzai[派遣先]),),0))</f>
        <v>コーリツ 乙川</v>
      </c>
    </row>
    <row r="166" spans="1:1">
      <c r="A166" s="111" t="str" cm="1">
        <f t="array" ref="A166">INDEX(DBGenzai[派遣先],MATCH(0,INDEX(COUNTIF($A$148:A165,DBGenzai[派遣先]),),0))</f>
        <v>コーリツ 州の崎</v>
      </c>
    </row>
    <row r="167" spans="1:1">
      <c r="A167" s="111" t="str" cm="1">
        <f t="array" ref="A167">INDEX(DBGenzai[派遣先],MATCH(0,INDEX(COUNTIF($A$148:A166,DBGenzai[派遣先]),),0))</f>
        <v>コーリツ 亀崎</v>
      </c>
    </row>
    <row r="168" spans="1:1">
      <c r="A168" s="111" t="str" cm="1">
        <f t="array" ref="A168">INDEX(DBGenzai[派遣先],MATCH(0,INDEX(COUNTIF($A$148:A167,DBGenzai[派遣先]),),0))</f>
        <v>コーリツ 本社</v>
      </c>
    </row>
    <row r="169" spans="1:1">
      <c r="A169" s="111" t="str" cm="1">
        <f t="array" ref="A169">INDEX(DBGenzai[派遣先],MATCH(0,INDEX(COUNTIF($A$148:A168,DBGenzai[派遣先]),),0))</f>
        <v>オーツカ</v>
      </c>
    </row>
    <row r="170" spans="1:1">
      <c r="A170" s="111" t="str" cm="1">
        <f t="array" ref="A170">INDEX(DBGenzai[派遣先],MATCH(0,INDEX(COUNTIF($A$148:A169,DBGenzai[派遣先]),),0))</f>
        <v>川原鉄工所</v>
      </c>
    </row>
    <row r="171" spans="1:1">
      <c r="A171" s="111" t="str" cm="1">
        <f t="array" ref="A171">INDEX(DBGenzai[派遣先],MATCH(0,INDEX(COUNTIF($A$148:A170,DBGenzai[派遣先]),),0))</f>
        <v>名古屋</v>
      </c>
    </row>
    <row r="172" spans="1:1">
      <c r="A172" s="111" t="str" cm="1">
        <f t="array" ref="A172">INDEX(DBGenzai[派遣先],MATCH(0,INDEX(COUNTIF($A$148:A171,DBGenzai[派遣先]),),0))</f>
        <v>PATEC</v>
      </c>
    </row>
    <row r="173" spans="1:1">
      <c r="A173" s="111" t="str" cm="1">
        <f t="array" ref="A173">INDEX(DBGenzai[派遣先],MATCH(0,INDEX(COUNTIF($A$148:A172,DBGenzai[派遣先]),),0))</f>
        <v>ﾌｪﾆﾃｯｸｾﾐｺﾝﾀﾞｸﾀｰ 鹿児島</v>
      </c>
    </row>
    <row r="174" spans="1:1">
      <c r="A174" s="111" t="str" cm="1">
        <f t="array" ref="A174">INDEX(DBGenzai[派遣先],MATCH(0,INDEX(COUNTIF($A$148:A173,DBGenzai[派遣先]),),0))</f>
        <v>三芳</v>
      </c>
    </row>
    <row r="175" spans="1:1">
      <c r="A175" s="111" t="str" cm="1">
        <f t="array" ref="A175">INDEX(DBGenzai[派遣先],MATCH(0,INDEX(COUNTIF($A$148:A174,DBGenzai[派遣先]),),0))</f>
        <v>西岡工作所</v>
      </c>
    </row>
    <row r="176" spans="1:1">
      <c r="A176" s="111" t="str" cm="1">
        <f t="array" ref="A176">INDEX(DBGenzai[派遣先],MATCH(0,INDEX(COUNTIF($A$148:A175,DBGenzai[派遣先]),),0))</f>
        <v>ワーク 岡山</v>
      </c>
    </row>
    <row r="177" spans="1:1">
      <c r="A177" s="111" t="str" cm="1">
        <f t="array" ref="A177">INDEX(DBGenzai[派遣先],MATCH(0,INDEX(COUNTIF($A$148:A176,DBGenzai[派遣先]),),0))</f>
        <v>ワーク 志紀</v>
      </c>
    </row>
    <row r="178" spans="1:1">
      <c r="A178" s="111" t="str" cm="1">
        <f t="array" ref="A178">INDEX(DBGenzai[派遣先],MATCH(0,INDEX(COUNTIF($A$148:A177,DBGenzai[派遣先]),),0))</f>
        <v>ワーク 堺</v>
      </c>
    </row>
    <row r="179" spans="1:1">
      <c r="A179" s="111" t="str" cm="1">
        <f t="array" ref="A179">INDEX(DBGenzai[派遣先],MATCH(0,INDEX(COUNTIF($A$148:A178,DBGenzai[派遣先]),),0))</f>
        <v>新日本ﾎｲｰﾙ工業</v>
      </c>
    </row>
    <row r="180" spans="1:1">
      <c r="A180" s="111" t="str" cm="1">
        <f t="array" ref="A180">INDEX(DBGenzai[派遣先],MATCH(0,INDEX(COUNTIF($A$148:A179,DBGenzai[派遣先]),),0))</f>
        <v>ユアサ工機 御津</v>
      </c>
    </row>
  </sheetData>
  <mergeCells count="1">
    <mergeCell ref="B1:E1"/>
  </mergeCells>
  <phoneticPr fontId="9" type="noConversion"/>
  <dataValidations count="3">
    <dataValidation type="custom" allowBlank="1" showInputMessage="1" showErrorMessage="1" sqref="K1" xr:uid="{6B9387CE-E508-4944-9885-0C6078B97974}">
      <formula1>_xlfn.UNIQUE(F14:F38,FALSE,TRUE)</formula1>
    </dataValidation>
    <dataValidation type="list" allowBlank="1" showInputMessage="1" showErrorMessage="1" sqref="F1" xr:uid="{C34678CE-73E3-4409-91A6-665081394B8B}">
      <formula1>$A$149:$A$180</formula1>
    </dataValidation>
    <dataValidation type="list" allowBlank="1" showInputMessage="1" showErrorMessage="1" sqref="AA1" xr:uid="{A7311B1C-2699-4E66-A91E-0C0E7BDB4BA4}">
      <formula1>"2021/9/30,2022/9/30,2023/9/30"</formula1>
    </dataValidation>
  </dataValidations>
  <pageMargins left="0.23622047244094491" right="0.23622047244094491" top="0.15748031496062992" bottom="0.74803149606299213" header="0.19685039370078741" footer="0.31496062992125984"/>
  <pageSetup paperSize="12" scale="54" orientation="landscape"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EEB4AB8-D6FE-4751-A9DC-367AFFC99572}">
          <x14:formula1>
            <xm:f>DBGenzai!$D:$D</xm:f>
          </x14:formula1>
          <xm:sqref>L1:M1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28A67-94E9-41FA-BCEE-6C0D415ED2A1}">
  <sheetPr codeName="Hoja4">
    <pageSetUpPr fitToPage="1"/>
  </sheetPr>
  <dimension ref="A1:AF41"/>
  <sheetViews>
    <sheetView topLeftCell="D1" workbookViewId="0">
      <selection activeCell="L38" sqref="L38"/>
    </sheetView>
  </sheetViews>
  <sheetFormatPr baseColWidth="10" defaultColWidth="11" defaultRowHeight="13.5"/>
  <cols>
    <col min="1" max="2" width="16.875" style="104" bestFit="1" customWidth="1"/>
    <col min="3" max="3" width="12.75" style="104" bestFit="1" customWidth="1"/>
    <col min="4" max="4" width="15.875" style="104" customWidth="1"/>
    <col min="5" max="5" width="18" style="104" bestFit="1" customWidth="1"/>
    <col min="6" max="9" width="12.75" style="104" customWidth="1"/>
    <col min="10" max="10" width="18" style="104" bestFit="1" customWidth="1"/>
    <col min="11" max="11" width="18.25" style="104" bestFit="1" customWidth="1"/>
    <col min="12" max="12" width="18.375" style="104" bestFit="1" customWidth="1"/>
    <col min="13" max="13" width="20" style="104" bestFit="1" customWidth="1"/>
    <col min="14" max="14" width="18.375" style="104" bestFit="1" customWidth="1"/>
    <col min="15" max="15" width="11.375" style="104" bestFit="1" customWidth="1"/>
    <col min="16" max="16" width="15.375" style="104" bestFit="1" customWidth="1"/>
    <col min="17" max="18" width="14.25" style="104" bestFit="1" customWidth="1"/>
    <col min="19" max="19" width="16.75" style="104" customWidth="1"/>
    <col min="20" max="20" width="12.875" style="104" customWidth="1"/>
    <col min="21" max="21" width="12.125" style="104" customWidth="1"/>
    <col min="22" max="22" width="11" style="104"/>
    <col min="23" max="23" width="50.5" style="104" bestFit="1" customWidth="1"/>
    <col min="24" max="25" width="54.375" style="104" bestFit="1" customWidth="1"/>
    <col min="26" max="26" width="33.875" style="104" bestFit="1" customWidth="1"/>
    <col min="27" max="27" width="45.75" style="104" bestFit="1" customWidth="1"/>
    <col min="28" max="28" width="42.125" style="104" bestFit="1" customWidth="1"/>
    <col min="29" max="29" width="50.5" style="104" bestFit="1" customWidth="1"/>
    <col min="30" max="31" width="54.375" style="104" bestFit="1" customWidth="1"/>
    <col min="32" max="32" width="25.5" style="104" bestFit="1" customWidth="1"/>
    <col min="33" max="16384" width="11" style="104"/>
  </cols>
  <sheetData>
    <row r="1" spans="1:32" ht="12.75" customHeight="1">
      <c r="A1" s="103" t="s">
        <v>2523</v>
      </c>
      <c r="B1" s="110" t="s">
        <v>2524</v>
      </c>
      <c r="C1" s="108" t="s">
        <v>2525</v>
      </c>
      <c r="D1" s="109" t="s">
        <v>2528</v>
      </c>
      <c r="E1" s="107" t="s">
        <v>2538</v>
      </c>
      <c r="F1" s="107" t="s">
        <v>2373</v>
      </c>
      <c r="G1" s="107" t="s">
        <v>2405</v>
      </c>
      <c r="H1" s="107" t="s">
        <v>709</v>
      </c>
      <c r="I1" s="107" t="s">
        <v>871</v>
      </c>
      <c r="J1" s="107" t="s">
        <v>2370</v>
      </c>
      <c r="K1" s="107" t="s">
        <v>2377</v>
      </c>
      <c r="L1" s="107" t="s">
        <v>2374</v>
      </c>
      <c r="N1" s="103" t="s">
        <v>2537</v>
      </c>
      <c r="O1" s="107" t="s">
        <v>2551</v>
      </c>
    </row>
    <row r="2" spans="1:32">
      <c r="A2" s="110" t="s">
        <v>2524</v>
      </c>
      <c r="B2" s="108" t="s">
        <v>2525</v>
      </c>
      <c r="C2" s="109" t="s">
        <v>2528</v>
      </c>
      <c r="D2" s="103" t="s">
        <v>2537</v>
      </c>
      <c r="E2" s="107" t="s">
        <v>2373</v>
      </c>
      <c r="F2" s="104">
        <v>1780</v>
      </c>
      <c r="G2" s="104">
        <v>1650</v>
      </c>
      <c r="J2" s="104">
        <v>1780</v>
      </c>
      <c r="K2" s="104">
        <v>1770</v>
      </c>
      <c r="L2" s="104">
        <v>1780</v>
      </c>
      <c r="N2" s="107" t="s">
        <v>2551</v>
      </c>
      <c r="O2" s="104" t="s">
        <v>2535</v>
      </c>
    </row>
    <row r="3" spans="1:32">
      <c r="B3" s="108" t="s">
        <v>2526</v>
      </c>
      <c r="C3" s="109" t="s">
        <v>2521</v>
      </c>
      <c r="D3" s="103" t="s">
        <v>2538</v>
      </c>
      <c r="E3" s="107" t="s">
        <v>2405</v>
      </c>
      <c r="F3" s="104">
        <v>1770</v>
      </c>
      <c r="J3" s="104">
        <v>1760</v>
      </c>
      <c r="L3" s="104">
        <v>1770</v>
      </c>
    </row>
    <row r="4" spans="1:32">
      <c r="B4" s="108" t="s">
        <v>2527</v>
      </c>
      <c r="C4" s="109" t="s">
        <v>2529</v>
      </c>
      <c r="E4" s="107" t="s">
        <v>709</v>
      </c>
      <c r="F4" s="104">
        <v>1650</v>
      </c>
      <c r="J4" s="104">
        <v>1650</v>
      </c>
      <c r="L4" s="104">
        <v>1760</v>
      </c>
    </row>
    <row r="5" spans="1:32">
      <c r="E5" s="107" t="s">
        <v>871</v>
      </c>
      <c r="L5" s="104">
        <v>1650</v>
      </c>
    </row>
    <row r="6" spans="1:32">
      <c r="E6" s="107" t="s">
        <v>2370</v>
      </c>
    </row>
    <row r="7" spans="1:32">
      <c r="E7" s="107" t="s">
        <v>2377</v>
      </c>
    </row>
    <row r="8" spans="1:32">
      <c r="E8" s="107" t="s">
        <v>2374</v>
      </c>
    </row>
    <row r="10" spans="1:32" ht="18">
      <c r="D10" s="109" t="s">
        <v>2521</v>
      </c>
      <c r="E10" s="103" t="s">
        <v>2542</v>
      </c>
      <c r="F10" s="107" t="s">
        <v>2552</v>
      </c>
      <c r="G10" s="107" t="s">
        <v>2553</v>
      </c>
      <c r="H10" s="107" t="s">
        <v>2554</v>
      </c>
      <c r="I10" s="107" t="s">
        <v>2532</v>
      </c>
      <c r="J10" s="107" t="s">
        <v>2533</v>
      </c>
      <c r="K10" s="107" t="s">
        <v>2593</v>
      </c>
      <c r="M10" s="103" t="s">
        <v>2540</v>
      </c>
      <c r="N10" s="107" t="s">
        <v>2534</v>
      </c>
      <c r="P10" s="103" t="s">
        <v>2541</v>
      </c>
      <c r="Q10" s="107" t="s">
        <v>2536</v>
      </c>
      <c r="S10" s="201" t="s">
        <v>2991</v>
      </c>
      <c r="T10" s="201" t="s">
        <v>2994</v>
      </c>
      <c r="U10" s="167" t="s">
        <v>3011</v>
      </c>
      <c r="V10" s="104" t="s">
        <v>3010</v>
      </c>
      <c r="W10" s="204" t="s">
        <v>2988</v>
      </c>
      <c r="X10" s="167" t="s">
        <v>2986</v>
      </c>
      <c r="Y10" s="203" t="s">
        <v>2987</v>
      </c>
      <c r="Z10" s="203" t="s">
        <v>2983</v>
      </c>
      <c r="AA10" s="167" t="s">
        <v>2984</v>
      </c>
      <c r="AB10" s="167" t="s">
        <v>2985</v>
      </c>
      <c r="AC10" s="167" t="s">
        <v>813</v>
      </c>
      <c r="AD10" s="167" t="s">
        <v>3035</v>
      </c>
      <c r="AE10" s="167" t="s">
        <v>3036</v>
      </c>
      <c r="AF10" s="167" t="s">
        <v>815</v>
      </c>
    </row>
    <row r="11" spans="1:32" ht="18">
      <c r="D11" s="103" t="s">
        <v>2539</v>
      </c>
      <c r="E11" s="107" t="s">
        <v>2552</v>
      </c>
      <c r="F11" s="104">
        <v>1780</v>
      </c>
      <c r="G11" s="104">
        <v>1780</v>
      </c>
      <c r="H11" s="104">
        <v>1780</v>
      </c>
      <c r="I11" s="104">
        <v>1650</v>
      </c>
      <c r="J11" s="104" t="s">
        <v>2535</v>
      </c>
      <c r="K11" s="104">
        <v>1770</v>
      </c>
      <c r="M11" s="107" t="s">
        <v>2534</v>
      </c>
      <c r="N11" s="104" t="s">
        <v>2535</v>
      </c>
      <c r="P11" s="107" t="s">
        <v>2536</v>
      </c>
      <c r="Q11" s="104">
        <v>1750</v>
      </c>
      <c r="S11" s="104">
        <v>1770</v>
      </c>
      <c r="T11" s="104">
        <v>1650</v>
      </c>
      <c r="U11" s="104">
        <v>1630</v>
      </c>
      <c r="V11" s="104">
        <v>1610</v>
      </c>
      <c r="W11" s="205">
        <v>1780</v>
      </c>
      <c r="X11" s="104">
        <v>1760</v>
      </c>
      <c r="Y11" s="104">
        <v>1650</v>
      </c>
      <c r="Z11" s="104">
        <v>1840</v>
      </c>
      <c r="AA11" s="104">
        <v>1780</v>
      </c>
      <c r="AB11" s="104">
        <v>1790</v>
      </c>
      <c r="AC11" s="104">
        <v>1780</v>
      </c>
      <c r="AD11" s="104">
        <v>1750</v>
      </c>
      <c r="AE11" s="104">
        <v>1650</v>
      </c>
      <c r="AF11" s="104">
        <v>1660</v>
      </c>
    </row>
    <row r="12" spans="1:32" ht="18">
      <c r="D12" s="103" t="s">
        <v>2540</v>
      </c>
      <c r="E12" s="107" t="s">
        <v>2553</v>
      </c>
      <c r="F12" s="104">
        <v>1770</v>
      </c>
      <c r="G12" s="104">
        <v>1770</v>
      </c>
      <c r="H12" s="104">
        <v>1770</v>
      </c>
      <c r="T12" s="104">
        <v>1660</v>
      </c>
      <c r="U12" s="104">
        <v>1660</v>
      </c>
      <c r="X12" s="104">
        <v>1790</v>
      </c>
      <c r="Y12" s="104">
        <v>1670</v>
      </c>
      <c r="Z12" s="205">
        <v>1870</v>
      </c>
      <c r="AA12" s="104">
        <v>1790</v>
      </c>
      <c r="AB12" s="104">
        <v>1780</v>
      </c>
      <c r="AD12" s="104">
        <v>1650</v>
      </c>
      <c r="AE12" s="104">
        <v>1660</v>
      </c>
    </row>
    <row r="13" spans="1:32">
      <c r="D13" s="103" t="s">
        <v>2541</v>
      </c>
      <c r="E13" s="107" t="s">
        <v>2554</v>
      </c>
      <c r="F13" s="104">
        <v>1760</v>
      </c>
      <c r="G13" s="104">
        <v>1760</v>
      </c>
      <c r="H13" s="104">
        <v>1760</v>
      </c>
      <c r="T13" s="104">
        <v>1670</v>
      </c>
      <c r="AA13" s="104">
        <v>1800</v>
      </c>
      <c r="AD13" s="104">
        <v>1770</v>
      </c>
      <c r="AE13" s="104">
        <v>1670</v>
      </c>
    </row>
    <row r="14" spans="1:32">
      <c r="E14" s="107" t="s">
        <v>2532</v>
      </c>
      <c r="F14" s="104">
        <v>1650</v>
      </c>
      <c r="G14" s="104">
        <v>1650</v>
      </c>
      <c r="H14" s="104">
        <v>1650</v>
      </c>
      <c r="T14" s="104">
        <v>1750</v>
      </c>
      <c r="AD14" s="104">
        <v>1780</v>
      </c>
    </row>
    <row r="15" spans="1:32">
      <c r="E15" s="107" t="s">
        <v>2533</v>
      </c>
      <c r="T15" s="104">
        <v>1760</v>
      </c>
      <c r="AD15" s="104">
        <v>1790</v>
      </c>
    </row>
    <row r="16" spans="1:32">
      <c r="E16" s="107" t="s">
        <v>2593</v>
      </c>
      <c r="T16" s="104">
        <v>1770</v>
      </c>
    </row>
    <row r="17" spans="3:26">
      <c r="T17" s="104">
        <v>1780</v>
      </c>
    </row>
    <row r="18" spans="3:26">
      <c r="D18" s="109" t="s">
        <v>2595</v>
      </c>
      <c r="E18" s="103" t="s">
        <v>2596</v>
      </c>
      <c r="F18" s="105" t="s">
        <v>2580</v>
      </c>
      <c r="G18" s="105" t="s">
        <v>2582</v>
      </c>
      <c r="H18" s="105" t="s">
        <v>900</v>
      </c>
      <c r="I18" s="105" t="s">
        <v>2583</v>
      </c>
      <c r="J18" s="103"/>
      <c r="K18" s="103"/>
      <c r="T18" s="104">
        <v>1790</v>
      </c>
    </row>
    <row r="19" spans="3:26">
      <c r="D19" s="104" t="s">
        <v>2596</v>
      </c>
      <c r="E19" s="105" t="s">
        <v>2580</v>
      </c>
      <c r="F19" s="104">
        <v>1770</v>
      </c>
      <c r="G19" s="104">
        <v>1760</v>
      </c>
      <c r="H19" s="104">
        <v>1770</v>
      </c>
      <c r="I19" s="104">
        <v>1770</v>
      </c>
      <c r="T19" s="104">
        <v>1800</v>
      </c>
    </row>
    <row r="20" spans="3:26">
      <c r="E20" s="105" t="s">
        <v>2582</v>
      </c>
      <c r="H20" s="104">
        <v>1650</v>
      </c>
      <c r="T20" s="104">
        <v>1810</v>
      </c>
    </row>
    <row r="21" spans="3:26">
      <c r="E21" s="105" t="s">
        <v>900</v>
      </c>
    </row>
    <row r="22" spans="3:26">
      <c r="E22" s="105" t="s">
        <v>2583</v>
      </c>
    </row>
    <row r="24" spans="3:26">
      <c r="C24" s="108" t="s">
        <v>2526</v>
      </c>
      <c r="D24" s="103" t="s">
        <v>2359</v>
      </c>
      <c r="E24" s="109" t="s">
        <v>2550</v>
      </c>
      <c r="F24" s="106" t="s">
        <v>869</v>
      </c>
      <c r="G24" s="106" t="s">
        <v>2375</v>
      </c>
      <c r="H24" s="106" t="s">
        <v>2378</v>
      </c>
      <c r="I24" s="106" t="s">
        <v>2599</v>
      </c>
      <c r="J24" s="106" t="s">
        <v>2394</v>
      </c>
      <c r="K24" s="103" t="s">
        <v>2360</v>
      </c>
      <c r="L24" s="109" t="s">
        <v>2545</v>
      </c>
      <c r="M24" s="107" t="s">
        <v>2372</v>
      </c>
      <c r="N24" s="107" t="s">
        <v>2555</v>
      </c>
      <c r="O24" s="107" t="s">
        <v>2383</v>
      </c>
      <c r="P24" s="107" t="s">
        <v>2401</v>
      </c>
      <c r="Q24" s="107" t="s">
        <v>2404</v>
      </c>
    </row>
    <row r="25" spans="3:26">
      <c r="C25" s="103" t="s">
        <v>2359</v>
      </c>
      <c r="D25" s="109" t="s">
        <v>2543</v>
      </c>
      <c r="E25" s="106" t="s">
        <v>869</v>
      </c>
      <c r="F25" s="104">
        <v>1770</v>
      </c>
      <c r="G25" s="104">
        <v>1780</v>
      </c>
      <c r="H25" s="104">
        <v>1780</v>
      </c>
      <c r="I25" s="104">
        <v>1750</v>
      </c>
      <c r="J25" s="104">
        <v>1750</v>
      </c>
      <c r="K25" s="109" t="s">
        <v>2544</v>
      </c>
      <c r="L25" s="107" t="s">
        <v>2372</v>
      </c>
      <c r="M25" s="104">
        <v>1780</v>
      </c>
      <c r="N25" s="104" t="s">
        <v>2535</v>
      </c>
      <c r="O25" s="104">
        <v>1760</v>
      </c>
      <c r="P25" s="104">
        <v>1750</v>
      </c>
      <c r="Q25" s="104">
        <v>1650</v>
      </c>
    </row>
    <row r="26" spans="3:26">
      <c r="C26" s="103" t="s">
        <v>2360</v>
      </c>
      <c r="E26" s="106" t="s">
        <v>2375</v>
      </c>
      <c r="F26" s="104">
        <v>1760</v>
      </c>
      <c r="G26" s="104">
        <v>1770</v>
      </c>
      <c r="H26" s="104">
        <v>1770</v>
      </c>
      <c r="L26" s="107" t="s">
        <v>2369</v>
      </c>
      <c r="M26" s="104">
        <v>1750</v>
      </c>
      <c r="O26" s="104">
        <v>1750</v>
      </c>
    </row>
    <row r="27" spans="3:26">
      <c r="E27" s="106" t="s">
        <v>2378</v>
      </c>
      <c r="G27" s="104">
        <v>1750</v>
      </c>
      <c r="H27" s="104">
        <v>1760</v>
      </c>
      <c r="L27" s="107" t="s">
        <v>2383</v>
      </c>
      <c r="M27" s="104">
        <v>1650</v>
      </c>
    </row>
    <row r="28" spans="3:26" ht="18">
      <c r="E28" s="106" t="s">
        <v>2599</v>
      </c>
      <c r="G28" s="104">
        <v>1650</v>
      </c>
      <c r="H28" s="104">
        <v>1750</v>
      </c>
      <c r="L28" s="107" t="s">
        <v>2401</v>
      </c>
      <c r="Z28" s="205"/>
    </row>
    <row r="29" spans="3:26">
      <c r="E29" s="106" t="s">
        <v>2394</v>
      </c>
      <c r="H29" s="104">
        <v>1650</v>
      </c>
      <c r="L29" s="107" t="s">
        <v>2404</v>
      </c>
    </row>
    <row r="33" spans="3:20">
      <c r="C33" s="108" t="s">
        <v>2527</v>
      </c>
      <c r="D33" s="109" t="s">
        <v>2530</v>
      </c>
      <c r="E33" s="103" t="s">
        <v>2548</v>
      </c>
      <c r="F33" s="105" t="s">
        <v>2605</v>
      </c>
      <c r="G33" s="105" t="s">
        <v>2615</v>
      </c>
      <c r="H33" s="105" t="s">
        <v>2614</v>
      </c>
      <c r="K33" s="109" t="s">
        <v>2531</v>
      </c>
      <c r="L33" s="103" t="s">
        <v>2549</v>
      </c>
      <c r="M33" s="107" t="s">
        <v>2617</v>
      </c>
      <c r="N33" s="107" t="s">
        <v>2618</v>
      </c>
      <c r="O33" s="107" t="s">
        <v>2619</v>
      </c>
      <c r="P33" s="107" t="s">
        <v>810</v>
      </c>
      <c r="Q33" s="107" t="s">
        <v>3034</v>
      </c>
      <c r="R33" s="107" t="s">
        <v>803</v>
      </c>
      <c r="S33" s="105" t="s">
        <v>2616</v>
      </c>
      <c r="T33" s="104" t="s">
        <v>2946</v>
      </c>
    </row>
    <row r="34" spans="3:20" ht="18">
      <c r="C34" s="109" t="s">
        <v>2530</v>
      </c>
      <c r="D34" s="103" t="s">
        <v>2546</v>
      </c>
      <c r="E34" s="105" t="s">
        <v>2605</v>
      </c>
      <c r="F34" s="201" t="s">
        <v>2991</v>
      </c>
      <c r="G34" s="167" t="s">
        <v>800</v>
      </c>
      <c r="H34" s="104" t="s">
        <v>3010</v>
      </c>
      <c r="K34" s="103" t="s">
        <v>2547</v>
      </c>
      <c r="L34" s="107" t="s">
        <v>2617</v>
      </c>
      <c r="M34" s="167" t="s">
        <v>2988</v>
      </c>
      <c r="N34" s="167" t="s">
        <v>809</v>
      </c>
      <c r="O34" s="203" t="s">
        <v>2987</v>
      </c>
      <c r="P34" s="167" t="s">
        <v>811</v>
      </c>
      <c r="Q34" s="167" t="s">
        <v>2990</v>
      </c>
      <c r="R34" s="167" t="s">
        <v>2986</v>
      </c>
      <c r="S34" s="167" t="s">
        <v>815</v>
      </c>
      <c r="T34" s="167" t="s">
        <v>2989</v>
      </c>
    </row>
    <row r="35" spans="3:20" ht="18">
      <c r="C35" s="109" t="s">
        <v>2531</v>
      </c>
      <c r="E35" s="105" t="s">
        <v>2613</v>
      </c>
      <c r="F35" s="201" t="s">
        <v>2993</v>
      </c>
      <c r="L35" s="107" t="s">
        <v>808</v>
      </c>
      <c r="O35" s="203" t="s">
        <v>2983</v>
      </c>
    </row>
    <row r="36" spans="3:20">
      <c r="E36" s="105" t="s">
        <v>2614</v>
      </c>
      <c r="F36" s="104" t="s">
        <v>2992</v>
      </c>
      <c r="L36" s="107" t="s">
        <v>2944</v>
      </c>
    </row>
    <row r="37" spans="3:20">
      <c r="L37" s="107" t="s">
        <v>810</v>
      </c>
    </row>
    <row r="38" spans="3:20">
      <c r="L38" s="107" t="s">
        <v>814</v>
      </c>
    </row>
    <row r="39" spans="3:20">
      <c r="L39" s="107" t="s">
        <v>803</v>
      </c>
    </row>
    <row r="40" spans="3:20">
      <c r="L40" s="105" t="s">
        <v>2612</v>
      </c>
    </row>
    <row r="41" spans="3:20">
      <c r="L41" s="104" t="s">
        <v>2945</v>
      </c>
    </row>
  </sheetData>
  <sortState xmlns:xlrd2="http://schemas.microsoft.com/office/spreadsheetml/2017/richdata2" ref="R34:R35">
    <sortCondition descending="1" ref="R34:R35"/>
  </sortState>
  <phoneticPr fontId="9" type="noConversion"/>
  <pageMargins left="0.7" right="0.7" top="0.75" bottom="0.75" header="0.3" footer="0.3"/>
  <pageSetup paperSize="12" scale="21"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5057-D936-4DCB-9C5A-CA3FBF415509}">
  <sheetPr codeName="Hoja8">
    <tabColor rgb="FF92D050"/>
    <pageSetUpPr fitToPage="1"/>
  </sheetPr>
  <dimension ref="A1:AE145"/>
  <sheetViews>
    <sheetView workbookViewId="0">
      <selection activeCell="D50" sqref="D50"/>
    </sheetView>
  </sheetViews>
  <sheetFormatPr baseColWidth="10" defaultColWidth="9" defaultRowHeight="18"/>
  <cols>
    <col min="1" max="1" width="21.625" style="22" customWidth="1"/>
    <col min="2" max="2" width="25" style="22" bestFit="1" customWidth="1"/>
    <col min="3" max="3" width="16.625" style="22" customWidth="1"/>
    <col min="4" max="4" width="21" style="28" bestFit="1" customWidth="1"/>
    <col min="5" max="5" width="14.875" style="67" bestFit="1" customWidth="1"/>
    <col min="6" max="6" width="11.375" style="22" bestFit="1" customWidth="1"/>
    <col min="7" max="7" width="26.5" style="22" bestFit="1" customWidth="1"/>
    <col min="8" max="8" width="15.125" style="22" bestFit="1" customWidth="1"/>
    <col min="9" max="9" width="14.5" style="18" customWidth="1"/>
    <col min="10" max="10" width="7.875" style="23" customWidth="1"/>
    <col min="11" max="11" width="13" style="18" customWidth="1"/>
    <col min="12" max="12" width="12.25" style="18" customWidth="1"/>
    <col min="13" max="13" width="14.625" style="18" customWidth="1"/>
    <col min="14" max="14" width="13.875" style="23" customWidth="1"/>
    <col min="15" max="15" width="16.75" style="18" customWidth="1"/>
    <col min="16" max="16" width="31.625" style="18" bestFit="1" customWidth="1"/>
    <col min="17" max="17" width="63" style="18" customWidth="1"/>
    <col min="18" max="18" width="13.375" style="18" customWidth="1"/>
    <col min="19" max="19" width="23.25" style="18" customWidth="1"/>
    <col min="20" max="20" width="6.375" style="18" customWidth="1"/>
    <col min="21" max="21" width="12.625" style="18" customWidth="1"/>
    <col min="22" max="22" width="15.75" style="18" customWidth="1"/>
    <col min="23" max="23" width="25.375" style="18" bestFit="1" customWidth="1"/>
    <col min="24" max="24" width="21.75" style="18" bestFit="1" customWidth="1"/>
    <col min="25" max="26" width="25.375" style="18" customWidth="1"/>
    <col min="27" max="27" width="9" style="18"/>
    <col min="28" max="28" width="73.875" style="18" bestFit="1" customWidth="1"/>
    <col min="29" max="29" width="9" style="18"/>
    <col min="30" max="30" width="14.625" style="18" bestFit="1" customWidth="1"/>
    <col min="31" max="31" width="10.25" style="18" bestFit="1" customWidth="1"/>
    <col min="32" max="16384" width="9" style="18"/>
  </cols>
  <sheetData>
    <row r="1" spans="1:31">
      <c r="A1" s="30" t="s">
        <v>2523</v>
      </c>
      <c r="B1" s="31" t="s">
        <v>751</v>
      </c>
      <c r="C1" s="31" t="s">
        <v>752</v>
      </c>
      <c r="D1" s="36" t="s">
        <v>848</v>
      </c>
      <c r="E1" s="63" t="s">
        <v>849</v>
      </c>
      <c r="F1" s="32" t="s">
        <v>753</v>
      </c>
      <c r="G1" s="32" t="s">
        <v>754</v>
      </c>
      <c r="H1" s="32" t="s">
        <v>755</v>
      </c>
      <c r="I1" s="33" t="s">
        <v>684</v>
      </c>
      <c r="J1" s="34" t="s">
        <v>758</v>
      </c>
      <c r="K1" s="33" t="s">
        <v>685</v>
      </c>
      <c r="L1" s="33" t="s">
        <v>686</v>
      </c>
      <c r="M1" s="33" t="s">
        <v>763</v>
      </c>
      <c r="N1" s="34" t="s">
        <v>687</v>
      </c>
      <c r="O1" s="33" t="s">
        <v>688</v>
      </c>
      <c r="P1" s="33" t="s">
        <v>689</v>
      </c>
      <c r="Q1" s="35" t="s">
        <v>690</v>
      </c>
      <c r="R1" s="38" t="s">
        <v>855</v>
      </c>
      <c r="S1" s="33" t="s">
        <v>790</v>
      </c>
      <c r="T1" s="33" t="s">
        <v>791</v>
      </c>
      <c r="U1" s="33" t="s">
        <v>792</v>
      </c>
      <c r="V1" s="35" t="s">
        <v>793</v>
      </c>
      <c r="W1" s="33" t="s">
        <v>850</v>
      </c>
      <c r="X1" s="97" t="s">
        <v>851</v>
      </c>
      <c r="Y1" s="97" t="s">
        <v>852</v>
      </c>
      <c r="Z1" s="97" t="s">
        <v>916</v>
      </c>
      <c r="AA1" s="33" t="s">
        <v>726</v>
      </c>
      <c r="AB1" s="33" t="s">
        <v>727</v>
      </c>
      <c r="AC1" s="33" t="s">
        <v>730</v>
      </c>
      <c r="AD1" s="33" t="s">
        <v>2952</v>
      </c>
      <c r="AE1" s="33" t="s">
        <v>3028</v>
      </c>
    </row>
    <row r="2" spans="1:31">
      <c r="A2" s="29" t="s">
        <v>2524</v>
      </c>
      <c r="B2" s="24" t="s">
        <v>756</v>
      </c>
      <c r="C2" s="24" t="s">
        <v>757</v>
      </c>
      <c r="D2" s="68">
        <v>45199</v>
      </c>
      <c r="E2" s="66">
        <v>45199</v>
      </c>
      <c r="F2" s="19" t="s">
        <v>2525</v>
      </c>
      <c r="G2" s="19" t="s">
        <v>756</v>
      </c>
      <c r="H2" s="19" t="s">
        <v>757</v>
      </c>
      <c r="I2" s="20" t="s">
        <v>2528</v>
      </c>
      <c r="J2" s="21" t="s">
        <v>760</v>
      </c>
      <c r="K2" s="21" t="s">
        <v>759</v>
      </c>
      <c r="L2" s="20" t="s">
        <v>862</v>
      </c>
      <c r="M2" s="20" t="s">
        <v>764</v>
      </c>
      <c r="N2" s="21" t="s">
        <v>863</v>
      </c>
      <c r="O2" s="20" t="s">
        <v>2631</v>
      </c>
      <c r="P2" s="20" t="s">
        <v>2536</v>
      </c>
      <c r="Q2" s="25" t="s">
        <v>865</v>
      </c>
      <c r="R2" s="37"/>
      <c r="S2" s="40" t="s">
        <v>2495</v>
      </c>
      <c r="T2" s="20" t="s">
        <v>2496</v>
      </c>
      <c r="U2" s="20" t="s">
        <v>2497</v>
      </c>
      <c r="V2" s="25" t="s">
        <v>2498</v>
      </c>
      <c r="W2" s="20" t="s">
        <v>2502</v>
      </c>
      <c r="X2" s="20" t="s">
        <v>2503</v>
      </c>
      <c r="Y2" s="20" t="s">
        <v>2504</v>
      </c>
      <c r="Z2" s="20" t="s">
        <v>2499</v>
      </c>
      <c r="AA2" s="52" t="s">
        <v>917</v>
      </c>
      <c r="AB2" s="52" t="s">
        <v>918</v>
      </c>
      <c r="AC2" s="52"/>
      <c r="AD2" s="52"/>
      <c r="AE2" s="52"/>
    </row>
    <row r="3" spans="1:31">
      <c r="A3" s="29" t="s">
        <v>691</v>
      </c>
      <c r="B3" s="24" t="s">
        <v>756</v>
      </c>
      <c r="C3" s="24" t="s">
        <v>757</v>
      </c>
      <c r="D3" s="68">
        <v>45199</v>
      </c>
      <c r="E3" s="66">
        <v>45199</v>
      </c>
      <c r="F3" s="19" t="s">
        <v>841</v>
      </c>
      <c r="G3" s="19" t="s">
        <v>756</v>
      </c>
      <c r="H3" s="19" t="s">
        <v>757</v>
      </c>
      <c r="I3" s="20" t="s">
        <v>692</v>
      </c>
      <c r="J3" s="21" t="s">
        <v>762</v>
      </c>
      <c r="K3" s="21" t="s">
        <v>761</v>
      </c>
      <c r="L3" s="20" t="s">
        <v>686</v>
      </c>
      <c r="M3" s="20" t="s">
        <v>2625</v>
      </c>
      <c r="N3" s="21" t="s">
        <v>866</v>
      </c>
      <c r="O3" s="20" t="s">
        <v>2491</v>
      </c>
      <c r="P3" s="20" t="s">
        <v>867</v>
      </c>
      <c r="Q3" s="25" t="s">
        <v>868</v>
      </c>
      <c r="R3" s="37"/>
      <c r="S3" s="40" t="s">
        <v>2495</v>
      </c>
      <c r="T3" s="20" t="s">
        <v>2496</v>
      </c>
      <c r="U3" s="20" t="s">
        <v>2497</v>
      </c>
      <c r="V3" s="25" t="s">
        <v>2498</v>
      </c>
      <c r="W3" s="20" t="s">
        <v>2502</v>
      </c>
      <c r="X3" s="20" t="s">
        <v>2503</v>
      </c>
      <c r="Y3" s="20" t="s">
        <v>2504</v>
      </c>
      <c r="Z3" s="20" t="s">
        <v>2499</v>
      </c>
      <c r="AA3" s="20" t="s">
        <v>917</v>
      </c>
      <c r="AB3" s="20" t="s">
        <v>918</v>
      </c>
      <c r="AC3" s="20"/>
      <c r="AD3" s="20"/>
      <c r="AE3" s="20"/>
    </row>
    <row r="4" spans="1:31">
      <c r="A4" s="29" t="s">
        <v>691</v>
      </c>
      <c r="B4" s="24" t="s">
        <v>756</v>
      </c>
      <c r="C4" s="24" t="s">
        <v>757</v>
      </c>
      <c r="D4" s="68">
        <v>45199</v>
      </c>
      <c r="E4" s="66">
        <v>45199</v>
      </c>
      <c r="F4" s="19" t="s">
        <v>841</v>
      </c>
      <c r="G4" s="19" t="s">
        <v>756</v>
      </c>
      <c r="H4" s="19" t="s">
        <v>757</v>
      </c>
      <c r="I4" s="20" t="s">
        <v>692</v>
      </c>
      <c r="J4" s="21" t="s">
        <v>762</v>
      </c>
      <c r="K4" s="21" t="s">
        <v>761</v>
      </c>
      <c r="L4" s="20" t="s">
        <v>686</v>
      </c>
      <c r="M4" s="20" t="s">
        <v>2625</v>
      </c>
      <c r="N4" s="21" t="s">
        <v>866</v>
      </c>
      <c r="O4" s="20" t="s">
        <v>2492</v>
      </c>
      <c r="P4" s="20" t="s">
        <v>869</v>
      </c>
      <c r="Q4" s="25" t="s">
        <v>2505</v>
      </c>
      <c r="R4" s="37"/>
      <c r="S4" s="40" t="s">
        <v>2495</v>
      </c>
      <c r="T4" s="20" t="s">
        <v>2496</v>
      </c>
      <c r="U4" s="20" t="s">
        <v>2497</v>
      </c>
      <c r="V4" s="25" t="s">
        <v>2498</v>
      </c>
      <c r="W4" s="20" t="s">
        <v>2502</v>
      </c>
      <c r="X4" s="20" t="s">
        <v>2503</v>
      </c>
      <c r="Y4" s="20" t="s">
        <v>2504</v>
      </c>
      <c r="Z4" s="20" t="s">
        <v>2499</v>
      </c>
      <c r="AA4" s="20" t="s">
        <v>917</v>
      </c>
      <c r="AB4" s="20" t="s">
        <v>918</v>
      </c>
      <c r="AC4" s="20"/>
      <c r="AD4" s="20"/>
      <c r="AE4" s="20"/>
    </row>
    <row r="5" spans="1:31">
      <c r="A5" s="29" t="s">
        <v>691</v>
      </c>
      <c r="B5" s="24" t="s">
        <v>756</v>
      </c>
      <c r="C5" s="24" t="s">
        <v>757</v>
      </c>
      <c r="D5" s="68">
        <v>45199</v>
      </c>
      <c r="E5" s="66">
        <v>45199</v>
      </c>
      <c r="F5" s="19" t="s">
        <v>841</v>
      </c>
      <c r="G5" s="19" t="s">
        <v>756</v>
      </c>
      <c r="H5" s="19" t="s">
        <v>757</v>
      </c>
      <c r="I5" s="20" t="s">
        <v>692</v>
      </c>
      <c r="J5" s="21" t="s">
        <v>762</v>
      </c>
      <c r="K5" s="21" t="s">
        <v>761</v>
      </c>
      <c r="L5" s="20" t="s">
        <v>686</v>
      </c>
      <c r="M5" s="20" t="s">
        <v>2625</v>
      </c>
      <c r="N5" s="21" t="s">
        <v>866</v>
      </c>
      <c r="O5" s="20" t="s">
        <v>709</v>
      </c>
      <c r="P5" s="20" t="s">
        <v>709</v>
      </c>
      <c r="Q5" s="25" t="s">
        <v>870</v>
      </c>
      <c r="R5" s="37"/>
      <c r="S5" s="40" t="s">
        <v>2495</v>
      </c>
      <c r="T5" s="20" t="s">
        <v>2496</v>
      </c>
      <c r="U5" s="20" t="s">
        <v>2497</v>
      </c>
      <c r="V5" s="25" t="s">
        <v>2498</v>
      </c>
      <c r="W5" s="20" t="s">
        <v>2502</v>
      </c>
      <c r="X5" s="20" t="s">
        <v>2503</v>
      </c>
      <c r="Y5" s="20" t="s">
        <v>2504</v>
      </c>
      <c r="Z5" s="20" t="s">
        <v>2499</v>
      </c>
      <c r="AA5" s="20" t="s">
        <v>917</v>
      </c>
      <c r="AB5" s="20" t="s">
        <v>918</v>
      </c>
      <c r="AC5" s="20"/>
      <c r="AD5" s="20"/>
      <c r="AE5" s="20"/>
    </row>
    <row r="6" spans="1:31">
      <c r="A6" s="29" t="s">
        <v>691</v>
      </c>
      <c r="B6" s="24" t="s">
        <v>756</v>
      </c>
      <c r="C6" s="24" t="s">
        <v>757</v>
      </c>
      <c r="D6" s="68">
        <v>45199</v>
      </c>
      <c r="E6" s="66">
        <v>45199</v>
      </c>
      <c r="F6" s="19" t="s">
        <v>841</v>
      </c>
      <c r="G6" s="19" t="s">
        <v>756</v>
      </c>
      <c r="H6" s="19" t="s">
        <v>757</v>
      </c>
      <c r="I6" s="20" t="s">
        <v>692</v>
      </c>
      <c r="J6" s="21" t="s">
        <v>762</v>
      </c>
      <c r="K6" s="21" t="s">
        <v>761</v>
      </c>
      <c r="L6" s="20" t="s">
        <v>686</v>
      </c>
      <c r="M6" s="20" t="s">
        <v>2625</v>
      </c>
      <c r="N6" s="21" t="s">
        <v>866</v>
      </c>
      <c r="O6" s="20" t="s">
        <v>871</v>
      </c>
      <c r="P6" s="20" t="s">
        <v>871</v>
      </c>
      <c r="Q6" s="25" t="s">
        <v>872</v>
      </c>
      <c r="R6" s="37"/>
      <c r="S6" s="40" t="s">
        <v>2495</v>
      </c>
      <c r="T6" s="20" t="s">
        <v>2496</v>
      </c>
      <c r="U6" s="20" t="s">
        <v>2497</v>
      </c>
      <c r="V6" s="25" t="s">
        <v>2498</v>
      </c>
      <c r="W6" s="20" t="s">
        <v>2502</v>
      </c>
      <c r="X6" s="20" t="s">
        <v>2503</v>
      </c>
      <c r="Y6" s="20" t="s">
        <v>2504</v>
      </c>
      <c r="Z6" s="20" t="s">
        <v>2499</v>
      </c>
      <c r="AA6" s="20" t="s">
        <v>917</v>
      </c>
      <c r="AB6" s="20" t="s">
        <v>918</v>
      </c>
      <c r="AC6" s="20"/>
      <c r="AD6" s="20"/>
      <c r="AE6" s="20"/>
    </row>
    <row r="7" spans="1:31">
      <c r="A7" s="29" t="s">
        <v>691</v>
      </c>
      <c r="B7" s="24" t="s">
        <v>756</v>
      </c>
      <c r="C7" s="24" t="s">
        <v>757</v>
      </c>
      <c r="D7" s="68">
        <v>45199</v>
      </c>
      <c r="E7" s="66">
        <v>45199</v>
      </c>
      <c r="F7" s="19" t="s">
        <v>841</v>
      </c>
      <c r="G7" s="19" t="s">
        <v>756</v>
      </c>
      <c r="H7" s="19" t="s">
        <v>757</v>
      </c>
      <c r="I7" s="20" t="s">
        <v>692</v>
      </c>
      <c r="J7" s="21" t="s">
        <v>762</v>
      </c>
      <c r="K7" s="21" t="s">
        <v>761</v>
      </c>
      <c r="L7" s="20" t="s">
        <v>686</v>
      </c>
      <c r="M7" s="20" t="s">
        <v>2625</v>
      </c>
      <c r="N7" s="21" t="s">
        <v>866</v>
      </c>
      <c r="O7" s="20" t="s">
        <v>2490</v>
      </c>
      <c r="P7" s="20" t="s">
        <v>867</v>
      </c>
      <c r="Q7" s="25" t="s">
        <v>703</v>
      </c>
      <c r="R7" s="37"/>
      <c r="S7" s="40" t="s">
        <v>2495</v>
      </c>
      <c r="T7" s="20" t="s">
        <v>2496</v>
      </c>
      <c r="U7" s="20" t="s">
        <v>2497</v>
      </c>
      <c r="V7" s="25" t="s">
        <v>2498</v>
      </c>
      <c r="W7" s="20" t="s">
        <v>2502</v>
      </c>
      <c r="X7" s="20" t="s">
        <v>2503</v>
      </c>
      <c r="Y7" s="20" t="s">
        <v>2504</v>
      </c>
      <c r="Z7" s="20" t="s">
        <v>2499</v>
      </c>
      <c r="AA7" s="20" t="s">
        <v>917</v>
      </c>
      <c r="AB7" s="20" t="s">
        <v>918</v>
      </c>
      <c r="AC7" s="20"/>
      <c r="AD7" s="20"/>
      <c r="AE7" s="20"/>
    </row>
    <row r="8" spans="1:31">
      <c r="A8" s="29" t="s">
        <v>691</v>
      </c>
      <c r="B8" s="24" t="s">
        <v>756</v>
      </c>
      <c r="C8" s="24" t="s">
        <v>757</v>
      </c>
      <c r="D8" s="68">
        <v>45199</v>
      </c>
      <c r="E8" s="66">
        <v>45199</v>
      </c>
      <c r="F8" s="19" t="s">
        <v>841</v>
      </c>
      <c r="G8" s="19" t="s">
        <v>756</v>
      </c>
      <c r="H8" s="19" t="s">
        <v>757</v>
      </c>
      <c r="I8" s="20" t="s">
        <v>692</v>
      </c>
      <c r="J8" s="21" t="s">
        <v>762</v>
      </c>
      <c r="K8" s="21" t="s">
        <v>761</v>
      </c>
      <c r="L8" s="20" t="s">
        <v>686</v>
      </c>
      <c r="M8" s="20" t="s">
        <v>2625</v>
      </c>
      <c r="N8" s="21" t="s">
        <v>866</v>
      </c>
      <c r="O8" s="20" t="s">
        <v>2494</v>
      </c>
      <c r="P8" s="20" t="s">
        <v>867</v>
      </c>
      <c r="Q8" s="25" t="s">
        <v>873</v>
      </c>
      <c r="R8" s="37"/>
      <c r="S8" s="40" t="s">
        <v>2495</v>
      </c>
      <c r="T8" s="20" t="s">
        <v>2496</v>
      </c>
      <c r="U8" s="20" t="s">
        <v>2497</v>
      </c>
      <c r="V8" s="25" t="s">
        <v>2498</v>
      </c>
      <c r="W8" s="20" t="s">
        <v>2502</v>
      </c>
      <c r="X8" s="20" t="s">
        <v>2503</v>
      </c>
      <c r="Y8" s="20" t="s">
        <v>2504</v>
      </c>
      <c r="Z8" s="20" t="s">
        <v>2499</v>
      </c>
      <c r="AA8" s="20" t="s">
        <v>917</v>
      </c>
      <c r="AB8" s="20" t="s">
        <v>918</v>
      </c>
      <c r="AC8" s="20"/>
      <c r="AD8" s="20"/>
      <c r="AE8" s="20"/>
    </row>
    <row r="9" spans="1:31">
      <c r="A9" s="29" t="s">
        <v>691</v>
      </c>
      <c r="B9" s="24" t="s">
        <v>756</v>
      </c>
      <c r="C9" s="24" t="s">
        <v>757</v>
      </c>
      <c r="D9" s="68">
        <v>45199</v>
      </c>
      <c r="E9" s="66">
        <v>45199</v>
      </c>
      <c r="F9" s="19" t="s">
        <v>841</v>
      </c>
      <c r="G9" s="19" t="s">
        <v>756</v>
      </c>
      <c r="H9" s="19" t="s">
        <v>757</v>
      </c>
      <c r="I9" s="20" t="s">
        <v>692</v>
      </c>
      <c r="J9" s="21" t="s">
        <v>762</v>
      </c>
      <c r="K9" s="21" t="s">
        <v>761</v>
      </c>
      <c r="L9" s="20" t="s">
        <v>686</v>
      </c>
      <c r="M9" s="20" t="s">
        <v>2625</v>
      </c>
      <c r="N9" s="21" t="s">
        <v>866</v>
      </c>
      <c r="O9" s="20" t="s">
        <v>2493</v>
      </c>
      <c r="P9" s="20" t="s">
        <v>867</v>
      </c>
      <c r="Q9" s="25" t="s">
        <v>2506</v>
      </c>
      <c r="R9" s="37"/>
      <c r="S9" s="40" t="s">
        <v>2495</v>
      </c>
      <c r="T9" s="20" t="s">
        <v>2496</v>
      </c>
      <c r="U9" s="20" t="s">
        <v>2497</v>
      </c>
      <c r="V9" s="25" t="s">
        <v>2498</v>
      </c>
      <c r="W9" s="20" t="s">
        <v>2502</v>
      </c>
      <c r="X9" s="20" t="s">
        <v>2503</v>
      </c>
      <c r="Y9" s="20" t="s">
        <v>2504</v>
      </c>
      <c r="Z9" s="20" t="s">
        <v>2499</v>
      </c>
      <c r="AA9" s="20" t="s">
        <v>917</v>
      </c>
      <c r="AB9" s="20" t="s">
        <v>918</v>
      </c>
      <c r="AC9" s="20"/>
      <c r="AD9" s="20"/>
      <c r="AE9" s="20"/>
    </row>
    <row r="10" spans="1:31">
      <c r="A10" s="29"/>
      <c r="B10" s="24"/>
      <c r="C10" s="24"/>
      <c r="D10" s="68"/>
      <c r="E10" s="64"/>
      <c r="F10" s="19"/>
      <c r="G10" s="19"/>
      <c r="H10" s="19"/>
      <c r="I10" s="20"/>
      <c r="J10" s="21"/>
      <c r="K10" s="21"/>
      <c r="L10" s="20"/>
      <c r="M10" s="20"/>
      <c r="N10" s="21"/>
      <c r="O10" s="20"/>
      <c r="P10" s="20"/>
      <c r="Q10" s="25"/>
      <c r="R10" s="37"/>
      <c r="S10" s="40" t="s">
        <v>2495</v>
      </c>
      <c r="T10" s="20" t="s">
        <v>2496</v>
      </c>
      <c r="U10" s="20" t="s">
        <v>2497</v>
      </c>
      <c r="V10" s="25" t="s">
        <v>2498</v>
      </c>
      <c r="W10" s="20" t="s">
        <v>2502</v>
      </c>
      <c r="X10" s="20" t="s">
        <v>2503</v>
      </c>
      <c r="Y10" s="20" t="s">
        <v>2504</v>
      </c>
      <c r="Z10" s="20" t="s">
        <v>2499</v>
      </c>
      <c r="AA10" s="20" t="s">
        <v>917</v>
      </c>
      <c r="AB10" s="20" t="s">
        <v>918</v>
      </c>
      <c r="AC10" s="20"/>
      <c r="AD10" s="20"/>
      <c r="AE10" s="20"/>
    </row>
    <row r="11" spans="1:31">
      <c r="A11" s="42" t="s">
        <v>714</v>
      </c>
      <c r="B11" s="43" t="s">
        <v>751</v>
      </c>
      <c r="C11" s="43" t="s">
        <v>752</v>
      </c>
      <c r="D11" s="65" t="s">
        <v>848</v>
      </c>
      <c r="E11" s="65" t="s">
        <v>849</v>
      </c>
      <c r="F11" s="43" t="s">
        <v>753</v>
      </c>
      <c r="G11" s="43" t="s">
        <v>754</v>
      </c>
      <c r="H11" s="43" t="s">
        <v>755</v>
      </c>
      <c r="I11" s="44" t="s">
        <v>684</v>
      </c>
      <c r="J11" s="45" t="s">
        <v>758</v>
      </c>
      <c r="K11" s="45" t="s">
        <v>685</v>
      </c>
      <c r="L11" s="44" t="s">
        <v>686</v>
      </c>
      <c r="M11" s="44" t="s">
        <v>763</v>
      </c>
      <c r="N11" s="45" t="s">
        <v>687</v>
      </c>
      <c r="O11" s="44" t="s">
        <v>688</v>
      </c>
      <c r="P11" s="44" t="s">
        <v>689</v>
      </c>
      <c r="Q11" s="46" t="s">
        <v>690</v>
      </c>
      <c r="R11" s="47" t="s">
        <v>855</v>
      </c>
      <c r="S11" s="48" t="s">
        <v>790</v>
      </c>
      <c r="T11" s="44" t="s">
        <v>791</v>
      </c>
      <c r="U11" s="44" t="s">
        <v>792</v>
      </c>
      <c r="V11" s="46" t="s">
        <v>793</v>
      </c>
      <c r="W11" s="44" t="s">
        <v>850</v>
      </c>
      <c r="X11" s="44" t="s">
        <v>851</v>
      </c>
      <c r="Y11" s="97" t="s">
        <v>852</v>
      </c>
      <c r="Z11" s="97" t="s">
        <v>916</v>
      </c>
      <c r="AA11" s="44" t="s">
        <v>726</v>
      </c>
      <c r="AB11" s="44" t="s">
        <v>727</v>
      </c>
      <c r="AC11" s="44" t="s">
        <v>730</v>
      </c>
      <c r="AD11" s="44"/>
      <c r="AE11" s="20"/>
    </row>
    <row r="12" spans="1:31">
      <c r="A12" s="29" t="s">
        <v>691</v>
      </c>
      <c r="B12" s="24" t="s">
        <v>756</v>
      </c>
      <c r="C12" s="24" t="s">
        <v>757</v>
      </c>
      <c r="D12" s="68">
        <v>45199</v>
      </c>
      <c r="E12" s="64">
        <v>45199</v>
      </c>
      <c r="F12" s="19" t="s">
        <v>841</v>
      </c>
      <c r="G12" s="19" t="s">
        <v>2354</v>
      </c>
      <c r="H12" s="19" t="s">
        <v>2355</v>
      </c>
      <c r="I12" s="20" t="s">
        <v>2521</v>
      </c>
      <c r="J12" s="21" t="s">
        <v>2341</v>
      </c>
      <c r="K12" s="21" t="s">
        <v>2340</v>
      </c>
      <c r="L12" s="20" t="s">
        <v>693</v>
      </c>
      <c r="M12" s="20" t="s">
        <v>764</v>
      </c>
      <c r="N12" s="21" t="s">
        <v>875</v>
      </c>
      <c r="O12" s="96" t="s">
        <v>2536</v>
      </c>
      <c r="P12" s="20" t="s">
        <v>2536</v>
      </c>
      <c r="Q12" s="25" t="s">
        <v>865</v>
      </c>
      <c r="R12" s="37"/>
      <c r="S12" s="40" t="s">
        <v>2495</v>
      </c>
      <c r="T12" s="20" t="s">
        <v>2496</v>
      </c>
      <c r="U12" s="20" t="s">
        <v>2497</v>
      </c>
      <c r="V12" s="25" t="s">
        <v>2498</v>
      </c>
      <c r="W12" s="20" t="s">
        <v>2502</v>
      </c>
      <c r="X12" s="20" t="s">
        <v>2503</v>
      </c>
      <c r="Y12" s="20" t="s">
        <v>2504</v>
      </c>
      <c r="Z12" s="20" t="s">
        <v>2499</v>
      </c>
      <c r="AA12" s="52" t="s">
        <v>917</v>
      </c>
      <c r="AB12" s="52" t="s">
        <v>918</v>
      </c>
      <c r="AC12" s="20"/>
      <c r="AD12" s="20"/>
      <c r="AE12" s="20"/>
    </row>
    <row r="13" spans="1:31" s="41" customFormat="1">
      <c r="A13" s="29" t="s">
        <v>691</v>
      </c>
      <c r="B13" s="24" t="s">
        <v>756</v>
      </c>
      <c r="C13" s="24" t="s">
        <v>757</v>
      </c>
      <c r="D13" s="68">
        <v>45199</v>
      </c>
      <c r="E13" s="64">
        <v>45199</v>
      </c>
      <c r="F13" s="19" t="s">
        <v>841</v>
      </c>
      <c r="G13" s="19" t="s">
        <v>2354</v>
      </c>
      <c r="H13" s="19" t="s">
        <v>2355</v>
      </c>
      <c r="I13" s="20" t="s">
        <v>874</v>
      </c>
      <c r="J13" s="21" t="s">
        <v>2343</v>
      </c>
      <c r="K13" s="21" t="s">
        <v>2342</v>
      </c>
      <c r="L13" s="20" t="s">
        <v>876</v>
      </c>
      <c r="M13" s="20" t="s">
        <v>2624</v>
      </c>
      <c r="N13" s="21" t="s">
        <v>877</v>
      </c>
      <c r="O13" s="96" t="s">
        <v>2361</v>
      </c>
      <c r="P13" s="20" t="s">
        <v>867</v>
      </c>
      <c r="Q13" s="25" t="s">
        <v>878</v>
      </c>
      <c r="R13" s="37"/>
      <c r="S13" s="40" t="s">
        <v>2495</v>
      </c>
      <c r="T13" s="20" t="s">
        <v>2496</v>
      </c>
      <c r="U13" s="20" t="s">
        <v>2497</v>
      </c>
      <c r="V13" s="25" t="s">
        <v>2498</v>
      </c>
      <c r="W13" s="20" t="s">
        <v>2502</v>
      </c>
      <c r="X13" s="20" t="s">
        <v>2503</v>
      </c>
      <c r="Y13" s="20" t="s">
        <v>2504</v>
      </c>
      <c r="Z13" s="20" t="s">
        <v>2499</v>
      </c>
      <c r="AA13" s="20" t="s">
        <v>917</v>
      </c>
      <c r="AB13" s="20" t="s">
        <v>918</v>
      </c>
      <c r="AC13" s="20"/>
      <c r="AD13" s="20"/>
      <c r="AE13" s="44"/>
    </row>
    <row r="14" spans="1:31">
      <c r="A14" s="29" t="s">
        <v>691</v>
      </c>
      <c r="B14" s="24" t="s">
        <v>756</v>
      </c>
      <c r="C14" s="24" t="s">
        <v>757</v>
      </c>
      <c r="D14" s="68">
        <v>45199</v>
      </c>
      <c r="E14" s="64">
        <v>45199</v>
      </c>
      <c r="F14" s="19" t="s">
        <v>841</v>
      </c>
      <c r="G14" s="19" t="s">
        <v>2354</v>
      </c>
      <c r="H14" s="19" t="s">
        <v>2355</v>
      </c>
      <c r="I14" s="20" t="s">
        <v>874</v>
      </c>
      <c r="J14" s="21" t="s">
        <v>2343</v>
      </c>
      <c r="K14" s="21" t="s">
        <v>2342</v>
      </c>
      <c r="L14" s="20" t="s">
        <v>876</v>
      </c>
      <c r="M14" s="20" t="s">
        <v>2624</v>
      </c>
      <c r="N14" s="21" t="s">
        <v>877</v>
      </c>
      <c r="O14" s="96" t="s">
        <v>2361</v>
      </c>
      <c r="P14" s="20" t="s">
        <v>879</v>
      </c>
      <c r="Q14" s="25" t="s">
        <v>2283</v>
      </c>
      <c r="R14" s="37"/>
      <c r="S14" s="40" t="s">
        <v>2495</v>
      </c>
      <c r="T14" s="20" t="s">
        <v>2496</v>
      </c>
      <c r="U14" s="20" t="s">
        <v>2497</v>
      </c>
      <c r="V14" s="25" t="s">
        <v>2498</v>
      </c>
      <c r="W14" s="20" t="s">
        <v>2502</v>
      </c>
      <c r="X14" s="20" t="s">
        <v>2503</v>
      </c>
      <c r="Y14" s="20" t="s">
        <v>2504</v>
      </c>
      <c r="Z14" s="20" t="s">
        <v>2499</v>
      </c>
      <c r="AA14" s="20" t="s">
        <v>917</v>
      </c>
      <c r="AB14" s="20" t="s">
        <v>918</v>
      </c>
      <c r="AC14" s="20"/>
      <c r="AD14" s="20"/>
      <c r="AE14" s="20"/>
    </row>
    <row r="15" spans="1:31">
      <c r="A15" s="29" t="s">
        <v>691</v>
      </c>
      <c r="B15" s="24" t="s">
        <v>756</v>
      </c>
      <c r="C15" s="24" t="s">
        <v>757</v>
      </c>
      <c r="D15" s="68">
        <v>45199</v>
      </c>
      <c r="E15" s="64">
        <v>45199</v>
      </c>
      <c r="F15" s="19" t="s">
        <v>841</v>
      </c>
      <c r="G15" s="19" t="s">
        <v>2354</v>
      </c>
      <c r="H15" s="19" t="s">
        <v>2355</v>
      </c>
      <c r="I15" s="20" t="s">
        <v>874</v>
      </c>
      <c r="J15" s="21" t="s">
        <v>2343</v>
      </c>
      <c r="K15" s="21" t="s">
        <v>2342</v>
      </c>
      <c r="L15" s="20" t="s">
        <v>876</v>
      </c>
      <c r="M15" s="20" t="s">
        <v>2624</v>
      </c>
      <c r="N15" s="21" t="s">
        <v>877</v>
      </c>
      <c r="O15" s="96" t="s">
        <v>2532</v>
      </c>
      <c r="P15" s="20" t="s">
        <v>2532</v>
      </c>
      <c r="Q15" s="25" t="s">
        <v>2594</v>
      </c>
      <c r="R15" s="37"/>
      <c r="S15" s="40" t="s">
        <v>2495</v>
      </c>
      <c r="T15" s="20" t="s">
        <v>2496</v>
      </c>
      <c r="U15" s="20" t="s">
        <v>2497</v>
      </c>
      <c r="V15" s="25" t="s">
        <v>2498</v>
      </c>
      <c r="W15" s="20" t="s">
        <v>2502</v>
      </c>
      <c r="X15" s="20" t="s">
        <v>2503</v>
      </c>
      <c r="Y15" s="20" t="s">
        <v>2504</v>
      </c>
      <c r="Z15" s="20" t="s">
        <v>2499</v>
      </c>
      <c r="AA15" s="20" t="s">
        <v>917</v>
      </c>
      <c r="AB15" s="20" t="s">
        <v>918</v>
      </c>
      <c r="AC15" s="20"/>
      <c r="AD15" s="20"/>
      <c r="AE15" s="20"/>
    </row>
    <row r="16" spans="1:31">
      <c r="A16" s="29" t="s">
        <v>691</v>
      </c>
      <c r="B16" s="24" t="s">
        <v>756</v>
      </c>
      <c r="C16" s="24" t="s">
        <v>757</v>
      </c>
      <c r="D16" s="68">
        <v>45199</v>
      </c>
      <c r="E16" s="64">
        <v>45199</v>
      </c>
      <c r="F16" s="19" t="s">
        <v>841</v>
      </c>
      <c r="G16" s="19" t="s">
        <v>2354</v>
      </c>
      <c r="H16" s="19" t="s">
        <v>2355</v>
      </c>
      <c r="I16" s="20" t="s">
        <v>874</v>
      </c>
      <c r="J16" s="21" t="s">
        <v>2343</v>
      </c>
      <c r="K16" s="21" t="s">
        <v>2342</v>
      </c>
      <c r="L16" s="20" t="s">
        <v>876</v>
      </c>
      <c r="M16" s="20" t="s">
        <v>2624</v>
      </c>
      <c r="N16" s="21" t="s">
        <v>877</v>
      </c>
      <c r="O16" s="96" t="s">
        <v>2362</v>
      </c>
      <c r="P16" s="20" t="s">
        <v>880</v>
      </c>
      <c r="Q16" s="25" t="s">
        <v>881</v>
      </c>
      <c r="R16" s="37"/>
      <c r="S16" s="40" t="s">
        <v>2495</v>
      </c>
      <c r="T16" s="20" t="s">
        <v>2496</v>
      </c>
      <c r="U16" s="20" t="s">
        <v>2497</v>
      </c>
      <c r="V16" s="25" t="s">
        <v>2498</v>
      </c>
      <c r="W16" s="20" t="s">
        <v>2502</v>
      </c>
      <c r="X16" s="20" t="s">
        <v>2503</v>
      </c>
      <c r="Y16" s="20" t="s">
        <v>2504</v>
      </c>
      <c r="Z16" s="20" t="s">
        <v>2499</v>
      </c>
      <c r="AA16" s="20" t="s">
        <v>917</v>
      </c>
      <c r="AB16" s="20" t="s">
        <v>918</v>
      </c>
      <c r="AC16" s="20"/>
      <c r="AD16" s="20"/>
      <c r="AE16" s="20"/>
    </row>
    <row r="17" spans="1:31">
      <c r="A17" s="29" t="s">
        <v>691</v>
      </c>
      <c r="B17" s="24" t="s">
        <v>756</v>
      </c>
      <c r="C17" s="24" t="s">
        <v>757</v>
      </c>
      <c r="D17" s="68">
        <v>45199</v>
      </c>
      <c r="E17" s="64">
        <v>45199</v>
      </c>
      <c r="F17" s="19" t="s">
        <v>841</v>
      </c>
      <c r="G17" s="19" t="s">
        <v>2354</v>
      </c>
      <c r="H17" s="19" t="s">
        <v>2355</v>
      </c>
      <c r="I17" s="20" t="s">
        <v>874</v>
      </c>
      <c r="J17" s="21" t="s">
        <v>2343</v>
      </c>
      <c r="K17" s="21" t="s">
        <v>2342</v>
      </c>
      <c r="L17" s="20" t="s">
        <v>876</v>
      </c>
      <c r="M17" s="20" t="s">
        <v>2624</v>
      </c>
      <c r="N17" s="21" t="s">
        <v>882</v>
      </c>
      <c r="O17" s="96" t="s">
        <v>2556</v>
      </c>
      <c r="P17" s="20" t="s">
        <v>2335</v>
      </c>
      <c r="Q17" s="25" t="s">
        <v>883</v>
      </c>
      <c r="R17" s="37"/>
      <c r="S17" s="40" t="s">
        <v>2495</v>
      </c>
      <c r="T17" s="20" t="s">
        <v>2496</v>
      </c>
      <c r="U17" s="20" t="s">
        <v>2497</v>
      </c>
      <c r="V17" s="25" t="s">
        <v>2498</v>
      </c>
      <c r="W17" s="20" t="s">
        <v>2502</v>
      </c>
      <c r="X17" s="20" t="s">
        <v>2503</v>
      </c>
      <c r="Y17" s="20" t="s">
        <v>2504</v>
      </c>
      <c r="Z17" s="20" t="s">
        <v>2499</v>
      </c>
      <c r="AA17" s="20" t="s">
        <v>917</v>
      </c>
      <c r="AB17" s="20" t="s">
        <v>918</v>
      </c>
      <c r="AC17" s="20"/>
      <c r="AD17" s="20"/>
      <c r="AE17" s="20"/>
    </row>
    <row r="18" spans="1:31">
      <c r="A18" s="29" t="s">
        <v>691</v>
      </c>
      <c r="B18" s="24" t="s">
        <v>756</v>
      </c>
      <c r="C18" s="24" t="s">
        <v>757</v>
      </c>
      <c r="D18" s="68">
        <v>45199</v>
      </c>
      <c r="E18" s="64">
        <v>45199</v>
      </c>
      <c r="F18" s="19" t="s">
        <v>841</v>
      </c>
      <c r="G18" s="19" t="s">
        <v>2354</v>
      </c>
      <c r="H18" s="19" t="s">
        <v>2355</v>
      </c>
      <c r="I18" s="20" t="s">
        <v>874</v>
      </c>
      <c r="J18" s="21" t="s">
        <v>2343</v>
      </c>
      <c r="K18" s="21" t="s">
        <v>2342</v>
      </c>
      <c r="L18" s="20" t="s">
        <v>876</v>
      </c>
      <c r="M18" s="20" t="s">
        <v>2624</v>
      </c>
      <c r="N18" s="21" t="s">
        <v>882</v>
      </c>
      <c r="O18" s="96" t="s">
        <v>2557</v>
      </c>
      <c r="P18" s="20" t="s">
        <v>884</v>
      </c>
      <c r="Q18" s="25" t="s">
        <v>694</v>
      </c>
      <c r="R18" s="37"/>
      <c r="S18" s="40" t="s">
        <v>2495</v>
      </c>
      <c r="T18" s="20" t="s">
        <v>2496</v>
      </c>
      <c r="U18" s="20" t="s">
        <v>2497</v>
      </c>
      <c r="V18" s="25" t="s">
        <v>2498</v>
      </c>
      <c r="W18" s="20" t="s">
        <v>2502</v>
      </c>
      <c r="X18" s="20" t="s">
        <v>2503</v>
      </c>
      <c r="Y18" s="20" t="s">
        <v>2504</v>
      </c>
      <c r="Z18" s="20" t="s">
        <v>2499</v>
      </c>
      <c r="AA18" s="20" t="s">
        <v>917</v>
      </c>
      <c r="AB18" s="20" t="s">
        <v>918</v>
      </c>
      <c r="AC18" s="20"/>
      <c r="AD18" s="20"/>
      <c r="AE18" s="20"/>
    </row>
    <row r="19" spans="1:31">
      <c r="A19" s="29" t="s">
        <v>691</v>
      </c>
      <c r="B19" s="24" t="s">
        <v>756</v>
      </c>
      <c r="C19" s="24" t="s">
        <v>757</v>
      </c>
      <c r="D19" s="68">
        <v>45199</v>
      </c>
      <c r="E19" s="64">
        <v>45199</v>
      </c>
      <c r="F19" s="19" t="s">
        <v>841</v>
      </c>
      <c r="G19" s="19" t="s">
        <v>2354</v>
      </c>
      <c r="H19" s="19" t="s">
        <v>2355</v>
      </c>
      <c r="I19" s="20" t="s">
        <v>885</v>
      </c>
      <c r="J19" s="21" t="s">
        <v>2343</v>
      </c>
      <c r="K19" s="21" t="s">
        <v>2342</v>
      </c>
      <c r="L19" s="20" t="s">
        <v>876</v>
      </c>
      <c r="M19" s="20" t="s">
        <v>2624</v>
      </c>
      <c r="N19" s="21" t="s">
        <v>882</v>
      </c>
      <c r="O19" s="96" t="s">
        <v>2363</v>
      </c>
      <c r="P19" s="20" t="s">
        <v>845</v>
      </c>
      <c r="Q19" s="25" t="s">
        <v>886</v>
      </c>
      <c r="R19" s="37"/>
      <c r="S19" s="40" t="s">
        <v>2495</v>
      </c>
      <c r="T19" s="20" t="s">
        <v>2496</v>
      </c>
      <c r="U19" s="20" t="s">
        <v>2497</v>
      </c>
      <c r="V19" s="25" t="s">
        <v>2498</v>
      </c>
      <c r="W19" s="20" t="s">
        <v>2502</v>
      </c>
      <c r="X19" s="20" t="s">
        <v>2503</v>
      </c>
      <c r="Y19" s="20" t="s">
        <v>2504</v>
      </c>
      <c r="Z19" s="20" t="s">
        <v>2499</v>
      </c>
      <c r="AA19" s="20" t="s">
        <v>917</v>
      </c>
      <c r="AB19" s="20" t="s">
        <v>918</v>
      </c>
      <c r="AC19" s="20"/>
      <c r="AD19" s="20"/>
      <c r="AE19" s="20"/>
    </row>
    <row r="20" spans="1:31">
      <c r="A20" s="29" t="s">
        <v>691</v>
      </c>
      <c r="B20" s="24" t="s">
        <v>756</v>
      </c>
      <c r="C20" s="24" t="s">
        <v>757</v>
      </c>
      <c r="D20" s="68">
        <v>45199</v>
      </c>
      <c r="E20" s="64">
        <v>45199</v>
      </c>
      <c r="F20" s="19" t="s">
        <v>841</v>
      </c>
      <c r="G20" s="19" t="s">
        <v>2354</v>
      </c>
      <c r="H20" s="19" t="s">
        <v>2355</v>
      </c>
      <c r="I20" s="20" t="s">
        <v>885</v>
      </c>
      <c r="J20" s="21" t="s">
        <v>2343</v>
      </c>
      <c r="K20" s="21" t="s">
        <v>2342</v>
      </c>
      <c r="L20" s="20" t="s">
        <v>876</v>
      </c>
      <c r="M20" s="20" t="s">
        <v>2624</v>
      </c>
      <c r="N20" s="21" t="s">
        <v>882</v>
      </c>
      <c r="O20" s="96" t="s">
        <v>2364</v>
      </c>
      <c r="P20" s="20" t="s">
        <v>887</v>
      </c>
      <c r="Q20" s="25" t="s">
        <v>888</v>
      </c>
      <c r="R20" s="37"/>
      <c r="S20" s="40" t="s">
        <v>2495</v>
      </c>
      <c r="T20" s="20" t="s">
        <v>2496</v>
      </c>
      <c r="U20" s="20" t="s">
        <v>2497</v>
      </c>
      <c r="V20" s="25" t="s">
        <v>2498</v>
      </c>
      <c r="W20" s="20" t="s">
        <v>2502</v>
      </c>
      <c r="X20" s="20" t="s">
        <v>2503</v>
      </c>
      <c r="Y20" s="20" t="s">
        <v>2504</v>
      </c>
      <c r="Z20" s="20" t="s">
        <v>2499</v>
      </c>
      <c r="AA20" s="20" t="s">
        <v>917</v>
      </c>
      <c r="AB20" s="20" t="s">
        <v>918</v>
      </c>
      <c r="AC20" s="20"/>
      <c r="AD20" s="20"/>
      <c r="AE20" s="20"/>
    </row>
    <row r="21" spans="1:31">
      <c r="A21" s="29" t="s">
        <v>691</v>
      </c>
      <c r="B21" s="24" t="s">
        <v>756</v>
      </c>
      <c r="C21" s="24" t="s">
        <v>757</v>
      </c>
      <c r="D21" s="68">
        <v>45199</v>
      </c>
      <c r="E21" s="64">
        <v>45199</v>
      </c>
      <c r="F21" s="19" t="s">
        <v>841</v>
      </c>
      <c r="G21" s="19" t="s">
        <v>2354</v>
      </c>
      <c r="H21" s="19" t="s">
        <v>2355</v>
      </c>
      <c r="I21" s="20" t="s">
        <v>874</v>
      </c>
      <c r="J21" s="21" t="s">
        <v>2345</v>
      </c>
      <c r="K21" s="21" t="s">
        <v>2344</v>
      </c>
      <c r="L21" s="20" t="s">
        <v>889</v>
      </c>
      <c r="M21" s="20" t="s">
        <v>2624</v>
      </c>
      <c r="N21" s="21" t="s">
        <v>890</v>
      </c>
      <c r="O21" s="96" t="s">
        <v>2365</v>
      </c>
      <c r="P21" s="20" t="s">
        <v>891</v>
      </c>
      <c r="Q21" s="25" t="s">
        <v>892</v>
      </c>
      <c r="R21" s="37"/>
      <c r="S21" s="40" t="s">
        <v>2495</v>
      </c>
      <c r="T21" s="20" t="s">
        <v>2496</v>
      </c>
      <c r="U21" s="20" t="s">
        <v>2497</v>
      </c>
      <c r="V21" s="25" t="s">
        <v>2498</v>
      </c>
      <c r="W21" s="20" t="s">
        <v>2502</v>
      </c>
      <c r="X21" s="20" t="s">
        <v>2503</v>
      </c>
      <c r="Y21" s="20" t="s">
        <v>2504</v>
      </c>
      <c r="Z21" s="20" t="s">
        <v>2499</v>
      </c>
      <c r="AA21" s="20" t="s">
        <v>917</v>
      </c>
      <c r="AB21" s="20" t="s">
        <v>918</v>
      </c>
      <c r="AC21" s="20"/>
      <c r="AD21" s="20"/>
      <c r="AE21" s="20"/>
    </row>
    <row r="22" spans="1:31">
      <c r="A22" s="29" t="s">
        <v>691</v>
      </c>
      <c r="B22" s="24" t="s">
        <v>756</v>
      </c>
      <c r="C22" s="24" t="s">
        <v>757</v>
      </c>
      <c r="D22" s="68">
        <v>45199</v>
      </c>
      <c r="E22" s="64">
        <v>45199</v>
      </c>
      <c r="F22" s="19" t="s">
        <v>841</v>
      </c>
      <c r="G22" s="19" t="s">
        <v>2354</v>
      </c>
      <c r="H22" s="19" t="s">
        <v>2355</v>
      </c>
      <c r="I22" s="20" t="s">
        <v>874</v>
      </c>
      <c r="J22" s="21" t="s">
        <v>2346</v>
      </c>
      <c r="K22" s="21" t="s">
        <v>2347</v>
      </c>
      <c r="L22" s="20" t="s">
        <v>893</v>
      </c>
      <c r="M22" s="20" t="s">
        <v>2624</v>
      </c>
      <c r="N22" s="21" t="s">
        <v>894</v>
      </c>
      <c r="O22" s="96" t="s">
        <v>2366</v>
      </c>
      <c r="P22" s="20" t="s">
        <v>895</v>
      </c>
      <c r="Q22" s="25" t="s">
        <v>896</v>
      </c>
      <c r="R22" s="37"/>
      <c r="S22" s="40" t="s">
        <v>2495</v>
      </c>
      <c r="T22" s="20" t="s">
        <v>2496</v>
      </c>
      <c r="U22" s="20" t="s">
        <v>2497</v>
      </c>
      <c r="V22" s="25" t="s">
        <v>2498</v>
      </c>
      <c r="W22" s="20" t="s">
        <v>2502</v>
      </c>
      <c r="X22" s="20" t="s">
        <v>2503</v>
      </c>
      <c r="Y22" s="20" t="s">
        <v>2504</v>
      </c>
      <c r="Z22" s="20" t="s">
        <v>2499</v>
      </c>
      <c r="AA22" s="20" t="s">
        <v>917</v>
      </c>
      <c r="AB22" s="20" t="s">
        <v>918</v>
      </c>
      <c r="AC22" s="20"/>
      <c r="AD22" s="20"/>
      <c r="AE22" s="20"/>
    </row>
    <row r="23" spans="1:31">
      <c r="A23" s="29" t="s">
        <v>691</v>
      </c>
      <c r="B23" s="24" t="s">
        <v>756</v>
      </c>
      <c r="C23" s="24" t="s">
        <v>757</v>
      </c>
      <c r="D23" s="68">
        <v>45199</v>
      </c>
      <c r="E23" s="64">
        <v>45199</v>
      </c>
      <c r="F23" s="19" t="s">
        <v>841</v>
      </c>
      <c r="G23" s="19" t="s">
        <v>2354</v>
      </c>
      <c r="H23" s="19" t="s">
        <v>2355</v>
      </c>
      <c r="I23" s="20" t="s">
        <v>2521</v>
      </c>
      <c r="J23" s="21" t="s">
        <v>2341</v>
      </c>
      <c r="K23" s="21" t="s">
        <v>2600</v>
      </c>
      <c r="L23" s="20" t="s">
        <v>2591</v>
      </c>
      <c r="M23" s="20" t="s">
        <v>2346</v>
      </c>
      <c r="N23" s="21" t="s">
        <v>2601</v>
      </c>
      <c r="O23" s="20" t="s">
        <v>2586</v>
      </c>
      <c r="P23" s="20" t="s">
        <v>2587</v>
      </c>
      <c r="Q23" s="25" t="s">
        <v>2589</v>
      </c>
      <c r="R23" s="37"/>
      <c r="S23" s="40" t="s">
        <v>2495</v>
      </c>
      <c r="T23" s="20" t="s">
        <v>2496</v>
      </c>
      <c r="U23" s="20" t="s">
        <v>2497</v>
      </c>
      <c r="V23" s="25" t="s">
        <v>757</v>
      </c>
      <c r="W23" s="20" t="s">
        <v>2502</v>
      </c>
      <c r="X23" s="20" t="s">
        <v>2503</v>
      </c>
      <c r="Y23" s="20" t="s">
        <v>2597</v>
      </c>
      <c r="Z23" s="20" t="s">
        <v>854</v>
      </c>
      <c r="AA23" s="20" t="s">
        <v>917</v>
      </c>
      <c r="AB23" s="20" t="s">
        <v>918</v>
      </c>
      <c r="AC23" s="20"/>
      <c r="AD23" s="20"/>
      <c r="AE23" s="20"/>
    </row>
    <row r="24" spans="1:31">
      <c r="A24" s="42" t="s">
        <v>714</v>
      </c>
      <c r="B24" s="43" t="s">
        <v>751</v>
      </c>
      <c r="C24" s="43" t="s">
        <v>752</v>
      </c>
      <c r="D24" s="65" t="s">
        <v>848</v>
      </c>
      <c r="E24" s="65" t="s">
        <v>849</v>
      </c>
      <c r="F24" s="43" t="s">
        <v>753</v>
      </c>
      <c r="G24" s="43" t="s">
        <v>754</v>
      </c>
      <c r="H24" s="43" t="s">
        <v>755</v>
      </c>
      <c r="I24" s="44" t="s">
        <v>684</v>
      </c>
      <c r="J24" s="45" t="s">
        <v>758</v>
      </c>
      <c r="K24" s="45" t="s">
        <v>685</v>
      </c>
      <c r="L24" s="44" t="s">
        <v>686</v>
      </c>
      <c r="M24" s="44" t="s">
        <v>763</v>
      </c>
      <c r="N24" s="45" t="s">
        <v>687</v>
      </c>
      <c r="O24" s="44" t="s">
        <v>688</v>
      </c>
      <c r="P24" s="44" t="s">
        <v>689</v>
      </c>
      <c r="Q24" s="46" t="s">
        <v>690</v>
      </c>
      <c r="R24" s="47" t="s">
        <v>855</v>
      </c>
      <c r="S24" s="48" t="s">
        <v>790</v>
      </c>
      <c r="T24" s="44" t="s">
        <v>791</v>
      </c>
      <c r="U24" s="44" t="s">
        <v>792</v>
      </c>
      <c r="V24" s="46" t="s">
        <v>793</v>
      </c>
      <c r="W24" s="44" t="s">
        <v>850</v>
      </c>
      <c r="X24" s="44" t="s">
        <v>851</v>
      </c>
      <c r="Y24" s="97" t="s">
        <v>852</v>
      </c>
      <c r="Z24" s="97" t="s">
        <v>916</v>
      </c>
      <c r="AA24" s="44" t="s">
        <v>726</v>
      </c>
      <c r="AB24" s="44" t="s">
        <v>727</v>
      </c>
      <c r="AC24" s="44" t="s">
        <v>730</v>
      </c>
      <c r="AD24" s="44"/>
      <c r="AE24" s="20"/>
    </row>
    <row r="25" spans="1:31">
      <c r="A25" s="29" t="s">
        <v>691</v>
      </c>
      <c r="B25" s="24" t="s">
        <v>756</v>
      </c>
      <c r="C25" s="24" t="s">
        <v>757</v>
      </c>
      <c r="D25" s="68">
        <v>45199</v>
      </c>
      <c r="E25" s="64">
        <v>45199</v>
      </c>
      <c r="F25" s="19" t="s">
        <v>841</v>
      </c>
      <c r="G25" s="19" t="s">
        <v>2353</v>
      </c>
      <c r="H25" s="19" t="s">
        <v>2356</v>
      </c>
      <c r="I25" s="20" t="s">
        <v>2529</v>
      </c>
      <c r="J25" s="21" t="s">
        <v>2341</v>
      </c>
      <c r="K25" s="21" t="s">
        <v>2348</v>
      </c>
      <c r="L25" s="20" t="s">
        <v>693</v>
      </c>
      <c r="M25" s="20" t="s">
        <v>764</v>
      </c>
      <c r="N25" s="21" t="s">
        <v>898</v>
      </c>
      <c r="O25" s="20" t="s">
        <v>864</v>
      </c>
      <c r="P25" s="20" t="s">
        <v>864</v>
      </c>
      <c r="Q25" s="25" t="s">
        <v>865</v>
      </c>
      <c r="R25" s="37"/>
      <c r="S25" s="40" t="s">
        <v>2495</v>
      </c>
      <c r="T25" s="20" t="s">
        <v>2496</v>
      </c>
      <c r="U25" s="20" t="s">
        <v>2497</v>
      </c>
      <c r="V25" s="25" t="s">
        <v>2498</v>
      </c>
      <c r="W25" s="20" t="s">
        <v>2502</v>
      </c>
      <c r="X25" s="20" t="s">
        <v>2503</v>
      </c>
      <c r="Y25" s="20" t="s">
        <v>2504</v>
      </c>
      <c r="Z25" s="20" t="s">
        <v>2499</v>
      </c>
      <c r="AA25" s="20" t="s">
        <v>917</v>
      </c>
      <c r="AB25" s="20" t="s">
        <v>918</v>
      </c>
      <c r="AC25" s="20"/>
      <c r="AD25" s="20"/>
      <c r="AE25" s="20"/>
    </row>
    <row r="26" spans="1:31">
      <c r="A26" s="29" t="s">
        <v>691</v>
      </c>
      <c r="B26" s="24" t="s">
        <v>756</v>
      </c>
      <c r="C26" s="24" t="s">
        <v>757</v>
      </c>
      <c r="D26" s="68">
        <v>45199</v>
      </c>
      <c r="E26" s="64">
        <v>45199</v>
      </c>
      <c r="F26" s="19" t="s">
        <v>841</v>
      </c>
      <c r="G26" s="19" t="s">
        <v>2353</v>
      </c>
      <c r="H26" s="19" t="s">
        <v>2356</v>
      </c>
      <c r="I26" s="20" t="s">
        <v>897</v>
      </c>
      <c r="J26" s="21" t="s">
        <v>2343</v>
      </c>
      <c r="K26" s="21" t="s">
        <v>2349</v>
      </c>
      <c r="L26" s="20" t="s">
        <v>686</v>
      </c>
      <c r="M26" s="20" t="s">
        <v>2624</v>
      </c>
      <c r="N26" s="21" t="s">
        <v>899</v>
      </c>
      <c r="O26" s="20" t="s">
        <v>900</v>
      </c>
      <c r="P26" s="20" t="s">
        <v>901</v>
      </c>
      <c r="Q26" s="25" t="s">
        <v>902</v>
      </c>
      <c r="R26" s="37"/>
      <c r="S26" s="40" t="s">
        <v>2495</v>
      </c>
      <c r="T26" s="20" t="s">
        <v>2496</v>
      </c>
      <c r="U26" s="20" t="s">
        <v>2497</v>
      </c>
      <c r="V26" s="25" t="s">
        <v>2498</v>
      </c>
      <c r="W26" s="20" t="s">
        <v>2502</v>
      </c>
      <c r="X26" s="20" t="s">
        <v>2503</v>
      </c>
      <c r="Y26" s="20" t="s">
        <v>2504</v>
      </c>
      <c r="Z26" s="20" t="s">
        <v>2499</v>
      </c>
      <c r="AA26" s="20" t="s">
        <v>917</v>
      </c>
      <c r="AB26" s="20" t="s">
        <v>918</v>
      </c>
      <c r="AC26" s="20"/>
      <c r="AD26" s="20"/>
      <c r="AE26" s="20"/>
    </row>
    <row r="27" spans="1:31">
      <c r="A27" s="29" t="s">
        <v>691</v>
      </c>
      <c r="B27" s="24" t="s">
        <v>756</v>
      </c>
      <c r="C27" s="24" t="s">
        <v>757</v>
      </c>
      <c r="D27" s="68">
        <v>45199</v>
      </c>
      <c r="E27" s="64">
        <v>45199</v>
      </c>
      <c r="F27" s="19" t="s">
        <v>841</v>
      </c>
      <c r="G27" s="19" t="s">
        <v>2353</v>
      </c>
      <c r="H27" s="19" t="s">
        <v>2356</v>
      </c>
      <c r="I27" s="20" t="s">
        <v>897</v>
      </c>
      <c r="J27" s="21" t="s">
        <v>2343</v>
      </c>
      <c r="K27" s="21" t="s">
        <v>2349</v>
      </c>
      <c r="L27" s="20" t="s">
        <v>686</v>
      </c>
      <c r="M27" s="20" t="s">
        <v>2624</v>
      </c>
      <c r="N27" s="21" t="s">
        <v>903</v>
      </c>
      <c r="O27" s="20" t="s">
        <v>2584</v>
      </c>
      <c r="P27" s="20" t="s">
        <v>2336</v>
      </c>
      <c r="Q27" s="25" t="s">
        <v>904</v>
      </c>
      <c r="R27" s="37"/>
      <c r="S27" s="40" t="s">
        <v>2495</v>
      </c>
      <c r="T27" s="20" t="s">
        <v>2496</v>
      </c>
      <c r="U27" s="20" t="s">
        <v>2497</v>
      </c>
      <c r="V27" s="25" t="s">
        <v>2498</v>
      </c>
      <c r="W27" s="20" t="s">
        <v>2502</v>
      </c>
      <c r="X27" s="20" t="s">
        <v>2503</v>
      </c>
      <c r="Y27" s="20" t="s">
        <v>2504</v>
      </c>
      <c r="Z27" s="20" t="s">
        <v>2499</v>
      </c>
      <c r="AA27" s="20" t="s">
        <v>917</v>
      </c>
      <c r="AB27" s="20" t="s">
        <v>918</v>
      </c>
      <c r="AC27" s="20"/>
      <c r="AD27" s="20"/>
      <c r="AE27" s="20"/>
    </row>
    <row r="28" spans="1:31">
      <c r="A28" s="29" t="s">
        <v>691</v>
      </c>
      <c r="B28" s="24" t="s">
        <v>756</v>
      </c>
      <c r="C28" s="24" t="s">
        <v>757</v>
      </c>
      <c r="D28" s="68">
        <v>45199</v>
      </c>
      <c r="E28" s="64">
        <v>45199</v>
      </c>
      <c r="F28" s="19" t="s">
        <v>841</v>
      </c>
      <c r="G28" s="19" t="s">
        <v>2353</v>
      </c>
      <c r="H28" s="19" t="s">
        <v>2356</v>
      </c>
      <c r="I28" s="20" t="s">
        <v>897</v>
      </c>
      <c r="J28" s="21" t="s">
        <v>2343</v>
      </c>
      <c r="K28" s="21" t="s">
        <v>2349</v>
      </c>
      <c r="L28" s="20" t="s">
        <v>686</v>
      </c>
      <c r="M28" s="20" t="s">
        <v>2624</v>
      </c>
      <c r="N28" s="21" t="s">
        <v>905</v>
      </c>
      <c r="O28" s="20" t="s">
        <v>2585</v>
      </c>
      <c r="P28" s="20" t="s">
        <v>2337</v>
      </c>
      <c r="Q28" s="25" t="s">
        <v>2338</v>
      </c>
      <c r="R28" s="37"/>
      <c r="S28" s="40" t="s">
        <v>2495</v>
      </c>
      <c r="T28" s="20" t="s">
        <v>2496</v>
      </c>
      <c r="U28" s="20" t="s">
        <v>2497</v>
      </c>
      <c r="V28" s="25" t="s">
        <v>2498</v>
      </c>
      <c r="W28" s="20" t="s">
        <v>2502</v>
      </c>
      <c r="X28" s="20" t="s">
        <v>2503</v>
      </c>
      <c r="Y28" s="20" t="s">
        <v>2504</v>
      </c>
      <c r="Z28" s="20" t="s">
        <v>2499</v>
      </c>
      <c r="AA28" s="20" t="s">
        <v>917</v>
      </c>
      <c r="AB28" s="20" t="s">
        <v>918</v>
      </c>
      <c r="AC28" s="20"/>
      <c r="AD28" s="20"/>
      <c r="AE28" s="20"/>
    </row>
    <row r="29" spans="1:31">
      <c r="A29" s="29" t="s">
        <v>691</v>
      </c>
      <c r="B29" s="24" t="s">
        <v>756</v>
      </c>
      <c r="C29" s="24" t="s">
        <v>757</v>
      </c>
      <c r="D29" s="68">
        <v>45199</v>
      </c>
      <c r="E29" s="64">
        <v>45199</v>
      </c>
      <c r="F29" s="19" t="s">
        <v>841</v>
      </c>
      <c r="G29" s="19" t="s">
        <v>2353</v>
      </c>
      <c r="H29" s="19" t="s">
        <v>2356</v>
      </c>
      <c r="I29" s="20" t="s">
        <v>897</v>
      </c>
      <c r="J29" s="21" t="s">
        <v>2343</v>
      </c>
      <c r="K29" s="21" t="s">
        <v>2349</v>
      </c>
      <c r="L29" s="20" t="s">
        <v>686</v>
      </c>
      <c r="M29" s="20" t="s">
        <v>2625</v>
      </c>
      <c r="N29" s="21" t="s">
        <v>906</v>
      </c>
      <c r="O29" s="20" t="s">
        <v>907</v>
      </c>
      <c r="P29" s="20" t="s">
        <v>908</v>
      </c>
      <c r="Q29" s="25" t="s">
        <v>909</v>
      </c>
      <c r="R29" s="37"/>
      <c r="S29" s="40" t="s">
        <v>2495</v>
      </c>
      <c r="T29" s="20" t="s">
        <v>2496</v>
      </c>
      <c r="U29" s="20" t="s">
        <v>2497</v>
      </c>
      <c r="V29" s="25" t="s">
        <v>2498</v>
      </c>
      <c r="W29" s="20" t="s">
        <v>2502</v>
      </c>
      <c r="X29" s="20" t="s">
        <v>2503</v>
      </c>
      <c r="Y29" s="20" t="s">
        <v>2504</v>
      </c>
      <c r="Z29" s="20" t="s">
        <v>2499</v>
      </c>
      <c r="AA29" s="20" t="s">
        <v>917</v>
      </c>
      <c r="AB29" s="20" t="s">
        <v>918</v>
      </c>
      <c r="AC29" s="20"/>
      <c r="AD29" s="20"/>
      <c r="AE29" s="20"/>
    </row>
    <row r="30" spans="1:31">
      <c r="A30" s="29" t="s">
        <v>691</v>
      </c>
      <c r="B30" s="24" t="s">
        <v>756</v>
      </c>
      <c r="C30" s="24" t="s">
        <v>757</v>
      </c>
      <c r="D30" s="68">
        <v>45199</v>
      </c>
      <c r="E30" s="64">
        <v>45199</v>
      </c>
      <c r="F30" s="19" t="s">
        <v>841</v>
      </c>
      <c r="G30" s="19" t="s">
        <v>2353</v>
      </c>
      <c r="H30" s="19" t="s">
        <v>2356</v>
      </c>
      <c r="I30" s="20" t="s">
        <v>897</v>
      </c>
      <c r="J30" s="21" t="s">
        <v>2351</v>
      </c>
      <c r="K30" s="21" t="s">
        <v>2350</v>
      </c>
      <c r="L30" s="20" t="s">
        <v>910</v>
      </c>
      <c r="M30" s="20" t="s">
        <v>2626</v>
      </c>
      <c r="N30" s="21" t="s">
        <v>911</v>
      </c>
      <c r="O30" s="20" t="s">
        <v>2339</v>
      </c>
      <c r="P30" s="20" t="s">
        <v>2339</v>
      </c>
      <c r="Q30" s="25" t="s">
        <v>896</v>
      </c>
      <c r="R30" s="37"/>
      <c r="S30" s="40" t="s">
        <v>2495</v>
      </c>
      <c r="T30" s="20" t="s">
        <v>2496</v>
      </c>
      <c r="U30" s="20" t="s">
        <v>2497</v>
      </c>
      <c r="V30" s="25" t="s">
        <v>2498</v>
      </c>
      <c r="W30" s="20" t="s">
        <v>2502</v>
      </c>
      <c r="X30" s="20" t="s">
        <v>2503</v>
      </c>
      <c r="Y30" s="20" t="s">
        <v>2504</v>
      </c>
      <c r="Z30" s="20" t="s">
        <v>2499</v>
      </c>
      <c r="AA30" s="20" t="s">
        <v>917</v>
      </c>
      <c r="AB30" s="20" t="s">
        <v>918</v>
      </c>
      <c r="AC30" s="20"/>
      <c r="AD30" s="20"/>
      <c r="AE30" s="20"/>
    </row>
    <row r="31" spans="1:31">
      <c r="A31" s="29" t="s">
        <v>691</v>
      </c>
      <c r="B31" s="24" t="s">
        <v>756</v>
      </c>
      <c r="C31" s="24" t="s">
        <v>757</v>
      </c>
      <c r="D31" s="68">
        <v>45199</v>
      </c>
      <c r="E31" s="64">
        <v>45199</v>
      </c>
      <c r="F31" s="19" t="s">
        <v>841</v>
      </c>
      <c r="G31" s="19" t="s">
        <v>2353</v>
      </c>
      <c r="H31" s="19" t="s">
        <v>2356</v>
      </c>
      <c r="I31" s="20" t="s">
        <v>897</v>
      </c>
      <c r="J31" s="21" t="s">
        <v>2351</v>
      </c>
      <c r="K31" s="21" t="s">
        <v>2602</v>
      </c>
      <c r="L31" s="20" t="s">
        <v>2592</v>
      </c>
      <c r="M31" s="20" t="s">
        <v>2346</v>
      </c>
      <c r="N31" s="21" t="s">
        <v>2603</v>
      </c>
      <c r="O31" s="20" t="s">
        <v>2588</v>
      </c>
      <c r="P31" s="20" t="s">
        <v>2588</v>
      </c>
      <c r="Q31" s="25" t="s">
        <v>2590</v>
      </c>
      <c r="R31" s="37"/>
      <c r="S31" s="40" t="s">
        <v>2495</v>
      </c>
      <c r="T31" s="20" t="s">
        <v>2496</v>
      </c>
      <c r="U31" s="20" t="s">
        <v>2497</v>
      </c>
      <c r="V31" s="25" t="s">
        <v>2498</v>
      </c>
      <c r="W31" s="20" t="s">
        <v>2502</v>
      </c>
      <c r="X31" s="20" t="s">
        <v>2503</v>
      </c>
      <c r="Y31" s="20" t="s">
        <v>2504</v>
      </c>
      <c r="Z31" s="20" t="s">
        <v>2499</v>
      </c>
      <c r="AA31" s="20" t="s">
        <v>917</v>
      </c>
      <c r="AB31" s="20" t="s">
        <v>918</v>
      </c>
      <c r="AC31" s="20"/>
      <c r="AD31" s="20"/>
      <c r="AE31" s="20"/>
    </row>
    <row r="32" spans="1:31">
      <c r="A32" s="42" t="s">
        <v>714</v>
      </c>
      <c r="B32" s="43" t="s">
        <v>751</v>
      </c>
      <c r="C32" s="43" t="s">
        <v>752</v>
      </c>
      <c r="D32" s="65" t="s">
        <v>848</v>
      </c>
      <c r="E32" s="65" t="s">
        <v>849</v>
      </c>
      <c r="F32" s="43" t="s">
        <v>753</v>
      </c>
      <c r="G32" s="43" t="s">
        <v>754</v>
      </c>
      <c r="H32" s="43" t="s">
        <v>755</v>
      </c>
      <c r="I32" s="44" t="s">
        <v>684</v>
      </c>
      <c r="J32" s="45" t="s">
        <v>758</v>
      </c>
      <c r="K32" s="45" t="s">
        <v>685</v>
      </c>
      <c r="L32" s="44" t="s">
        <v>686</v>
      </c>
      <c r="M32" s="44" t="s">
        <v>763</v>
      </c>
      <c r="N32" s="45" t="s">
        <v>687</v>
      </c>
      <c r="O32" s="44" t="s">
        <v>688</v>
      </c>
      <c r="P32" s="44" t="s">
        <v>689</v>
      </c>
      <c r="Q32" s="46" t="s">
        <v>690</v>
      </c>
      <c r="R32" s="47" t="s">
        <v>855</v>
      </c>
      <c r="S32" s="48" t="s">
        <v>790</v>
      </c>
      <c r="T32" s="44" t="s">
        <v>791</v>
      </c>
      <c r="U32" s="44" t="s">
        <v>792</v>
      </c>
      <c r="V32" s="46" t="s">
        <v>793</v>
      </c>
      <c r="W32" s="44" t="s">
        <v>850</v>
      </c>
      <c r="X32" s="44" t="s">
        <v>851</v>
      </c>
      <c r="Y32" s="97" t="s">
        <v>852</v>
      </c>
      <c r="Z32" s="97" t="s">
        <v>916</v>
      </c>
      <c r="AA32" s="44" t="s">
        <v>726</v>
      </c>
      <c r="AB32" s="44" t="s">
        <v>727</v>
      </c>
      <c r="AC32" s="44" t="s">
        <v>730</v>
      </c>
      <c r="AD32" s="44"/>
      <c r="AE32" s="20"/>
    </row>
    <row r="33" spans="1:31">
      <c r="A33" s="29" t="s">
        <v>691</v>
      </c>
      <c r="B33" s="24" t="s">
        <v>756</v>
      </c>
      <c r="C33" s="24" t="s">
        <v>757</v>
      </c>
      <c r="D33" s="68">
        <v>45199</v>
      </c>
      <c r="E33" s="64">
        <v>45199</v>
      </c>
      <c r="F33" s="19" t="s">
        <v>2526</v>
      </c>
      <c r="G33" s="19" t="s">
        <v>2358</v>
      </c>
      <c r="H33" s="19" t="s">
        <v>2357</v>
      </c>
      <c r="I33" s="20" t="s">
        <v>2359</v>
      </c>
      <c r="J33" s="21" t="s">
        <v>2343</v>
      </c>
      <c r="K33" s="21" t="s">
        <v>2352</v>
      </c>
      <c r="L33" s="20" t="s">
        <v>2567</v>
      </c>
      <c r="M33" s="20" t="s">
        <v>2621</v>
      </c>
      <c r="N33" s="21" t="s">
        <v>699</v>
      </c>
      <c r="O33" s="20" t="s">
        <v>2522</v>
      </c>
      <c r="P33" s="20" t="s">
        <v>695</v>
      </c>
      <c r="Q33" s="25" t="s">
        <v>696</v>
      </c>
      <c r="R33" s="37"/>
      <c r="S33" s="40" t="s">
        <v>2495</v>
      </c>
      <c r="T33" s="20" t="s">
        <v>2496</v>
      </c>
      <c r="U33" s="20" t="s">
        <v>2497</v>
      </c>
      <c r="V33" s="25" t="s">
        <v>757</v>
      </c>
      <c r="W33" s="20" t="s">
        <v>2502</v>
      </c>
      <c r="X33" s="20" t="s">
        <v>2503</v>
      </c>
      <c r="Y33" s="20" t="s">
        <v>2504</v>
      </c>
      <c r="Z33" s="20" t="s">
        <v>2499</v>
      </c>
      <c r="AA33" s="20" t="s">
        <v>917</v>
      </c>
      <c r="AB33" s="20" t="s">
        <v>918</v>
      </c>
      <c r="AC33" s="20"/>
      <c r="AD33" s="20"/>
      <c r="AE33" s="20"/>
    </row>
    <row r="34" spans="1:31">
      <c r="A34" s="29" t="s">
        <v>691</v>
      </c>
      <c r="B34" s="24" t="s">
        <v>756</v>
      </c>
      <c r="C34" s="24" t="s">
        <v>757</v>
      </c>
      <c r="D34" s="68">
        <v>45199</v>
      </c>
      <c r="E34" s="64">
        <v>45199</v>
      </c>
      <c r="F34" s="19" t="s">
        <v>842</v>
      </c>
      <c r="G34" s="19" t="s">
        <v>2358</v>
      </c>
      <c r="H34" s="19" t="s">
        <v>2357</v>
      </c>
      <c r="I34" s="20" t="s">
        <v>844</v>
      </c>
      <c r="J34" s="21" t="s">
        <v>2343</v>
      </c>
      <c r="K34" s="21" t="s">
        <v>2352</v>
      </c>
      <c r="L34" s="20" t="s">
        <v>2567</v>
      </c>
      <c r="M34" s="20"/>
      <c r="N34" s="21"/>
      <c r="O34" s="20" t="s">
        <v>697</v>
      </c>
      <c r="P34" s="20"/>
      <c r="Q34" s="25" t="s">
        <v>698</v>
      </c>
      <c r="R34" s="37"/>
      <c r="S34" s="40" t="s">
        <v>2495</v>
      </c>
      <c r="T34" s="20" t="s">
        <v>2496</v>
      </c>
      <c r="U34" s="20" t="s">
        <v>2497</v>
      </c>
      <c r="V34" s="25" t="s">
        <v>757</v>
      </c>
      <c r="W34" s="20" t="s">
        <v>2502</v>
      </c>
      <c r="X34" s="20" t="s">
        <v>2503</v>
      </c>
      <c r="Y34" s="20" t="s">
        <v>2504</v>
      </c>
      <c r="Z34" s="20" t="s">
        <v>2499</v>
      </c>
      <c r="AA34" s="20" t="s">
        <v>917</v>
      </c>
      <c r="AB34" s="20" t="s">
        <v>918</v>
      </c>
      <c r="AC34" s="20"/>
      <c r="AD34" s="20"/>
      <c r="AE34" s="20"/>
    </row>
    <row r="35" spans="1:31">
      <c r="A35" s="29" t="s">
        <v>691</v>
      </c>
      <c r="B35" s="24" t="s">
        <v>756</v>
      </c>
      <c r="C35" s="24" t="s">
        <v>757</v>
      </c>
      <c r="D35" s="68">
        <v>45199</v>
      </c>
      <c r="E35" s="64">
        <v>45199</v>
      </c>
      <c r="F35" s="19" t="s">
        <v>842</v>
      </c>
      <c r="G35" s="19" t="s">
        <v>2358</v>
      </c>
      <c r="H35" s="19" t="s">
        <v>2357</v>
      </c>
      <c r="I35" s="20" t="s">
        <v>844</v>
      </c>
      <c r="J35" s="21" t="s">
        <v>2343</v>
      </c>
      <c r="K35" s="21" t="s">
        <v>2352</v>
      </c>
      <c r="L35" s="20" t="s">
        <v>2567</v>
      </c>
      <c r="M35" s="20" t="s">
        <v>2621</v>
      </c>
      <c r="N35" s="21" t="s">
        <v>699</v>
      </c>
      <c r="O35" s="20" t="s">
        <v>2565</v>
      </c>
      <c r="P35" s="20" t="s">
        <v>901</v>
      </c>
      <c r="Q35" s="25" t="s">
        <v>703</v>
      </c>
      <c r="R35" s="37"/>
      <c r="S35" s="40" t="s">
        <v>2495</v>
      </c>
      <c r="T35" s="20" t="s">
        <v>2496</v>
      </c>
      <c r="U35" s="20" t="s">
        <v>2497</v>
      </c>
      <c r="V35" s="25" t="s">
        <v>757</v>
      </c>
      <c r="W35" s="20" t="s">
        <v>2502</v>
      </c>
      <c r="X35" s="20" t="s">
        <v>2503</v>
      </c>
      <c r="Y35" s="20" t="s">
        <v>2504</v>
      </c>
      <c r="Z35" s="20" t="s">
        <v>2499</v>
      </c>
      <c r="AA35" s="20" t="s">
        <v>917</v>
      </c>
      <c r="AB35" s="20" t="s">
        <v>918</v>
      </c>
      <c r="AC35" s="20"/>
      <c r="AD35" s="20"/>
      <c r="AE35" s="20"/>
    </row>
    <row r="36" spans="1:31">
      <c r="A36" s="29" t="s">
        <v>691</v>
      </c>
      <c r="B36" s="24" t="s">
        <v>756</v>
      </c>
      <c r="C36" s="24" t="s">
        <v>757</v>
      </c>
      <c r="D36" s="68">
        <v>45199</v>
      </c>
      <c r="E36" s="64">
        <v>45199</v>
      </c>
      <c r="F36" s="19" t="s">
        <v>842</v>
      </c>
      <c r="G36" s="19" t="s">
        <v>2358</v>
      </c>
      <c r="H36" s="19" t="s">
        <v>2357</v>
      </c>
      <c r="I36" s="20" t="s">
        <v>844</v>
      </c>
      <c r="J36" s="21" t="s">
        <v>2343</v>
      </c>
      <c r="K36" s="21" t="s">
        <v>2352</v>
      </c>
      <c r="L36" s="20" t="s">
        <v>2567</v>
      </c>
      <c r="M36" s="20" t="s">
        <v>2622</v>
      </c>
      <c r="N36" s="21" t="s">
        <v>700</v>
      </c>
      <c r="O36" s="20" t="s">
        <v>2564</v>
      </c>
      <c r="P36" s="20" t="s">
        <v>901</v>
      </c>
      <c r="Q36" s="25" t="s">
        <v>703</v>
      </c>
      <c r="R36" s="37"/>
      <c r="S36" s="40" t="s">
        <v>2495</v>
      </c>
      <c r="T36" s="20" t="s">
        <v>2496</v>
      </c>
      <c r="U36" s="20" t="s">
        <v>2497</v>
      </c>
      <c r="V36" s="25" t="s">
        <v>757</v>
      </c>
      <c r="W36" s="20" t="s">
        <v>2502</v>
      </c>
      <c r="X36" s="20" t="s">
        <v>2503</v>
      </c>
      <c r="Y36" s="20" t="s">
        <v>2504</v>
      </c>
      <c r="Z36" s="20" t="s">
        <v>2499</v>
      </c>
      <c r="AA36" s="20" t="s">
        <v>917</v>
      </c>
      <c r="AB36" s="20" t="s">
        <v>918</v>
      </c>
      <c r="AC36" s="20"/>
      <c r="AD36" s="20"/>
      <c r="AE36" s="20"/>
    </row>
    <row r="37" spans="1:31">
      <c r="A37" s="29" t="s">
        <v>691</v>
      </c>
      <c r="B37" s="24" t="s">
        <v>756</v>
      </c>
      <c r="C37" s="24" t="s">
        <v>757</v>
      </c>
      <c r="D37" s="68">
        <v>45199</v>
      </c>
      <c r="E37" s="64">
        <v>45199</v>
      </c>
      <c r="F37" s="19" t="s">
        <v>842</v>
      </c>
      <c r="G37" s="19" t="s">
        <v>2358</v>
      </c>
      <c r="H37" s="19" t="s">
        <v>2357</v>
      </c>
      <c r="I37" s="20" t="s">
        <v>844</v>
      </c>
      <c r="J37" s="21" t="s">
        <v>2343</v>
      </c>
      <c r="K37" s="21" t="s">
        <v>2352</v>
      </c>
      <c r="L37" s="20" t="s">
        <v>2567</v>
      </c>
      <c r="M37" s="20" t="s">
        <v>2622</v>
      </c>
      <c r="N37" s="21" t="s">
        <v>700</v>
      </c>
      <c r="O37" s="20" t="s">
        <v>2563</v>
      </c>
      <c r="P37" s="20" t="s">
        <v>901</v>
      </c>
      <c r="Q37" s="25" t="s">
        <v>703</v>
      </c>
      <c r="R37" s="37"/>
      <c r="S37" s="40" t="s">
        <v>2495</v>
      </c>
      <c r="T37" s="20" t="s">
        <v>2496</v>
      </c>
      <c r="U37" s="20" t="s">
        <v>2497</v>
      </c>
      <c r="V37" s="25" t="s">
        <v>757</v>
      </c>
      <c r="W37" s="20" t="s">
        <v>2502</v>
      </c>
      <c r="X37" s="20" t="s">
        <v>2503</v>
      </c>
      <c r="Y37" s="20" t="s">
        <v>2504</v>
      </c>
      <c r="Z37" s="20" t="s">
        <v>2499</v>
      </c>
      <c r="AA37" s="20" t="s">
        <v>917</v>
      </c>
      <c r="AB37" s="20" t="s">
        <v>918</v>
      </c>
      <c r="AC37" s="20"/>
      <c r="AD37" s="20"/>
      <c r="AE37" s="20"/>
    </row>
    <row r="38" spans="1:31">
      <c r="A38" s="29" t="s">
        <v>691</v>
      </c>
      <c r="B38" s="24" t="s">
        <v>756</v>
      </c>
      <c r="C38" s="24" t="s">
        <v>757</v>
      </c>
      <c r="D38" s="68">
        <v>45199</v>
      </c>
      <c r="E38" s="64">
        <v>45199</v>
      </c>
      <c r="F38" s="19" t="s">
        <v>842</v>
      </c>
      <c r="G38" s="19" t="s">
        <v>2358</v>
      </c>
      <c r="H38" s="19" t="s">
        <v>2357</v>
      </c>
      <c r="I38" s="20" t="s">
        <v>844</v>
      </c>
      <c r="J38" s="21" t="s">
        <v>2343</v>
      </c>
      <c r="K38" s="21" t="s">
        <v>2352</v>
      </c>
      <c r="L38" s="20" t="s">
        <v>2567</v>
      </c>
      <c r="M38" s="20" t="s">
        <v>2620</v>
      </c>
      <c r="N38" s="21" t="s">
        <v>701</v>
      </c>
      <c r="O38" s="20" t="s">
        <v>2562</v>
      </c>
      <c r="P38" s="20" t="s">
        <v>702</v>
      </c>
      <c r="Q38" s="25" t="s">
        <v>703</v>
      </c>
      <c r="R38" s="37"/>
      <c r="S38" s="40" t="s">
        <v>2495</v>
      </c>
      <c r="T38" s="20" t="s">
        <v>2496</v>
      </c>
      <c r="U38" s="20" t="s">
        <v>2497</v>
      </c>
      <c r="V38" s="25" t="s">
        <v>757</v>
      </c>
      <c r="W38" s="20" t="s">
        <v>2502</v>
      </c>
      <c r="X38" s="20" t="s">
        <v>2503</v>
      </c>
      <c r="Y38" s="20" t="s">
        <v>2504</v>
      </c>
      <c r="Z38" s="20" t="s">
        <v>2499</v>
      </c>
      <c r="AA38" s="20" t="s">
        <v>917</v>
      </c>
      <c r="AB38" s="20" t="s">
        <v>918</v>
      </c>
      <c r="AC38" s="20"/>
      <c r="AD38" s="20"/>
      <c r="AE38" s="20"/>
    </row>
    <row r="39" spans="1:31">
      <c r="A39" s="29"/>
      <c r="B39" s="24"/>
      <c r="C39" s="24"/>
      <c r="D39" s="68"/>
      <c r="E39" s="64"/>
      <c r="F39" s="19"/>
      <c r="G39" s="19"/>
      <c r="H39" s="19"/>
      <c r="I39" s="20"/>
      <c r="J39" s="21"/>
      <c r="K39" s="21"/>
      <c r="L39" s="20"/>
      <c r="M39" s="20"/>
      <c r="N39" s="21"/>
      <c r="O39" s="20"/>
      <c r="P39" s="20"/>
      <c r="Q39" s="25"/>
      <c r="R39" s="37"/>
      <c r="S39" s="40" t="s">
        <v>2495</v>
      </c>
      <c r="T39" s="20" t="s">
        <v>2496</v>
      </c>
      <c r="U39" s="20" t="s">
        <v>2497</v>
      </c>
      <c r="V39" s="25" t="s">
        <v>757</v>
      </c>
      <c r="W39" s="20" t="s">
        <v>2502</v>
      </c>
      <c r="X39" s="20" t="s">
        <v>2503</v>
      </c>
      <c r="Y39" s="20" t="s">
        <v>2504</v>
      </c>
      <c r="Z39" s="20" t="s">
        <v>2499</v>
      </c>
      <c r="AA39" s="20" t="s">
        <v>917</v>
      </c>
      <c r="AB39" s="20" t="s">
        <v>918</v>
      </c>
      <c r="AC39" s="20"/>
      <c r="AD39" s="20"/>
      <c r="AE39" s="20"/>
    </row>
    <row r="40" spans="1:31">
      <c r="A40" s="42" t="s">
        <v>714</v>
      </c>
      <c r="B40" s="43" t="s">
        <v>751</v>
      </c>
      <c r="C40" s="43" t="s">
        <v>752</v>
      </c>
      <c r="D40" s="65" t="s">
        <v>848</v>
      </c>
      <c r="E40" s="65" t="s">
        <v>849</v>
      </c>
      <c r="F40" s="43" t="s">
        <v>753</v>
      </c>
      <c r="G40" s="43" t="s">
        <v>754</v>
      </c>
      <c r="H40" s="43" t="s">
        <v>755</v>
      </c>
      <c r="I40" s="44" t="s">
        <v>684</v>
      </c>
      <c r="J40" s="45" t="s">
        <v>758</v>
      </c>
      <c r="K40" s="45" t="s">
        <v>685</v>
      </c>
      <c r="L40" s="44" t="s">
        <v>686</v>
      </c>
      <c r="M40" s="44" t="s">
        <v>763</v>
      </c>
      <c r="N40" s="45" t="s">
        <v>687</v>
      </c>
      <c r="O40" s="44" t="s">
        <v>688</v>
      </c>
      <c r="P40" s="44" t="s">
        <v>689</v>
      </c>
      <c r="Q40" s="46" t="s">
        <v>690</v>
      </c>
      <c r="R40" s="47" t="s">
        <v>855</v>
      </c>
      <c r="S40" s="48" t="s">
        <v>790</v>
      </c>
      <c r="T40" s="44" t="s">
        <v>791</v>
      </c>
      <c r="U40" s="44" t="s">
        <v>792</v>
      </c>
      <c r="V40" s="46" t="s">
        <v>793</v>
      </c>
      <c r="W40" s="44" t="s">
        <v>850</v>
      </c>
      <c r="X40" s="44" t="s">
        <v>851</v>
      </c>
      <c r="Y40" s="97" t="s">
        <v>852</v>
      </c>
      <c r="Z40" s="97" t="s">
        <v>916</v>
      </c>
      <c r="AA40" s="44" t="s">
        <v>726</v>
      </c>
      <c r="AB40" s="44" t="s">
        <v>727</v>
      </c>
      <c r="AC40" s="44" t="s">
        <v>730</v>
      </c>
      <c r="AD40" s="44"/>
      <c r="AE40" s="20"/>
    </row>
    <row r="41" spans="1:31">
      <c r="A41" s="29" t="s">
        <v>691</v>
      </c>
      <c r="B41" s="24" t="s">
        <v>756</v>
      </c>
      <c r="C41" s="24" t="s">
        <v>757</v>
      </c>
      <c r="D41" s="68">
        <v>45199</v>
      </c>
      <c r="E41" s="64">
        <v>45199</v>
      </c>
      <c r="F41" s="19" t="s">
        <v>842</v>
      </c>
      <c r="G41" s="19" t="s">
        <v>2358</v>
      </c>
      <c r="H41" s="19" t="s">
        <v>2357</v>
      </c>
      <c r="I41" s="20" t="s">
        <v>843</v>
      </c>
      <c r="J41" s="21" t="s">
        <v>786</v>
      </c>
      <c r="K41" s="21" t="s">
        <v>785</v>
      </c>
      <c r="L41" s="20" t="s">
        <v>2567</v>
      </c>
      <c r="M41" s="20" t="s">
        <v>2621</v>
      </c>
      <c r="N41" s="21" t="s">
        <v>704</v>
      </c>
      <c r="O41" s="20" t="s">
        <v>2561</v>
      </c>
      <c r="P41" s="20" t="s">
        <v>912</v>
      </c>
      <c r="Q41" s="25" t="s">
        <v>2633</v>
      </c>
      <c r="R41" s="37"/>
      <c r="S41" s="40" t="s">
        <v>2495</v>
      </c>
      <c r="T41" s="20" t="s">
        <v>2496</v>
      </c>
      <c r="U41" s="20" t="s">
        <v>2497</v>
      </c>
      <c r="V41" s="25" t="s">
        <v>757</v>
      </c>
      <c r="W41" s="20" t="s">
        <v>2502</v>
      </c>
      <c r="X41" s="20" t="s">
        <v>2503</v>
      </c>
      <c r="Y41" s="20" t="s">
        <v>2504</v>
      </c>
      <c r="Z41" s="20" t="s">
        <v>2499</v>
      </c>
      <c r="AA41" s="20" t="s">
        <v>917</v>
      </c>
      <c r="AB41" s="20" t="s">
        <v>918</v>
      </c>
      <c r="AC41" s="20"/>
      <c r="AD41" s="20"/>
      <c r="AE41" s="20"/>
    </row>
    <row r="42" spans="1:31">
      <c r="A42" s="29" t="s">
        <v>691</v>
      </c>
      <c r="B42" s="24" t="s">
        <v>756</v>
      </c>
      <c r="C42" s="24" t="s">
        <v>757</v>
      </c>
      <c r="D42" s="68">
        <v>45199</v>
      </c>
      <c r="E42" s="64">
        <v>45199</v>
      </c>
      <c r="F42" s="19" t="s">
        <v>842</v>
      </c>
      <c r="G42" s="19" t="s">
        <v>2358</v>
      </c>
      <c r="H42" s="19" t="s">
        <v>2357</v>
      </c>
      <c r="I42" s="20" t="s">
        <v>843</v>
      </c>
      <c r="J42" s="21" t="s">
        <v>786</v>
      </c>
      <c r="K42" s="21" t="s">
        <v>785</v>
      </c>
      <c r="L42" s="20" t="s">
        <v>2567</v>
      </c>
      <c r="M42" s="20" t="s">
        <v>2620</v>
      </c>
      <c r="N42" s="21" t="s">
        <v>705</v>
      </c>
      <c r="O42" s="20" t="s">
        <v>2558</v>
      </c>
      <c r="P42" s="20" t="s">
        <v>912</v>
      </c>
      <c r="Q42" s="25" t="s">
        <v>2632</v>
      </c>
      <c r="R42" s="37"/>
      <c r="S42" s="40" t="s">
        <v>2495</v>
      </c>
      <c r="T42" s="20" t="s">
        <v>2496</v>
      </c>
      <c r="U42" s="20" t="s">
        <v>2497</v>
      </c>
      <c r="V42" s="25" t="s">
        <v>2498</v>
      </c>
      <c r="W42" s="20" t="s">
        <v>2502</v>
      </c>
      <c r="X42" s="20" t="s">
        <v>2503</v>
      </c>
      <c r="Y42" s="20" t="s">
        <v>2504</v>
      </c>
      <c r="Z42" s="20" t="s">
        <v>2499</v>
      </c>
      <c r="AA42" s="20" t="s">
        <v>917</v>
      </c>
      <c r="AB42" s="20" t="s">
        <v>918</v>
      </c>
      <c r="AC42" s="20"/>
      <c r="AD42" s="20"/>
      <c r="AE42" s="20"/>
    </row>
    <row r="43" spans="1:31">
      <c r="A43" s="29" t="s">
        <v>691</v>
      </c>
      <c r="B43" s="24" t="s">
        <v>756</v>
      </c>
      <c r="C43" s="24" t="s">
        <v>757</v>
      </c>
      <c r="D43" s="68">
        <v>45199</v>
      </c>
      <c r="E43" s="64">
        <v>45199</v>
      </c>
      <c r="F43" s="19" t="s">
        <v>842</v>
      </c>
      <c r="G43" s="19" t="s">
        <v>2358</v>
      </c>
      <c r="H43" s="19" t="s">
        <v>2357</v>
      </c>
      <c r="I43" s="20" t="s">
        <v>843</v>
      </c>
      <c r="J43" s="21" t="s">
        <v>786</v>
      </c>
      <c r="K43" s="21" t="s">
        <v>785</v>
      </c>
      <c r="L43" s="20" t="s">
        <v>2567</v>
      </c>
      <c r="M43" s="20" t="s">
        <v>2621</v>
      </c>
      <c r="N43" s="21" t="s">
        <v>706</v>
      </c>
      <c r="O43" s="20" t="s">
        <v>2559</v>
      </c>
      <c r="P43" s="20" t="s">
        <v>912</v>
      </c>
      <c r="Q43" s="25" t="s">
        <v>2633</v>
      </c>
      <c r="R43" s="37"/>
      <c r="S43" s="40" t="s">
        <v>2495</v>
      </c>
      <c r="T43" s="20" t="s">
        <v>2496</v>
      </c>
      <c r="U43" s="20" t="s">
        <v>2497</v>
      </c>
      <c r="V43" s="25" t="s">
        <v>2498</v>
      </c>
      <c r="W43" s="20" t="s">
        <v>2502</v>
      </c>
      <c r="X43" s="20" t="s">
        <v>2503</v>
      </c>
      <c r="Y43" s="20" t="s">
        <v>2504</v>
      </c>
      <c r="Z43" s="20" t="s">
        <v>2499</v>
      </c>
      <c r="AA43" s="20" t="s">
        <v>917</v>
      </c>
      <c r="AB43" s="20" t="s">
        <v>918</v>
      </c>
      <c r="AC43" s="20"/>
      <c r="AD43" s="20"/>
      <c r="AE43" s="20"/>
    </row>
    <row r="44" spans="1:31">
      <c r="A44" s="29" t="s">
        <v>691</v>
      </c>
      <c r="B44" s="24" t="s">
        <v>756</v>
      </c>
      <c r="C44" s="24" t="s">
        <v>757</v>
      </c>
      <c r="D44" s="68">
        <v>45199</v>
      </c>
      <c r="E44" s="64">
        <v>45199</v>
      </c>
      <c r="F44" s="19" t="s">
        <v>842</v>
      </c>
      <c r="G44" s="19" t="s">
        <v>2358</v>
      </c>
      <c r="H44" s="19" t="s">
        <v>2357</v>
      </c>
      <c r="I44" s="20" t="s">
        <v>843</v>
      </c>
      <c r="J44" s="21" t="s">
        <v>786</v>
      </c>
      <c r="K44" s="21" t="s">
        <v>785</v>
      </c>
      <c r="L44" s="20" t="s">
        <v>2567</v>
      </c>
      <c r="M44" s="20" t="s">
        <v>2622</v>
      </c>
      <c r="N44" s="21" t="s">
        <v>707</v>
      </c>
      <c r="O44" s="20" t="s">
        <v>2560</v>
      </c>
      <c r="P44" s="20" t="s">
        <v>912</v>
      </c>
      <c r="Q44" s="25" t="s">
        <v>2633</v>
      </c>
      <c r="R44" s="37"/>
      <c r="S44" s="40" t="s">
        <v>2495</v>
      </c>
      <c r="T44" s="20" t="s">
        <v>2496</v>
      </c>
      <c r="U44" s="20" t="s">
        <v>2497</v>
      </c>
      <c r="V44" s="25" t="s">
        <v>2498</v>
      </c>
      <c r="W44" s="20" t="s">
        <v>2502</v>
      </c>
      <c r="X44" s="20" t="s">
        <v>2503</v>
      </c>
      <c r="Y44" s="20" t="s">
        <v>2504</v>
      </c>
      <c r="Z44" s="20" t="s">
        <v>2499</v>
      </c>
      <c r="AA44" s="20" t="s">
        <v>917</v>
      </c>
      <c r="AB44" s="20" t="s">
        <v>918</v>
      </c>
      <c r="AC44" s="20"/>
      <c r="AD44" s="20"/>
      <c r="AE44" s="20"/>
    </row>
    <row r="45" spans="1:31">
      <c r="A45" s="29" t="s">
        <v>691</v>
      </c>
      <c r="B45" s="24" t="s">
        <v>756</v>
      </c>
      <c r="C45" s="24" t="s">
        <v>757</v>
      </c>
      <c r="D45" s="68">
        <v>45199</v>
      </c>
      <c r="E45" s="64">
        <v>45199</v>
      </c>
      <c r="F45" s="19" t="s">
        <v>842</v>
      </c>
      <c r="G45" s="19" t="s">
        <v>2358</v>
      </c>
      <c r="H45" s="19" t="s">
        <v>2357</v>
      </c>
      <c r="I45" s="20" t="s">
        <v>843</v>
      </c>
      <c r="J45" s="21" t="s">
        <v>786</v>
      </c>
      <c r="K45" s="21" t="s">
        <v>785</v>
      </c>
      <c r="L45" s="20" t="s">
        <v>2567</v>
      </c>
      <c r="M45" s="20" t="s">
        <v>2623</v>
      </c>
      <c r="N45" s="21" t="s">
        <v>708</v>
      </c>
      <c r="O45" s="20" t="s">
        <v>2555</v>
      </c>
      <c r="P45" s="20" t="s">
        <v>709</v>
      </c>
      <c r="Q45" s="25" t="s">
        <v>2633</v>
      </c>
      <c r="R45" s="37"/>
      <c r="S45" s="40" t="s">
        <v>2495</v>
      </c>
      <c r="T45" s="20" t="s">
        <v>2496</v>
      </c>
      <c r="U45" s="20" t="s">
        <v>2497</v>
      </c>
      <c r="V45" s="25" t="s">
        <v>2498</v>
      </c>
      <c r="W45" s="20" t="s">
        <v>2502</v>
      </c>
      <c r="X45" s="20" t="s">
        <v>2503</v>
      </c>
      <c r="Y45" s="20" t="s">
        <v>2504</v>
      </c>
      <c r="Z45" s="20" t="s">
        <v>2499</v>
      </c>
      <c r="AA45" s="20" t="s">
        <v>917</v>
      </c>
      <c r="AB45" s="20" t="s">
        <v>918</v>
      </c>
      <c r="AC45" s="20"/>
      <c r="AD45" s="20"/>
      <c r="AE45" s="20"/>
    </row>
    <row r="46" spans="1:31">
      <c r="A46" s="42" t="s">
        <v>714</v>
      </c>
      <c r="B46" s="43" t="s">
        <v>751</v>
      </c>
      <c r="C46" s="43" t="s">
        <v>752</v>
      </c>
      <c r="D46" s="65" t="s">
        <v>848</v>
      </c>
      <c r="E46" s="65" t="s">
        <v>849</v>
      </c>
      <c r="F46" s="43" t="s">
        <v>753</v>
      </c>
      <c r="G46" s="43" t="s">
        <v>754</v>
      </c>
      <c r="H46" s="43" t="s">
        <v>3005</v>
      </c>
      <c r="I46" s="44" t="s">
        <v>684</v>
      </c>
      <c r="J46" s="45" t="s">
        <v>758</v>
      </c>
      <c r="K46" s="45" t="s">
        <v>685</v>
      </c>
      <c r="L46" s="44" t="s">
        <v>686</v>
      </c>
      <c r="M46" s="44" t="s">
        <v>763</v>
      </c>
      <c r="N46" s="45" t="s">
        <v>687</v>
      </c>
      <c r="O46" s="44" t="s">
        <v>688</v>
      </c>
      <c r="P46" s="44" t="s">
        <v>689</v>
      </c>
      <c r="Q46" s="46" t="s">
        <v>690</v>
      </c>
      <c r="R46" s="47" t="s">
        <v>855</v>
      </c>
      <c r="S46" s="48" t="s">
        <v>790</v>
      </c>
      <c r="T46" s="44" t="s">
        <v>791</v>
      </c>
      <c r="U46" s="44" t="s">
        <v>792</v>
      </c>
      <c r="V46" s="46" t="s">
        <v>793</v>
      </c>
      <c r="W46" s="44" t="s">
        <v>850</v>
      </c>
      <c r="X46" s="44" t="s">
        <v>851</v>
      </c>
      <c r="Y46" s="97" t="s">
        <v>852</v>
      </c>
      <c r="Z46" s="97" t="s">
        <v>916</v>
      </c>
      <c r="AA46" s="44" t="s">
        <v>726</v>
      </c>
      <c r="AB46" s="44" t="s">
        <v>727</v>
      </c>
      <c r="AC46" s="44" t="s">
        <v>730</v>
      </c>
      <c r="AD46" s="44"/>
      <c r="AE46" s="20"/>
    </row>
    <row r="47" spans="1:31">
      <c r="A47" s="130" t="s">
        <v>691</v>
      </c>
      <c r="B47" s="131" t="s">
        <v>756</v>
      </c>
      <c r="C47" s="131" t="s">
        <v>757</v>
      </c>
      <c r="D47" s="132">
        <v>44105</v>
      </c>
      <c r="E47" s="132">
        <v>44469</v>
      </c>
      <c r="F47" s="131" t="s">
        <v>782</v>
      </c>
      <c r="G47" s="131" t="s">
        <v>783</v>
      </c>
      <c r="H47" s="131" t="s">
        <v>816</v>
      </c>
      <c r="I47" s="133" t="s">
        <v>846</v>
      </c>
      <c r="J47" s="134" t="s">
        <v>2977</v>
      </c>
      <c r="K47" s="134" t="s">
        <v>2978</v>
      </c>
      <c r="L47" s="133" t="s">
        <v>787</v>
      </c>
      <c r="M47" s="133" t="s">
        <v>2979</v>
      </c>
      <c r="N47" s="134" t="s">
        <v>812</v>
      </c>
      <c r="O47" s="135" t="s">
        <v>2604</v>
      </c>
      <c r="P47" s="133" t="s">
        <v>2604</v>
      </c>
      <c r="Q47" s="201" t="s">
        <v>3000</v>
      </c>
      <c r="R47" s="137"/>
      <c r="S47" s="138" t="s">
        <v>710</v>
      </c>
      <c r="T47" s="133" t="s">
        <v>2980</v>
      </c>
      <c r="U47" s="133" t="s">
        <v>859</v>
      </c>
      <c r="V47" s="136" t="s">
        <v>816</v>
      </c>
      <c r="W47" s="133" t="s">
        <v>3031</v>
      </c>
      <c r="X47" s="133" t="s">
        <v>760</v>
      </c>
      <c r="Y47" s="133" t="s">
        <v>3030</v>
      </c>
      <c r="Z47" s="133" t="s">
        <v>854</v>
      </c>
      <c r="AA47" s="133" t="s">
        <v>917</v>
      </c>
      <c r="AB47" s="133" t="s">
        <v>918</v>
      </c>
      <c r="AC47" s="133"/>
      <c r="AD47" s="139">
        <v>44105</v>
      </c>
      <c r="AE47" s="229">
        <v>44469</v>
      </c>
    </row>
    <row r="48" spans="1:31">
      <c r="A48" s="29" t="s">
        <v>691</v>
      </c>
      <c r="B48" s="24" t="s">
        <v>756</v>
      </c>
      <c r="C48" s="24" t="s">
        <v>757</v>
      </c>
      <c r="D48" s="68">
        <v>44105</v>
      </c>
      <c r="E48" s="64">
        <v>44469</v>
      </c>
      <c r="F48" s="131" t="s">
        <v>782</v>
      </c>
      <c r="G48" s="131" t="s">
        <v>783</v>
      </c>
      <c r="H48" s="131" t="s">
        <v>816</v>
      </c>
      <c r="I48" s="133" t="s">
        <v>846</v>
      </c>
      <c r="J48" s="134" t="s">
        <v>2977</v>
      </c>
      <c r="K48" s="134" t="s">
        <v>2978</v>
      </c>
      <c r="L48" s="133" t="s">
        <v>787</v>
      </c>
      <c r="M48" s="133" t="s">
        <v>2979</v>
      </c>
      <c r="N48" s="134" t="s">
        <v>812</v>
      </c>
      <c r="O48" s="133" t="s">
        <v>2604</v>
      </c>
      <c r="P48" s="133" t="s">
        <v>2604</v>
      </c>
      <c r="Q48" s="201" t="s">
        <v>2991</v>
      </c>
      <c r="R48" s="137"/>
      <c r="S48" s="138" t="s">
        <v>710</v>
      </c>
      <c r="T48" s="133" t="s">
        <v>2980</v>
      </c>
      <c r="U48" s="133" t="s">
        <v>859</v>
      </c>
      <c r="V48" s="136" t="s">
        <v>816</v>
      </c>
      <c r="W48" s="133" t="s">
        <v>3031</v>
      </c>
      <c r="X48" s="133" t="s">
        <v>760</v>
      </c>
      <c r="Y48" s="133" t="s">
        <v>3030</v>
      </c>
      <c r="Z48" s="133" t="s">
        <v>854</v>
      </c>
      <c r="AA48" s="133" t="s">
        <v>917</v>
      </c>
      <c r="AB48" s="133" t="s">
        <v>918</v>
      </c>
      <c r="AC48" s="133"/>
      <c r="AD48" s="139">
        <v>44105</v>
      </c>
      <c r="AE48" s="229">
        <v>44469</v>
      </c>
    </row>
    <row r="49" spans="1:31">
      <c r="A49" s="130" t="s">
        <v>691</v>
      </c>
      <c r="B49" s="131" t="s">
        <v>756</v>
      </c>
      <c r="C49" s="131" t="s">
        <v>757</v>
      </c>
      <c r="D49" s="132">
        <v>44105</v>
      </c>
      <c r="E49" s="132">
        <v>44469</v>
      </c>
      <c r="F49" s="131" t="s">
        <v>782</v>
      </c>
      <c r="G49" s="131" t="s">
        <v>783</v>
      </c>
      <c r="H49" s="131" t="s">
        <v>816</v>
      </c>
      <c r="I49" s="133" t="s">
        <v>846</v>
      </c>
      <c r="J49" s="134" t="s">
        <v>760</v>
      </c>
      <c r="K49" s="134" t="s">
        <v>784</v>
      </c>
      <c r="L49" s="133" t="s">
        <v>3025</v>
      </c>
      <c r="M49" s="133" t="s">
        <v>797</v>
      </c>
      <c r="N49" s="134" t="s">
        <v>798</v>
      </c>
      <c r="O49" s="135" t="s">
        <v>2953</v>
      </c>
      <c r="P49" s="133" t="s">
        <v>799</v>
      </c>
      <c r="Q49" s="136" t="s">
        <v>800</v>
      </c>
      <c r="R49" s="137"/>
      <c r="S49" s="138" t="s">
        <v>710</v>
      </c>
      <c r="T49" s="133" t="s">
        <v>2980</v>
      </c>
      <c r="U49" s="133" t="s">
        <v>859</v>
      </c>
      <c r="V49" s="136" t="s">
        <v>816</v>
      </c>
      <c r="W49" s="133" t="s">
        <v>3031</v>
      </c>
      <c r="X49" s="133" t="s">
        <v>760</v>
      </c>
      <c r="Y49" s="133" t="s">
        <v>3030</v>
      </c>
      <c r="Z49" s="133" t="s">
        <v>854</v>
      </c>
      <c r="AA49" s="133" t="s">
        <v>917</v>
      </c>
      <c r="AB49" s="133" t="s">
        <v>918</v>
      </c>
      <c r="AC49" s="133"/>
      <c r="AD49" s="139">
        <v>44105</v>
      </c>
      <c r="AE49" s="229">
        <v>44469</v>
      </c>
    </row>
    <row r="50" spans="1:31" s="41" customFormat="1">
      <c r="A50" s="130" t="s">
        <v>691</v>
      </c>
      <c r="B50" s="131" t="s">
        <v>756</v>
      </c>
      <c r="C50" s="131" t="s">
        <v>757</v>
      </c>
      <c r="D50" s="132">
        <v>44470</v>
      </c>
      <c r="E50" s="132">
        <v>44469</v>
      </c>
      <c r="F50" s="131" t="s">
        <v>782</v>
      </c>
      <c r="G50" s="131" t="s">
        <v>783</v>
      </c>
      <c r="H50" s="131" t="s">
        <v>816</v>
      </c>
      <c r="I50" s="133" t="s">
        <v>847</v>
      </c>
      <c r="J50" s="134" t="s">
        <v>2977</v>
      </c>
      <c r="K50" s="134" t="s">
        <v>2978</v>
      </c>
      <c r="L50" s="133" t="s">
        <v>2567</v>
      </c>
      <c r="M50" s="133" t="s">
        <v>801</v>
      </c>
      <c r="N50" s="134" t="s">
        <v>802</v>
      </c>
      <c r="O50" s="133" t="s">
        <v>803</v>
      </c>
      <c r="P50" s="133" t="s">
        <v>804</v>
      </c>
      <c r="Q50" s="136" t="s">
        <v>3001</v>
      </c>
      <c r="R50" s="137"/>
      <c r="S50" s="138" t="s">
        <v>710</v>
      </c>
      <c r="T50" s="133" t="s">
        <v>2980</v>
      </c>
      <c r="U50" s="133" t="s">
        <v>859</v>
      </c>
      <c r="V50" s="136" t="s">
        <v>816</v>
      </c>
      <c r="W50" s="133" t="s">
        <v>3031</v>
      </c>
      <c r="X50" s="133" t="s">
        <v>760</v>
      </c>
      <c r="Y50" s="133" t="s">
        <v>3030</v>
      </c>
      <c r="Z50" s="133" t="s">
        <v>854</v>
      </c>
      <c r="AA50" s="133" t="s">
        <v>917</v>
      </c>
      <c r="AB50" s="133" t="s">
        <v>918</v>
      </c>
      <c r="AC50" s="133"/>
      <c r="AD50" s="139">
        <v>44105</v>
      </c>
      <c r="AE50" s="229">
        <v>44469</v>
      </c>
    </row>
    <row r="51" spans="1:31">
      <c r="A51" s="130" t="s">
        <v>691</v>
      </c>
      <c r="B51" s="131" t="s">
        <v>756</v>
      </c>
      <c r="C51" s="131" t="s">
        <v>757</v>
      </c>
      <c r="D51" s="132">
        <v>44105</v>
      </c>
      <c r="E51" s="132">
        <v>44469</v>
      </c>
      <c r="F51" s="131" t="s">
        <v>782</v>
      </c>
      <c r="G51" s="131" t="s">
        <v>783</v>
      </c>
      <c r="H51" s="131" t="s">
        <v>816</v>
      </c>
      <c r="I51" s="133" t="s">
        <v>847</v>
      </c>
      <c r="J51" s="134" t="s">
        <v>2977</v>
      </c>
      <c r="K51" s="134" t="s">
        <v>2978</v>
      </c>
      <c r="L51" s="133" t="s">
        <v>2567</v>
      </c>
      <c r="M51" s="133" t="s">
        <v>2950</v>
      </c>
      <c r="N51" s="134" t="s">
        <v>2951</v>
      </c>
      <c r="O51" s="133" t="s">
        <v>806</v>
      </c>
      <c r="P51" s="133" t="s">
        <v>804</v>
      </c>
      <c r="Q51" s="202" t="s">
        <v>3002</v>
      </c>
      <c r="R51" s="137"/>
      <c r="S51" s="138" t="s">
        <v>710</v>
      </c>
      <c r="T51" s="133" t="s">
        <v>2980</v>
      </c>
      <c r="U51" s="133" t="s">
        <v>859</v>
      </c>
      <c r="V51" s="136" t="s">
        <v>816</v>
      </c>
      <c r="W51" s="133" t="s">
        <v>3031</v>
      </c>
      <c r="X51" s="133" t="s">
        <v>760</v>
      </c>
      <c r="Y51" s="133" t="s">
        <v>3030</v>
      </c>
      <c r="Z51" s="133" t="s">
        <v>854</v>
      </c>
      <c r="AA51" s="133" t="s">
        <v>917</v>
      </c>
      <c r="AB51" s="133" t="s">
        <v>918</v>
      </c>
      <c r="AC51" s="133"/>
      <c r="AD51" s="139">
        <v>44105</v>
      </c>
      <c r="AE51" s="229">
        <v>44469</v>
      </c>
    </row>
    <row r="52" spans="1:31">
      <c r="A52" s="130" t="s">
        <v>691</v>
      </c>
      <c r="B52" s="131" t="s">
        <v>756</v>
      </c>
      <c r="C52" s="131" t="s">
        <v>757</v>
      </c>
      <c r="D52" s="132">
        <v>44105</v>
      </c>
      <c r="E52" s="132">
        <v>44469</v>
      </c>
      <c r="F52" s="131" t="s">
        <v>782</v>
      </c>
      <c r="G52" s="131" t="s">
        <v>783</v>
      </c>
      <c r="H52" s="131" t="s">
        <v>816</v>
      </c>
      <c r="I52" s="133" t="s">
        <v>847</v>
      </c>
      <c r="J52" s="134" t="s">
        <v>2977</v>
      </c>
      <c r="K52" s="134" t="s">
        <v>2978</v>
      </c>
      <c r="L52" s="133" t="s">
        <v>2567</v>
      </c>
      <c r="M52" s="133" t="s">
        <v>2950</v>
      </c>
      <c r="N52" s="134" t="s">
        <v>2951</v>
      </c>
      <c r="O52" s="133" t="s">
        <v>806</v>
      </c>
      <c r="P52" s="133" t="s">
        <v>804</v>
      </c>
      <c r="Q52" s="202" t="s">
        <v>2983</v>
      </c>
      <c r="R52" s="137"/>
      <c r="S52" s="138" t="s">
        <v>710</v>
      </c>
      <c r="T52" s="133" t="s">
        <v>2980</v>
      </c>
      <c r="U52" s="133" t="s">
        <v>859</v>
      </c>
      <c r="V52" s="136" t="s">
        <v>816</v>
      </c>
      <c r="W52" s="133" t="s">
        <v>3031</v>
      </c>
      <c r="X52" s="133" t="s">
        <v>760</v>
      </c>
      <c r="Y52" s="133" t="s">
        <v>3030</v>
      </c>
      <c r="Z52" s="133" t="s">
        <v>854</v>
      </c>
      <c r="AA52" s="133" t="s">
        <v>917</v>
      </c>
      <c r="AB52" s="133" t="s">
        <v>918</v>
      </c>
      <c r="AC52" s="133"/>
      <c r="AD52" s="139">
        <v>44105</v>
      </c>
      <c r="AE52" s="229">
        <v>44469</v>
      </c>
    </row>
    <row r="53" spans="1:31">
      <c r="A53" s="130" t="s">
        <v>691</v>
      </c>
      <c r="B53" s="131" t="s">
        <v>756</v>
      </c>
      <c r="C53" s="131" t="s">
        <v>757</v>
      </c>
      <c r="D53" s="132">
        <v>44105</v>
      </c>
      <c r="E53" s="132">
        <v>44469</v>
      </c>
      <c r="F53" s="131" t="s">
        <v>2527</v>
      </c>
      <c r="G53" s="131" t="s">
        <v>783</v>
      </c>
      <c r="H53" s="131" t="s">
        <v>816</v>
      </c>
      <c r="I53" s="133" t="s">
        <v>847</v>
      </c>
      <c r="J53" s="134" t="s">
        <v>2977</v>
      </c>
      <c r="K53" s="134" t="s">
        <v>2978</v>
      </c>
      <c r="L53" s="133" t="s">
        <v>2567</v>
      </c>
      <c r="M53" s="133" t="s">
        <v>2950</v>
      </c>
      <c r="N53" s="134" t="s">
        <v>2951</v>
      </c>
      <c r="O53" s="133" t="s">
        <v>808</v>
      </c>
      <c r="P53" s="133" t="s">
        <v>804</v>
      </c>
      <c r="Q53" s="136" t="s">
        <v>809</v>
      </c>
      <c r="R53" s="137"/>
      <c r="S53" s="138" t="s">
        <v>710</v>
      </c>
      <c r="T53" s="133" t="s">
        <v>2980</v>
      </c>
      <c r="U53" s="133" t="s">
        <v>859</v>
      </c>
      <c r="V53" s="136" t="s">
        <v>816</v>
      </c>
      <c r="W53" s="133" t="s">
        <v>3031</v>
      </c>
      <c r="X53" s="133" t="s">
        <v>760</v>
      </c>
      <c r="Y53" s="133" t="s">
        <v>3030</v>
      </c>
      <c r="Z53" s="133" t="s">
        <v>854</v>
      </c>
      <c r="AA53" s="133" t="s">
        <v>917</v>
      </c>
      <c r="AB53" s="133" t="s">
        <v>918</v>
      </c>
      <c r="AC53" s="133"/>
      <c r="AD53" s="139">
        <v>44105</v>
      </c>
      <c r="AE53" s="229">
        <v>44469</v>
      </c>
    </row>
    <row r="54" spans="1:31">
      <c r="A54" s="130" t="s">
        <v>691</v>
      </c>
      <c r="B54" s="131" t="s">
        <v>756</v>
      </c>
      <c r="C54" s="131" t="s">
        <v>757</v>
      </c>
      <c r="D54" s="132">
        <v>44105</v>
      </c>
      <c r="E54" s="132">
        <v>44469</v>
      </c>
      <c r="F54" s="131" t="s">
        <v>782</v>
      </c>
      <c r="G54" s="131" t="s">
        <v>783</v>
      </c>
      <c r="H54" s="131" t="s">
        <v>816</v>
      </c>
      <c r="I54" s="133" t="s">
        <v>847</v>
      </c>
      <c r="J54" s="134" t="s">
        <v>2977</v>
      </c>
      <c r="K54" s="134" t="s">
        <v>2978</v>
      </c>
      <c r="L54" s="133" t="s">
        <v>2567</v>
      </c>
      <c r="M54" s="133" t="s">
        <v>801</v>
      </c>
      <c r="N54" s="134" t="s">
        <v>807</v>
      </c>
      <c r="O54" s="133" t="s">
        <v>810</v>
      </c>
      <c r="P54" s="133" t="s">
        <v>804</v>
      </c>
      <c r="Q54" s="136" t="s">
        <v>811</v>
      </c>
      <c r="R54" s="137"/>
      <c r="S54" s="138" t="s">
        <v>710</v>
      </c>
      <c r="T54" s="133" t="s">
        <v>2980</v>
      </c>
      <c r="U54" s="133" t="s">
        <v>859</v>
      </c>
      <c r="V54" s="136" t="s">
        <v>816</v>
      </c>
      <c r="W54" s="133" t="s">
        <v>3031</v>
      </c>
      <c r="X54" s="133" t="s">
        <v>760</v>
      </c>
      <c r="Y54" s="133" t="s">
        <v>3030</v>
      </c>
      <c r="Z54" s="133" t="s">
        <v>854</v>
      </c>
      <c r="AA54" s="133" t="s">
        <v>917</v>
      </c>
      <c r="AB54" s="133" t="s">
        <v>918</v>
      </c>
      <c r="AC54" s="133"/>
      <c r="AD54" s="139">
        <v>44105</v>
      </c>
      <c r="AE54" s="229">
        <v>44469</v>
      </c>
    </row>
    <row r="55" spans="1:31">
      <c r="A55" s="130" t="s">
        <v>691</v>
      </c>
      <c r="B55" s="131" t="s">
        <v>756</v>
      </c>
      <c r="C55" s="131" t="s">
        <v>757</v>
      </c>
      <c r="D55" s="132">
        <v>44105</v>
      </c>
      <c r="E55" s="132">
        <v>44469</v>
      </c>
      <c r="F55" s="131" t="s">
        <v>782</v>
      </c>
      <c r="G55" s="131" t="s">
        <v>783</v>
      </c>
      <c r="H55" s="131" t="s">
        <v>816</v>
      </c>
      <c r="I55" s="133" t="s">
        <v>847</v>
      </c>
      <c r="J55" s="134" t="s">
        <v>2977</v>
      </c>
      <c r="K55" s="134" t="s">
        <v>2978</v>
      </c>
      <c r="L55" s="133" t="s">
        <v>2567</v>
      </c>
      <c r="M55" s="133" t="s">
        <v>764</v>
      </c>
      <c r="N55" s="134" t="s">
        <v>796</v>
      </c>
      <c r="O55" s="133" t="s">
        <v>2381</v>
      </c>
      <c r="P55" s="133" t="s">
        <v>845</v>
      </c>
      <c r="Q55" s="136" t="s">
        <v>813</v>
      </c>
      <c r="R55" s="137"/>
      <c r="S55" s="138" t="s">
        <v>710</v>
      </c>
      <c r="T55" s="133" t="s">
        <v>2980</v>
      </c>
      <c r="U55" s="133" t="s">
        <v>859</v>
      </c>
      <c r="V55" s="136" t="s">
        <v>816</v>
      </c>
      <c r="W55" s="133" t="s">
        <v>3031</v>
      </c>
      <c r="X55" s="133" t="s">
        <v>760</v>
      </c>
      <c r="Y55" s="133" t="s">
        <v>3030</v>
      </c>
      <c r="Z55" s="133" t="s">
        <v>854</v>
      </c>
      <c r="AA55" s="133" t="s">
        <v>917</v>
      </c>
      <c r="AB55" s="133" t="s">
        <v>918</v>
      </c>
      <c r="AC55" s="133"/>
      <c r="AD55" s="139">
        <v>44105</v>
      </c>
      <c r="AE55" s="229">
        <v>44469</v>
      </c>
    </row>
    <row r="56" spans="1:31">
      <c r="A56" s="130" t="s">
        <v>691</v>
      </c>
      <c r="B56" s="131" t="s">
        <v>756</v>
      </c>
      <c r="C56" s="131" t="s">
        <v>757</v>
      </c>
      <c r="D56" s="132">
        <v>44762</v>
      </c>
      <c r="E56" s="132">
        <v>44469</v>
      </c>
      <c r="F56" s="131" t="s">
        <v>782</v>
      </c>
      <c r="G56" s="131" t="s">
        <v>783</v>
      </c>
      <c r="H56" s="131" t="s">
        <v>816</v>
      </c>
      <c r="I56" s="133" t="s">
        <v>847</v>
      </c>
      <c r="J56" s="134" t="s">
        <v>2977</v>
      </c>
      <c r="K56" s="134" t="s">
        <v>2978</v>
      </c>
      <c r="L56" s="133" t="s">
        <v>2567</v>
      </c>
      <c r="M56" s="133" t="s">
        <v>801</v>
      </c>
      <c r="N56" s="134" t="s">
        <v>805</v>
      </c>
      <c r="O56" s="133" t="s">
        <v>814</v>
      </c>
      <c r="P56" s="133" t="s">
        <v>804</v>
      </c>
      <c r="Q56" s="136" t="s">
        <v>2990</v>
      </c>
      <c r="R56" s="137"/>
      <c r="S56" s="138" t="s">
        <v>710</v>
      </c>
      <c r="T56" s="133" t="s">
        <v>2980</v>
      </c>
      <c r="U56" s="133" t="s">
        <v>859</v>
      </c>
      <c r="V56" s="136" t="s">
        <v>816</v>
      </c>
      <c r="W56" s="133" t="s">
        <v>3031</v>
      </c>
      <c r="X56" s="133" t="s">
        <v>760</v>
      </c>
      <c r="Y56" s="133" t="s">
        <v>3030</v>
      </c>
      <c r="Z56" s="133" t="s">
        <v>854</v>
      </c>
      <c r="AA56" s="133" t="s">
        <v>917</v>
      </c>
      <c r="AB56" s="133" t="s">
        <v>918</v>
      </c>
      <c r="AC56" s="133"/>
      <c r="AD56" s="139">
        <v>44105</v>
      </c>
      <c r="AE56" s="229">
        <v>44469</v>
      </c>
    </row>
    <row r="57" spans="1:31">
      <c r="A57" s="130" t="s">
        <v>691</v>
      </c>
      <c r="B57" s="131" t="s">
        <v>756</v>
      </c>
      <c r="C57" s="131" t="s">
        <v>757</v>
      </c>
      <c r="D57" s="132">
        <v>44105</v>
      </c>
      <c r="E57" s="132">
        <v>44469</v>
      </c>
      <c r="F57" s="131" t="s">
        <v>782</v>
      </c>
      <c r="G57" s="131" t="s">
        <v>783</v>
      </c>
      <c r="H57" s="131" t="s">
        <v>816</v>
      </c>
      <c r="I57" s="133" t="s">
        <v>847</v>
      </c>
      <c r="J57" s="134" t="s">
        <v>2977</v>
      </c>
      <c r="K57" s="134" t="s">
        <v>2978</v>
      </c>
      <c r="L57" s="133" t="s">
        <v>2567</v>
      </c>
      <c r="M57" s="133" t="s">
        <v>2950</v>
      </c>
      <c r="N57" s="134" t="s">
        <v>2951</v>
      </c>
      <c r="O57" s="133" t="s">
        <v>2946</v>
      </c>
      <c r="P57" s="133" t="s">
        <v>804</v>
      </c>
      <c r="Q57" s="136" t="s">
        <v>3004</v>
      </c>
      <c r="R57" s="137"/>
      <c r="S57" s="138" t="s">
        <v>710</v>
      </c>
      <c r="T57" s="133" t="s">
        <v>2980</v>
      </c>
      <c r="U57" s="133" t="s">
        <v>859</v>
      </c>
      <c r="V57" s="136" t="s">
        <v>816</v>
      </c>
      <c r="W57" s="133" t="s">
        <v>3031</v>
      </c>
      <c r="X57" s="133" t="s">
        <v>760</v>
      </c>
      <c r="Y57" s="133" t="s">
        <v>3030</v>
      </c>
      <c r="Z57" s="133" t="s">
        <v>854</v>
      </c>
      <c r="AA57" s="133" t="s">
        <v>917</v>
      </c>
      <c r="AB57" s="133" t="s">
        <v>918</v>
      </c>
      <c r="AC57" s="133"/>
      <c r="AD57" s="139">
        <v>44105</v>
      </c>
      <c r="AE57" s="229">
        <v>44469</v>
      </c>
    </row>
    <row r="58" spans="1:31">
      <c r="A58" s="130" t="s">
        <v>691</v>
      </c>
      <c r="B58" s="131" t="s">
        <v>756</v>
      </c>
      <c r="C58" s="131" t="s">
        <v>757</v>
      </c>
      <c r="D58" s="132">
        <v>44655</v>
      </c>
      <c r="E58" s="132">
        <v>44469</v>
      </c>
      <c r="F58" s="131" t="s">
        <v>782</v>
      </c>
      <c r="G58" s="131" t="s">
        <v>783</v>
      </c>
      <c r="H58" s="131" t="s">
        <v>816</v>
      </c>
      <c r="I58" s="133" t="s">
        <v>847</v>
      </c>
      <c r="J58" s="134" t="s">
        <v>2977</v>
      </c>
      <c r="K58" s="134" t="s">
        <v>2978</v>
      </c>
      <c r="L58" s="133" t="s">
        <v>789</v>
      </c>
      <c r="M58" s="133" t="s">
        <v>764</v>
      </c>
      <c r="N58" s="134" t="s">
        <v>2982</v>
      </c>
      <c r="O58" s="135" t="s">
        <v>2398</v>
      </c>
      <c r="P58" s="133" t="s">
        <v>804</v>
      </c>
      <c r="Q58" s="136" t="s">
        <v>815</v>
      </c>
      <c r="R58" s="137"/>
      <c r="S58" s="138" t="s">
        <v>710</v>
      </c>
      <c r="T58" s="133" t="s">
        <v>2980</v>
      </c>
      <c r="U58" s="133" t="s">
        <v>859</v>
      </c>
      <c r="V58" s="136" t="s">
        <v>816</v>
      </c>
      <c r="W58" s="133" t="s">
        <v>3031</v>
      </c>
      <c r="X58" s="133" t="s">
        <v>760</v>
      </c>
      <c r="Y58" s="133" t="s">
        <v>3030</v>
      </c>
      <c r="Z58" s="133" t="s">
        <v>854</v>
      </c>
      <c r="AA58" s="133" t="s">
        <v>917</v>
      </c>
      <c r="AB58" s="133" t="s">
        <v>918</v>
      </c>
      <c r="AC58" s="133">
        <v>1630</v>
      </c>
      <c r="AD58" s="139">
        <v>44105</v>
      </c>
      <c r="AE58" s="229">
        <v>44469</v>
      </c>
    </row>
    <row r="59" spans="1:31">
      <c r="A59" s="221" t="s">
        <v>691</v>
      </c>
      <c r="B59" s="222" t="s">
        <v>756</v>
      </c>
      <c r="C59" s="222" t="s">
        <v>757</v>
      </c>
      <c r="D59" s="223">
        <v>44470</v>
      </c>
      <c r="E59" s="223">
        <v>44469</v>
      </c>
      <c r="F59" s="222" t="s">
        <v>782</v>
      </c>
      <c r="G59" s="222" t="s">
        <v>783</v>
      </c>
      <c r="H59" s="222" t="s">
        <v>816</v>
      </c>
      <c r="I59" s="224" t="s">
        <v>846</v>
      </c>
      <c r="J59" s="225" t="s">
        <v>2343</v>
      </c>
      <c r="K59" s="225" t="s">
        <v>3024</v>
      </c>
      <c r="L59" s="133" t="s">
        <v>787</v>
      </c>
      <c r="M59" s="224" t="s">
        <v>2979</v>
      </c>
      <c r="N59" s="225" t="s">
        <v>812</v>
      </c>
      <c r="O59" s="224" t="s">
        <v>2604</v>
      </c>
      <c r="P59" s="224" t="s">
        <v>2604</v>
      </c>
      <c r="Q59" s="226" t="s">
        <v>3019</v>
      </c>
      <c r="R59" s="227"/>
      <c r="S59" s="228" t="s">
        <v>710</v>
      </c>
      <c r="T59" s="224" t="s">
        <v>2980</v>
      </c>
      <c r="U59" s="224" t="s">
        <v>859</v>
      </c>
      <c r="V59" s="226" t="s">
        <v>816</v>
      </c>
      <c r="W59" s="224" t="s">
        <v>2609</v>
      </c>
      <c r="X59" s="224" t="s">
        <v>760</v>
      </c>
      <c r="Y59" s="224" t="s">
        <v>2949</v>
      </c>
      <c r="Z59" s="224" t="s">
        <v>854</v>
      </c>
      <c r="AA59" s="224" t="s">
        <v>917</v>
      </c>
      <c r="AB59" s="224" t="s">
        <v>918</v>
      </c>
      <c r="AC59" s="224"/>
      <c r="AD59" s="229">
        <v>44424</v>
      </c>
      <c r="AE59" s="229">
        <v>44469</v>
      </c>
    </row>
    <row r="60" spans="1:31">
      <c r="A60" s="221" t="s">
        <v>691</v>
      </c>
      <c r="B60" s="222" t="s">
        <v>756</v>
      </c>
      <c r="C60" s="222" t="s">
        <v>757</v>
      </c>
      <c r="D60" s="223">
        <v>44470</v>
      </c>
      <c r="E60" s="223">
        <v>44469</v>
      </c>
      <c r="F60" s="222" t="s">
        <v>782</v>
      </c>
      <c r="G60" s="222" t="s">
        <v>783</v>
      </c>
      <c r="H60" s="222" t="s">
        <v>816</v>
      </c>
      <c r="I60" s="224" t="s">
        <v>846</v>
      </c>
      <c r="J60" s="225" t="s">
        <v>2343</v>
      </c>
      <c r="K60" s="225" t="s">
        <v>3024</v>
      </c>
      <c r="L60" s="133" t="s">
        <v>787</v>
      </c>
      <c r="M60" s="224" t="s">
        <v>2979</v>
      </c>
      <c r="N60" s="225" t="s">
        <v>812</v>
      </c>
      <c r="O60" s="224" t="s">
        <v>2604</v>
      </c>
      <c r="P60" s="224" t="s">
        <v>2604</v>
      </c>
      <c r="Q60" s="226" t="s">
        <v>3020</v>
      </c>
      <c r="R60" s="227"/>
      <c r="S60" s="228" t="s">
        <v>710</v>
      </c>
      <c r="T60" s="224" t="s">
        <v>2980</v>
      </c>
      <c r="U60" s="224" t="s">
        <v>859</v>
      </c>
      <c r="V60" s="226" t="s">
        <v>816</v>
      </c>
      <c r="W60" s="224" t="s">
        <v>2609</v>
      </c>
      <c r="X60" s="224" t="s">
        <v>760</v>
      </c>
      <c r="Y60" s="224" t="s">
        <v>2949</v>
      </c>
      <c r="Z60" s="224" t="s">
        <v>854</v>
      </c>
      <c r="AA60" s="224" t="s">
        <v>917</v>
      </c>
      <c r="AB60" s="224" t="s">
        <v>918</v>
      </c>
      <c r="AC60" s="224"/>
      <c r="AD60" s="229">
        <v>44424</v>
      </c>
      <c r="AE60" s="229">
        <v>44469</v>
      </c>
    </row>
    <row r="61" spans="1:31">
      <c r="A61" s="221" t="s">
        <v>691</v>
      </c>
      <c r="B61" s="222" t="s">
        <v>756</v>
      </c>
      <c r="C61" s="222" t="s">
        <v>757</v>
      </c>
      <c r="D61" s="223">
        <v>44470</v>
      </c>
      <c r="E61" s="223">
        <v>44469</v>
      </c>
      <c r="F61" s="222" t="s">
        <v>782</v>
      </c>
      <c r="G61" s="222" t="s">
        <v>783</v>
      </c>
      <c r="H61" s="222" t="s">
        <v>816</v>
      </c>
      <c r="I61" s="224" t="s">
        <v>846</v>
      </c>
      <c r="J61" s="225" t="s">
        <v>760</v>
      </c>
      <c r="K61" s="225" t="s">
        <v>784</v>
      </c>
      <c r="L61" s="133" t="s">
        <v>3025</v>
      </c>
      <c r="M61" s="224" t="s">
        <v>797</v>
      </c>
      <c r="N61" s="225" t="s">
        <v>798</v>
      </c>
      <c r="O61" s="224" t="s">
        <v>2953</v>
      </c>
      <c r="P61" s="224" t="s">
        <v>799</v>
      </c>
      <c r="Q61" s="226" t="s">
        <v>800</v>
      </c>
      <c r="R61" s="227"/>
      <c r="S61" s="228" t="s">
        <v>710</v>
      </c>
      <c r="T61" s="224" t="s">
        <v>2980</v>
      </c>
      <c r="U61" s="224" t="s">
        <v>859</v>
      </c>
      <c r="V61" s="226" t="s">
        <v>816</v>
      </c>
      <c r="W61" s="224" t="s">
        <v>2609</v>
      </c>
      <c r="X61" s="224" t="s">
        <v>760</v>
      </c>
      <c r="Y61" s="224" t="s">
        <v>2949</v>
      </c>
      <c r="Z61" s="224" t="s">
        <v>854</v>
      </c>
      <c r="AA61" s="224" t="s">
        <v>917</v>
      </c>
      <c r="AB61" s="224" t="s">
        <v>918</v>
      </c>
      <c r="AC61" s="224"/>
      <c r="AD61" s="229">
        <v>44424</v>
      </c>
      <c r="AE61" s="229">
        <v>44469</v>
      </c>
    </row>
    <row r="62" spans="1:31">
      <c r="A62" s="221" t="s">
        <v>691</v>
      </c>
      <c r="B62" s="222" t="s">
        <v>756</v>
      </c>
      <c r="C62" s="222" t="s">
        <v>757</v>
      </c>
      <c r="D62" s="223">
        <v>44470</v>
      </c>
      <c r="E62" s="223">
        <v>44469</v>
      </c>
      <c r="F62" s="222" t="s">
        <v>782</v>
      </c>
      <c r="G62" s="222" t="s">
        <v>783</v>
      </c>
      <c r="H62" s="222" t="s">
        <v>816</v>
      </c>
      <c r="I62" s="224" t="s">
        <v>847</v>
      </c>
      <c r="J62" s="225" t="s">
        <v>2343</v>
      </c>
      <c r="K62" s="225" t="s">
        <v>3024</v>
      </c>
      <c r="L62" s="133" t="s">
        <v>2567</v>
      </c>
      <c r="M62" s="224" t="s">
        <v>801</v>
      </c>
      <c r="N62" s="225" t="s">
        <v>802</v>
      </c>
      <c r="O62" s="224" t="s">
        <v>803</v>
      </c>
      <c r="P62" s="224" t="s">
        <v>804</v>
      </c>
      <c r="Q62" s="226" t="s">
        <v>3017</v>
      </c>
      <c r="R62" s="227"/>
      <c r="S62" s="228" t="s">
        <v>710</v>
      </c>
      <c r="T62" s="224" t="s">
        <v>2980</v>
      </c>
      <c r="U62" s="224" t="s">
        <v>859</v>
      </c>
      <c r="V62" s="226" t="s">
        <v>816</v>
      </c>
      <c r="W62" s="224" t="s">
        <v>2609</v>
      </c>
      <c r="X62" s="224" t="s">
        <v>760</v>
      </c>
      <c r="Y62" s="224" t="s">
        <v>2949</v>
      </c>
      <c r="Z62" s="224" t="s">
        <v>854</v>
      </c>
      <c r="AA62" s="224" t="s">
        <v>917</v>
      </c>
      <c r="AB62" s="224" t="s">
        <v>918</v>
      </c>
      <c r="AC62" s="224"/>
      <c r="AD62" s="229">
        <v>44424</v>
      </c>
      <c r="AE62" s="229">
        <v>44469</v>
      </c>
    </row>
    <row r="63" spans="1:31">
      <c r="A63" s="221" t="s">
        <v>691</v>
      </c>
      <c r="B63" s="222" t="s">
        <v>756</v>
      </c>
      <c r="C63" s="222" t="s">
        <v>757</v>
      </c>
      <c r="D63" s="223">
        <v>44470</v>
      </c>
      <c r="E63" s="223">
        <v>44469</v>
      </c>
      <c r="F63" s="222" t="s">
        <v>782</v>
      </c>
      <c r="G63" s="222" t="s">
        <v>783</v>
      </c>
      <c r="H63" s="222" t="s">
        <v>816</v>
      </c>
      <c r="I63" s="224" t="s">
        <v>847</v>
      </c>
      <c r="J63" s="225" t="s">
        <v>2343</v>
      </c>
      <c r="K63" s="225" t="s">
        <v>3024</v>
      </c>
      <c r="L63" s="133" t="s">
        <v>2567</v>
      </c>
      <c r="M63" s="224" t="s">
        <v>2950</v>
      </c>
      <c r="N63" s="225" t="s">
        <v>2951</v>
      </c>
      <c r="O63" s="224" t="s">
        <v>806</v>
      </c>
      <c r="P63" s="224" t="s">
        <v>804</v>
      </c>
      <c r="Q63" s="226" t="s">
        <v>3021</v>
      </c>
      <c r="R63" s="227"/>
      <c r="S63" s="228" t="s">
        <v>710</v>
      </c>
      <c r="T63" s="224" t="s">
        <v>2980</v>
      </c>
      <c r="U63" s="224" t="s">
        <v>859</v>
      </c>
      <c r="V63" s="226" t="s">
        <v>816</v>
      </c>
      <c r="W63" s="224" t="s">
        <v>2609</v>
      </c>
      <c r="X63" s="224" t="s">
        <v>760</v>
      </c>
      <c r="Y63" s="224" t="s">
        <v>2949</v>
      </c>
      <c r="Z63" s="224" t="s">
        <v>854</v>
      </c>
      <c r="AA63" s="224" t="s">
        <v>917</v>
      </c>
      <c r="AB63" s="224" t="s">
        <v>918</v>
      </c>
      <c r="AC63" s="224"/>
      <c r="AD63" s="229">
        <v>44424</v>
      </c>
      <c r="AE63" s="229">
        <v>44469</v>
      </c>
    </row>
    <row r="64" spans="1:31">
      <c r="A64" s="221" t="s">
        <v>691</v>
      </c>
      <c r="B64" s="222" t="s">
        <v>756</v>
      </c>
      <c r="C64" s="222" t="s">
        <v>757</v>
      </c>
      <c r="D64" s="223">
        <v>44470</v>
      </c>
      <c r="E64" s="223">
        <v>44469</v>
      </c>
      <c r="F64" s="222" t="s">
        <v>782</v>
      </c>
      <c r="G64" s="222" t="s">
        <v>783</v>
      </c>
      <c r="H64" s="222" t="s">
        <v>816</v>
      </c>
      <c r="I64" s="224" t="s">
        <v>847</v>
      </c>
      <c r="J64" s="225" t="s">
        <v>2343</v>
      </c>
      <c r="K64" s="225" t="s">
        <v>3024</v>
      </c>
      <c r="L64" s="133" t="s">
        <v>2567</v>
      </c>
      <c r="M64" s="224" t="s">
        <v>2950</v>
      </c>
      <c r="N64" s="225" t="s">
        <v>2951</v>
      </c>
      <c r="O64" s="224" t="s">
        <v>806</v>
      </c>
      <c r="P64" s="224" t="s">
        <v>804</v>
      </c>
      <c r="Q64" s="226" t="s">
        <v>3022</v>
      </c>
      <c r="R64" s="227"/>
      <c r="S64" s="228" t="s">
        <v>710</v>
      </c>
      <c r="T64" s="224" t="s">
        <v>2980</v>
      </c>
      <c r="U64" s="224" t="s">
        <v>859</v>
      </c>
      <c r="V64" s="226" t="s">
        <v>816</v>
      </c>
      <c r="W64" s="224" t="s">
        <v>2609</v>
      </c>
      <c r="X64" s="224" t="s">
        <v>760</v>
      </c>
      <c r="Y64" s="224" t="s">
        <v>2949</v>
      </c>
      <c r="Z64" s="224" t="s">
        <v>854</v>
      </c>
      <c r="AA64" s="224" t="s">
        <v>917</v>
      </c>
      <c r="AB64" s="224" t="s">
        <v>918</v>
      </c>
      <c r="AC64" s="224"/>
      <c r="AD64" s="229">
        <v>44424</v>
      </c>
      <c r="AE64" s="229">
        <v>44469</v>
      </c>
    </row>
    <row r="65" spans="1:31">
      <c r="A65" s="221" t="s">
        <v>691</v>
      </c>
      <c r="B65" s="222" t="s">
        <v>756</v>
      </c>
      <c r="C65" s="222" t="s">
        <v>757</v>
      </c>
      <c r="D65" s="223">
        <v>44470</v>
      </c>
      <c r="E65" s="223">
        <v>44469</v>
      </c>
      <c r="F65" s="222" t="s">
        <v>782</v>
      </c>
      <c r="G65" s="222" t="s">
        <v>783</v>
      </c>
      <c r="H65" s="222" t="s">
        <v>816</v>
      </c>
      <c r="I65" s="224" t="s">
        <v>847</v>
      </c>
      <c r="J65" s="225" t="s">
        <v>2343</v>
      </c>
      <c r="K65" s="225" t="s">
        <v>3024</v>
      </c>
      <c r="L65" s="133" t="s">
        <v>2567</v>
      </c>
      <c r="M65" s="224" t="s">
        <v>2950</v>
      </c>
      <c r="N65" s="225" t="s">
        <v>2951</v>
      </c>
      <c r="O65" s="224" t="s">
        <v>808</v>
      </c>
      <c r="P65" s="224" t="s">
        <v>804</v>
      </c>
      <c r="Q65" s="226" t="s">
        <v>809</v>
      </c>
      <c r="R65" s="227"/>
      <c r="S65" s="228" t="s">
        <v>710</v>
      </c>
      <c r="T65" s="224" t="s">
        <v>2980</v>
      </c>
      <c r="U65" s="224" t="s">
        <v>859</v>
      </c>
      <c r="V65" s="226" t="s">
        <v>816</v>
      </c>
      <c r="W65" s="224" t="s">
        <v>2609</v>
      </c>
      <c r="X65" s="224" t="s">
        <v>760</v>
      </c>
      <c r="Y65" s="224" t="s">
        <v>2949</v>
      </c>
      <c r="Z65" s="224" t="s">
        <v>854</v>
      </c>
      <c r="AA65" s="224" t="s">
        <v>917</v>
      </c>
      <c r="AB65" s="224" t="s">
        <v>918</v>
      </c>
      <c r="AC65" s="224"/>
      <c r="AD65" s="229">
        <v>44424</v>
      </c>
      <c r="AE65" s="229">
        <v>44469</v>
      </c>
    </row>
    <row r="66" spans="1:31">
      <c r="A66" s="221" t="s">
        <v>691</v>
      </c>
      <c r="B66" s="222" t="s">
        <v>756</v>
      </c>
      <c r="C66" s="222" t="s">
        <v>757</v>
      </c>
      <c r="D66" s="223">
        <v>44470</v>
      </c>
      <c r="E66" s="223">
        <v>44469</v>
      </c>
      <c r="F66" s="222" t="s">
        <v>782</v>
      </c>
      <c r="G66" s="222" t="s">
        <v>783</v>
      </c>
      <c r="H66" s="222" t="s">
        <v>816</v>
      </c>
      <c r="I66" s="224" t="s">
        <v>847</v>
      </c>
      <c r="J66" s="225" t="s">
        <v>2343</v>
      </c>
      <c r="K66" s="225" t="s">
        <v>3024</v>
      </c>
      <c r="L66" s="133" t="s">
        <v>2567</v>
      </c>
      <c r="M66" s="224" t="s">
        <v>801</v>
      </c>
      <c r="N66" s="225" t="s">
        <v>807</v>
      </c>
      <c r="O66" s="224" t="s">
        <v>810</v>
      </c>
      <c r="P66" s="224" t="s">
        <v>804</v>
      </c>
      <c r="Q66" s="226" t="s">
        <v>811</v>
      </c>
      <c r="R66" s="227"/>
      <c r="S66" s="228" t="s">
        <v>710</v>
      </c>
      <c r="T66" s="224" t="s">
        <v>2980</v>
      </c>
      <c r="U66" s="224" t="s">
        <v>859</v>
      </c>
      <c r="V66" s="226" t="s">
        <v>816</v>
      </c>
      <c r="W66" s="224" t="s">
        <v>2609</v>
      </c>
      <c r="X66" s="224" t="s">
        <v>760</v>
      </c>
      <c r="Y66" s="224" t="s">
        <v>2949</v>
      </c>
      <c r="Z66" s="224" t="s">
        <v>854</v>
      </c>
      <c r="AA66" s="224" t="s">
        <v>917</v>
      </c>
      <c r="AB66" s="224" t="s">
        <v>918</v>
      </c>
      <c r="AC66" s="224"/>
      <c r="AD66" s="229">
        <v>44424</v>
      </c>
      <c r="AE66" s="229">
        <v>44469</v>
      </c>
    </row>
    <row r="67" spans="1:31">
      <c r="A67" s="221" t="s">
        <v>691</v>
      </c>
      <c r="B67" s="222" t="s">
        <v>756</v>
      </c>
      <c r="C67" s="222" t="s">
        <v>757</v>
      </c>
      <c r="D67" s="223">
        <v>44470</v>
      </c>
      <c r="E67" s="223">
        <v>44469</v>
      </c>
      <c r="F67" s="222" t="s">
        <v>782</v>
      </c>
      <c r="G67" s="222" t="s">
        <v>783</v>
      </c>
      <c r="H67" s="222" t="s">
        <v>816</v>
      </c>
      <c r="I67" s="224" t="s">
        <v>847</v>
      </c>
      <c r="J67" s="225" t="s">
        <v>2343</v>
      </c>
      <c r="K67" s="225" t="s">
        <v>3024</v>
      </c>
      <c r="L67" s="133" t="s">
        <v>2567</v>
      </c>
      <c r="M67" s="224" t="s">
        <v>764</v>
      </c>
      <c r="N67" s="225" t="s">
        <v>796</v>
      </c>
      <c r="O67" s="224" t="s">
        <v>2381</v>
      </c>
      <c r="P67" s="224" t="s">
        <v>845</v>
      </c>
      <c r="Q67" s="226" t="s">
        <v>813</v>
      </c>
      <c r="R67" s="227"/>
      <c r="S67" s="228" t="s">
        <v>710</v>
      </c>
      <c r="T67" s="224" t="s">
        <v>2980</v>
      </c>
      <c r="U67" s="224" t="s">
        <v>859</v>
      </c>
      <c r="V67" s="226" t="s">
        <v>816</v>
      </c>
      <c r="W67" s="224" t="s">
        <v>2609</v>
      </c>
      <c r="X67" s="224" t="s">
        <v>760</v>
      </c>
      <c r="Y67" s="224" t="s">
        <v>2949</v>
      </c>
      <c r="Z67" s="224" t="s">
        <v>854</v>
      </c>
      <c r="AA67" s="224" t="s">
        <v>917</v>
      </c>
      <c r="AB67" s="224" t="s">
        <v>918</v>
      </c>
      <c r="AC67" s="224"/>
      <c r="AD67" s="229">
        <v>44424</v>
      </c>
      <c r="AE67" s="229">
        <v>44469</v>
      </c>
    </row>
    <row r="68" spans="1:31">
      <c r="A68" s="221" t="s">
        <v>691</v>
      </c>
      <c r="B68" s="222" t="s">
        <v>756</v>
      </c>
      <c r="C68" s="222" t="s">
        <v>757</v>
      </c>
      <c r="D68" s="223">
        <v>44470</v>
      </c>
      <c r="E68" s="223">
        <v>44469</v>
      </c>
      <c r="F68" s="222" t="s">
        <v>782</v>
      </c>
      <c r="G68" s="222" t="s">
        <v>783</v>
      </c>
      <c r="H68" s="222" t="s">
        <v>816</v>
      </c>
      <c r="I68" s="224" t="s">
        <v>847</v>
      </c>
      <c r="J68" s="225" t="s">
        <v>2343</v>
      </c>
      <c r="K68" s="225" t="s">
        <v>3024</v>
      </c>
      <c r="L68" s="133" t="s">
        <v>2567</v>
      </c>
      <c r="M68" s="224" t="s">
        <v>801</v>
      </c>
      <c r="N68" s="225" t="s">
        <v>805</v>
      </c>
      <c r="O68" s="224" t="s">
        <v>3033</v>
      </c>
      <c r="P68" s="224" t="s">
        <v>804</v>
      </c>
      <c r="Q68" s="226" t="s">
        <v>2990</v>
      </c>
      <c r="R68" s="227"/>
      <c r="S68" s="228" t="s">
        <v>710</v>
      </c>
      <c r="T68" s="224" t="s">
        <v>2980</v>
      </c>
      <c r="U68" s="224" t="s">
        <v>859</v>
      </c>
      <c r="V68" s="226" t="s">
        <v>816</v>
      </c>
      <c r="W68" s="224" t="s">
        <v>2609</v>
      </c>
      <c r="X68" s="224" t="s">
        <v>760</v>
      </c>
      <c r="Y68" s="224" t="s">
        <v>2949</v>
      </c>
      <c r="Z68" s="224" t="s">
        <v>854</v>
      </c>
      <c r="AA68" s="224" t="s">
        <v>917</v>
      </c>
      <c r="AB68" s="224" t="s">
        <v>918</v>
      </c>
      <c r="AC68" s="224"/>
      <c r="AD68" s="229">
        <v>44424</v>
      </c>
      <c r="AE68" s="229">
        <v>44469</v>
      </c>
    </row>
    <row r="69" spans="1:31">
      <c r="A69" s="221" t="s">
        <v>691</v>
      </c>
      <c r="B69" s="222" t="s">
        <v>756</v>
      </c>
      <c r="C69" s="222" t="s">
        <v>757</v>
      </c>
      <c r="D69" s="223">
        <v>44470</v>
      </c>
      <c r="E69" s="223">
        <v>44469</v>
      </c>
      <c r="F69" s="222" t="s">
        <v>782</v>
      </c>
      <c r="G69" s="222" t="s">
        <v>783</v>
      </c>
      <c r="H69" s="222" t="s">
        <v>816</v>
      </c>
      <c r="I69" s="224" t="s">
        <v>847</v>
      </c>
      <c r="J69" s="225" t="s">
        <v>2343</v>
      </c>
      <c r="K69" s="225" t="s">
        <v>3024</v>
      </c>
      <c r="L69" s="133" t="s">
        <v>2567</v>
      </c>
      <c r="M69" s="224" t="s">
        <v>2950</v>
      </c>
      <c r="N69" s="225" t="s">
        <v>2951</v>
      </c>
      <c r="O69" s="224" t="s">
        <v>2981</v>
      </c>
      <c r="P69" s="224" t="s">
        <v>804</v>
      </c>
      <c r="Q69" s="226" t="s">
        <v>3023</v>
      </c>
      <c r="R69" s="227"/>
      <c r="S69" s="228" t="s">
        <v>710</v>
      </c>
      <c r="T69" s="224" t="s">
        <v>2980</v>
      </c>
      <c r="U69" s="224" t="s">
        <v>859</v>
      </c>
      <c r="V69" s="226" t="s">
        <v>816</v>
      </c>
      <c r="W69" s="224" t="s">
        <v>2609</v>
      </c>
      <c r="X69" s="224" t="s">
        <v>760</v>
      </c>
      <c r="Y69" s="224" t="s">
        <v>2949</v>
      </c>
      <c r="Z69" s="224" t="s">
        <v>854</v>
      </c>
      <c r="AA69" s="224" t="s">
        <v>917</v>
      </c>
      <c r="AB69" s="224" t="s">
        <v>918</v>
      </c>
      <c r="AC69" s="224"/>
      <c r="AD69" s="229">
        <v>44424</v>
      </c>
      <c r="AE69" s="229">
        <v>44469</v>
      </c>
    </row>
    <row r="70" spans="1:31">
      <c r="A70" s="221" t="s">
        <v>691</v>
      </c>
      <c r="B70" s="222" t="s">
        <v>756</v>
      </c>
      <c r="C70" s="222" t="s">
        <v>757</v>
      </c>
      <c r="D70" s="223">
        <v>44470</v>
      </c>
      <c r="E70" s="223">
        <v>44469</v>
      </c>
      <c r="F70" s="222" t="s">
        <v>782</v>
      </c>
      <c r="G70" s="222" t="s">
        <v>783</v>
      </c>
      <c r="H70" s="222" t="s">
        <v>816</v>
      </c>
      <c r="I70" s="224" t="s">
        <v>847</v>
      </c>
      <c r="J70" s="225" t="s">
        <v>2343</v>
      </c>
      <c r="K70" s="225" t="s">
        <v>3024</v>
      </c>
      <c r="L70" s="133" t="s">
        <v>789</v>
      </c>
      <c r="M70" s="224" t="s">
        <v>764</v>
      </c>
      <c r="N70" s="225" t="s">
        <v>2982</v>
      </c>
      <c r="O70" s="224" t="s">
        <v>2398</v>
      </c>
      <c r="P70" s="224" t="s">
        <v>804</v>
      </c>
      <c r="Q70" s="226" t="s">
        <v>815</v>
      </c>
      <c r="R70" s="227"/>
      <c r="S70" s="228" t="s">
        <v>710</v>
      </c>
      <c r="T70" s="224" t="s">
        <v>2980</v>
      </c>
      <c r="U70" s="224" t="s">
        <v>859</v>
      </c>
      <c r="V70" s="226" t="s">
        <v>816</v>
      </c>
      <c r="W70" s="224" t="s">
        <v>2609</v>
      </c>
      <c r="X70" s="224" t="s">
        <v>760</v>
      </c>
      <c r="Y70" s="224" t="s">
        <v>2949</v>
      </c>
      <c r="Z70" s="224" t="s">
        <v>854</v>
      </c>
      <c r="AA70" s="224" t="s">
        <v>917</v>
      </c>
      <c r="AB70" s="224" t="s">
        <v>918</v>
      </c>
      <c r="AC70" s="224">
        <v>1630</v>
      </c>
      <c r="AD70" s="229">
        <v>44424</v>
      </c>
      <c r="AE70" s="229">
        <v>44469</v>
      </c>
    </row>
    <row r="71" spans="1:31">
      <c r="A71" s="210" t="s">
        <v>691</v>
      </c>
      <c r="B71" s="211" t="s">
        <v>756</v>
      </c>
      <c r="C71" s="211" t="s">
        <v>757</v>
      </c>
      <c r="D71" s="212">
        <v>44835</v>
      </c>
      <c r="E71" s="212">
        <v>45565</v>
      </c>
      <c r="F71" s="211" t="s">
        <v>782</v>
      </c>
      <c r="G71" s="211" t="s">
        <v>783</v>
      </c>
      <c r="H71" s="211" t="s">
        <v>816</v>
      </c>
      <c r="I71" s="213" t="s">
        <v>846</v>
      </c>
      <c r="J71" s="214" t="s">
        <v>762</v>
      </c>
      <c r="K71" s="214" t="s">
        <v>795</v>
      </c>
      <c r="L71" s="133" t="s">
        <v>787</v>
      </c>
      <c r="M71" s="213" t="s">
        <v>764</v>
      </c>
      <c r="N71" s="214" t="s">
        <v>812</v>
      </c>
      <c r="O71" s="213" t="s">
        <v>2604</v>
      </c>
      <c r="P71" s="213" t="s">
        <v>2604</v>
      </c>
      <c r="Q71" s="215" t="s">
        <v>3000</v>
      </c>
      <c r="R71" s="216"/>
      <c r="S71" s="217" t="s">
        <v>710</v>
      </c>
      <c r="T71" s="213" t="s">
        <v>2980</v>
      </c>
      <c r="U71" s="213" t="s">
        <v>859</v>
      </c>
      <c r="V71" s="218" t="s">
        <v>816</v>
      </c>
      <c r="W71" s="213" t="s">
        <v>2609</v>
      </c>
      <c r="X71" s="213" t="s">
        <v>760</v>
      </c>
      <c r="Y71" s="213" t="s">
        <v>2949</v>
      </c>
      <c r="Z71" s="213" t="s">
        <v>854</v>
      </c>
      <c r="AA71" s="213" t="s">
        <v>917</v>
      </c>
      <c r="AB71" s="213" t="s">
        <v>918</v>
      </c>
      <c r="AC71" s="213"/>
      <c r="AD71" s="219">
        <v>44470</v>
      </c>
      <c r="AE71" s="230">
        <v>44834</v>
      </c>
    </row>
    <row r="72" spans="1:31">
      <c r="A72" s="210" t="s">
        <v>691</v>
      </c>
      <c r="B72" s="211" t="s">
        <v>756</v>
      </c>
      <c r="C72" s="211" t="s">
        <v>757</v>
      </c>
      <c r="D72" s="212">
        <v>44835</v>
      </c>
      <c r="E72" s="212">
        <v>45565</v>
      </c>
      <c r="F72" s="211" t="s">
        <v>782</v>
      </c>
      <c r="G72" s="211" t="s">
        <v>783</v>
      </c>
      <c r="H72" s="211" t="s">
        <v>816</v>
      </c>
      <c r="I72" s="213" t="s">
        <v>846</v>
      </c>
      <c r="J72" s="214" t="s">
        <v>762</v>
      </c>
      <c r="K72" s="214" t="s">
        <v>795</v>
      </c>
      <c r="L72" s="133" t="s">
        <v>787</v>
      </c>
      <c r="M72" s="213" t="s">
        <v>764</v>
      </c>
      <c r="N72" s="214" t="s">
        <v>812</v>
      </c>
      <c r="O72" s="213" t="s">
        <v>2604</v>
      </c>
      <c r="P72" s="213" t="s">
        <v>2604</v>
      </c>
      <c r="Q72" s="215" t="s">
        <v>2991</v>
      </c>
      <c r="R72" s="216"/>
      <c r="S72" s="217" t="s">
        <v>710</v>
      </c>
      <c r="T72" s="213" t="s">
        <v>2980</v>
      </c>
      <c r="U72" s="213" t="s">
        <v>859</v>
      </c>
      <c r="V72" s="218" t="s">
        <v>816</v>
      </c>
      <c r="W72" s="213" t="s">
        <v>2609</v>
      </c>
      <c r="X72" s="213" t="s">
        <v>760</v>
      </c>
      <c r="Y72" s="213" t="s">
        <v>2949</v>
      </c>
      <c r="Z72" s="213" t="s">
        <v>854</v>
      </c>
      <c r="AA72" s="213" t="s">
        <v>917</v>
      </c>
      <c r="AB72" s="213" t="s">
        <v>918</v>
      </c>
      <c r="AC72" s="213"/>
      <c r="AD72" s="219">
        <v>44470</v>
      </c>
      <c r="AE72" s="230">
        <v>44834</v>
      </c>
    </row>
    <row r="73" spans="1:31">
      <c r="A73" s="210" t="s">
        <v>691</v>
      </c>
      <c r="B73" s="211" t="s">
        <v>756</v>
      </c>
      <c r="C73" s="211" t="s">
        <v>757</v>
      </c>
      <c r="D73" s="212">
        <v>44835</v>
      </c>
      <c r="E73" s="212">
        <v>45565</v>
      </c>
      <c r="F73" s="211" t="s">
        <v>782</v>
      </c>
      <c r="G73" s="211" t="s">
        <v>783</v>
      </c>
      <c r="H73" s="211" t="s">
        <v>816</v>
      </c>
      <c r="I73" s="213" t="s">
        <v>846</v>
      </c>
      <c r="J73" s="214" t="s">
        <v>760</v>
      </c>
      <c r="K73" s="214" t="s">
        <v>784</v>
      </c>
      <c r="L73" s="133" t="s">
        <v>3025</v>
      </c>
      <c r="M73" s="213" t="s">
        <v>797</v>
      </c>
      <c r="N73" s="214" t="s">
        <v>798</v>
      </c>
      <c r="O73" s="213" t="s">
        <v>2953</v>
      </c>
      <c r="P73" s="213" t="s">
        <v>799</v>
      </c>
      <c r="Q73" s="220" t="s">
        <v>800</v>
      </c>
      <c r="R73" s="216"/>
      <c r="S73" s="217" t="s">
        <v>710</v>
      </c>
      <c r="T73" s="213" t="s">
        <v>2980</v>
      </c>
      <c r="U73" s="213" t="s">
        <v>859</v>
      </c>
      <c r="V73" s="218" t="s">
        <v>816</v>
      </c>
      <c r="W73" s="213" t="s">
        <v>2609</v>
      </c>
      <c r="X73" s="213" t="s">
        <v>760</v>
      </c>
      <c r="Y73" s="213" t="s">
        <v>2949</v>
      </c>
      <c r="Z73" s="213" t="s">
        <v>854</v>
      </c>
      <c r="AA73" s="213" t="s">
        <v>917</v>
      </c>
      <c r="AB73" s="213" t="s">
        <v>918</v>
      </c>
      <c r="AC73" s="213"/>
      <c r="AD73" s="219">
        <v>44470</v>
      </c>
      <c r="AE73" s="230">
        <v>44834</v>
      </c>
    </row>
    <row r="74" spans="1:31">
      <c r="A74" s="210" t="s">
        <v>691</v>
      </c>
      <c r="B74" s="211" t="s">
        <v>756</v>
      </c>
      <c r="C74" s="211" t="s">
        <v>757</v>
      </c>
      <c r="D74" s="212">
        <v>44835</v>
      </c>
      <c r="E74" s="212">
        <v>45565</v>
      </c>
      <c r="F74" s="211" t="s">
        <v>782</v>
      </c>
      <c r="G74" s="211" t="s">
        <v>783</v>
      </c>
      <c r="H74" s="211" t="s">
        <v>816</v>
      </c>
      <c r="I74" s="213" t="s">
        <v>847</v>
      </c>
      <c r="J74" s="214" t="s">
        <v>762</v>
      </c>
      <c r="K74" s="214" t="s">
        <v>795</v>
      </c>
      <c r="L74" s="133" t="s">
        <v>2567</v>
      </c>
      <c r="M74" s="213" t="s">
        <v>801</v>
      </c>
      <c r="N74" s="214" t="s">
        <v>802</v>
      </c>
      <c r="O74" s="213" t="s">
        <v>803</v>
      </c>
      <c r="P74" s="213" t="s">
        <v>804</v>
      </c>
      <c r="Q74" s="220" t="s">
        <v>3001</v>
      </c>
      <c r="R74" s="216"/>
      <c r="S74" s="217" t="s">
        <v>710</v>
      </c>
      <c r="T74" s="213" t="s">
        <v>2980</v>
      </c>
      <c r="U74" s="213" t="s">
        <v>859</v>
      </c>
      <c r="V74" s="218" t="s">
        <v>816</v>
      </c>
      <c r="W74" s="213" t="s">
        <v>2609</v>
      </c>
      <c r="X74" s="213" t="s">
        <v>760</v>
      </c>
      <c r="Y74" s="213" t="s">
        <v>2949</v>
      </c>
      <c r="Z74" s="213" t="s">
        <v>854</v>
      </c>
      <c r="AA74" s="213" t="s">
        <v>917</v>
      </c>
      <c r="AB74" s="213" t="s">
        <v>918</v>
      </c>
      <c r="AC74" s="213"/>
      <c r="AD74" s="219">
        <v>44470</v>
      </c>
      <c r="AE74" s="230">
        <v>44834</v>
      </c>
    </row>
    <row r="75" spans="1:31">
      <c r="A75" s="210" t="s">
        <v>691</v>
      </c>
      <c r="B75" s="211" t="s">
        <v>756</v>
      </c>
      <c r="C75" s="211" t="s">
        <v>757</v>
      </c>
      <c r="D75" s="212">
        <v>44835</v>
      </c>
      <c r="E75" s="212">
        <v>45565</v>
      </c>
      <c r="F75" s="211" t="s">
        <v>782</v>
      </c>
      <c r="G75" s="211" t="s">
        <v>783</v>
      </c>
      <c r="H75" s="211" t="s">
        <v>816</v>
      </c>
      <c r="I75" s="213" t="s">
        <v>847</v>
      </c>
      <c r="J75" s="214" t="s">
        <v>762</v>
      </c>
      <c r="K75" s="214" t="s">
        <v>795</v>
      </c>
      <c r="L75" s="133" t="s">
        <v>2567</v>
      </c>
      <c r="M75" s="213" t="s">
        <v>2950</v>
      </c>
      <c r="N75" s="214" t="s">
        <v>2951</v>
      </c>
      <c r="O75" s="213" t="s">
        <v>806</v>
      </c>
      <c r="P75" s="213" t="s">
        <v>804</v>
      </c>
      <c r="Q75" s="220" t="s">
        <v>3002</v>
      </c>
      <c r="R75" s="216"/>
      <c r="S75" s="217" t="s">
        <v>710</v>
      </c>
      <c r="T75" s="213" t="s">
        <v>2980</v>
      </c>
      <c r="U75" s="213" t="s">
        <v>859</v>
      </c>
      <c r="V75" s="218" t="s">
        <v>816</v>
      </c>
      <c r="W75" s="213" t="s">
        <v>2609</v>
      </c>
      <c r="X75" s="213" t="s">
        <v>760</v>
      </c>
      <c r="Y75" s="213" t="s">
        <v>2949</v>
      </c>
      <c r="Z75" s="213" t="s">
        <v>854</v>
      </c>
      <c r="AA75" s="213" t="s">
        <v>917</v>
      </c>
      <c r="AB75" s="213" t="s">
        <v>918</v>
      </c>
      <c r="AC75" s="213"/>
      <c r="AD75" s="219">
        <v>44470</v>
      </c>
      <c r="AE75" s="230">
        <v>44834</v>
      </c>
    </row>
    <row r="76" spans="1:31">
      <c r="A76" s="210" t="s">
        <v>691</v>
      </c>
      <c r="B76" s="211" t="s">
        <v>756</v>
      </c>
      <c r="C76" s="211" t="s">
        <v>757</v>
      </c>
      <c r="D76" s="212">
        <v>44835</v>
      </c>
      <c r="E76" s="212">
        <v>45565</v>
      </c>
      <c r="F76" s="211" t="s">
        <v>782</v>
      </c>
      <c r="G76" s="211" t="s">
        <v>783</v>
      </c>
      <c r="H76" s="211" t="s">
        <v>816</v>
      </c>
      <c r="I76" s="213" t="s">
        <v>847</v>
      </c>
      <c r="J76" s="214" t="s">
        <v>762</v>
      </c>
      <c r="K76" s="214" t="s">
        <v>795</v>
      </c>
      <c r="L76" s="133" t="s">
        <v>2567</v>
      </c>
      <c r="M76" s="213" t="s">
        <v>2950</v>
      </c>
      <c r="N76" s="214" t="s">
        <v>2951</v>
      </c>
      <c r="O76" s="213" t="s">
        <v>806</v>
      </c>
      <c r="P76" s="213" t="s">
        <v>804</v>
      </c>
      <c r="Q76" s="220" t="s">
        <v>2983</v>
      </c>
      <c r="R76" s="216"/>
      <c r="S76" s="217" t="s">
        <v>710</v>
      </c>
      <c r="T76" s="213" t="s">
        <v>2980</v>
      </c>
      <c r="U76" s="213" t="s">
        <v>859</v>
      </c>
      <c r="V76" s="218" t="s">
        <v>816</v>
      </c>
      <c r="W76" s="213" t="s">
        <v>2609</v>
      </c>
      <c r="X76" s="213" t="s">
        <v>760</v>
      </c>
      <c r="Y76" s="213" t="s">
        <v>2949</v>
      </c>
      <c r="Z76" s="213" t="s">
        <v>854</v>
      </c>
      <c r="AA76" s="213" t="s">
        <v>917</v>
      </c>
      <c r="AB76" s="213" t="s">
        <v>918</v>
      </c>
      <c r="AC76" s="213"/>
      <c r="AD76" s="219">
        <v>44470</v>
      </c>
      <c r="AE76" s="230">
        <v>44834</v>
      </c>
    </row>
    <row r="77" spans="1:31">
      <c r="A77" s="210" t="s">
        <v>691</v>
      </c>
      <c r="B77" s="211" t="s">
        <v>756</v>
      </c>
      <c r="C77" s="211" t="s">
        <v>757</v>
      </c>
      <c r="D77" s="212">
        <v>44835</v>
      </c>
      <c r="E77" s="212">
        <v>45565</v>
      </c>
      <c r="F77" s="211" t="s">
        <v>782</v>
      </c>
      <c r="G77" s="211" t="s">
        <v>783</v>
      </c>
      <c r="H77" s="211" t="s">
        <v>816</v>
      </c>
      <c r="I77" s="213" t="s">
        <v>847</v>
      </c>
      <c r="J77" s="214" t="s">
        <v>762</v>
      </c>
      <c r="K77" s="214" t="s">
        <v>795</v>
      </c>
      <c r="L77" s="133" t="s">
        <v>2567</v>
      </c>
      <c r="M77" s="213" t="s">
        <v>801</v>
      </c>
      <c r="N77" s="214" t="s">
        <v>807</v>
      </c>
      <c r="O77" s="213" t="s">
        <v>808</v>
      </c>
      <c r="P77" s="213" t="s">
        <v>804</v>
      </c>
      <c r="Q77" s="220" t="s">
        <v>809</v>
      </c>
      <c r="R77" s="216"/>
      <c r="S77" s="217" t="s">
        <v>710</v>
      </c>
      <c r="T77" s="213" t="s">
        <v>2980</v>
      </c>
      <c r="U77" s="213" t="s">
        <v>859</v>
      </c>
      <c r="V77" s="218" t="s">
        <v>816</v>
      </c>
      <c r="W77" s="213" t="s">
        <v>2609</v>
      </c>
      <c r="X77" s="213" t="s">
        <v>760</v>
      </c>
      <c r="Y77" s="213" t="s">
        <v>2949</v>
      </c>
      <c r="Z77" s="213" t="s">
        <v>854</v>
      </c>
      <c r="AA77" s="213" t="s">
        <v>917</v>
      </c>
      <c r="AB77" s="213" t="s">
        <v>918</v>
      </c>
      <c r="AC77" s="213"/>
      <c r="AD77" s="219">
        <v>44470</v>
      </c>
      <c r="AE77" s="230">
        <v>44834</v>
      </c>
    </row>
    <row r="78" spans="1:31">
      <c r="A78" s="210" t="s">
        <v>691</v>
      </c>
      <c r="B78" s="211" t="s">
        <v>756</v>
      </c>
      <c r="C78" s="211" t="s">
        <v>757</v>
      </c>
      <c r="D78" s="212">
        <v>44835</v>
      </c>
      <c r="E78" s="212">
        <v>45565</v>
      </c>
      <c r="F78" s="211" t="s">
        <v>782</v>
      </c>
      <c r="G78" s="211" t="s">
        <v>783</v>
      </c>
      <c r="H78" s="211" t="s">
        <v>816</v>
      </c>
      <c r="I78" s="213" t="s">
        <v>847</v>
      </c>
      <c r="J78" s="214" t="s">
        <v>762</v>
      </c>
      <c r="K78" s="214" t="s">
        <v>795</v>
      </c>
      <c r="L78" s="133" t="s">
        <v>2567</v>
      </c>
      <c r="M78" s="213" t="s">
        <v>801</v>
      </c>
      <c r="N78" s="214" t="s">
        <v>807</v>
      </c>
      <c r="O78" s="213" t="s">
        <v>810</v>
      </c>
      <c r="P78" s="213" t="s">
        <v>804</v>
      </c>
      <c r="Q78" s="220" t="s">
        <v>811</v>
      </c>
      <c r="R78" s="216"/>
      <c r="S78" s="217" t="s">
        <v>710</v>
      </c>
      <c r="T78" s="213" t="s">
        <v>2980</v>
      </c>
      <c r="U78" s="213" t="s">
        <v>859</v>
      </c>
      <c r="V78" s="218" t="s">
        <v>816</v>
      </c>
      <c r="W78" s="213" t="s">
        <v>2609</v>
      </c>
      <c r="X78" s="213" t="s">
        <v>760</v>
      </c>
      <c r="Y78" s="213" t="s">
        <v>2949</v>
      </c>
      <c r="Z78" s="213" t="s">
        <v>854</v>
      </c>
      <c r="AA78" s="213" t="s">
        <v>917</v>
      </c>
      <c r="AB78" s="213" t="s">
        <v>918</v>
      </c>
      <c r="AC78" s="213"/>
      <c r="AD78" s="219">
        <v>44470</v>
      </c>
      <c r="AE78" s="230">
        <v>44834</v>
      </c>
    </row>
    <row r="79" spans="1:31">
      <c r="A79" s="210" t="s">
        <v>691</v>
      </c>
      <c r="B79" s="211" t="s">
        <v>756</v>
      </c>
      <c r="C79" s="211" t="s">
        <v>757</v>
      </c>
      <c r="D79" s="212">
        <v>44835</v>
      </c>
      <c r="E79" s="212">
        <v>45565</v>
      </c>
      <c r="F79" s="211" t="s">
        <v>782</v>
      </c>
      <c r="G79" s="211" t="s">
        <v>783</v>
      </c>
      <c r="H79" s="211" t="s">
        <v>816</v>
      </c>
      <c r="I79" s="213" t="s">
        <v>847</v>
      </c>
      <c r="J79" s="214" t="s">
        <v>762</v>
      </c>
      <c r="K79" s="214" t="s">
        <v>795</v>
      </c>
      <c r="L79" s="133" t="s">
        <v>2567</v>
      </c>
      <c r="M79" s="213" t="s">
        <v>764</v>
      </c>
      <c r="N79" s="214" t="s">
        <v>796</v>
      </c>
      <c r="O79" s="213" t="s">
        <v>2381</v>
      </c>
      <c r="P79" s="213" t="s">
        <v>845</v>
      </c>
      <c r="Q79" s="220" t="s">
        <v>813</v>
      </c>
      <c r="R79" s="216"/>
      <c r="S79" s="217" t="s">
        <v>710</v>
      </c>
      <c r="T79" s="213" t="s">
        <v>2980</v>
      </c>
      <c r="U79" s="213" t="s">
        <v>859</v>
      </c>
      <c r="V79" s="218" t="s">
        <v>816</v>
      </c>
      <c r="W79" s="213" t="s">
        <v>2609</v>
      </c>
      <c r="X79" s="213" t="s">
        <v>760</v>
      </c>
      <c r="Y79" s="213" t="s">
        <v>2949</v>
      </c>
      <c r="Z79" s="213" t="s">
        <v>854</v>
      </c>
      <c r="AA79" s="213" t="s">
        <v>917</v>
      </c>
      <c r="AB79" s="213" t="s">
        <v>918</v>
      </c>
      <c r="AC79" s="213"/>
      <c r="AD79" s="219">
        <v>44470</v>
      </c>
      <c r="AE79" s="230">
        <v>44834</v>
      </c>
    </row>
    <row r="80" spans="1:31">
      <c r="A80" s="210" t="s">
        <v>691</v>
      </c>
      <c r="B80" s="211" t="s">
        <v>756</v>
      </c>
      <c r="C80" s="211" t="s">
        <v>757</v>
      </c>
      <c r="D80" s="212">
        <v>44835</v>
      </c>
      <c r="E80" s="212">
        <v>45565</v>
      </c>
      <c r="F80" s="211" t="s">
        <v>782</v>
      </c>
      <c r="G80" s="211" t="s">
        <v>783</v>
      </c>
      <c r="H80" s="211" t="s">
        <v>816</v>
      </c>
      <c r="I80" s="213" t="s">
        <v>847</v>
      </c>
      <c r="J80" s="214" t="s">
        <v>762</v>
      </c>
      <c r="K80" s="214" t="s">
        <v>795</v>
      </c>
      <c r="L80" s="133" t="s">
        <v>2567</v>
      </c>
      <c r="M80" s="213" t="s">
        <v>801</v>
      </c>
      <c r="N80" s="214" t="s">
        <v>805</v>
      </c>
      <c r="O80" s="213" t="s">
        <v>814</v>
      </c>
      <c r="P80" s="213" t="s">
        <v>804</v>
      </c>
      <c r="Q80" s="220" t="s">
        <v>3003</v>
      </c>
      <c r="R80" s="216"/>
      <c r="S80" s="217" t="s">
        <v>710</v>
      </c>
      <c r="T80" s="213" t="s">
        <v>2980</v>
      </c>
      <c r="U80" s="213" t="s">
        <v>859</v>
      </c>
      <c r="V80" s="218" t="s">
        <v>816</v>
      </c>
      <c r="W80" s="213" t="s">
        <v>2609</v>
      </c>
      <c r="X80" s="213" t="s">
        <v>760</v>
      </c>
      <c r="Y80" s="213" t="s">
        <v>2949</v>
      </c>
      <c r="Z80" s="213" t="s">
        <v>854</v>
      </c>
      <c r="AA80" s="213" t="s">
        <v>917</v>
      </c>
      <c r="AB80" s="213" t="s">
        <v>918</v>
      </c>
      <c r="AC80" s="213"/>
      <c r="AD80" s="219">
        <v>44470</v>
      </c>
      <c r="AE80" s="230">
        <v>44834</v>
      </c>
    </row>
    <row r="81" spans="1:31">
      <c r="A81" s="210" t="s">
        <v>691</v>
      </c>
      <c r="B81" s="211" t="s">
        <v>756</v>
      </c>
      <c r="C81" s="211" t="s">
        <v>757</v>
      </c>
      <c r="D81" s="212">
        <v>44835</v>
      </c>
      <c r="E81" s="212">
        <v>45565</v>
      </c>
      <c r="F81" s="211" t="s">
        <v>782</v>
      </c>
      <c r="G81" s="211" t="s">
        <v>783</v>
      </c>
      <c r="H81" s="211" t="s">
        <v>816</v>
      </c>
      <c r="I81" s="213" t="s">
        <v>847</v>
      </c>
      <c r="J81" s="214" t="s">
        <v>762</v>
      </c>
      <c r="K81" s="214" t="s">
        <v>795</v>
      </c>
      <c r="L81" s="133" t="s">
        <v>2567</v>
      </c>
      <c r="M81" s="213" t="s">
        <v>2950</v>
      </c>
      <c r="N81" s="214" t="s">
        <v>2951</v>
      </c>
      <c r="O81" s="213" t="s">
        <v>2981</v>
      </c>
      <c r="P81" s="213" t="s">
        <v>804</v>
      </c>
      <c r="Q81" s="220" t="s">
        <v>3004</v>
      </c>
      <c r="R81" s="216"/>
      <c r="S81" s="217" t="s">
        <v>710</v>
      </c>
      <c r="T81" s="213" t="s">
        <v>2980</v>
      </c>
      <c r="U81" s="213" t="s">
        <v>859</v>
      </c>
      <c r="V81" s="218" t="s">
        <v>816</v>
      </c>
      <c r="W81" s="213" t="s">
        <v>2609</v>
      </c>
      <c r="X81" s="213" t="s">
        <v>760</v>
      </c>
      <c r="Y81" s="213" t="s">
        <v>2949</v>
      </c>
      <c r="Z81" s="213" t="s">
        <v>854</v>
      </c>
      <c r="AA81" s="213" t="s">
        <v>917</v>
      </c>
      <c r="AB81" s="213" t="s">
        <v>918</v>
      </c>
      <c r="AC81" s="213"/>
      <c r="AD81" s="219">
        <v>44470</v>
      </c>
      <c r="AE81" s="230">
        <v>44834</v>
      </c>
    </row>
    <row r="82" spans="1:31">
      <c r="A82" s="210" t="s">
        <v>691</v>
      </c>
      <c r="B82" s="211" t="s">
        <v>756</v>
      </c>
      <c r="C82" s="211" t="s">
        <v>757</v>
      </c>
      <c r="D82" s="212">
        <v>44835</v>
      </c>
      <c r="E82" s="212">
        <v>45565</v>
      </c>
      <c r="F82" s="211" t="s">
        <v>782</v>
      </c>
      <c r="G82" s="211" t="s">
        <v>783</v>
      </c>
      <c r="H82" s="211" t="s">
        <v>816</v>
      </c>
      <c r="I82" s="213" t="s">
        <v>847</v>
      </c>
      <c r="J82" s="214" t="s">
        <v>762</v>
      </c>
      <c r="K82" s="214" t="s">
        <v>795</v>
      </c>
      <c r="L82" s="133" t="s">
        <v>789</v>
      </c>
      <c r="M82" s="213" t="s">
        <v>764</v>
      </c>
      <c r="N82" s="214" t="s">
        <v>812</v>
      </c>
      <c r="O82" s="213" t="s">
        <v>2398</v>
      </c>
      <c r="P82" s="213" t="s">
        <v>804</v>
      </c>
      <c r="Q82" s="220" t="s">
        <v>815</v>
      </c>
      <c r="R82" s="216"/>
      <c r="S82" s="217" t="s">
        <v>710</v>
      </c>
      <c r="T82" s="213" t="s">
        <v>2980</v>
      </c>
      <c r="U82" s="213" t="s">
        <v>859</v>
      </c>
      <c r="V82" s="218" t="s">
        <v>816</v>
      </c>
      <c r="W82" s="213" t="s">
        <v>2609</v>
      </c>
      <c r="X82" s="213" t="s">
        <v>760</v>
      </c>
      <c r="Y82" s="213" t="s">
        <v>2949</v>
      </c>
      <c r="Z82" s="213" t="s">
        <v>854</v>
      </c>
      <c r="AA82" s="213" t="s">
        <v>917</v>
      </c>
      <c r="AB82" s="213" t="s">
        <v>918</v>
      </c>
      <c r="AC82" s="213">
        <v>1630</v>
      </c>
      <c r="AD82" s="219">
        <v>44470</v>
      </c>
      <c r="AE82" s="230">
        <v>44834</v>
      </c>
    </row>
    <row r="83" spans="1:31">
      <c r="A83" s="130" t="s">
        <v>691</v>
      </c>
      <c r="B83" s="131" t="s">
        <v>756</v>
      </c>
      <c r="C83" s="131" t="s">
        <v>757</v>
      </c>
      <c r="D83" s="132">
        <v>45200</v>
      </c>
      <c r="E83" s="132">
        <v>45565</v>
      </c>
      <c r="F83" s="131" t="s">
        <v>782</v>
      </c>
      <c r="G83" s="131" t="s">
        <v>783</v>
      </c>
      <c r="H83" s="131" t="s">
        <v>816</v>
      </c>
      <c r="I83" s="133" t="s">
        <v>846</v>
      </c>
      <c r="J83" s="134" t="s">
        <v>794</v>
      </c>
      <c r="K83" s="134" t="s">
        <v>795</v>
      </c>
      <c r="L83" s="133" t="s">
        <v>787</v>
      </c>
      <c r="M83" s="133" t="s">
        <v>764</v>
      </c>
      <c r="N83" s="134" t="s">
        <v>796</v>
      </c>
      <c r="O83" s="133" t="s">
        <v>2604</v>
      </c>
      <c r="P83" s="133" t="s">
        <v>2604</v>
      </c>
      <c r="Q83" s="201" t="s">
        <v>3000</v>
      </c>
      <c r="R83" s="137"/>
      <c r="S83" s="138" t="s">
        <v>710</v>
      </c>
      <c r="T83" s="133" t="s">
        <v>764</v>
      </c>
      <c r="U83" s="133" t="s">
        <v>859</v>
      </c>
      <c r="V83" s="136" t="s">
        <v>816</v>
      </c>
      <c r="W83" s="133" t="s">
        <v>2609</v>
      </c>
      <c r="X83" s="133" t="s">
        <v>760</v>
      </c>
      <c r="Y83" s="133" t="s">
        <v>2949</v>
      </c>
      <c r="Z83" s="133" t="s">
        <v>854</v>
      </c>
      <c r="AA83" s="133" t="s">
        <v>917</v>
      </c>
      <c r="AB83" s="133" t="s">
        <v>918</v>
      </c>
      <c r="AC83" s="133"/>
      <c r="AD83" s="139">
        <v>44636</v>
      </c>
      <c r="AE83" s="231">
        <v>45199</v>
      </c>
    </row>
    <row r="84" spans="1:31">
      <c r="A84" s="130" t="s">
        <v>691</v>
      </c>
      <c r="B84" s="131" t="s">
        <v>756</v>
      </c>
      <c r="C84" s="131" t="s">
        <v>757</v>
      </c>
      <c r="D84" s="132">
        <v>45200</v>
      </c>
      <c r="E84" s="132">
        <v>45565</v>
      </c>
      <c r="F84" s="131" t="s">
        <v>782</v>
      </c>
      <c r="G84" s="131" t="s">
        <v>783</v>
      </c>
      <c r="H84" s="131" t="s">
        <v>816</v>
      </c>
      <c r="I84" s="133" t="s">
        <v>846</v>
      </c>
      <c r="J84" s="134" t="s">
        <v>794</v>
      </c>
      <c r="K84" s="134" t="s">
        <v>795</v>
      </c>
      <c r="L84" s="133" t="s">
        <v>787</v>
      </c>
      <c r="M84" s="133" t="s">
        <v>764</v>
      </c>
      <c r="N84" s="134" t="s">
        <v>796</v>
      </c>
      <c r="O84" s="133" t="s">
        <v>2604</v>
      </c>
      <c r="P84" s="133" t="s">
        <v>2604</v>
      </c>
      <c r="Q84" s="201" t="s">
        <v>2991</v>
      </c>
      <c r="R84" s="137"/>
      <c r="S84" s="138" t="s">
        <v>710</v>
      </c>
      <c r="T84" s="133" t="s">
        <v>764</v>
      </c>
      <c r="U84" s="133" t="s">
        <v>859</v>
      </c>
      <c r="V84" s="136" t="s">
        <v>816</v>
      </c>
      <c r="W84" s="133" t="s">
        <v>2609</v>
      </c>
      <c r="X84" s="133" t="s">
        <v>760</v>
      </c>
      <c r="Y84" s="133" t="s">
        <v>2949</v>
      </c>
      <c r="Z84" s="133" t="s">
        <v>854</v>
      </c>
      <c r="AA84" s="133" t="s">
        <v>917</v>
      </c>
      <c r="AB84" s="133" t="s">
        <v>918</v>
      </c>
      <c r="AC84" s="133"/>
      <c r="AD84" s="139">
        <v>44636</v>
      </c>
      <c r="AE84" s="231">
        <v>45199</v>
      </c>
    </row>
    <row r="85" spans="1:31">
      <c r="A85" s="130" t="s">
        <v>2524</v>
      </c>
      <c r="B85" s="131" t="s">
        <v>756</v>
      </c>
      <c r="C85" s="131" t="s">
        <v>757</v>
      </c>
      <c r="D85" s="132">
        <v>45200</v>
      </c>
      <c r="E85" s="132">
        <v>45565</v>
      </c>
      <c r="F85" s="131" t="s">
        <v>782</v>
      </c>
      <c r="G85" s="131" t="s">
        <v>783</v>
      </c>
      <c r="H85" s="131" t="s">
        <v>816</v>
      </c>
      <c r="I85" s="133" t="s">
        <v>846</v>
      </c>
      <c r="J85" s="134" t="s">
        <v>760</v>
      </c>
      <c r="K85" s="134" t="s">
        <v>784</v>
      </c>
      <c r="L85" s="133" t="s">
        <v>3025</v>
      </c>
      <c r="M85" s="133" t="s">
        <v>797</v>
      </c>
      <c r="N85" s="134" t="s">
        <v>798</v>
      </c>
      <c r="O85" s="133" t="s">
        <v>2953</v>
      </c>
      <c r="P85" s="133" t="s">
        <v>799</v>
      </c>
      <c r="Q85" s="136" t="s">
        <v>800</v>
      </c>
      <c r="R85" s="137"/>
      <c r="S85" s="138" t="s">
        <v>710</v>
      </c>
      <c r="T85" s="133" t="s">
        <v>764</v>
      </c>
      <c r="U85" s="133" t="s">
        <v>859</v>
      </c>
      <c r="V85" s="136" t="s">
        <v>816</v>
      </c>
      <c r="W85" s="133" t="s">
        <v>2609</v>
      </c>
      <c r="X85" s="133" t="s">
        <v>760</v>
      </c>
      <c r="Y85" s="133" t="s">
        <v>2949</v>
      </c>
      <c r="Z85" s="133" t="s">
        <v>854</v>
      </c>
      <c r="AA85" s="133" t="s">
        <v>917</v>
      </c>
      <c r="AB85" s="133" t="s">
        <v>918</v>
      </c>
      <c r="AC85" s="133"/>
      <c r="AD85" s="139">
        <v>44636</v>
      </c>
      <c r="AE85" s="231">
        <v>45199</v>
      </c>
    </row>
    <row r="86" spans="1:31">
      <c r="A86" s="130" t="s">
        <v>691</v>
      </c>
      <c r="B86" s="131" t="s">
        <v>756</v>
      </c>
      <c r="C86" s="131" t="s">
        <v>757</v>
      </c>
      <c r="D86" s="132">
        <v>45200</v>
      </c>
      <c r="E86" s="132">
        <v>45565</v>
      </c>
      <c r="F86" s="131" t="s">
        <v>782</v>
      </c>
      <c r="G86" s="131" t="s">
        <v>783</v>
      </c>
      <c r="H86" s="131" t="s">
        <v>816</v>
      </c>
      <c r="I86" s="133" t="s">
        <v>847</v>
      </c>
      <c r="J86" s="134" t="s">
        <v>794</v>
      </c>
      <c r="K86" s="134" t="s">
        <v>795</v>
      </c>
      <c r="L86" s="133" t="s">
        <v>2567</v>
      </c>
      <c r="M86" s="133" t="s">
        <v>801</v>
      </c>
      <c r="N86" s="134" t="s">
        <v>802</v>
      </c>
      <c r="O86" s="133" t="s">
        <v>803</v>
      </c>
      <c r="P86" s="133" t="s">
        <v>804</v>
      </c>
      <c r="Q86" s="136" t="s">
        <v>3001</v>
      </c>
      <c r="R86" s="137"/>
      <c r="S86" s="138" t="s">
        <v>710</v>
      </c>
      <c r="T86" s="133" t="s">
        <v>764</v>
      </c>
      <c r="U86" s="133" t="s">
        <v>859</v>
      </c>
      <c r="V86" s="136" t="s">
        <v>816</v>
      </c>
      <c r="W86" s="133" t="s">
        <v>2609</v>
      </c>
      <c r="X86" s="133" t="s">
        <v>760</v>
      </c>
      <c r="Y86" s="133" t="s">
        <v>2949</v>
      </c>
      <c r="Z86" s="133" t="s">
        <v>854</v>
      </c>
      <c r="AA86" s="133" t="s">
        <v>917</v>
      </c>
      <c r="AB86" s="133" t="s">
        <v>918</v>
      </c>
      <c r="AC86" s="133"/>
      <c r="AD86" s="139">
        <v>44636</v>
      </c>
      <c r="AE86" s="231">
        <v>45199</v>
      </c>
    </row>
    <row r="87" spans="1:31">
      <c r="A87" s="130" t="s">
        <v>691</v>
      </c>
      <c r="B87" s="131" t="s">
        <v>756</v>
      </c>
      <c r="C87" s="131" t="s">
        <v>757</v>
      </c>
      <c r="D87" s="132">
        <v>45200</v>
      </c>
      <c r="E87" s="132">
        <v>45565</v>
      </c>
      <c r="F87" s="131" t="s">
        <v>782</v>
      </c>
      <c r="G87" s="131" t="s">
        <v>783</v>
      </c>
      <c r="H87" s="131" t="s">
        <v>816</v>
      </c>
      <c r="I87" s="133" t="s">
        <v>847</v>
      </c>
      <c r="J87" s="134" t="s">
        <v>794</v>
      </c>
      <c r="K87" s="134" t="s">
        <v>795</v>
      </c>
      <c r="L87" s="133" t="s">
        <v>2567</v>
      </c>
      <c r="M87" s="133" t="s">
        <v>2950</v>
      </c>
      <c r="N87" s="134" t="s">
        <v>2951</v>
      </c>
      <c r="O87" s="133" t="s">
        <v>806</v>
      </c>
      <c r="P87" s="133" t="s">
        <v>804</v>
      </c>
      <c r="Q87" s="202" t="s">
        <v>3002</v>
      </c>
      <c r="R87" s="137"/>
      <c r="S87" s="138" t="s">
        <v>710</v>
      </c>
      <c r="T87" s="133" t="s">
        <v>764</v>
      </c>
      <c r="U87" s="133" t="s">
        <v>859</v>
      </c>
      <c r="V87" s="136" t="s">
        <v>816</v>
      </c>
      <c r="W87" s="133" t="s">
        <v>2609</v>
      </c>
      <c r="X87" s="133" t="s">
        <v>760</v>
      </c>
      <c r="Y87" s="133" t="s">
        <v>2949</v>
      </c>
      <c r="Z87" s="133" t="s">
        <v>854</v>
      </c>
      <c r="AA87" s="133" t="s">
        <v>917</v>
      </c>
      <c r="AB87" s="133" t="s">
        <v>918</v>
      </c>
      <c r="AC87" s="133"/>
      <c r="AD87" s="139">
        <v>44636</v>
      </c>
      <c r="AE87" s="231">
        <v>45199</v>
      </c>
    </row>
    <row r="88" spans="1:31">
      <c r="A88" s="130" t="s">
        <v>691</v>
      </c>
      <c r="B88" s="131" t="s">
        <v>756</v>
      </c>
      <c r="C88" s="131" t="s">
        <v>757</v>
      </c>
      <c r="D88" s="132">
        <v>45200</v>
      </c>
      <c r="E88" s="132">
        <v>45565</v>
      </c>
      <c r="F88" s="131" t="s">
        <v>782</v>
      </c>
      <c r="G88" s="131" t="s">
        <v>783</v>
      </c>
      <c r="H88" s="131" t="s">
        <v>816</v>
      </c>
      <c r="I88" s="133" t="s">
        <v>847</v>
      </c>
      <c r="J88" s="134" t="s">
        <v>794</v>
      </c>
      <c r="K88" s="134" t="s">
        <v>795</v>
      </c>
      <c r="L88" s="133" t="s">
        <v>2567</v>
      </c>
      <c r="M88" s="133" t="s">
        <v>2950</v>
      </c>
      <c r="N88" s="134" t="s">
        <v>2951</v>
      </c>
      <c r="O88" s="133" t="s">
        <v>806</v>
      </c>
      <c r="P88" s="133" t="s">
        <v>804</v>
      </c>
      <c r="Q88" s="202" t="s">
        <v>2983</v>
      </c>
      <c r="R88" s="137"/>
      <c r="S88" s="138" t="s">
        <v>710</v>
      </c>
      <c r="T88" s="133" t="s">
        <v>764</v>
      </c>
      <c r="U88" s="133" t="s">
        <v>859</v>
      </c>
      <c r="V88" s="136" t="s">
        <v>816</v>
      </c>
      <c r="W88" s="133" t="s">
        <v>2609</v>
      </c>
      <c r="X88" s="133" t="s">
        <v>760</v>
      </c>
      <c r="Y88" s="133" t="s">
        <v>2949</v>
      </c>
      <c r="Z88" s="133" t="s">
        <v>854</v>
      </c>
      <c r="AA88" s="133" t="s">
        <v>917</v>
      </c>
      <c r="AB88" s="133" t="s">
        <v>918</v>
      </c>
      <c r="AC88" s="133"/>
      <c r="AD88" s="139">
        <v>44636</v>
      </c>
      <c r="AE88" s="231">
        <v>45199</v>
      </c>
    </row>
    <row r="89" spans="1:31">
      <c r="A89" s="130" t="s">
        <v>691</v>
      </c>
      <c r="B89" s="131" t="s">
        <v>756</v>
      </c>
      <c r="C89" s="131" t="s">
        <v>757</v>
      </c>
      <c r="D89" s="132">
        <v>45200</v>
      </c>
      <c r="E89" s="132">
        <v>45565</v>
      </c>
      <c r="F89" s="131" t="s">
        <v>782</v>
      </c>
      <c r="G89" s="131" t="s">
        <v>783</v>
      </c>
      <c r="H89" s="131" t="s">
        <v>816</v>
      </c>
      <c r="I89" s="133" t="s">
        <v>847</v>
      </c>
      <c r="J89" s="134" t="s">
        <v>794</v>
      </c>
      <c r="K89" s="134" t="s">
        <v>795</v>
      </c>
      <c r="L89" s="133" t="s">
        <v>2567</v>
      </c>
      <c r="M89" s="133" t="s">
        <v>801</v>
      </c>
      <c r="N89" s="134" t="s">
        <v>807</v>
      </c>
      <c r="O89" s="133" t="s">
        <v>808</v>
      </c>
      <c r="P89" s="133" t="s">
        <v>804</v>
      </c>
      <c r="Q89" s="136" t="s">
        <v>809</v>
      </c>
      <c r="R89" s="137"/>
      <c r="S89" s="138" t="s">
        <v>710</v>
      </c>
      <c r="T89" s="133" t="s">
        <v>764</v>
      </c>
      <c r="U89" s="133" t="s">
        <v>859</v>
      </c>
      <c r="V89" s="136" t="s">
        <v>816</v>
      </c>
      <c r="W89" s="133" t="s">
        <v>2609</v>
      </c>
      <c r="X89" s="133" t="s">
        <v>760</v>
      </c>
      <c r="Y89" s="133" t="s">
        <v>2949</v>
      </c>
      <c r="Z89" s="133" t="s">
        <v>854</v>
      </c>
      <c r="AA89" s="133" t="s">
        <v>917</v>
      </c>
      <c r="AB89" s="133" t="s">
        <v>918</v>
      </c>
      <c r="AC89" s="133"/>
      <c r="AD89" s="139">
        <v>44636</v>
      </c>
      <c r="AE89" s="231">
        <v>45199</v>
      </c>
    </row>
    <row r="90" spans="1:31">
      <c r="A90" s="130" t="s">
        <v>691</v>
      </c>
      <c r="B90" s="131" t="s">
        <v>756</v>
      </c>
      <c r="C90" s="131" t="s">
        <v>757</v>
      </c>
      <c r="D90" s="132">
        <v>45200</v>
      </c>
      <c r="E90" s="132">
        <v>45565</v>
      </c>
      <c r="F90" s="131" t="s">
        <v>782</v>
      </c>
      <c r="G90" s="131" t="s">
        <v>783</v>
      </c>
      <c r="H90" s="131" t="s">
        <v>816</v>
      </c>
      <c r="I90" s="133" t="s">
        <v>847</v>
      </c>
      <c r="J90" s="134" t="s">
        <v>794</v>
      </c>
      <c r="K90" s="134" t="s">
        <v>795</v>
      </c>
      <c r="L90" s="133" t="s">
        <v>2567</v>
      </c>
      <c r="M90" s="133" t="s">
        <v>801</v>
      </c>
      <c r="N90" s="134" t="s">
        <v>807</v>
      </c>
      <c r="O90" s="133" t="s">
        <v>810</v>
      </c>
      <c r="P90" s="133" t="s">
        <v>804</v>
      </c>
      <c r="Q90" s="136" t="s">
        <v>811</v>
      </c>
      <c r="R90" s="137"/>
      <c r="S90" s="138" t="s">
        <v>710</v>
      </c>
      <c r="T90" s="133" t="s">
        <v>764</v>
      </c>
      <c r="U90" s="133" t="s">
        <v>859</v>
      </c>
      <c r="V90" s="136" t="s">
        <v>816</v>
      </c>
      <c r="W90" s="133" t="s">
        <v>2609</v>
      </c>
      <c r="X90" s="133" t="s">
        <v>760</v>
      </c>
      <c r="Y90" s="133" t="s">
        <v>2949</v>
      </c>
      <c r="Z90" s="133" t="s">
        <v>854</v>
      </c>
      <c r="AA90" s="133" t="s">
        <v>917</v>
      </c>
      <c r="AB90" s="133" t="s">
        <v>918</v>
      </c>
      <c r="AC90" s="133"/>
      <c r="AD90" s="139">
        <v>44636</v>
      </c>
      <c r="AE90" s="231">
        <v>45199</v>
      </c>
    </row>
    <row r="91" spans="1:31">
      <c r="A91" s="130" t="s">
        <v>691</v>
      </c>
      <c r="B91" s="131" t="s">
        <v>756</v>
      </c>
      <c r="C91" s="131" t="s">
        <v>757</v>
      </c>
      <c r="D91" s="132">
        <v>45200</v>
      </c>
      <c r="E91" s="132">
        <v>45565</v>
      </c>
      <c r="F91" s="131" t="s">
        <v>782</v>
      </c>
      <c r="G91" s="131" t="s">
        <v>783</v>
      </c>
      <c r="H91" s="131" t="s">
        <v>816</v>
      </c>
      <c r="I91" s="133" t="s">
        <v>847</v>
      </c>
      <c r="J91" s="134" t="s">
        <v>794</v>
      </c>
      <c r="K91" s="134" t="s">
        <v>795</v>
      </c>
      <c r="L91" s="133" t="s">
        <v>2567</v>
      </c>
      <c r="M91" s="133" t="s">
        <v>764</v>
      </c>
      <c r="N91" s="134" t="s">
        <v>812</v>
      </c>
      <c r="O91" s="133" t="s">
        <v>2381</v>
      </c>
      <c r="P91" s="133" t="s">
        <v>845</v>
      </c>
      <c r="Q91" s="136" t="s">
        <v>813</v>
      </c>
      <c r="R91" s="137"/>
      <c r="S91" s="138" t="s">
        <v>710</v>
      </c>
      <c r="T91" s="133" t="s">
        <v>764</v>
      </c>
      <c r="U91" s="133" t="s">
        <v>859</v>
      </c>
      <c r="V91" s="136" t="s">
        <v>816</v>
      </c>
      <c r="W91" s="133" t="s">
        <v>2609</v>
      </c>
      <c r="X91" s="133" t="s">
        <v>760</v>
      </c>
      <c r="Y91" s="133" t="s">
        <v>2949</v>
      </c>
      <c r="Z91" s="133" t="s">
        <v>854</v>
      </c>
      <c r="AA91" s="133" t="s">
        <v>917</v>
      </c>
      <c r="AB91" s="133" t="s">
        <v>918</v>
      </c>
      <c r="AC91" s="133"/>
      <c r="AD91" s="139">
        <v>44636</v>
      </c>
      <c r="AE91" s="231">
        <v>45199</v>
      </c>
    </row>
    <row r="92" spans="1:31">
      <c r="A92" s="130" t="s">
        <v>691</v>
      </c>
      <c r="B92" s="131" t="s">
        <v>756</v>
      </c>
      <c r="C92" s="131" t="s">
        <v>757</v>
      </c>
      <c r="D92" s="132">
        <v>45200</v>
      </c>
      <c r="E92" s="132">
        <v>45565</v>
      </c>
      <c r="F92" s="131" t="s">
        <v>782</v>
      </c>
      <c r="G92" s="131" t="s">
        <v>783</v>
      </c>
      <c r="H92" s="131" t="s">
        <v>816</v>
      </c>
      <c r="I92" s="133" t="s">
        <v>847</v>
      </c>
      <c r="J92" s="134" t="s">
        <v>794</v>
      </c>
      <c r="K92" s="134" t="s">
        <v>795</v>
      </c>
      <c r="L92" s="133" t="s">
        <v>2567</v>
      </c>
      <c r="M92" s="133" t="s">
        <v>801</v>
      </c>
      <c r="N92" s="134" t="s">
        <v>805</v>
      </c>
      <c r="O92" s="133" t="s">
        <v>814</v>
      </c>
      <c r="P92" s="133" t="s">
        <v>804</v>
      </c>
      <c r="Q92" s="136" t="s">
        <v>3003</v>
      </c>
      <c r="R92" s="137"/>
      <c r="S92" s="138" t="s">
        <v>710</v>
      </c>
      <c r="T92" s="133" t="s">
        <v>764</v>
      </c>
      <c r="U92" s="133" t="s">
        <v>859</v>
      </c>
      <c r="V92" s="136" t="s">
        <v>816</v>
      </c>
      <c r="W92" s="133" t="s">
        <v>2609</v>
      </c>
      <c r="X92" s="133" t="s">
        <v>760</v>
      </c>
      <c r="Y92" s="133" t="s">
        <v>2949</v>
      </c>
      <c r="Z92" s="133" t="s">
        <v>854</v>
      </c>
      <c r="AA92" s="133" t="s">
        <v>917</v>
      </c>
      <c r="AB92" s="133" t="s">
        <v>918</v>
      </c>
      <c r="AC92" s="133"/>
      <c r="AD92" s="139">
        <v>44636</v>
      </c>
      <c r="AE92" s="231">
        <v>45199</v>
      </c>
    </row>
    <row r="93" spans="1:31">
      <c r="A93" s="130" t="s">
        <v>691</v>
      </c>
      <c r="B93" s="131" t="s">
        <v>756</v>
      </c>
      <c r="C93" s="131" t="s">
        <v>757</v>
      </c>
      <c r="D93" s="132">
        <v>45200</v>
      </c>
      <c r="E93" s="132">
        <v>45565</v>
      </c>
      <c r="F93" s="131" t="s">
        <v>782</v>
      </c>
      <c r="G93" s="131" t="s">
        <v>783</v>
      </c>
      <c r="H93" s="131" t="s">
        <v>816</v>
      </c>
      <c r="I93" s="133" t="s">
        <v>847</v>
      </c>
      <c r="J93" s="134" t="s">
        <v>794</v>
      </c>
      <c r="K93" s="134" t="s">
        <v>795</v>
      </c>
      <c r="L93" s="133" t="s">
        <v>2567</v>
      </c>
      <c r="M93" s="133" t="s">
        <v>2950</v>
      </c>
      <c r="N93" s="134" t="s">
        <v>2951</v>
      </c>
      <c r="O93" s="133" t="s">
        <v>2981</v>
      </c>
      <c r="P93" s="133" t="s">
        <v>804</v>
      </c>
      <c r="Q93" s="136" t="s">
        <v>3004</v>
      </c>
      <c r="R93" s="137"/>
      <c r="S93" s="138" t="s">
        <v>710</v>
      </c>
      <c r="T93" s="133" t="s">
        <v>764</v>
      </c>
      <c r="U93" s="133" t="s">
        <v>859</v>
      </c>
      <c r="V93" s="136" t="s">
        <v>816</v>
      </c>
      <c r="W93" s="133" t="s">
        <v>2609</v>
      </c>
      <c r="X93" s="133" t="s">
        <v>760</v>
      </c>
      <c r="Y93" s="133" t="s">
        <v>2949</v>
      </c>
      <c r="Z93" s="133" t="s">
        <v>854</v>
      </c>
      <c r="AA93" s="133" t="s">
        <v>917</v>
      </c>
      <c r="AB93" s="133" t="s">
        <v>918</v>
      </c>
      <c r="AC93" s="133"/>
      <c r="AD93" s="139">
        <v>44636</v>
      </c>
      <c r="AE93" s="231">
        <v>45199</v>
      </c>
    </row>
    <row r="94" spans="1:31">
      <c r="A94" s="130" t="s">
        <v>691</v>
      </c>
      <c r="B94" s="131" t="s">
        <v>756</v>
      </c>
      <c r="C94" s="131" t="s">
        <v>757</v>
      </c>
      <c r="D94" s="132">
        <v>45200</v>
      </c>
      <c r="E94" s="132">
        <v>45565</v>
      </c>
      <c r="F94" s="131" t="s">
        <v>782</v>
      </c>
      <c r="G94" s="131" t="s">
        <v>783</v>
      </c>
      <c r="H94" s="131" t="s">
        <v>816</v>
      </c>
      <c r="I94" s="133" t="s">
        <v>847</v>
      </c>
      <c r="J94" s="134" t="s">
        <v>794</v>
      </c>
      <c r="K94" s="134" t="s">
        <v>795</v>
      </c>
      <c r="L94" s="133" t="s">
        <v>789</v>
      </c>
      <c r="M94" s="133" t="s">
        <v>764</v>
      </c>
      <c r="N94" s="134" t="s">
        <v>812</v>
      </c>
      <c r="O94" s="133" t="s">
        <v>2398</v>
      </c>
      <c r="P94" s="133" t="s">
        <v>804</v>
      </c>
      <c r="Q94" s="136" t="s">
        <v>815</v>
      </c>
      <c r="R94" s="137"/>
      <c r="S94" s="138" t="s">
        <v>710</v>
      </c>
      <c r="T94" s="133" t="s">
        <v>764</v>
      </c>
      <c r="U94" s="133" t="s">
        <v>859</v>
      </c>
      <c r="V94" s="136" t="s">
        <v>816</v>
      </c>
      <c r="W94" s="133" t="s">
        <v>2609</v>
      </c>
      <c r="X94" s="133" t="s">
        <v>760</v>
      </c>
      <c r="Y94" s="133" t="s">
        <v>2949</v>
      </c>
      <c r="Z94" s="133" t="s">
        <v>854</v>
      </c>
      <c r="AA94" s="133" t="s">
        <v>917</v>
      </c>
      <c r="AB94" s="133" t="s">
        <v>918</v>
      </c>
      <c r="AC94" s="133">
        <v>1630</v>
      </c>
      <c r="AD94" s="139">
        <v>44636</v>
      </c>
      <c r="AE94" s="231">
        <v>45199</v>
      </c>
    </row>
    <row r="95" spans="1:31">
      <c r="A95" s="140" t="s">
        <v>691</v>
      </c>
      <c r="B95" s="141" t="s">
        <v>756</v>
      </c>
      <c r="C95" s="141" t="s">
        <v>757</v>
      </c>
      <c r="D95" s="142">
        <v>45017</v>
      </c>
      <c r="E95" s="142">
        <v>45565</v>
      </c>
      <c r="F95" s="141" t="s">
        <v>782</v>
      </c>
      <c r="G95" s="141" t="s">
        <v>783</v>
      </c>
      <c r="H95" s="141" t="s">
        <v>816</v>
      </c>
      <c r="I95" s="143" t="s">
        <v>846</v>
      </c>
      <c r="J95" s="144" t="s">
        <v>794</v>
      </c>
      <c r="K95" s="144" t="s">
        <v>795</v>
      </c>
      <c r="L95" s="133" t="s">
        <v>787</v>
      </c>
      <c r="M95" s="143" t="s">
        <v>764</v>
      </c>
      <c r="N95" s="144" t="s">
        <v>796</v>
      </c>
      <c r="O95" s="143" t="s">
        <v>2604</v>
      </c>
      <c r="P95" s="143" t="s">
        <v>2604</v>
      </c>
      <c r="Q95" s="201" t="s">
        <v>3000</v>
      </c>
      <c r="R95" s="146"/>
      <c r="S95" s="147" t="s">
        <v>710</v>
      </c>
      <c r="T95" s="143" t="s">
        <v>764</v>
      </c>
      <c r="U95" s="143" t="s">
        <v>859</v>
      </c>
      <c r="V95" s="145" t="s">
        <v>816</v>
      </c>
      <c r="W95" s="143" t="s">
        <v>2609</v>
      </c>
      <c r="X95" s="143" t="s">
        <v>760</v>
      </c>
      <c r="Y95" s="143" t="s">
        <v>2949</v>
      </c>
      <c r="Z95" s="143" t="s">
        <v>854</v>
      </c>
      <c r="AA95" s="143" t="s">
        <v>917</v>
      </c>
      <c r="AB95" s="143" t="s">
        <v>918</v>
      </c>
      <c r="AC95" s="143"/>
      <c r="AD95" s="156">
        <v>44835</v>
      </c>
      <c r="AE95" s="231">
        <v>45199</v>
      </c>
    </row>
    <row r="96" spans="1:31">
      <c r="A96" s="140" t="s">
        <v>691</v>
      </c>
      <c r="B96" s="141" t="s">
        <v>756</v>
      </c>
      <c r="C96" s="141" t="s">
        <v>757</v>
      </c>
      <c r="D96" s="142">
        <v>45017</v>
      </c>
      <c r="E96" s="142">
        <v>45565</v>
      </c>
      <c r="F96" s="141" t="s">
        <v>782</v>
      </c>
      <c r="G96" s="141" t="s">
        <v>783</v>
      </c>
      <c r="H96" s="141" t="s">
        <v>816</v>
      </c>
      <c r="I96" s="143" t="s">
        <v>846</v>
      </c>
      <c r="J96" s="144" t="s">
        <v>794</v>
      </c>
      <c r="K96" s="144" t="s">
        <v>795</v>
      </c>
      <c r="L96" s="133" t="s">
        <v>787</v>
      </c>
      <c r="M96" s="143" t="s">
        <v>764</v>
      </c>
      <c r="N96" s="144" t="s">
        <v>796</v>
      </c>
      <c r="O96" s="143" t="s">
        <v>2604</v>
      </c>
      <c r="P96" s="143" t="s">
        <v>2604</v>
      </c>
      <c r="Q96" s="201" t="s">
        <v>2991</v>
      </c>
      <c r="R96" s="146"/>
      <c r="S96" s="147" t="s">
        <v>710</v>
      </c>
      <c r="T96" s="143" t="s">
        <v>764</v>
      </c>
      <c r="U96" s="143" t="s">
        <v>859</v>
      </c>
      <c r="V96" s="145" t="s">
        <v>816</v>
      </c>
      <c r="W96" s="143" t="s">
        <v>2609</v>
      </c>
      <c r="X96" s="143" t="s">
        <v>760</v>
      </c>
      <c r="Y96" s="143" t="s">
        <v>2949</v>
      </c>
      <c r="Z96" s="143" t="s">
        <v>854</v>
      </c>
      <c r="AA96" s="143" t="s">
        <v>917</v>
      </c>
      <c r="AB96" s="143" t="s">
        <v>918</v>
      </c>
      <c r="AC96" s="143"/>
      <c r="AD96" s="156">
        <v>44835</v>
      </c>
      <c r="AE96" s="231">
        <v>45199</v>
      </c>
    </row>
    <row r="97" spans="1:31">
      <c r="A97" s="140" t="s">
        <v>691</v>
      </c>
      <c r="B97" s="141" t="s">
        <v>756</v>
      </c>
      <c r="C97" s="141" t="s">
        <v>757</v>
      </c>
      <c r="D97" s="142">
        <v>45017</v>
      </c>
      <c r="E97" s="142">
        <v>45565</v>
      </c>
      <c r="F97" s="141" t="s">
        <v>782</v>
      </c>
      <c r="G97" s="141" t="s">
        <v>783</v>
      </c>
      <c r="H97" s="141" t="s">
        <v>816</v>
      </c>
      <c r="I97" s="143" t="s">
        <v>846</v>
      </c>
      <c r="J97" s="144" t="s">
        <v>760</v>
      </c>
      <c r="K97" s="144" t="s">
        <v>784</v>
      </c>
      <c r="L97" s="133" t="s">
        <v>3025</v>
      </c>
      <c r="M97" s="143" t="s">
        <v>797</v>
      </c>
      <c r="N97" s="144" t="s">
        <v>798</v>
      </c>
      <c r="O97" s="143" t="s">
        <v>2953</v>
      </c>
      <c r="P97" s="143" t="s">
        <v>799</v>
      </c>
      <c r="Q97" s="136" t="s">
        <v>800</v>
      </c>
      <c r="R97" s="146"/>
      <c r="S97" s="147" t="s">
        <v>710</v>
      </c>
      <c r="T97" s="143" t="s">
        <v>764</v>
      </c>
      <c r="U97" s="143" t="s">
        <v>859</v>
      </c>
      <c r="V97" s="145" t="s">
        <v>816</v>
      </c>
      <c r="W97" s="143" t="s">
        <v>2609</v>
      </c>
      <c r="X97" s="143" t="s">
        <v>760</v>
      </c>
      <c r="Y97" s="143" t="s">
        <v>2949</v>
      </c>
      <c r="Z97" s="143" t="s">
        <v>854</v>
      </c>
      <c r="AA97" s="143" t="s">
        <v>917</v>
      </c>
      <c r="AB97" s="143" t="s">
        <v>918</v>
      </c>
      <c r="AC97" s="143"/>
      <c r="AD97" s="156">
        <v>44835</v>
      </c>
      <c r="AE97" s="231">
        <v>45199</v>
      </c>
    </row>
    <row r="98" spans="1:31">
      <c r="A98" s="140" t="s">
        <v>691</v>
      </c>
      <c r="B98" s="141" t="s">
        <v>756</v>
      </c>
      <c r="C98" s="141" t="s">
        <v>757</v>
      </c>
      <c r="D98" s="142">
        <v>45017</v>
      </c>
      <c r="E98" s="142">
        <v>45565</v>
      </c>
      <c r="F98" s="141" t="s">
        <v>782</v>
      </c>
      <c r="G98" s="141" t="s">
        <v>783</v>
      </c>
      <c r="H98" s="141" t="s">
        <v>816</v>
      </c>
      <c r="I98" s="143" t="s">
        <v>847</v>
      </c>
      <c r="J98" s="144" t="s">
        <v>794</v>
      </c>
      <c r="K98" s="144" t="s">
        <v>795</v>
      </c>
      <c r="L98" s="133" t="s">
        <v>2567</v>
      </c>
      <c r="M98" s="143" t="s">
        <v>801</v>
      </c>
      <c r="N98" s="144" t="s">
        <v>802</v>
      </c>
      <c r="O98" s="143" t="s">
        <v>803</v>
      </c>
      <c r="P98" s="143" t="s">
        <v>804</v>
      </c>
      <c r="Q98" s="136" t="s">
        <v>3001</v>
      </c>
      <c r="R98" s="146"/>
      <c r="S98" s="147" t="s">
        <v>710</v>
      </c>
      <c r="T98" s="143" t="s">
        <v>764</v>
      </c>
      <c r="U98" s="143" t="s">
        <v>859</v>
      </c>
      <c r="V98" s="145" t="s">
        <v>816</v>
      </c>
      <c r="W98" s="143" t="s">
        <v>2609</v>
      </c>
      <c r="X98" s="143" t="s">
        <v>760</v>
      </c>
      <c r="Y98" s="143" t="s">
        <v>2949</v>
      </c>
      <c r="Z98" s="143" t="s">
        <v>854</v>
      </c>
      <c r="AA98" s="143" t="s">
        <v>917</v>
      </c>
      <c r="AB98" s="143" t="s">
        <v>918</v>
      </c>
      <c r="AC98" s="143"/>
      <c r="AD98" s="156">
        <v>44835</v>
      </c>
      <c r="AE98" s="231">
        <v>45199</v>
      </c>
    </row>
    <row r="99" spans="1:31">
      <c r="A99" s="140" t="s">
        <v>691</v>
      </c>
      <c r="B99" s="141" t="s">
        <v>756</v>
      </c>
      <c r="C99" s="141" t="s">
        <v>757</v>
      </c>
      <c r="D99" s="142">
        <v>45017</v>
      </c>
      <c r="E99" s="142">
        <v>45565</v>
      </c>
      <c r="F99" s="141" t="s">
        <v>782</v>
      </c>
      <c r="G99" s="141" t="s">
        <v>783</v>
      </c>
      <c r="H99" s="141" t="s">
        <v>816</v>
      </c>
      <c r="I99" s="143" t="s">
        <v>847</v>
      </c>
      <c r="J99" s="144" t="s">
        <v>794</v>
      </c>
      <c r="K99" s="144" t="s">
        <v>795</v>
      </c>
      <c r="L99" s="133" t="s">
        <v>2567</v>
      </c>
      <c r="M99" s="143" t="s">
        <v>2950</v>
      </c>
      <c r="N99" s="144" t="s">
        <v>2951</v>
      </c>
      <c r="O99" s="143" t="s">
        <v>806</v>
      </c>
      <c r="P99" s="143" t="s">
        <v>804</v>
      </c>
      <c r="Q99" s="202" t="s">
        <v>3002</v>
      </c>
      <c r="R99" s="146"/>
      <c r="S99" s="147" t="s">
        <v>710</v>
      </c>
      <c r="T99" s="143" t="s">
        <v>764</v>
      </c>
      <c r="U99" s="143" t="s">
        <v>859</v>
      </c>
      <c r="V99" s="145" t="s">
        <v>816</v>
      </c>
      <c r="W99" s="143" t="s">
        <v>2609</v>
      </c>
      <c r="X99" s="143" t="s">
        <v>760</v>
      </c>
      <c r="Y99" s="143" t="s">
        <v>2949</v>
      </c>
      <c r="Z99" s="143" t="s">
        <v>854</v>
      </c>
      <c r="AA99" s="143" t="s">
        <v>917</v>
      </c>
      <c r="AB99" s="143" t="s">
        <v>918</v>
      </c>
      <c r="AC99" s="143"/>
      <c r="AD99" s="156">
        <v>44835</v>
      </c>
      <c r="AE99" s="231">
        <v>45199</v>
      </c>
    </row>
    <row r="100" spans="1:31" ht="15" customHeight="1">
      <c r="A100" s="141" t="s">
        <v>691</v>
      </c>
      <c r="B100" s="141" t="s">
        <v>756</v>
      </c>
      <c r="C100" s="142" t="s">
        <v>757</v>
      </c>
      <c r="D100" s="142">
        <v>45017</v>
      </c>
      <c r="E100" s="142">
        <v>45565</v>
      </c>
      <c r="F100" s="141" t="s">
        <v>782</v>
      </c>
      <c r="G100" s="141" t="s">
        <v>783</v>
      </c>
      <c r="H100" s="143" t="s">
        <v>816</v>
      </c>
      <c r="I100" s="144" t="s">
        <v>847</v>
      </c>
      <c r="J100" s="144" t="s">
        <v>794</v>
      </c>
      <c r="K100" s="143" t="s">
        <v>795</v>
      </c>
      <c r="L100" s="133" t="s">
        <v>2567</v>
      </c>
      <c r="M100" s="144" t="s">
        <v>2950</v>
      </c>
      <c r="N100" s="143" t="s">
        <v>2951</v>
      </c>
      <c r="O100" s="143" t="s">
        <v>806</v>
      </c>
      <c r="P100" s="145" t="s">
        <v>804</v>
      </c>
      <c r="Q100" s="202" t="s">
        <v>2983</v>
      </c>
      <c r="R100" s="147"/>
      <c r="S100" s="143" t="s">
        <v>710</v>
      </c>
      <c r="T100" s="143" t="s">
        <v>764</v>
      </c>
      <c r="U100" s="145" t="s">
        <v>859</v>
      </c>
      <c r="V100" s="143" t="s">
        <v>816</v>
      </c>
      <c r="W100" s="143" t="s">
        <v>2609</v>
      </c>
      <c r="X100" s="143" t="s">
        <v>760</v>
      </c>
      <c r="Y100" s="143" t="s">
        <v>2949</v>
      </c>
      <c r="Z100" s="143" t="s">
        <v>854</v>
      </c>
      <c r="AA100" s="143" t="s">
        <v>917</v>
      </c>
      <c r="AB100" s="143" t="s">
        <v>918</v>
      </c>
      <c r="AC100" s="156"/>
      <c r="AD100" s="156">
        <v>44835</v>
      </c>
      <c r="AE100" s="231">
        <v>45199</v>
      </c>
    </row>
    <row r="101" spans="1:31">
      <c r="A101" s="140" t="s">
        <v>691</v>
      </c>
      <c r="B101" s="141" t="s">
        <v>756</v>
      </c>
      <c r="C101" s="141" t="s">
        <v>757</v>
      </c>
      <c r="D101" s="142">
        <v>45017</v>
      </c>
      <c r="E101" s="142">
        <v>45565</v>
      </c>
      <c r="F101" s="141" t="s">
        <v>782</v>
      </c>
      <c r="G101" s="141" t="s">
        <v>783</v>
      </c>
      <c r="H101" s="141" t="s">
        <v>816</v>
      </c>
      <c r="I101" s="143" t="s">
        <v>847</v>
      </c>
      <c r="J101" s="144" t="s">
        <v>794</v>
      </c>
      <c r="K101" s="144" t="s">
        <v>795</v>
      </c>
      <c r="L101" s="133" t="s">
        <v>2567</v>
      </c>
      <c r="M101" s="143" t="s">
        <v>801</v>
      </c>
      <c r="N101" s="144" t="s">
        <v>807</v>
      </c>
      <c r="O101" s="143" t="s">
        <v>808</v>
      </c>
      <c r="P101" s="143" t="s">
        <v>804</v>
      </c>
      <c r="Q101" s="136" t="s">
        <v>809</v>
      </c>
      <c r="R101" s="146"/>
      <c r="S101" s="147" t="s">
        <v>710</v>
      </c>
      <c r="T101" s="143" t="s">
        <v>764</v>
      </c>
      <c r="U101" s="143" t="s">
        <v>859</v>
      </c>
      <c r="V101" s="145" t="s">
        <v>816</v>
      </c>
      <c r="W101" s="143" t="s">
        <v>2609</v>
      </c>
      <c r="X101" s="143" t="s">
        <v>760</v>
      </c>
      <c r="Y101" s="143" t="s">
        <v>2949</v>
      </c>
      <c r="Z101" s="143" t="s">
        <v>854</v>
      </c>
      <c r="AA101" s="143" t="s">
        <v>917</v>
      </c>
      <c r="AB101" s="143" t="s">
        <v>918</v>
      </c>
      <c r="AC101" s="143"/>
      <c r="AD101" s="156">
        <v>44835</v>
      </c>
      <c r="AE101" s="231">
        <v>45199</v>
      </c>
    </row>
    <row r="102" spans="1:31">
      <c r="A102" s="140" t="s">
        <v>691</v>
      </c>
      <c r="B102" s="141" t="s">
        <v>756</v>
      </c>
      <c r="C102" s="141" t="s">
        <v>757</v>
      </c>
      <c r="D102" s="142">
        <v>45017</v>
      </c>
      <c r="E102" s="142">
        <v>45565</v>
      </c>
      <c r="F102" s="141" t="s">
        <v>782</v>
      </c>
      <c r="G102" s="141" t="s">
        <v>783</v>
      </c>
      <c r="H102" s="141" t="s">
        <v>816</v>
      </c>
      <c r="I102" s="143" t="s">
        <v>847</v>
      </c>
      <c r="J102" s="144" t="s">
        <v>794</v>
      </c>
      <c r="K102" s="144" t="s">
        <v>795</v>
      </c>
      <c r="L102" s="133" t="s">
        <v>2567</v>
      </c>
      <c r="M102" s="143" t="s">
        <v>801</v>
      </c>
      <c r="N102" s="144" t="s">
        <v>807</v>
      </c>
      <c r="O102" s="143" t="s">
        <v>810</v>
      </c>
      <c r="P102" s="143" t="s">
        <v>804</v>
      </c>
      <c r="Q102" s="136" t="s">
        <v>811</v>
      </c>
      <c r="R102" s="146"/>
      <c r="S102" s="147" t="s">
        <v>710</v>
      </c>
      <c r="T102" s="143" t="s">
        <v>764</v>
      </c>
      <c r="U102" s="143" t="s">
        <v>859</v>
      </c>
      <c r="V102" s="145" t="s">
        <v>816</v>
      </c>
      <c r="W102" s="143" t="s">
        <v>2609</v>
      </c>
      <c r="X102" s="143" t="s">
        <v>760</v>
      </c>
      <c r="Y102" s="143" t="s">
        <v>2949</v>
      </c>
      <c r="Z102" s="143" t="s">
        <v>854</v>
      </c>
      <c r="AA102" s="143" t="s">
        <v>917</v>
      </c>
      <c r="AB102" s="143" t="s">
        <v>918</v>
      </c>
      <c r="AC102" s="143"/>
      <c r="AD102" s="156">
        <v>44835</v>
      </c>
      <c r="AE102" s="231">
        <v>45199</v>
      </c>
    </row>
    <row r="103" spans="1:31">
      <c r="A103" s="140" t="s">
        <v>691</v>
      </c>
      <c r="B103" s="141" t="s">
        <v>756</v>
      </c>
      <c r="C103" s="141" t="s">
        <v>757</v>
      </c>
      <c r="D103" s="142">
        <v>45017</v>
      </c>
      <c r="E103" s="142">
        <v>45565</v>
      </c>
      <c r="F103" s="141" t="s">
        <v>782</v>
      </c>
      <c r="G103" s="141" t="s">
        <v>783</v>
      </c>
      <c r="H103" s="141" t="s">
        <v>816</v>
      </c>
      <c r="I103" s="143" t="s">
        <v>847</v>
      </c>
      <c r="J103" s="144" t="s">
        <v>794</v>
      </c>
      <c r="K103" s="144" t="s">
        <v>795</v>
      </c>
      <c r="L103" s="133" t="s">
        <v>2567</v>
      </c>
      <c r="M103" s="143" t="s">
        <v>764</v>
      </c>
      <c r="N103" s="144" t="s">
        <v>812</v>
      </c>
      <c r="O103" s="143" t="s">
        <v>2381</v>
      </c>
      <c r="P103" s="143" t="s">
        <v>845</v>
      </c>
      <c r="Q103" s="136" t="s">
        <v>813</v>
      </c>
      <c r="R103" s="146"/>
      <c r="S103" s="147" t="s">
        <v>710</v>
      </c>
      <c r="T103" s="143" t="s">
        <v>764</v>
      </c>
      <c r="U103" s="143" t="s">
        <v>859</v>
      </c>
      <c r="V103" s="145" t="s">
        <v>816</v>
      </c>
      <c r="W103" s="143" t="s">
        <v>2609</v>
      </c>
      <c r="X103" s="143" t="s">
        <v>760</v>
      </c>
      <c r="Y103" s="143" t="s">
        <v>2949</v>
      </c>
      <c r="Z103" s="143" t="s">
        <v>854</v>
      </c>
      <c r="AA103" s="143" t="s">
        <v>917</v>
      </c>
      <c r="AB103" s="143" t="s">
        <v>918</v>
      </c>
      <c r="AC103" s="143"/>
      <c r="AD103" s="156">
        <v>44835</v>
      </c>
      <c r="AE103" s="231">
        <v>45199</v>
      </c>
    </row>
    <row r="104" spans="1:31">
      <c r="A104" s="140" t="s">
        <v>691</v>
      </c>
      <c r="B104" s="141" t="s">
        <v>756</v>
      </c>
      <c r="C104" s="141" t="s">
        <v>757</v>
      </c>
      <c r="D104" s="142">
        <v>45017</v>
      </c>
      <c r="E104" s="142">
        <v>45565</v>
      </c>
      <c r="F104" s="141" t="s">
        <v>782</v>
      </c>
      <c r="G104" s="141" t="s">
        <v>783</v>
      </c>
      <c r="H104" s="141" t="s">
        <v>816</v>
      </c>
      <c r="I104" s="143" t="s">
        <v>847</v>
      </c>
      <c r="J104" s="144" t="s">
        <v>794</v>
      </c>
      <c r="K104" s="144" t="s">
        <v>795</v>
      </c>
      <c r="L104" s="133" t="s">
        <v>2567</v>
      </c>
      <c r="M104" s="143" t="s">
        <v>801</v>
      </c>
      <c r="N104" s="144" t="s">
        <v>805</v>
      </c>
      <c r="O104" s="143" t="s">
        <v>814</v>
      </c>
      <c r="P104" s="143" t="s">
        <v>804</v>
      </c>
      <c r="Q104" s="136" t="s">
        <v>3003</v>
      </c>
      <c r="R104" s="146"/>
      <c r="S104" s="147" t="s">
        <v>710</v>
      </c>
      <c r="T104" s="143" t="s">
        <v>764</v>
      </c>
      <c r="U104" s="143" t="s">
        <v>859</v>
      </c>
      <c r="V104" s="145" t="s">
        <v>816</v>
      </c>
      <c r="W104" s="143" t="s">
        <v>2609</v>
      </c>
      <c r="X104" s="143" t="s">
        <v>760</v>
      </c>
      <c r="Y104" s="143" t="s">
        <v>2949</v>
      </c>
      <c r="Z104" s="143" t="s">
        <v>854</v>
      </c>
      <c r="AA104" s="143" t="s">
        <v>917</v>
      </c>
      <c r="AB104" s="143" t="s">
        <v>918</v>
      </c>
      <c r="AC104" s="143"/>
      <c r="AD104" s="156">
        <v>44835</v>
      </c>
      <c r="AE104" s="231">
        <v>45199</v>
      </c>
    </row>
    <row r="105" spans="1:31">
      <c r="A105" s="140" t="s">
        <v>691</v>
      </c>
      <c r="B105" s="141" t="s">
        <v>756</v>
      </c>
      <c r="C105" s="141" t="s">
        <v>757</v>
      </c>
      <c r="D105" s="142">
        <v>45017</v>
      </c>
      <c r="E105" s="142">
        <v>45565</v>
      </c>
      <c r="F105" s="141" t="s">
        <v>782</v>
      </c>
      <c r="G105" s="141" t="s">
        <v>783</v>
      </c>
      <c r="H105" s="141" t="s">
        <v>816</v>
      </c>
      <c r="I105" s="143" t="s">
        <v>847</v>
      </c>
      <c r="J105" s="144" t="s">
        <v>794</v>
      </c>
      <c r="K105" s="144" t="s">
        <v>795</v>
      </c>
      <c r="L105" s="133" t="s">
        <v>2567</v>
      </c>
      <c r="M105" s="143" t="s">
        <v>2950</v>
      </c>
      <c r="N105" s="144" t="s">
        <v>2951</v>
      </c>
      <c r="O105" s="143" t="s">
        <v>2945</v>
      </c>
      <c r="P105" s="143" t="s">
        <v>804</v>
      </c>
      <c r="Q105" s="136" t="s">
        <v>3004</v>
      </c>
      <c r="R105" s="146"/>
      <c r="S105" s="147" t="s">
        <v>710</v>
      </c>
      <c r="T105" s="143" t="s">
        <v>764</v>
      </c>
      <c r="U105" s="143" t="s">
        <v>859</v>
      </c>
      <c r="V105" s="145" t="s">
        <v>816</v>
      </c>
      <c r="W105" s="143" t="s">
        <v>2609</v>
      </c>
      <c r="X105" s="143" t="s">
        <v>760</v>
      </c>
      <c r="Y105" s="143" t="s">
        <v>2949</v>
      </c>
      <c r="Z105" s="143" t="s">
        <v>854</v>
      </c>
      <c r="AA105" s="143" t="s">
        <v>917</v>
      </c>
      <c r="AB105" s="143" t="s">
        <v>918</v>
      </c>
      <c r="AC105" s="143"/>
      <c r="AD105" s="156">
        <v>44835</v>
      </c>
      <c r="AE105" s="231">
        <v>45199</v>
      </c>
    </row>
    <row r="106" spans="1:31">
      <c r="A106" s="140" t="s">
        <v>691</v>
      </c>
      <c r="B106" s="141" t="s">
        <v>756</v>
      </c>
      <c r="C106" s="141" t="s">
        <v>757</v>
      </c>
      <c r="D106" s="142">
        <v>45017</v>
      </c>
      <c r="E106" s="142">
        <v>45565</v>
      </c>
      <c r="F106" s="141" t="s">
        <v>782</v>
      </c>
      <c r="G106" s="141" t="s">
        <v>783</v>
      </c>
      <c r="H106" s="141" t="s">
        <v>816</v>
      </c>
      <c r="I106" s="143" t="s">
        <v>847</v>
      </c>
      <c r="J106" s="144" t="s">
        <v>794</v>
      </c>
      <c r="K106" s="144" t="s">
        <v>795</v>
      </c>
      <c r="L106" s="133" t="s">
        <v>789</v>
      </c>
      <c r="M106" s="143" t="s">
        <v>764</v>
      </c>
      <c r="N106" s="144" t="s">
        <v>812</v>
      </c>
      <c r="O106" s="143" t="s">
        <v>2398</v>
      </c>
      <c r="P106" s="143" t="s">
        <v>804</v>
      </c>
      <c r="Q106" s="136" t="s">
        <v>815</v>
      </c>
      <c r="R106" s="146"/>
      <c r="S106" s="147" t="s">
        <v>710</v>
      </c>
      <c r="T106" s="143" t="s">
        <v>764</v>
      </c>
      <c r="U106" s="143" t="s">
        <v>859</v>
      </c>
      <c r="V106" s="145" t="s">
        <v>816</v>
      </c>
      <c r="W106" s="143" t="s">
        <v>2609</v>
      </c>
      <c r="X106" s="143" t="s">
        <v>760</v>
      </c>
      <c r="Y106" s="143" t="s">
        <v>2949</v>
      </c>
      <c r="Z106" s="143" t="s">
        <v>854</v>
      </c>
      <c r="AA106" s="143" t="s">
        <v>917</v>
      </c>
      <c r="AB106" s="143" t="s">
        <v>918</v>
      </c>
      <c r="AC106" s="143">
        <v>1630</v>
      </c>
      <c r="AD106" s="156">
        <v>44835</v>
      </c>
      <c r="AE106" s="231">
        <v>45199</v>
      </c>
    </row>
    <row r="107" spans="1:31">
      <c r="A107" s="18"/>
      <c r="B107" s="18"/>
      <c r="C107" s="18"/>
      <c r="D107" s="18"/>
      <c r="E107" s="18"/>
      <c r="F107" s="18"/>
      <c r="G107" s="18"/>
      <c r="H107" s="18"/>
      <c r="J107" s="18"/>
      <c r="N107" s="18"/>
    </row>
    <row r="108" spans="1:31">
      <c r="A108" s="18"/>
      <c r="B108" s="18"/>
      <c r="C108" s="23"/>
      <c r="D108" s="18"/>
      <c r="E108" s="18"/>
      <c r="F108" s="18"/>
      <c r="G108" s="18"/>
      <c r="H108" s="18"/>
      <c r="J108" s="18"/>
      <c r="N108" s="18"/>
    </row>
    <row r="109" spans="1:31">
      <c r="A109" s="18"/>
      <c r="B109" s="18"/>
      <c r="C109" s="23"/>
      <c r="D109" s="18"/>
      <c r="E109" s="18"/>
      <c r="F109" s="18"/>
      <c r="G109" s="18"/>
      <c r="H109" s="18"/>
      <c r="J109" s="18"/>
      <c r="N109" s="18"/>
    </row>
    <row r="110" spans="1:31">
      <c r="A110" s="18"/>
      <c r="B110" s="18"/>
      <c r="C110" s="23"/>
      <c r="D110" s="18"/>
      <c r="E110" s="18"/>
      <c r="F110" s="18"/>
      <c r="G110" s="18"/>
      <c r="H110" s="18"/>
      <c r="J110" s="18"/>
      <c r="N110" s="18"/>
    </row>
    <row r="111" spans="1:31">
      <c r="A111" s="18"/>
      <c r="B111" s="18"/>
      <c r="C111" s="23"/>
      <c r="D111" s="18"/>
      <c r="E111" s="18"/>
      <c r="F111" s="18"/>
      <c r="G111" s="18"/>
      <c r="H111" s="18"/>
      <c r="J111" s="18"/>
      <c r="N111" s="18"/>
    </row>
    <row r="112" spans="1:31">
      <c r="A112" s="18"/>
      <c r="B112" s="18"/>
      <c r="C112" s="23"/>
      <c r="D112" s="18"/>
      <c r="E112" s="18"/>
      <c r="F112" s="18"/>
      <c r="G112" s="18"/>
      <c r="H112" s="18"/>
      <c r="J112" s="18"/>
      <c r="N112" s="18"/>
    </row>
    <row r="113" spans="1:14">
      <c r="A113"/>
      <c r="B113" s="18"/>
      <c r="C113" s="23"/>
      <c r="D113" s="18"/>
      <c r="E113" s="18"/>
      <c r="F113" s="18"/>
      <c r="G113" s="18"/>
      <c r="H113" s="18"/>
      <c r="J113" s="18"/>
      <c r="N113" s="18"/>
    </row>
    <row r="114" spans="1:14">
      <c r="A114"/>
      <c r="B114" s="18"/>
      <c r="C114" s="23"/>
      <c r="D114" s="18"/>
      <c r="E114" s="18"/>
      <c r="F114" s="18"/>
      <c r="G114" s="18"/>
      <c r="H114" s="18"/>
      <c r="J114" s="18"/>
      <c r="N114" s="18"/>
    </row>
    <row r="115" spans="1:14">
      <c r="A115"/>
      <c r="B115" s="18"/>
      <c r="C115" s="23"/>
      <c r="D115" s="18"/>
      <c r="E115" s="18"/>
      <c r="F115" s="18"/>
      <c r="G115" s="18"/>
      <c r="H115" s="18"/>
      <c r="J115" s="18"/>
      <c r="N115" s="18"/>
    </row>
    <row r="116" spans="1:14">
      <c r="A116"/>
      <c r="B116" s="18"/>
      <c r="C116" s="23"/>
      <c r="D116" s="18"/>
      <c r="E116" s="18"/>
      <c r="F116" s="18"/>
      <c r="G116" s="18"/>
      <c r="H116" s="18"/>
      <c r="J116" s="18"/>
      <c r="N116" s="18"/>
    </row>
    <row r="117" spans="1:14">
      <c r="A117"/>
      <c r="B117" s="18"/>
      <c r="C117" s="23"/>
      <c r="D117" s="18"/>
      <c r="E117" s="18"/>
      <c r="F117" s="18"/>
      <c r="G117" s="18"/>
      <c r="H117" s="18"/>
      <c r="J117" s="18"/>
      <c r="N117" s="18"/>
    </row>
    <row r="118" spans="1:14">
      <c r="A118"/>
      <c r="B118" s="18"/>
      <c r="C118" s="23"/>
      <c r="D118" s="18"/>
      <c r="E118" s="18"/>
      <c r="F118" s="18"/>
      <c r="G118" s="18"/>
      <c r="H118" s="18"/>
      <c r="J118" s="18"/>
      <c r="N118" s="18"/>
    </row>
    <row r="119" spans="1:14">
      <c r="A119"/>
      <c r="B119" s="18"/>
      <c r="C119" s="23"/>
      <c r="D119" s="18"/>
      <c r="E119" s="18"/>
      <c r="F119" s="18"/>
      <c r="G119" s="18"/>
      <c r="H119" s="18"/>
      <c r="J119" s="18"/>
      <c r="N119" s="18"/>
    </row>
    <row r="120" spans="1:14">
      <c r="A120"/>
      <c r="B120" s="18"/>
      <c r="C120" s="23"/>
      <c r="D120" s="18"/>
      <c r="E120" s="18"/>
      <c r="F120" s="18"/>
      <c r="G120" s="18"/>
      <c r="H120" s="18"/>
      <c r="J120" s="18"/>
      <c r="N120" s="18"/>
    </row>
    <row r="121" spans="1:14">
      <c r="A121"/>
      <c r="B121" s="18"/>
      <c r="C121" s="23"/>
      <c r="D121" s="18"/>
      <c r="E121" s="18"/>
      <c r="F121" s="18"/>
      <c r="G121" s="18"/>
      <c r="H121" s="18"/>
      <c r="J121" s="18"/>
      <c r="N121" s="18"/>
    </row>
    <row r="122" spans="1:14">
      <c r="A122"/>
      <c r="B122" s="18"/>
      <c r="C122" s="23"/>
      <c r="D122" s="18"/>
      <c r="E122" s="18"/>
      <c r="F122" s="18"/>
      <c r="G122" s="18"/>
      <c r="H122" s="18"/>
      <c r="J122" s="18"/>
      <c r="N122" s="18"/>
    </row>
    <row r="123" spans="1:14">
      <c r="A123"/>
      <c r="B123" s="18"/>
      <c r="C123" s="23"/>
      <c r="D123" s="18"/>
      <c r="E123" s="18"/>
      <c r="F123" s="18"/>
      <c r="G123" s="18"/>
      <c r="H123" s="18"/>
      <c r="J123" s="18"/>
      <c r="N123" s="18"/>
    </row>
    <row r="124" spans="1:14">
      <c r="A124"/>
      <c r="B124" s="18"/>
      <c r="C124" s="23"/>
      <c r="D124" s="18"/>
      <c r="E124" s="18"/>
      <c r="F124" s="18"/>
      <c r="G124" s="18"/>
      <c r="H124" s="18"/>
      <c r="J124" s="18"/>
      <c r="N124" s="18"/>
    </row>
    <row r="125" spans="1:14">
      <c r="A125"/>
      <c r="B125" s="18"/>
      <c r="C125" s="23"/>
      <c r="D125" s="18"/>
      <c r="E125" s="18"/>
      <c r="F125" s="18"/>
      <c r="G125" s="18"/>
      <c r="H125" s="18"/>
      <c r="J125" s="18"/>
      <c r="N125" s="18"/>
    </row>
    <row r="126" spans="1:14">
      <c r="A126"/>
      <c r="B126" s="18"/>
      <c r="C126" s="23"/>
      <c r="D126" s="18"/>
      <c r="E126" s="18"/>
      <c r="F126" s="18"/>
      <c r="G126" s="18"/>
      <c r="H126" s="18"/>
      <c r="J126" s="18"/>
      <c r="N126" s="18"/>
    </row>
    <row r="127" spans="1:14">
      <c r="A127"/>
      <c r="B127" s="18"/>
      <c r="C127" s="23"/>
      <c r="D127" s="18"/>
      <c r="E127" s="18"/>
      <c r="F127" s="18"/>
      <c r="G127" s="18"/>
      <c r="H127" s="18"/>
      <c r="J127" s="18"/>
      <c r="N127" s="18"/>
    </row>
    <row r="128" spans="1:14">
      <c r="A128"/>
      <c r="B128" s="18"/>
      <c r="C128" s="23"/>
      <c r="D128" s="18"/>
      <c r="E128" s="18"/>
      <c r="F128" s="18"/>
      <c r="G128" s="18"/>
      <c r="H128" s="18"/>
      <c r="J128" s="18"/>
      <c r="N128" s="18"/>
    </row>
    <row r="129" spans="1:14">
      <c r="A129"/>
      <c r="B129" s="18"/>
      <c r="C129" s="23"/>
      <c r="D129" s="18"/>
      <c r="E129" s="18"/>
      <c r="F129" s="18"/>
      <c r="G129" s="18"/>
      <c r="H129" s="18"/>
      <c r="J129" s="18"/>
      <c r="N129" s="18"/>
    </row>
    <row r="130" spans="1:14">
      <c r="A130"/>
      <c r="B130" s="18"/>
      <c r="C130" s="23"/>
      <c r="D130" s="18"/>
      <c r="E130" s="18"/>
      <c r="F130" s="18"/>
      <c r="G130" s="18"/>
      <c r="H130" s="18"/>
      <c r="J130" s="18"/>
      <c r="N130" s="18"/>
    </row>
    <row r="131" spans="1:14">
      <c r="A131"/>
      <c r="B131" s="18"/>
      <c r="C131" s="23"/>
      <c r="D131" s="18"/>
      <c r="E131" s="18"/>
      <c r="F131" s="18"/>
      <c r="G131" s="18"/>
      <c r="H131" s="18"/>
      <c r="J131" s="18"/>
      <c r="N131" s="18"/>
    </row>
    <row r="132" spans="1:14">
      <c r="A132"/>
      <c r="B132" s="18"/>
      <c r="C132" s="23"/>
      <c r="D132" s="18"/>
      <c r="E132" s="18"/>
      <c r="F132" s="18"/>
      <c r="G132" s="18"/>
      <c r="H132" s="18"/>
      <c r="J132" s="18"/>
      <c r="N132" s="18"/>
    </row>
    <row r="133" spans="1:14">
      <c r="A133"/>
      <c r="B133" s="18"/>
      <c r="C133" s="23"/>
      <c r="D133" s="18"/>
      <c r="E133" s="18"/>
      <c r="F133" s="18"/>
      <c r="G133" s="18"/>
      <c r="H133" s="18"/>
      <c r="J133" s="18"/>
      <c r="N133" s="18"/>
    </row>
    <row r="134" spans="1:14">
      <c r="A134"/>
      <c r="B134" s="18"/>
      <c r="C134" s="23"/>
      <c r="D134" s="18"/>
      <c r="E134" s="18"/>
      <c r="F134" s="18"/>
      <c r="G134" s="18"/>
      <c r="H134" s="18"/>
      <c r="J134" s="18"/>
      <c r="N134" s="18"/>
    </row>
    <row r="135" spans="1:14">
      <c r="A135"/>
      <c r="B135" s="18"/>
      <c r="C135" s="23"/>
      <c r="D135" s="18"/>
      <c r="E135" s="18"/>
      <c r="F135" s="18"/>
      <c r="G135" s="18"/>
      <c r="H135" s="18"/>
      <c r="J135" s="18"/>
      <c r="N135" s="18"/>
    </row>
    <row r="136" spans="1:14">
      <c r="B136"/>
      <c r="L136"/>
    </row>
    <row r="137" spans="1:14">
      <c r="B137"/>
      <c r="L137"/>
    </row>
    <row r="138" spans="1:14">
      <c r="B138"/>
      <c r="L138"/>
    </row>
    <row r="139" spans="1:14">
      <c r="B139"/>
      <c r="L139"/>
    </row>
    <row r="140" spans="1:14">
      <c r="B140"/>
    </row>
    <row r="141" spans="1:14">
      <c r="B141"/>
    </row>
    <row r="142" spans="1:14">
      <c r="B142"/>
    </row>
    <row r="143" spans="1:14">
      <c r="B143"/>
    </row>
    <row r="144" spans="1:14">
      <c r="B144"/>
    </row>
    <row r="145" spans="2:2">
      <c r="B145"/>
    </row>
  </sheetData>
  <phoneticPr fontId="9" type="noConversion"/>
  <pageMargins left="0.23622047244094491" right="3.937007874015748E-2" top="0.35433070866141736" bottom="0.35433070866141736" header="0.19685039370078741" footer="0.19685039370078741"/>
  <pageSetup paperSize="9" scale="21"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92766-6F6B-49B7-AC94-8DA6D60F173E}">
  <sheetPr codeName="Sheet2"/>
  <dimension ref="A1:M34"/>
  <sheetViews>
    <sheetView topLeftCell="A10" workbookViewId="0"/>
  </sheetViews>
  <sheetFormatPr baseColWidth="10" defaultColWidth="9" defaultRowHeight="14.25"/>
  <cols>
    <col min="1" max="1" width="15" style="172" bestFit="1" customWidth="1"/>
    <col min="2" max="2" width="11" bestFit="1" customWidth="1"/>
    <col min="3" max="3" width="17.25" bestFit="1" customWidth="1"/>
    <col min="4" max="4" width="13" bestFit="1" customWidth="1"/>
    <col min="5" max="5" width="11.25" bestFit="1" customWidth="1"/>
    <col min="6" max="6" width="15.125" bestFit="1" customWidth="1"/>
    <col min="7" max="7" width="11" bestFit="1" customWidth="1"/>
    <col min="8" max="8" width="19.25" bestFit="1" customWidth="1"/>
    <col min="9" max="9" width="11.25" bestFit="1" customWidth="1"/>
    <col min="10" max="10" width="54.375" bestFit="1" customWidth="1"/>
    <col min="11" max="11" width="8.25" customWidth="1"/>
    <col min="12" max="12" width="6" customWidth="1"/>
    <col min="13" max="13" width="11" bestFit="1" customWidth="1"/>
  </cols>
  <sheetData>
    <row r="1" spans="1:13" ht="18">
      <c r="A1" s="172" t="s">
        <v>2957</v>
      </c>
      <c r="B1" s="161" t="s">
        <v>684</v>
      </c>
      <c r="C1" s="162" t="s">
        <v>758</v>
      </c>
      <c r="D1" s="162" t="s">
        <v>685</v>
      </c>
      <c r="E1" s="161" t="s">
        <v>686</v>
      </c>
      <c r="F1" s="161" t="s">
        <v>763</v>
      </c>
      <c r="G1" s="162" t="s">
        <v>687</v>
      </c>
      <c r="H1" s="161" t="s">
        <v>688</v>
      </c>
      <c r="I1" s="161" t="s">
        <v>689</v>
      </c>
      <c r="J1" s="163" t="s">
        <v>690</v>
      </c>
      <c r="K1" s="164" t="s">
        <v>790</v>
      </c>
      <c r="L1" s="161" t="s">
        <v>791</v>
      </c>
    </row>
    <row r="2" spans="1:13" ht="18">
      <c r="A2" s="255" t="s">
        <v>2958</v>
      </c>
      <c r="B2" s="165" t="s">
        <v>2530</v>
      </c>
      <c r="C2" s="166" t="s">
        <v>2961</v>
      </c>
      <c r="D2" s="166" t="s">
        <v>2962</v>
      </c>
      <c r="E2" s="165" t="s">
        <v>787</v>
      </c>
      <c r="F2" s="165"/>
      <c r="G2" s="166"/>
      <c r="H2" s="135" t="s">
        <v>2605</v>
      </c>
      <c r="I2" s="165" t="s">
        <v>2605</v>
      </c>
      <c r="J2" s="150" t="s">
        <v>2995</v>
      </c>
      <c r="K2" s="168" t="s">
        <v>710</v>
      </c>
      <c r="L2" s="165" t="s">
        <v>2965</v>
      </c>
      <c r="M2" s="165" t="s">
        <v>859</v>
      </c>
    </row>
    <row r="3" spans="1:13" ht="18">
      <c r="A3" s="255"/>
      <c r="B3" s="165" t="s">
        <v>846</v>
      </c>
      <c r="C3" s="166" t="s">
        <v>760</v>
      </c>
      <c r="D3" s="166" t="s">
        <v>2963</v>
      </c>
      <c r="E3" s="165" t="s">
        <v>711</v>
      </c>
      <c r="F3" s="165"/>
      <c r="G3" s="166"/>
      <c r="H3" s="135" t="s">
        <v>2614</v>
      </c>
      <c r="I3" s="165" t="s">
        <v>799</v>
      </c>
      <c r="J3" s="150" t="s">
        <v>800</v>
      </c>
      <c r="K3" s="168" t="s">
        <v>710</v>
      </c>
      <c r="L3" s="165" t="s">
        <v>2965</v>
      </c>
      <c r="M3" s="165" t="s">
        <v>859</v>
      </c>
    </row>
    <row r="4" spans="1:13" ht="18">
      <c r="A4" s="255"/>
      <c r="B4" s="165" t="s">
        <v>2531</v>
      </c>
      <c r="C4" s="166" t="s">
        <v>2961</v>
      </c>
      <c r="D4" s="166" t="s">
        <v>2962</v>
      </c>
      <c r="E4" s="165" t="s">
        <v>788</v>
      </c>
      <c r="F4" s="165"/>
      <c r="G4" s="166"/>
      <c r="H4" s="165" t="s">
        <v>803</v>
      </c>
      <c r="I4" s="165" t="s">
        <v>804</v>
      </c>
      <c r="J4" s="150" t="s">
        <v>2996</v>
      </c>
      <c r="K4" s="168" t="s">
        <v>710</v>
      </c>
      <c r="L4" s="165" t="s">
        <v>2965</v>
      </c>
      <c r="M4" s="165" t="s">
        <v>859</v>
      </c>
    </row>
    <row r="5" spans="1:13" ht="18">
      <c r="A5" s="255"/>
      <c r="B5" s="165" t="s">
        <v>847</v>
      </c>
      <c r="C5" s="166" t="s">
        <v>2961</v>
      </c>
      <c r="D5" s="166" t="s">
        <v>2962</v>
      </c>
      <c r="E5" s="165" t="s">
        <v>788</v>
      </c>
      <c r="F5" s="165"/>
      <c r="G5" s="166"/>
      <c r="H5" s="165" t="s">
        <v>806</v>
      </c>
      <c r="I5" s="165" t="s">
        <v>804</v>
      </c>
      <c r="J5" s="150" t="s">
        <v>2997</v>
      </c>
      <c r="K5" s="168" t="s">
        <v>710</v>
      </c>
      <c r="L5" s="165" t="s">
        <v>2965</v>
      </c>
      <c r="M5" s="165" t="s">
        <v>859</v>
      </c>
    </row>
    <row r="6" spans="1:13" ht="18">
      <c r="A6" s="255"/>
      <c r="B6" s="165" t="s">
        <v>847</v>
      </c>
      <c r="C6" s="166" t="s">
        <v>2961</v>
      </c>
      <c r="D6" s="166" t="s">
        <v>2962</v>
      </c>
      <c r="E6" s="165" t="s">
        <v>788</v>
      </c>
      <c r="F6" s="165"/>
      <c r="G6" s="166"/>
      <c r="H6" s="165" t="s">
        <v>808</v>
      </c>
      <c r="I6" s="165" t="s">
        <v>804</v>
      </c>
      <c r="J6" s="150" t="s">
        <v>809</v>
      </c>
      <c r="K6" s="168" t="s">
        <v>710</v>
      </c>
      <c r="L6" s="165" t="s">
        <v>2965</v>
      </c>
      <c r="M6" s="165" t="s">
        <v>859</v>
      </c>
    </row>
    <row r="7" spans="1:13" ht="18">
      <c r="A7" s="255"/>
      <c r="B7" s="165" t="s">
        <v>847</v>
      </c>
      <c r="C7" s="166" t="s">
        <v>2961</v>
      </c>
      <c r="D7" s="166" t="s">
        <v>2962</v>
      </c>
      <c r="E7" s="165" t="s">
        <v>788</v>
      </c>
      <c r="F7" s="165"/>
      <c r="G7" s="166"/>
      <c r="H7" s="165" t="s">
        <v>810</v>
      </c>
      <c r="I7" s="165" t="s">
        <v>804</v>
      </c>
      <c r="J7" s="150" t="s">
        <v>811</v>
      </c>
      <c r="K7" s="168" t="s">
        <v>710</v>
      </c>
      <c r="L7" s="165" t="s">
        <v>2965</v>
      </c>
      <c r="M7" s="165" t="s">
        <v>859</v>
      </c>
    </row>
    <row r="8" spans="1:13" ht="18">
      <c r="A8" s="255"/>
      <c r="B8" s="165" t="s">
        <v>847</v>
      </c>
      <c r="C8" s="166" t="s">
        <v>2961</v>
      </c>
      <c r="D8" s="166" t="s">
        <v>2962</v>
      </c>
      <c r="E8" s="165" t="s">
        <v>788</v>
      </c>
      <c r="F8" s="165"/>
      <c r="G8" s="166"/>
      <c r="H8" s="165" t="s">
        <v>2617</v>
      </c>
      <c r="I8" s="165" t="s">
        <v>845</v>
      </c>
      <c r="J8" s="150" t="s">
        <v>813</v>
      </c>
      <c r="K8" s="168" t="s">
        <v>710</v>
      </c>
      <c r="L8" s="165" t="s">
        <v>2965</v>
      </c>
      <c r="M8" s="165" t="s">
        <v>859</v>
      </c>
    </row>
    <row r="9" spans="1:13" ht="18">
      <c r="A9" s="255"/>
      <c r="B9" s="165" t="s">
        <v>847</v>
      </c>
      <c r="C9" s="166" t="s">
        <v>2961</v>
      </c>
      <c r="D9" s="166" t="s">
        <v>2962</v>
      </c>
      <c r="E9" s="165" t="s">
        <v>788</v>
      </c>
      <c r="F9" s="165"/>
      <c r="G9" s="166"/>
      <c r="H9" s="165" t="s">
        <v>814</v>
      </c>
      <c r="I9" s="165" t="s">
        <v>2948</v>
      </c>
      <c r="J9" s="150" t="s">
        <v>2998</v>
      </c>
      <c r="K9" s="168" t="s">
        <v>710</v>
      </c>
      <c r="L9" s="165" t="s">
        <v>2965</v>
      </c>
      <c r="M9" s="165" t="s">
        <v>859</v>
      </c>
    </row>
    <row r="10" spans="1:13" ht="18">
      <c r="A10" s="255"/>
      <c r="B10" s="165" t="s">
        <v>847</v>
      </c>
      <c r="C10" s="166" t="s">
        <v>2961</v>
      </c>
      <c r="D10" s="166" t="s">
        <v>2962</v>
      </c>
      <c r="E10" s="165" t="s">
        <v>788</v>
      </c>
      <c r="F10" s="165"/>
      <c r="G10" s="166"/>
      <c r="H10" s="165" t="s">
        <v>2945</v>
      </c>
      <c r="I10" s="165" t="s">
        <v>2948</v>
      </c>
      <c r="J10" s="150" t="s">
        <v>2999</v>
      </c>
      <c r="K10" s="168" t="s">
        <v>710</v>
      </c>
      <c r="L10" s="165" t="s">
        <v>2965</v>
      </c>
      <c r="M10" s="165" t="s">
        <v>859</v>
      </c>
    </row>
    <row r="11" spans="1:13" ht="18">
      <c r="A11" s="255"/>
      <c r="B11" s="165" t="s">
        <v>847</v>
      </c>
      <c r="C11" s="166" t="s">
        <v>2961</v>
      </c>
      <c r="D11" s="166" t="s">
        <v>2962</v>
      </c>
      <c r="E11" s="165" t="s">
        <v>789</v>
      </c>
      <c r="F11" s="165"/>
      <c r="G11" s="166"/>
      <c r="H11" s="135" t="s">
        <v>2612</v>
      </c>
      <c r="I11" s="165" t="s">
        <v>804</v>
      </c>
      <c r="J11" s="150" t="s">
        <v>815</v>
      </c>
      <c r="K11" s="168" t="s">
        <v>710</v>
      </c>
      <c r="L11" s="165" t="s">
        <v>2965</v>
      </c>
      <c r="M11" s="165" t="s">
        <v>859</v>
      </c>
    </row>
    <row r="12" spans="1:13" ht="18">
      <c r="A12" s="255"/>
      <c r="B12" s="169" t="s">
        <v>847</v>
      </c>
      <c r="C12" s="166" t="s">
        <v>2961</v>
      </c>
      <c r="D12" s="166" t="s">
        <v>2962</v>
      </c>
      <c r="E12" s="169" t="s">
        <v>2947</v>
      </c>
      <c r="F12" s="169"/>
      <c r="G12" s="170"/>
      <c r="H12" s="169" t="s">
        <v>814</v>
      </c>
      <c r="I12" s="169" t="s">
        <v>804</v>
      </c>
      <c r="J12" s="154" t="s">
        <v>2998</v>
      </c>
      <c r="K12" s="171" t="s">
        <v>710</v>
      </c>
      <c r="L12" s="165" t="s">
        <v>2965</v>
      </c>
      <c r="M12" s="169" t="s">
        <v>859</v>
      </c>
    </row>
    <row r="13" spans="1:13" ht="18">
      <c r="A13" s="256" t="s">
        <v>2959</v>
      </c>
      <c r="B13" s="148" t="s">
        <v>846</v>
      </c>
      <c r="C13" s="149" t="s">
        <v>2964</v>
      </c>
      <c r="D13" s="149" t="s">
        <v>795</v>
      </c>
      <c r="E13" s="148" t="s">
        <v>787</v>
      </c>
      <c r="F13" s="148" t="s">
        <v>764</v>
      </c>
      <c r="G13" s="149" t="s">
        <v>796</v>
      </c>
      <c r="H13" s="148" t="s">
        <v>2604</v>
      </c>
      <c r="I13" s="148" t="s">
        <v>2604</v>
      </c>
      <c r="J13" s="150" t="s">
        <v>2995</v>
      </c>
      <c r="K13" s="151" t="s">
        <v>710</v>
      </c>
      <c r="L13" s="148" t="s">
        <v>2965</v>
      </c>
      <c r="M13" s="148" t="s">
        <v>859</v>
      </c>
    </row>
    <row r="14" spans="1:13" ht="18">
      <c r="A14" s="256"/>
      <c r="B14" s="148" t="s">
        <v>846</v>
      </c>
      <c r="C14" s="149" t="s">
        <v>760</v>
      </c>
      <c r="D14" s="149" t="s">
        <v>784</v>
      </c>
      <c r="E14" s="148" t="s">
        <v>711</v>
      </c>
      <c r="F14" s="148" t="s">
        <v>797</v>
      </c>
      <c r="G14" s="149" t="s">
        <v>798</v>
      </c>
      <c r="H14" s="148" t="s">
        <v>2953</v>
      </c>
      <c r="I14" s="148" t="s">
        <v>799</v>
      </c>
      <c r="J14" s="150" t="s">
        <v>800</v>
      </c>
      <c r="K14" s="151" t="s">
        <v>710</v>
      </c>
      <c r="L14" s="148" t="s">
        <v>2965</v>
      </c>
      <c r="M14" s="148" t="s">
        <v>859</v>
      </c>
    </row>
    <row r="15" spans="1:13" ht="18">
      <c r="A15" s="256"/>
      <c r="B15" s="148" t="s">
        <v>847</v>
      </c>
      <c r="C15" s="149" t="s">
        <v>2964</v>
      </c>
      <c r="D15" s="149" t="s">
        <v>795</v>
      </c>
      <c r="E15" s="148" t="s">
        <v>788</v>
      </c>
      <c r="F15" s="148" t="s">
        <v>801</v>
      </c>
      <c r="G15" s="149" t="s">
        <v>802</v>
      </c>
      <c r="H15" s="148" t="s">
        <v>803</v>
      </c>
      <c r="I15" s="148" t="s">
        <v>804</v>
      </c>
      <c r="J15" s="150" t="s">
        <v>2996</v>
      </c>
      <c r="K15" s="151" t="s">
        <v>710</v>
      </c>
      <c r="L15" s="148" t="s">
        <v>2965</v>
      </c>
      <c r="M15" s="148" t="s">
        <v>859</v>
      </c>
    </row>
    <row r="16" spans="1:13" ht="18">
      <c r="A16" s="256"/>
      <c r="B16" s="148" t="s">
        <v>847</v>
      </c>
      <c r="C16" s="149" t="s">
        <v>2964</v>
      </c>
      <c r="D16" s="149" t="s">
        <v>795</v>
      </c>
      <c r="E16" s="148" t="s">
        <v>788</v>
      </c>
      <c r="F16" s="148" t="s">
        <v>801</v>
      </c>
      <c r="G16" s="149" t="s">
        <v>805</v>
      </c>
      <c r="H16" s="148" t="s">
        <v>806</v>
      </c>
      <c r="I16" s="148" t="s">
        <v>804</v>
      </c>
      <c r="J16" s="150" t="s">
        <v>2997</v>
      </c>
      <c r="K16" s="151" t="s">
        <v>710</v>
      </c>
      <c r="L16" s="148" t="s">
        <v>2965</v>
      </c>
      <c r="M16" s="148" t="s">
        <v>859</v>
      </c>
    </row>
    <row r="17" spans="1:13" ht="18">
      <c r="A17" s="256"/>
      <c r="B17" s="148" t="s">
        <v>847</v>
      </c>
      <c r="C17" s="149" t="s">
        <v>2964</v>
      </c>
      <c r="D17" s="149" t="s">
        <v>795</v>
      </c>
      <c r="E17" s="148" t="s">
        <v>788</v>
      </c>
      <c r="F17" s="148" t="s">
        <v>801</v>
      </c>
      <c r="G17" s="149" t="s">
        <v>807</v>
      </c>
      <c r="H17" s="148" t="s">
        <v>808</v>
      </c>
      <c r="I17" s="148" t="s">
        <v>804</v>
      </c>
      <c r="J17" s="150" t="s">
        <v>809</v>
      </c>
      <c r="K17" s="151" t="s">
        <v>710</v>
      </c>
      <c r="L17" s="148" t="s">
        <v>2965</v>
      </c>
      <c r="M17" s="148" t="s">
        <v>859</v>
      </c>
    </row>
    <row r="18" spans="1:13" ht="18">
      <c r="A18" s="256"/>
      <c r="B18" s="148" t="s">
        <v>847</v>
      </c>
      <c r="C18" s="149" t="s">
        <v>2964</v>
      </c>
      <c r="D18" s="149" t="s">
        <v>795</v>
      </c>
      <c r="E18" s="148" t="s">
        <v>788</v>
      </c>
      <c r="F18" s="148"/>
      <c r="G18" s="149" t="s">
        <v>2966</v>
      </c>
      <c r="H18" s="148" t="s">
        <v>810</v>
      </c>
      <c r="I18" s="148" t="s">
        <v>804</v>
      </c>
      <c r="J18" s="150" t="s">
        <v>811</v>
      </c>
      <c r="K18" s="151" t="s">
        <v>710</v>
      </c>
      <c r="L18" s="148" t="s">
        <v>2965</v>
      </c>
      <c r="M18" s="148" t="s">
        <v>859</v>
      </c>
    </row>
    <row r="19" spans="1:13" ht="18">
      <c r="A19" s="256"/>
      <c r="B19" s="148" t="s">
        <v>847</v>
      </c>
      <c r="C19" s="149" t="s">
        <v>2964</v>
      </c>
      <c r="D19" s="149" t="s">
        <v>795</v>
      </c>
      <c r="E19" s="148" t="s">
        <v>788</v>
      </c>
      <c r="F19" s="148" t="s">
        <v>764</v>
      </c>
      <c r="G19" s="149" t="s">
        <v>812</v>
      </c>
      <c r="H19" s="148" t="s">
        <v>2381</v>
      </c>
      <c r="I19" s="148" t="s">
        <v>845</v>
      </c>
      <c r="J19" s="150" t="s">
        <v>813</v>
      </c>
      <c r="K19" s="151" t="s">
        <v>710</v>
      </c>
      <c r="L19" s="148" t="s">
        <v>2965</v>
      </c>
      <c r="M19" s="148" t="s">
        <v>859</v>
      </c>
    </row>
    <row r="20" spans="1:13" ht="18">
      <c r="A20" s="256"/>
      <c r="B20" s="148" t="s">
        <v>847</v>
      </c>
      <c r="C20" s="149" t="s">
        <v>2964</v>
      </c>
      <c r="D20" s="149" t="s">
        <v>795</v>
      </c>
      <c r="E20" s="148" t="s">
        <v>788</v>
      </c>
      <c r="F20" s="148" t="s">
        <v>801</v>
      </c>
      <c r="G20" s="149" t="s">
        <v>805</v>
      </c>
      <c r="H20" s="148" t="s">
        <v>814</v>
      </c>
      <c r="I20" s="148" t="s">
        <v>804</v>
      </c>
      <c r="J20" s="150" t="s">
        <v>2998</v>
      </c>
      <c r="K20" s="151" t="s">
        <v>710</v>
      </c>
      <c r="L20" s="148" t="s">
        <v>2965</v>
      </c>
      <c r="M20" s="148" t="s">
        <v>859</v>
      </c>
    </row>
    <row r="21" spans="1:13" ht="18">
      <c r="A21" s="256"/>
      <c r="B21" s="148" t="s">
        <v>847</v>
      </c>
      <c r="C21" s="149" t="s">
        <v>2964</v>
      </c>
      <c r="D21" s="149" t="s">
        <v>795</v>
      </c>
      <c r="E21" s="148" t="s">
        <v>710</v>
      </c>
      <c r="F21" s="148" t="s">
        <v>797</v>
      </c>
      <c r="G21" s="149" t="s">
        <v>798</v>
      </c>
      <c r="H21" s="148" t="s">
        <v>2945</v>
      </c>
      <c r="I21" s="148" t="s">
        <v>804</v>
      </c>
      <c r="J21" s="150" t="s">
        <v>2999</v>
      </c>
      <c r="K21" s="151" t="s">
        <v>710</v>
      </c>
      <c r="L21" s="148" t="s">
        <v>2965</v>
      </c>
      <c r="M21" s="148" t="s">
        <v>859</v>
      </c>
    </row>
    <row r="22" spans="1:13" ht="18">
      <c r="A22" s="256"/>
      <c r="B22" s="148" t="s">
        <v>847</v>
      </c>
      <c r="C22" s="149" t="s">
        <v>2964</v>
      </c>
      <c r="D22" s="149" t="s">
        <v>795</v>
      </c>
      <c r="E22" s="148" t="s">
        <v>789</v>
      </c>
      <c r="F22" s="148" t="s">
        <v>764</v>
      </c>
      <c r="G22" s="149" t="s">
        <v>812</v>
      </c>
      <c r="H22" s="148" t="s">
        <v>2398</v>
      </c>
      <c r="I22" s="148" t="s">
        <v>804</v>
      </c>
      <c r="J22" s="150" t="s">
        <v>815</v>
      </c>
      <c r="K22" s="151" t="s">
        <v>710</v>
      </c>
      <c r="L22" s="148" t="s">
        <v>2965</v>
      </c>
      <c r="M22" s="148" t="s">
        <v>859</v>
      </c>
    </row>
    <row r="23" spans="1:13" ht="18">
      <c r="A23" s="256"/>
      <c r="B23" s="152" t="s">
        <v>847</v>
      </c>
      <c r="C23" s="149" t="s">
        <v>2964</v>
      </c>
      <c r="D23" s="153" t="s">
        <v>795</v>
      </c>
      <c r="E23" s="152" t="s">
        <v>2954</v>
      </c>
      <c r="F23" s="152" t="s">
        <v>801</v>
      </c>
      <c r="G23" s="153" t="s">
        <v>805</v>
      </c>
      <c r="H23" s="152" t="s">
        <v>814</v>
      </c>
      <c r="I23" s="152" t="s">
        <v>804</v>
      </c>
      <c r="J23" s="154" t="s">
        <v>2998</v>
      </c>
      <c r="K23" s="155" t="s">
        <v>710</v>
      </c>
      <c r="L23" s="148" t="s">
        <v>2965</v>
      </c>
      <c r="M23" s="152" t="s">
        <v>859</v>
      </c>
    </row>
    <row r="24" spans="1:13" ht="18" customHeight="1">
      <c r="A24" s="255" t="s">
        <v>2960</v>
      </c>
      <c r="B24" s="165" t="s">
        <v>846</v>
      </c>
      <c r="C24" s="166" t="s">
        <v>794</v>
      </c>
      <c r="D24" s="166" t="s">
        <v>795</v>
      </c>
      <c r="E24" s="165" t="s">
        <v>787</v>
      </c>
      <c r="F24" s="165" t="s">
        <v>764</v>
      </c>
      <c r="G24" s="166" t="s">
        <v>796</v>
      </c>
      <c r="H24" s="165" t="s">
        <v>2604</v>
      </c>
      <c r="I24" s="165" t="s">
        <v>2604</v>
      </c>
      <c r="J24" s="150" t="s">
        <v>2995</v>
      </c>
      <c r="K24" s="168" t="s">
        <v>710</v>
      </c>
      <c r="L24" s="165" t="s">
        <v>764</v>
      </c>
      <c r="M24" s="165" t="s">
        <v>859</v>
      </c>
    </row>
    <row r="25" spans="1:13" ht="18">
      <c r="A25" s="255"/>
      <c r="B25" s="165" t="s">
        <v>846</v>
      </c>
      <c r="C25" s="166" t="s">
        <v>760</v>
      </c>
      <c r="D25" s="166" t="s">
        <v>784</v>
      </c>
      <c r="E25" s="165" t="s">
        <v>711</v>
      </c>
      <c r="F25" s="165" t="s">
        <v>797</v>
      </c>
      <c r="G25" s="166" t="s">
        <v>798</v>
      </c>
      <c r="H25" s="165" t="s">
        <v>2953</v>
      </c>
      <c r="I25" s="165" t="s">
        <v>799</v>
      </c>
      <c r="J25" s="150" t="s">
        <v>800</v>
      </c>
      <c r="K25" s="168" t="s">
        <v>710</v>
      </c>
      <c r="L25" s="165" t="s">
        <v>764</v>
      </c>
      <c r="M25" s="165" t="s">
        <v>859</v>
      </c>
    </row>
    <row r="26" spans="1:13" ht="18">
      <c r="A26" s="255"/>
      <c r="B26" s="165" t="s">
        <v>847</v>
      </c>
      <c r="C26" s="166" t="s">
        <v>794</v>
      </c>
      <c r="D26" s="166" t="s">
        <v>795</v>
      </c>
      <c r="E26" s="165" t="s">
        <v>788</v>
      </c>
      <c r="F26" s="165" t="s">
        <v>801</v>
      </c>
      <c r="G26" s="166" t="s">
        <v>802</v>
      </c>
      <c r="H26" s="165" t="s">
        <v>803</v>
      </c>
      <c r="I26" s="165" t="s">
        <v>804</v>
      </c>
      <c r="J26" s="150" t="s">
        <v>2996</v>
      </c>
      <c r="K26" s="168" t="s">
        <v>710</v>
      </c>
      <c r="L26" s="165" t="s">
        <v>764</v>
      </c>
      <c r="M26" s="165" t="s">
        <v>859</v>
      </c>
    </row>
    <row r="27" spans="1:13" ht="18">
      <c r="A27" s="255"/>
      <c r="B27" s="165" t="s">
        <v>847</v>
      </c>
      <c r="C27" s="166" t="s">
        <v>794</v>
      </c>
      <c r="D27" s="166" t="s">
        <v>795</v>
      </c>
      <c r="E27" s="165" t="s">
        <v>788</v>
      </c>
      <c r="F27" s="165" t="s">
        <v>2950</v>
      </c>
      <c r="G27" s="166" t="s">
        <v>2951</v>
      </c>
      <c r="H27" s="165" t="s">
        <v>806</v>
      </c>
      <c r="I27" s="165" t="s">
        <v>804</v>
      </c>
      <c r="J27" s="150" t="s">
        <v>2997</v>
      </c>
      <c r="K27" s="168" t="s">
        <v>710</v>
      </c>
      <c r="L27" s="165" t="s">
        <v>764</v>
      </c>
      <c r="M27" s="165" t="s">
        <v>859</v>
      </c>
    </row>
    <row r="28" spans="1:13" ht="18">
      <c r="A28" s="255"/>
      <c r="B28" s="165" t="s">
        <v>847</v>
      </c>
      <c r="C28" s="166" t="s">
        <v>794</v>
      </c>
      <c r="D28" s="166" t="s">
        <v>795</v>
      </c>
      <c r="E28" s="165" t="s">
        <v>788</v>
      </c>
      <c r="F28" s="165" t="s">
        <v>801</v>
      </c>
      <c r="G28" s="166" t="s">
        <v>807</v>
      </c>
      <c r="H28" s="165" t="s">
        <v>808</v>
      </c>
      <c r="I28" s="165" t="s">
        <v>804</v>
      </c>
      <c r="J28" s="150" t="s">
        <v>809</v>
      </c>
      <c r="K28" s="168" t="s">
        <v>710</v>
      </c>
      <c r="L28" s="165" t="s">
        <v>764</v>
      </c>
      <c r="M28" s="165" t="s">
        <v>859</v>
      </c>
    </row>
    <row r="29" spans="1:13" ht="18">
      <c r="A29" s="255"/>
      <c r="B29" s="165" t="s">
        <v>847</v>
      </c>
      <c r="C29" s="166" t="s">
        <v>794</v>
      </c>
      <c r="D29" s="166" t="s">
        <v>795</v>
      </c>
      <c r="E29" s="165" t="s">
        <v>788</v>
      </c>
      <c r="F29" s="165" t="s">
        <v>801</v>
      </c>
      <c r="G29" s="166" t="s">
        <v>807</v>
      </c>
      <c r="H29" s="165" t="s">
        <v>810</v>
      </c>
      <c r="I29" s="165" t="s">
        <v>804</v>
      </c>
      <c r="J29" s="150" t="s">
        <v>811</v>
      </c>
      <c r="K29" s="168" t="s">
        <v>710</v>
      </c>
      <c r="L29" s="165" t="s">
        <v>764</v>
      </c>
      <c r="M29" s="165" t="s">
        <v>859</v>
      </c>
    </row>
    <row r="30" spans="1:13" ht="18">
      <c r="A30" s="255"/>
      <c r="B30" s="165" t="s">
        <v>847</v>
      </c>
      <c r="C30" s="166" t="s">
        <v>794</v>
      </c>
      <c r="D30" s="166" t="s">
        <v>795</v>
      </c>
      <c r="E30" s="165" t="s">
        <v>788</v>
      </c>
      <c r="F30" s="165" t="s">
        <v>764</v>
      </c>
      <c r="G30" s="166" t="s">
        <v>812</v>
      </c>
      <c r="H30" s="165" t="s">
        <v>2381</v>
      </c>
      <c r="I30" s="165" t="s">
        <v>845</v>
      </c>
      <c r="J30" s="150" t="s">
        <v>813</v>
      </c>
      <c r="K30" s="168" t="s">
        <v>710</v>
      </c>
      <c r="L30" s="165" t="s">
        <v>764</v>
      </c>
      <c r="M30" s="165" t="s">
        <v>859</v>
      </c>
    </row>
    <row r="31" spans="1:13" ht="18">
      <c r="A31" s="255"/>
      <c r="B31" s="165" t="s">
        <v>847</v>
      </c>
      <c r="C31" s="166" t="s">
        <v>794</v>
      </c>
      <c r="D31" s="166" t="s">
        <v>795</v>
      </c>
      <c r="E31" s="165" t="s">
        <v>788</v>
      </c>
      <c r="F31" s="165" t="s">
        <v>801</v>
      </c>
      <c r="G31" s="166" t="s">
        <v>805</v>
      </c>
      <c r="H31" s="165" t="s">
        <v>814</v>
      </c>
      <c r="I31" s="165" t="s">
        <v>804</v>
      </c>
      <c r="J31" s="150" t="s">
        <v>2998</v>
      </c>
      <c r="K31" s="168" t="s">
        <v>710</v>
      </c>
      <c r="L31" s="165" t="s">
        <v>764</v>
      </c>
      <c r="M31" s="165" t="s">
        <v>859</v>
      </c>
    </row>
    <row r="32" spans="1:13" ht="18">
      <c r="A32" s="255"/>
      <c r="B32" s="165" t="s">
        <v>847</v>
      </c>
      <c r="C32" s="166" t="s">
        <v>794</v>
      </c>
      <c r="D32" s="166" t="s">
        <v>795</v>
      </c>
      <c r="E32" s="165" t="s">
        <v>788</v>
      </c>
      <c r="F32" s="165" t="s">
        <v>2950</v>
      </c>
      <c r="G32" s="166" t="s">
        <v>2951</v>
      </c>
      <c r="H32" s="165" t="s">
        <v>2945</v>
      </c>
      <c r="I32" s="165" t="s">
        <v>804</v>
      </c>
      <c r="J32" s="150" t="s">
        <v>2999</v>
      </c>
      <c r="K32" s="168" t="s">
        <v>710</v>
      </c>
      <c r="L32" s="165" t="s">
        <v>764</v>
      </c>
      <c r="M32" s="165" t="s">
        <v>859</v>
      </c>
    </row>
    <row r="33" spans="1:13" ht="18">
      <c r="A33" s="255"/>
      <c r="B33" s="165" t="s">
        <v>847</v>
      </c>
      <c r="C33" s="166" t="s">
        <v>794</v>
      </c>
      <c r="D33" s="166" t="s">
        <v>795</v>
      </c>
      <c r="E33" s="165" t="s">
        <v>789</v>
      </c>
      <c r="F33" s="165" t="s">
        <v>764</v>
      </c>
      <c r="G33" s="166" t="s">
        <v>812</v>
      </c>
      <c r="H33" s="165" t="s">
        <v>2398</v>
      </c>
      <c r="I33" s="165" t="s">
        <v>804</v>
      </c>
      <c r="J33" s="150" t="s">
        <v>815</v>
      </c>
      <c r="K33" s="168" t="s">
        <v>710</v>
      </c>
      <c r="L33" s="165" t="s">
        <v>764</v>
      </c>
      <c r="M33" s="165" t="s">
        <v>859</v>
      </c>
    </row>
    <row r="34" spans="1:13" ht="18">
      <c r="A34" s="255"/>
      <c r="B34" s="169" t="s">
        <v>847</v>
      </c>
      <c r="C34" s="170" t="s">
        <v>794</v>
      </c>
      <c r="D34" s="170" t="s">
        <v>795</v>
      </c>
      <c r="E34" s="169" t="s">
        <v>2954</v>
      </c>
      <c r="F34" s="169" t="s">
        <v>801</v>
      </c>
      <c r="G34" s="170" t="s">
        <v>805</v>
      </c>
      <c r="H34" s="169" t="s">
        <v>814</v>
      </c>
      <c r="I34" s="169" t="s">
        <v>804</v>
      </c>
      <c r="J34" s="154" t="s">
        <v>2998</v>
      </c>
      <c r="K34" s="171" t="s">
        <v>710</v>
      </c>
      <c r="L34" s="169" t="s">
        <v>764</v>
      </c>
      <c r="M34" s="169" t="s">
        <v>859</v>
      </c>
    </row>
  </sheetData>
  <mergeCells count="3">
    <mergeCell ref="A2:A12"/>
    <mergeCell ref="A13:A23"/>
    <mergeCell ref="A24:A34"/>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05AA5-A3B8-4AE1-BADD-09DC2F355FE0}">
  <sheetPr codeName="Hoja9">
    <tabColor rgb="FFFFFF00"/>
  </sheetPr>
  <dimension ref="A1:AJ59"/>
  <sheetViews>
    <sheetView tabSelected="1" workbookViewId="0">
      <selection activeCell="AF25" sqref="AF25"/>
    </sheetView>
  </sheetViews>
  <sheetFormatPr baseColWidth="10" defaultColWidth="11.375" defaultRowHeight="13.5"/>
  <cols>
    <col min="1" max="26" width="3.625" style="4" customWidth="1"/>
    <col min="27" max="27" width="4.625" style="4" customWidth="1"/>
    <col min="28" max="28" width="11.375" style="26"/>
    <col min="29" max="29" width="11.375" style="4"/>
    <col min="30" max="30" width="15.375" style="4" bestFit="1" customWidth="1"/>
    <col min="31" max="31" width="11.625" style="4" bestFit="1" customWidth="1"/>
    <col min="32" max="32" width="11.375" style="4"/>
    <col min="33" max="33" width="14.625" style="4" bestFit="1" customWidth="1"/>
    <col min="34" max="16384" width="11.375" style="4"/>
  </cols>
  <sheetData>
    <row r="1" spans="1:36" ht="29.25" customHeight="1">
      <c r="J1" s="353" t="s">
        <v>683</v>
      </c>
      <c r="K1" s="353"/>
      <c r="L1" s="353"/>
      <c r="M1" s="353"/>
      <c r="N1" s="353"/>
      <c r="O1" s="353"/>
      <c r="P1" s="353"/>
      <c r="Q1" s="353"/>
      <c r="R1" s="353"/>
      <c r="S1" s="353"/>
      <c r="AB1" s="282" t="s">
        <v>714</v>
      </c>
      <c r="AC1" s="282"/>
      <c r="AD1" s="283" t="s">
        <v>691</v>
      </c>
      <c r="AE1" s="283"/>
      <c r="AF1" s="283"/>
      <c r="AJ1" s="257" t="s">
        <v>2507</v>
      </c>
    </row>
    <row r="2" spans="1:36" ht="17.25" customHeight="1">
      <c r="A2" s="354" t="str">
        <f>CONCATENATE(AD1,"（以下、「甲」という）とユニバーサル企画株式会社（以下、「乙」という）間で締結された労働者派遣基本契約書の定めに従い、次の派遣要件に基づき労働者派遣契約書を締結する。")</f>
        <v>高雄工業株式会社（以下、「甲」という）とユニバーサル企画株式会社（以下、「乙」という）間で締結された労働者派遣基本契約書の定めに従い、次の派遣要件に基づき労働者派遣契約書を締結する。</v>
      </c>
      <c r="B2" s="354"/>
      <c r="C2" s="354"/>
      <c r="D2" s="354"/>
      <c r="E2" s="354"/>
      <c r="F2" s="354"/>
      <c r="G2" s="354"/>
      <c r="H2" s="354"/>
      <c r="I2" s="354"/>
      <c r="J2" s="354"/>
      <c r="K2" s="354"/>
      <c r="L2" s="354"/>
      <c r="M2" s="354"/>
      <c r="N2" s="354"/>
      <c r="O2" s="354"/>
      <c r="P2" s="354"/>
      <c r="Q2" s="354"/>
      <c r="R2" s="354"/>
      <c r="S2" s="354"/>
      <c r="T2" s="354"/>
      <c r="U2" s="354"/>
      <c r="V2" s="354"/>
      <c r="W2" s="354"/>
      <c r="X2" s="354"/>
      <c r="Y2" s="354"/>
      <c r="Z2" s="354"/>
      <c r="AA2" s="354"/>
      <c r="AB2" s="282" t="s">
        <v>753</v>
      </c>
      <c r="AC2" s="282"/>
      <c r="AD2" s="284"/>
      <c r="AE2" s="284"/>
      <c r="AF2" s="284"/>
      <c r="AG2" s="349" t="s">
        <v>3032</v>
      </c>
      <c r="AH2" s="350"/>
      <c r="AI2" s="350"/>
      <c r="AJ2" s="257"/>
    </row>
    <row r="3" spans="1:36" ht="17.25" customHeight="1">
      <c r="A3" s="354"/>
      <c r="B3" s="354"/>
      <c r="C3" s="354"/>
      <c r="D3" s="354"/>
      <c r="E3" s="354"/>
      <c r="F3" s="354"/>
      <c r="G3" s="354"/>
      <c r="H3" s="354"/>
      <c r="I3" s="354"/>
      <c r="J3" s="354"/>
      <c r="K3" s="354"/>
      <c r="L3" s="354"/>
      <c r="M3" s="354"/>
      <c r="N3" s="354"/>
      <c r="O3" s="354"/>
      <c r="P3" s="354"/>
      <c r="Q3" s="354"/>
      <c r="R3" s="354"/>
      <c r="S3" s="354"/>
      <c r="T3" s="354"/>
      <c r="U3" s="354"/>
      <c r="V3" s="354"/>
      <c r="W3" s="354"/>
      <c r="X3" s="354"/>
      <c r="Y3" s="354"/>
      <c r="Z3" s="354"/>
      <c r="AA3" s="354"/>
      <c r="AD3" s="264">
        <f>IF(AND(H16&gt;=DATE(2021,1,25),H16&lt;=DATE(2021,8,15)),DATE(2020,10,1),IF(AND(H16&gt;=DATE(2021,8,17),H16&lt;=DATE(2021,9,30)),DATE(2021,8,16),IF(AND(H16&gt;=DATE(2021,10,1),H16&lt;=DATE(2022,3,15)),DATE(2021,10,1),IF(AND(H16&gt;=DATE(2022,3,16),H16&lt;=DATE(2022,9,30)),DATE(2022,3,16),IF(AND(H16&gt;=DATE(2022,10,1),H16&lt;=DATE(2023,10,1)),DATE(2022,10,1))))))</f>
        <v>44835</v>
      </c>
      <c r="AE3" s="264"/>
      <c r="AF3" s="264"/>
      <c r="AG3" s="246">
        <f>IF(AND(H16&gt;=DATE(2021,10,1),P16&lt;=DATE(2022,9,30)),DATE(2022,3,16),FECHADE)</f>
        <v>44835</v>
      </c>
      <c r="AJ3" s="257"/>
    </row>
    <row r="4" spans="1:36" ht="15.75" customHeight="1">
      <c r="A4" s="302" t="s">
        <v>23</v>
      </c>
      <c r="B4" s="302"/>
      <c r="C4" s="288" t="s">
        <v>714</v>
      </c>
      <c r="D4" s="288"/>
      <c r="E4" s="288"/>
      <c r="F4" s="288"/>
      <c r="G4" s="288"/>
      <c r="H4" s="5" t="s">
        <v>741</v>
      </c>
      <c r="I4" s="276" t="str">
        <f>Fabrica</f>
        <v>高雄工業株式会社</v>
      </c>
      <c r="J4" s="276"/>
      <c r="K4" s="276"/>
      <c r="L4" s="276"/>
      <c r="M4" s="276"/>
      <c r="N4" s="276"/>
      <c r="O4" s="275" t="s">
        <v>740</v>
      </c>
      <c r="P4" s="275"/>
      <c r="Q4" s="276" t="str" cm="1">
        <f t="array" ref="Q4">_xlfn.XLOOKUP(Fabrica&amp;FECHADE,KanriDaichou[派遣先事業所]&amp;KanriDaichou[DATEIF],KanriDaichou[派遣先事業所住所],"",0,1)</f>
        <v>愛知県弥富市楠三丁目13番地2</v>
      </c>
      <c r="R4" s="276"/>
      <c r="S4" s="276"/>
      <c r="T4" s="276"/>
      <c r="U4" s="276"/>
      <c r="V4" s="276"/>
      <c r="W4" s="276"/>
      <c r="X4" s="6" t="s">
        <v>742</v>
      </c>
      <c r="Y4" s="275" t="str" cm="1">
        <f t="array" ref="Y4">_xlfn.XLOOKUP(Fabrica&amp;FECHADE,KanriDaichou[派遣先事業所]&amp;KanriDaichou[DATEIF],KanriDaichou[派遣先事業所TEL],"",0,1)</f>
        <v>0567-68-8110</v>
      </c>
      <c r="Z4" s="275"/>
      <c r="AA4" s="277"/>
      <c r="AB4" s="351" t="s">
        <v>684</v>
      </c>
      <c r="AC4" s="352"/>
      <c r="AD4" s="279"/>
      <c r="AE4" s="280"/>
      <c r="AF4" s="281"/>
      <c r="AJ4" s="257"/>
    </row>
    <row r="5" spans="1:36" ht="15.75" customHeight="1">
      <c r="A5" s="302"/>
      <c r="B5" s="302"/>
      <c r="C5" s="288" t="s">
        <v>715</v>
      </c>
      <c r="D5" s="288"/>
      <c r="E5" s="288"/>
      <c r="F5" s="288"/>
      <c r="G5" s="288"/>
      <c r="H5" s="5" t="s">
        <v>741</v>
      </c>
      <c r="I5" s="276" t="str">
        <f>AD1&amp;" "&amp;JIGYOUSHO</f>
        <v xml:space="preserve">高雄工業株式会社 </v>
      </c>
      <c r="J5" s="276"/>
      <c r="K5" s="276"/>
      <c r="L5" s="276"/>
      <c r="M5" s="276"/>
      <c r="N5" s="276"/>
      <c r="O5" s="275" t="s">
        <v>740</v>
      </c>
      <c r="P5" s="275"/>
      <c r="Q5" s="356" t="str" cm="1">
        <f t="array" ref="Q5">_xlfn.XLOOKUP(KOUJYOU&amp;FECHADE,KanriDaichou[派遣先工場]&amp;KanriDaichou[DATEIF],KanriDaichou[就業場所住所],"",0,1)</f>
        <v/>
      </c>
      <c r="R5" s="356"/>
      <c r="S5" s="356"/>
      <c r="T5" s="356"/>
      <c r="U5" s="356"/>
      <c r="V5" s="356"/>
      <c r="W5" s="356"/>
      <c r="X5" s="6" t="s">
        <v>742</v>
      </c>
      <c r="Y5" s="275" t="str" cm="1">
        <f t="array" ref="Y5">_xlfn.XLOOKUP(KOUJYOU&amp;FECHADE,KanriDaichou[派遣先工場]&amp;KanriDaichou[DATEIF],KanriDaichou[就業場所TEL],"",0,1)</f>
        <v/>
      </c>
      <c r="Z5" s="275"/>
      <c r="AA5" s="277"/>
      <c r="AB5" s="351" t="s">
        <v>688</v>
      </c>
      <c r="AC5" s="352"/>
      <c r="AD5" s="279"/>
      <c r="AE5" s="280"/>
      <c r="AF5" s="281"/>
      <c r="AJ5" s="257"/>
    </row>
    <row r="6" spans="1:36" ht="15.75" customHeight="1">
      <c r="A6" s="302"/>
      <c r="B6" s="302"/>
      <c r="C6" s="288" t="s">
        <v>716</v>
      </c>
      <c r="D6" s="288"/>
      <c r="E6" s="288"/>
      <c r="F6" s="288"/>
      <c r="G6" s="288"/>
      <c r="H6" s="278">
        <f>_xlfn.XLOOKUP(AD6,KanriDaichou[配属係],KanriDaichou[製作課],"",0,1)</f>
        <v>0</v>
      </c>
      <c r="I6" s="275"/>
      <c r="J6" s="275"/>
      <c r="K6" s="275"/>
      <c r="L6" s="275" t="s">
        <v>860</v>
      </c>
      <c r="M6" s="275"/>
      <c r="N6" s="9"/>
      <c r="O6" s="278" t="s">
        <v>2286</v>
      </c>
      <c r="P6" s="277"/>
      <c r="Q6" s="262" t="str" cm="1">
        <f t="array" ref="Q6">_xlfn.XLOOKUP(Linea&amp;FECHADE,KanriDaichou[配属係]&amp;KanriDaichou[DATEIF],KanriDaichou[抵触日],"",0,1)</f>
        <v/>
      </c>
      <c r="R6" s="262"/>
      <c r="S6" s="262"/>
      <c r="T6" s="262"/>
      <c r="U6" s="262"/>
      <c r="V6" s="262"/>
      <c r="W6" s="262"/>
      <c r="X6" s="9"/>
      <c r="Y6" s="9"/>
      <c r="Z6" s="9"/>
      <c r="AA6" s="10"/>
      <c r="AC6" s="4" t="s">
        <v>2367</v>
      </c>
      <c r="AD6" s="258"/>
      <c r="AE6" s="259"/>
      <c r="AF6" s="260"/>
      <c r="AG6" s="332"/>
      <c r="AH6" s="333"/>
      <c r="AI6" s="333"/>
      <c r="AJ6" s="257"/>
    </row>
    <row r="7" spans="1:36" ht="15.75" customHeight="1" thickBot="1">
      <c r="A7" s="302"/>
      <c r="B7" s="302"/>
      <c r="C7" s="288" t="s">
        <v>717</v>
      </c>
      <c r="D7" s="288"/>
      <c r="E7" s="288"/>
      <c r="F7" s="288"/>
      <c r="G7" s="288"/>
      <c r="H7" s="278" t="s">
        <v>856</v>
      </c>
      <c r="I7" s="275"/>
      <c r="J7" s="276" t="str" cm="1">
        <f t="array" ref="J7">_xlfn.XLOOKUP(Linea&amp;FECHADE,KanriDaichou[配属係]&amp;KanriDaichou[DATEIF],KanriDaichou[派遣先工場]&amp;" "&amp;KanriDaichou[製作課],"",0,1)</f>
        <v/>
      </c>
      <c r="K7" s="276"/>
      <c r="L7" s="276"/>
      <c r="M7" s="276"/>
      <c r="N7" s="276"/>
      <c r="O7" s="275" t="s">
        <v>857</v>
      </c>
      <c r="P7" s="275"/>
      <c r="Q7" s="276" t="e" cm="1">
        <f t="array" ref="Q7">_xlfn.XLOOKUP(Linea&amp;FECHADE,KanriDaichou[配属係]&amp;KanriDaichou[DATEIF],KanriDaichou[指示命令者役職]&amp;" "&amp;KanriDaichou[指示命令者])</f>
        <v>#N/A</v>
      </c>
      <c r="R7" s="276"/>
      <c r="S7" s="276"/>
      <c r="T7" s="276"/>
      <c r="U7" s="276"/>
      <c r="V7" s="276"/>
      <c r="W7" s="276"/>
      <c r="X7" s="6" t="s">
        <v>742</v>
      </c>
      <c r="Y7" s="275" t="str" cm="1">
        <f t="array" ref="Y7">_xlfn.XLOOKUP(Linea&amp;FECHADE,KanriDaichou[配属係]&amp;KanriDaichou[DATEIF],KanriDaichou[就業場所TEL],"",0,1)</f>
        <v/>
      </c>
      <c r="Z7" s="275"/>
      <c r="AA7" s="277"/>
      <c r="AC7" s="59" t="s">
        <v>920</v>
      </c>
      <c r="AD7" s="265"/>
      <c r="AE7" s="266"/>
      <c r="AF7" s="266"/>
      <c r="AG7" s="332">
        <v>1650</v>
      </c>
      <c r="AH7" s="333"/>
      <c r="AI7" s="333"/>
      <c r="AJ7" s="257"/>
    </row>
    <row r="8" spans="1:36" ht="15.75" customHeight="1" thickBot="1">
      <c r="A8" s="302"/>
      <c r="B8" s="302"/>
      <c r="C8" s="288" t="s">
        <v>718</v>
      </c>
      <c r="D8" s="288"/>
      <c r="E8" s="288"/>
      <c r="F8" s="288"/>
      <c r="G8" s="288"/>
      <c r="H8" s="278" t="s">
        <v>856</v>
      </c>
      <c r="I8" s="275"/>
      <c r="J8" s="276" t="str" cm="1">
        <f t="array" ref="J8">_xlfn.XLOOKUP(JIGYOUSHO&amp;FECHADE,KanriDaichou[就業場所名称]&amp;KanriDaichou[DATEIF],KanriDaichou[就業場所名称],"",0,1)</f>
        <v/>
      </c>
      <c r="K8" s="276"/>
      <c r="L8" s="276"/>
      <c r="M8" s="276"/>
      <c r="N8" s="276"/>
      <c r="O8" s="275" t="s">
        <v>857</v>
      </c>
      <c r="P8" s="275"/>
      <c r="Q8" s="276" t="e" cm="1">
        <f t="array" ref="Q8">_xlfn.XLOOKUP(Linea&amp;FECHADE,KanriDaichou[配属係]&amp;KanriDaichou[DATEIF],KanriDaichou[派遣先責任者役職]&amp;" "&amp;KanriDaichou[派遣先責任者])</f>
        <v>#N/A</v>
      </c>
      <c r="R8" s="276"/>
      <c r="S8" s="276"/>
      <c r="T8" s="276"/>
      <c r="U8" s="276"/>
      <c r="V8" s="276"/>
      <c r="W8" s="276"/>
      <c r="X8" s="6" t="s">
        <v>742</v>
      </c>
      <c r="Y8" s="275" t="str" cm="1">
        <f t="array" ref="Y8">_xlfn.XLOOKUP(Linea&amp;FECHADE,KanriDaichou[配属係]&amp;KanriDaichou[DATEIF],KanriDaichou[就業場所TEL],"",0,1)</f>
        <v/>
      </c>
      <c r="Z8" s="275"/>
      <c r="AA8" s="277"/>
      <c r="AD8" s="102" t="s">
        <v>3016</v>
      </c>
      <c r="AE8" s="99" t="s">
        <v>2508</v>
      </c>
      <c r="AF8" s="124" t="s">
        <v>2629</v>
      </c>
    </row>
    <row r="9" spans="1:36" ht="15.75" customHeight="1" thickBot="1">
      <c r="A9" s="302"/>
      <c r="B9" s="302"/>
      <c r="C9" s="288" t="s">
        <v>719</v>
      </c>
      <c r="D9" s="288"/>
      <c r="E9" s="288"/>
      <c r="F9" s="288"/>
      <c r="G9" s="288"/>
      <c r="H9" s="278" t="s">
        <v>856</v>
      </c>
      <c r="I9" s="275"/>
      <c r="J9" s="276" t="str" cm="1">
        <f t="array" ref="J9">_xlfn.XLOOKUP(JIGYOUSHO&amp;FECHADE,KanriDaichou[就業場所名称]&amp;KanriDaichou[DATEIF],KanriDaichou[苦情　派遣先（部署)],"",0,1)</f>
        <v/>
      </c>
      <c r="K9" s="276"/>
      <c r="L9" s="276"/>
      <c r="M9" s="276"/>
      <c r="N9" s="276"/>
      <c r="O9" s="275" t="s">
        <v>857</v>
      </c>
      <c r="P9" s="275"/>
      <c r="Q9" s="276" t="str" cm="1">
        <f t="array" ref="Q9">_xlfn.XLOOKUP(JIGYOUSHO&amp;FECHADE,KanriDaichou[就業場所名称]&amp;KanriDaichou[DATEIF],KanriDaichou[苦情　派遣先（役職)]&amp;" "&amp;KanriDaichou[苦情　派遣先（氏名)],"",0,1)</f>
        <v/>
      </c>
      <c r="R9" s="276"/>
      <c r="S9" s="276"/>
      <c r="T9" s="276"/>
      <c r="U9" s="276"/>
      <c r="V9" s="276"/>
      <c r="W9" s="276"/>
      <c r="X9" s="6" t="s">
        <v>742</v>
      </c>
      <c r="Y9" s="275" t="str" cm="1">
        <f t="array" ref="Y9">_xlfn.XLOOKUP(JIGYOUSHO&amp;FECHADE,KanriDaichou[就業場所名称]&amp;KanriDaichou[DATEIF],KanriDaichou[苦情　派遣先（電話番号)],"",0,1)</f>
        <v/>
      </c>
      <c r="Z9" s="275"/>
      <c r="AA9" s="277"/>
      <c r="AB9" s="4"/>
      <c r="AC9" s="4" t="s">
        <v>2501</v>
      </c>
      <c r="AD9" s="119">
        <f>EDATE("2021/10/1",AE9)</f>
        <v>45017</v>
      </c>
      <c r="AE9" s="4">
        <f>IF(AE10=0,0,IF(AE10=-1,-12,IF(AE10=1,12,IF(AE10=2,24,IF(AE10=3,36,IF(AE10=0.4,18))))))</f>
        <v>18</v>
      </c>
    </row>
    <row r="10" spans="1:36" ht="15.75" customHeight="1" thickBot="1">
      <c r="A10" s="355" t="s">
        <v>712</v>
      </c>
      <c r="B10" s="355"/>
      <c r="C10" s="288" t="s">
        <v>720</v>
      </c>
      <c r="D10" s="288"/>
      <c r="E10" s="288"/>
      <c r="F10" s="288"/>
      <c r="G10" s="288"/>
      <c r="H10" s="278" t="s">
        <v>856</v>
      </c>
      <c r="I10" s="275"/>
      <c r="J10" s="276" t="str" cm="1">
        <f t="array" ref="J10">_xlfn.XLOOKUP(JIGYOUSHO&amp;FECHADE,KanriDaichou[就業場所名称]&amp;KanriDaichou[DATEIF],KanriDaichou[苦情　派遣元（部署)],"",0,1)</f>
        <v/>
      </c>
      <c r="K10" s="276"/>
      <c r="L10" s="276"/>
      <c r="M10" s="276"/>
      <c r="N10" s="276"/>
      <c r="O10" s="275" t="s">
        <v>857</v>
      </c>
      <c r="P10" s="275"/>
      <c r="Q10" s="276" t="str" cm="1">
        <f t="array" ref="Q10">_xlfn.XLOOKUP(JIGYOUSHO&amp;FECHADE,KanriDaichou[就業場所名称]&amp;KanriDaichou[DATEIF],KanriDaichou[苦情　派遣元（役職)]&amp;" "&amp;KanriDaichou[苦情　派遣元（氏名)],"",0,1)</f>
        <v/>
      </c>
      <c r="R10" s="276"/>
      <c r="S10" s="276"/>
      <c r="T10" s="276"/>
      <c r="U10" s="276"/>
      <c r="V10" s="276"/>
      <c r="W10" s="276"/>
      <c r="X10" s="6" t="s">
        <v>742</v>
      </c>
      <c r="Y10" s="275" t="str" cm="1">
        <f t="array" ref="Y10">_xlfn.XLOOKUP(JIGYOUSHO&amp;AD3,KanriDaichou[就業場所名称]&amp;KanriDaichou[DATEIF],KanriDaichou[苦情　派遣元（電話番号)],"",0,1)</f>
        <v/>
      </c>
      <c r="Z10" s="275"/>
      <c r="AA10" s="277"/>
      <c r="AC10" s="4" t="s">
        <v>2500</v>
      </c>
      <c r="AD10" s="4" t="b">
        <f>IF(AE10=-1,0,IF(AE10=0,12,IF(AE10=1,24,IF(AE10=2,36,IF(AE10=3,48)))))</f>
        <v>0</v>
      </c>
      <c r="AE10" s="101">
        <v>0.4</v>
      </c>
      <c r="AG10" s="4" t="s">
        <v>2510</v>
      </c>
      <c r="AH10" s="101">
        <v>2</v>
      </c>
    </row>
    <row r="11" spans="1:36" ht="15.75" customHeight="1">
      <c r="A11" s="355"/>
      <c r="B11" s="355"/>
      <c r="C11" s="288" t="s">
        <v>719</v>
      </c>
      <c r="D11" s="288"/>
      <c r="E11" s="288"/>
      <c r="F11" s="288"/>
      <c r="G11" s="288"/>
      <c r="H11" s="278" t="s">
        <v>856</v>
      </c>
      <c r="I11" s="275"/>
      <c r="J11" s="276" t="s">
        <v>853</v>
      </c>
      <c r="K11" s="276"/>
      <c r="L11" s="276"/>
      <c r="M11" s="276"/>
      <c r="N11" s="276"/>
      <c r="O11" s="275" t="s">
        <v>857</v>
      </c>
      <c r="P11" s="275"/>
      <c r="Q11" s="276" t="s">
        <v>915</v>
      </c>
      <c r="R11" s="276"/>
      <c r="S11" s="276"/>
      <c r="T11" s="276"/>
      <c r="U11" s="276"/>
      <c r="V11" s="276"/>
      <c r="W11" s="276"/>
      <c r="X11" s="6" t="s">
        <v>742</v>
      </c>
      <c r="Y11" s="275" t="s">
        <v>854</v>
      </c>
      <c r="Z11" s="275"/>
      <c r="AA11" s="277"/>
    </row>
    <row r="12" spans="1:36">
      <c r="A12" s="302" t="s">
        <v>713</v>
      </c>
      <c r="B12" s="302"/>
      <c r="C12" s="298" t="s">
        <v>721</v>
      </c>
      <c r="D12" s="299"/>
      <c r="E12" s="299"/>
      <c r="F12" s="299"/>
      <c r="G12" s="299"/>
      <c r="H12" s="11"/>
      <c r="I12" s="12"/>
      <c r="J12" s="12"/>
      <c r="K12" s="12"/>
      <c r="L12" s="12"/>
      <c r="M12" s="12"/>
      <c r="N12" s="12"/>
      <c r="O12" s="12"/>
      <c r="P12" s="12"/>
      <c r="Q12" s="12"/>
      <c r="R12" s="12"/>
      <c r="S12" s="12"/>
      <c r="T12" s="12"/>
      <c r="U12" s="12"/>
      <c r="V12" s="12"/>
      <c r="W12" s="12"/>
      <c r="X12" s="12"/>
      <c r="Y12" s="12"/>
      <c r="Z12" s="12"/>
      <c r="AA12" s="13"/>
    </row>
    <row r="13" spans="1:36">
      <c r="A13" s="302"/>
      <c r="B13" s="302"/>
      <c r="C13" s="298"/>
      <c r="D13" s="299"/>
      <c r="E13" s="299"/>
      <c r="F13" s="299"/>
      <c r="G13" s="299"/>
      <c r="H13" s="14"/>
      <c r="I13" s="15"/>
      <c r="J13" s="15"/>
      <c r="K13" s="15"/>
      <c r="L13" s="15"/>
      <c r="M13" s="15"/>
      <c r="N13" s="15"/>
      <c r="O13" s="15"/>
      <c r="P13" s="15"/>
      <c r="Q13" s="15"/>
      <c r="R13" s="15"/>
      <c r="S13" s="15"/>
      <c r="T13" s="15"/>
      <c r="U13" s="15"/>
      <c r="V13" s="15"/>
      <c r="W13" s="15"/>
      <c r="X13" s="15"/>
      <c r="Y13" s="15"/>
      <c r="Z13" s="15"/>
      <c r="AA13" s="16"/>
    </row>
    <row r="14" spans="1:36" ht="18.75" customHeight="1">
      <c r="A14" s="302"/>
      <c r="B14" s="302"/>
      <c r="C14" s="297" t="s">
        <v>722</v>
      </c>
      <c r="D14" s="288"/>
      <c r="E14" s="288"/>
      <c r="F14" s="288"/>
      <c r="G14" s="288"/>
      <c r="H14" s="5"/>
      <c r="I14" s="9"/>
      <c r="J14" s="9"/>
      <c r="K14" s="9"/>
      <c r="L14" s="9"/>
      <c r="M14" s="9"/>
      <c r="N14" s="9"/>
      <c r="O14" s="9"/>
      <c r="P14" s="9"/>
      <c r="Q14" s="9"/>
      <c r="R14" s="9"/>
      <c r="S14" s="9"/>
      <c r="T14" s="9"/>
      <c r="U14" s="9"/>
      <c r="V14" s="9"/>
      <c r="W14" s="9"/>
      <c r="X14" s="9"/>
      <c r="Y14" s="9"/>
      <c r="Z14" s="9"/>
      <c r="AA14" s="10"/>
      <c r="AC14" s="4" t="s">
        <v>2611</v>
      </c>
      <c r="AD14" s="98">
        <v>45565</v>
      </c>
    </row>
    <row r="15" spans="1:36" ht="15.75" customHeight="1">
      <c r="A15" s="302"/>
      <c r="B15" s="302"/>
      <c r="C15" s="297" t="s">
        <v>723</v>
      </c>
      <c r="D15" s="288"/>
      <c r="E15" s="288"/>
      <c r="F15" s="288"/>
      <c r="G15" s="288"/>
      <c r="H15" s="300">
        <f>naiou</f>
        <v>0</v>
      </c>
      <c r="I15" s="276"/>
      <c r="J15" s="276"/>
      <c r="K15" s="276"/>
      <c r="L15" s="276"/>
      <c r="M15" s="276"/>
      <c r="N15" s="276"/>
      <c r="O15" s="276"/>
      <c r="P15" s="276"/>
      <c r="Q15" s="276"/>
      <c r="R15" s="276"/>
      <c r="S15" s="276"/>
      <c r="T15" s="276"/>
      <c r="U15" s="276"/>
      <c r="V15" s="276"/>
      <c r="W15" s="276"/>
      <c r="X15" s="276"/>
      <c r="Y15" s="276"/>
      <c r="Z15" s="276"/>
      <c r="AA15" s="301"/>
      <c r="AD15" s="98">
        <v>45199</v>
      </c>
    </row>
    <row r="16" spans="1:36" ht="15.75" customHeight="1">
      <c r="A16" s="302"/>
      <c r="B16" s="302"/>
      <c r="C16" s="297" t="s">
        <v>724</v>
      </c>
      <c r="D16" s="288"/>
      <c r="E16" s="288"/>
      <c r="F16" s="288"/>
      <c r="G16" s="288"/>
      <c r="H16" s="290">
        <f>IF($AD$8="通知書",AD9,'通知書(別々)'!D4)</f>
        <v>45017</v>
      </c>
      <c r="I16" s="291"/>
      <c r="J16" s="291"/>
      <c r="K16" s="291"/>
      <c r="L16" s="291"/>
      <c r="M16" s="291"/>
      <c r="N16" s="275" t="s">
        <v>2610</v>
      </c>
      <c r="O16" s="275"/>
      <c r="P16" s="291">
        <f>IF(AND(HakenkikanS&gt;=dosmilcero,HakenkikanS&lt;dosmiluno),dosmiluno,IF(AND(HakenkikanS&gt;=dosmiluno,HakenkikanS&lt;dosmildos),dosmildos,IF(AND(HakenkikanS&gt;=dosmildos,HakenkikanS&lt;dosmiltres),dosmiltres,IF(AND(HakenkikanS&gt;=dosmiltres,HakenkikanS&lt;dosmilcuatro),dosmilcuatro))))</f>
        <v>45199</v>
      </c>
      <c r="Q16" s="291"/>
      <c r="R16" s="291"/>
      <c r="S16" s="291"/>
      <c r="T16" s="291"/>
      <c r="U16" s="292"/>
      <c r="V16" s="289" t="s">
        <v>858</v>
      </c>
      <c r="W16" s="289"/>
      <c r="X16" s="289"/>
      <c r="Y16" s="289">
        <f>IF($AD$8="通知書",COUNT(通知書!H9:H66),COUNT('通知書(別々)'!H9:H66))</f>
        <v>0</v>
      </c>
      <c r="Z16" s="289"/>
      <c r="AA16" s="289"/>
      <c r="AD16" s="98">
        <v>44834</v>
      </c>
    </row>
    <row r="17" spans="1:30" ht="15.75" customHeight="1">
      <c r="A17" s="302"/>
      <c r="B17" s="302"/>
      <c r="C17" s="288" t="s">
        <v>725</v>
      </c>
      <c r="D17" s="288"/>
      <c r="E17" s="288"/>
      <c r="F17" s="288"/>
      <c r="G17" s="288"/>
      <c r="H17" s="261" t="s">
        <v>2287</v>
      </c>
      <c r="I17" s="262"/>
      <c r="J17" s="262"/>
      <c r="K17" s="262"/>
      <c r="L17" s="262"/>
      <c r="M17" s="262"/>
      <c r="N17" s="262"/>
      <c r="O17" s="262"/>
      <c r="P17" s="262"/>
      <c r="Q17" s="262"/>
      <c r="R17" s="262"/>
      <c r="S17" s="262"/>
      <c r="T17" s="262"/>
      <c r="U17" s="262"/>
      <c r="V17" s="262"/>
      <c r="W17" s="262"/>
      <c r="X17" s="262"/>
      <c r="Y17" s="262"/>
      <c r="Z17" s="262"/>
      <c r="AA17" s="263"/>
      <c r="AD17" s="207">
        <v>45017</v>
      </c>
    </row>
    <row r="18" spans="1:30" ht="15.75" customHeight="1">
      <c r="A18" s="302"/>
      <c r="B18" s="302"/>
      <c r="C18" s="288" t="s">
        <v>726</v>
      </c>
      <c r="D18" s="288"/>
      <c r="E18" s="288"/>
      <c r="F18" s="288"/>
      <c r="G18" s="288"/>
      <c r="H18" s="267" t="str">
        <f>_xlfn.XLOOKUP(AD6,KanriDaichou[配属係],KanriDaichou[就業時間],"",0,1)</f>
        <v>昼勤：7時00分～15時30分　夜勤：19時00分～3時30分</v>
      </c>
      <c r="I18" s="267"/>
      <c r="J18" s="267"/>
      <c r="K18" s="267"/>
      <c r="L18" s="267"/>
      <c r="M18" s="267"/>
      <c r="N18" s="267"/>
      <c r="O18" s="267"/>
      <c r="P18" s="267"/>
      <c r="Q18" s="267"/>
      <c r="R18" s="267"/>
      <c r="S18" s="267"/>
      <c r="T18" s="267"/>
      <c r="U18" s="267"/>
      <c r="V18" s="267"/>
      <c r="W18" s="267"/>
      <c r="X18" s="267"/>
      <c r="Y18" s="267"/>
      <c r="Z18" s="267"/>
      <c r="AA18" s="267"/>
      <c r="AD18" s="98">
        <v>44469</v>
      </c>
    </row>
    <row r="19" spans="1:30" ht="15.75" customHeight="1">
      <c r="A19" s="302"/>
      <c r="B19" s="302"/>
      <c r="C19" s="288" t="s">
        <v>727</v>
      </c>
      <c r="D19" s="288"/>
      <c r="E19" s="288"/>
      <c r="F19" s="288"/>
      <c r="G19" s="288"/>
      <c r="H19" s="267" t="str">
        <f>_xlfn.XLOOKUP(AD6,KanriDaichou[配属係],KanriDaichou[休憩時間],"",0,1)</f>
        <v>昼勤：11時00分～11時45分 まで    夜勤：23時00分～23時45分　まで　（45分）</v>
      </c>
      <c r="I19" s="267"/>
      <c r="J19" s="267"/>
      <c r="K19" s="267"/>
      <c r="L19" s="267"/>
      <c r="M19" s="267"/>
      <c r="N19" s="267"/>
      <c r="O19" s="267"/>
      <c r="P19" s="267"/>
      <c r="Q19" s="267"/>
      <c r="R19" s="267"/>
      <c r="S19" s="267"/>
      <c r="T19" s="267"/>
      <c r="U19" s="267"/>
      <c r="V19" s="267"/>
      <c r="W19" s="267"/>
      <c r="X19" s="267"/>
      <c r="Y19" s="267"/>
      <c r="Z19" s="267"/>
      <c r="AA19" s="267"/>
      <c r="AD19" s="98">
        <v>44104</v>
      </c>
    </row>
    <row r="20" spans="1:30" ht="15.75" customHeight="1">
      <c r="A20" s="302"/>
      <c r="B20" s="302"/>
      <c r="C20" s="288" t="s">
        <v>728</v>
      </c>
      <c r="D20" s="288"/>
      <c r="E20" s="288"/>
      <c r="F20" s="288"/>
      <c r="G20" s="296"/>
      <c r="H20" s="267" t="s">
        <v>745</v>
      </c>
      <c r="I20" s="267"/>
      <c r="J20" s="267"/>
      <c r="K20" s="267"/>
      <c r="L20" s="267"/>
      <c r="M20" s="267"/>
      <c r="N20" s="267"/>
      <c r="O20" s="267"/>
      <c r="P20" s="267"/>
      <c r="Q20" s="267"/>
      <c r="R20" s="267"/>
      <c r="S20" s="267"/>
      <c r="T20" s="267"/>
      <c r="U20" s="267"/>
      <c r="V20" s="267"/>
      <c r="W20" s="267"/>
      <c r="X20" s="267"/>
      <c r="Y20" s="267"/>
      <c r="Z20" s="267"/>
      <c r="AA20" s="267"/>
      <c r="AD20" s="157">
        <v>45930</v>
      </c>
    </row>
    <row r="21" spans="1:30">
      <c r="A21" s="302"/>
      <c r="B21" s="302"/>
      <c r="C21" s="288" t="s">
        <v>729</v>
      </c>
      <c r="D21" s="288"/>
      <c r="E21" s="288"/>
      <c r="F21" s="288"/>
      <c r="G21" s="288"/>
      <c r="H21" s="268" t="s">
        <v>2285</v>
      </c>
      <c r="I21" s="269"/>
      <c r="J21" s="269"/>
      <c r="K21" s="269"/>
      <c r="L21" s="269"/>
      <c r="M21" s="269"/>
      <c r="N21" s="269"/>
      <c r="O21" s="269"/>
      <c r="P21" s="269"/>
      <c r="Q21" s="269"/>
      <c r="R21" s="269"/>
      <c r="S21" s="269"/>
      <c r="T21" s="269"/>
      <c r="U21" s="269"/>
      <c r="V21" s="269"/>
      <c r="W21" s="269"/>
      <c r="X21" s="269"/>
      <c r="Y21" s="269"/>
      <c r="Z21" s="269"/>
      <c r="AA21" s="269"/>
      <c r="AD21" s="157">
        <v>46295</v>
      </c>
    </row>
    <row r="22" spans="1:30" ht="8.25" customHeight="1">
      <c r="A22" s="302"/>
      <c r="B22" s="302"/>
      <c r="C22" s="288"/>
      <c r="D22" s="288"/>
      <c r="E22" s="288"/>
      <c r="F22" s="288"/>
      <c r="G22" s="288"/>
      <c r="H22" s="270"/>
      <c r="I22" s="271"/>
      <c r="J22" s="271"/>
      <c r="K22" s="271"/>
      <c r="L22" s="271"/>
      <c r="M22" s="271"/>
      <c r="N22" s="271"/>
      <c r="O22" s="271"/>
      <c r="P22" s="271"/>
      <c r="Q22" s="271"/>
      <c r="R22" s="271"/>
      <c r="S22" s="271"/>
      <c r="T22" s="271"/>
      <c r="U22" s="271"/>
      <c r="V22" s="271"/>
      <c r="W22" s="271"/>
      <c r="X22" s="271"/>
      <c r="Y22" s="271"/>
      <c r="Z22" s="271"/>
      <c r="AA22" s="271"/>
    </row>
    <row r="23" spans="1:30">
      <c r="A23" s="302"/>
      <c r="B23" s="302"/>
      <c r="C23" s="288" t="s">
        <v>730</v>
      </c>
      <c r="D23" s="288"/>
      <c r="E23" s="288"/>
      <c r="F23" s="288"/>
      <c r="G23" s="296"/>
      <c r="H23" s="272" t="s">
        <v>919</v>
      </c>
      <c r="I23" s="273"/>
      <c r="J23" s="273"/>
      <c r="K23" s="274">
        <f>AG7</f>
        <v>1650</v>
      </c>
      <c r="L23" s="274"/>
      <c r="M23" s="274"/>
      <c r="N23" s="310">
        <v>1.2500000000000001E-2</v>
      </c>
      <c r="O23" s="310"/>
      <c r="P23" s="310"/>
      <c r="Q23" s="274">
        <f>K23*N23*100</f>
        <v>2062.5</v>
      </c>
      <c r="R23" s="274"/>
      <c r="S23" s="274"/>
      <c r="T23" s="285">
        <v>1.2500000000000001E-2</v>
      </c>
      <c r="U23" s="285"/>
      <c r="V23" s="285"/>
      <c r="W23" s="274">
        <f>K23*T23*100</f>
        <v>2062.5</v>
      </c>
      <c r="X23" s="274"/>
      <c r="Y23" s="274"/>
      <c r="Z23" s="12"/>
      <c r="AA23" s="13"/>
    </row>
    <row r="24" spans="1:30">
      <c r="A24" s="302"/>
      <c r="B24" s="302"/>
      <c r="C24" s="288"/>
      <c r="D24" s="288"/>
      <c r="E24" s="288"/>
      <c r="F24" s="288"/>
      <c r="G24" s="296"/>
      <c r="H24" s="306">
        <v>1.2500000000000001E-2</v>
      </c>
      <c r="I24" s="307"/>
      <c r="J24" s="307"/>
      <c r="K24" s="308">
        <f>K23*H24*100</f>
        <v>2062.5</v>
      </c>
      <c r="L24" s="308"/>
      <c r="M24" s="308"/>
      <c r="N24" s="331" t="str">
        <f>IF(HakenkikanS&gt;=DATE(2023,4,1),"＜60時間超＞ 割増料金（1.5％）"&amp;""&amp;DOLLAR((K23*1.5),0),"")</f>
        <v>＜60時間超＞ 割増料金（1.5％）¥2,475</v>
      </c>
      <c r="O24" s="331"/>
      <c r="P24" s="331"/>
      <c r="Q24" s="331"/>
      <c r="R24" s="331"/>
      <c r="S24" s="331"/>
      <c r="T24" s="331"/>
      <c r="U24" s="331"/>
      <c r="V24" s="57"/>
      <c r="W24" s="309"/>
      <c r="X24" s="309"/>
      <c r="Y24" s="309"/>
      <c r="Z24" s="57"/>
      <c r="AA24" s="58"/>
    </row>
    <row r="25" spans="1:30">
      <c r="A25" s="302"/>
      <c r="B25" s="302"/>
      <c r="C25" s="288"/>
      <c r="D25" s="288"/>
      <c r="E25" s="288"/>
      <c r="F25" s="288"/>
      <c r="G25" s="296"/>
      <c r="H25" s="329" t="s">
        <v>743</v>
      </c>
      <c r="I25" s="330"/>
      <c r="J25" s="330"/>
      <c r="K25" s="330"/>
      <c r="L25" s="15">
        <v>15</v>
      </c>
      <c r="M25" s="327" t="s">
        <v>744</v>
      </c>
      <c r="N25" s="327"/>
      <c r="O25" s="327"/>
      <c r="P25" s="327"/>
      <c r="Q25" s="327"/>
      <c r="R25" s="15"/>
      <c r="S25" s="15"/>
      <c r="T25" s="15"/>
      <c r="U25" s="15"/>
      <c r="V25" s="15"/>
      <c r="W25" s="15"/>
      <c r="X25" s="15"/>
      <c r="Y25" s="15"/>
      <c r="Z25" s="15"/>
      <c r="AA25" s="16"/>
    </row>
    <row r="26" spans="1:30" ht="15" customHeight="1">
      <c r="A26" s="302"/>
      <c r="B26" s="302"/>
      <c r="C26" s="288" t="s">
        <v>731</v>
      </c>
      <c r="D26" s="288"/>
      <c r="E26" s="288"/>
      <c r="F26" s="288"/>
      <c r="G26" s="296"/>
      <c r="H26" s="303" t="s">
        <v>1</v>
      </c>
      <c r="I26" s="304"/>
      <c r="J26" s="304"/>
      <c r="K26" s="305" t="s">
        <v>2282</v>
      </c>
      <c r="L26" s="305"/>
      <c r="M26" s="305"/>
      <c r="N26" s="304" t="s">
        <v>2</v>
      </c>
      <c r="O26" s="304"/>
      <c r="P26" s="304"/>
      <c r="Q26" s="305" t="s">
        <v>2284</v>
      </c>
      <c r="R26" s="305"/>
      <c r="S26" s="305"/>
      <c r="T26" s="304" t="s">
        <v>3</v>
      </c>
      <c r="U26" s="304"/>
      <c r="V26" s="304"/>
      <c r="W26" s="305" t="s">
        <v>4</v>
      </c>
      <c r="X26" s="305"/>
      <c r="Y26" s="305"/>
      <c r="Z26" s="12"/>
      <c r="AA26" s="13"/>
    </row>
    <row r="27" spans="1:30">
      <c r="A27" s="302"/>
      <c r="B27" s="302"/>
      <c r="C27" s="288"/>
      <c r="D27" s="288"/>
      <c r="E27" s="288"/>
      <c r="F27" s="288"/>
      <c r="G27" s="296"/>
      <c r="H27" s="326" t="s">
        <v>2281</v>
      </c>
      <c r="I27" s="327"/>
      <c r="J27" s="327"/>
      <c r="K27" s="327"/>
      <c r="L27" s="327"/>
      <c r="M27" s="327"/>
      <c r="N27" s="327"/>
      <c r="O27" s="327"/>
      <c r="P27" s="327"/>
      <c r="Q27" s="327"/>
      <c r="R27" s="327"/>
      <c r="S27" s="327"/>
      <c r="T27" s="327"/>
      <c r="U27" s="327"/>
      <c r="V27" s="327"/>
      <c r="W27" s="327"/>
      <c r="X27" s="327"/>
      <c r="Y27" s="327"/>
      <c r="Z27" s="15"/>
      <c r="AA27" s="16"/>
    </row>
    <row r="28" spans="1:30" ht="20.25" customHeight="1">
      <c r="A28" s="302"/>
      <c r="B28" s="302"/>
      <c r="C28" s="288" t="s">
        <v>732</v>
      </c>
      <c r="D28" s="288"/>
      <c r="E28" s="288"/>
      <c r="F28" s="288"/>
      <c r="G28" s="288"/>
      <c r="H28" s="328" t="s">
        <v>746</v>
      </c>
      <c r="I28" s="328"/>
      <c r="J28" s="328"/>
      <c r="K28" s="328"/>
      <c r="L28" s="328"/>
      <c r="M28" s="328"/>
      <c r="N28" s="328"/>
      <c r="O28" s="328"/>
      <c r="P28" s="328"/>
      <c r="Q28" s="328"/>
      <c r="R28" s="328"/>
      <c r="S28" s="328"/>
      <c r="T28" s="328"/>
      <c r="U28" s="328"/>
      <c r="V28" s="328"/>
      <c r="W28" s="328"/>
      <c r="X28" s="328"/>
      <c r="Y28" s="328"/>
      <c r="Z28" s="328"/>
      <c r="AA28" s="328"/>
    </row>
    <row r="29" spans="1:30" ht="20.25" customHeight="1">
      <c r="A29" s="302"/>
      <c r="B29" s="302"/>
      <c r="C29" s="288"/>
      <c r="D29" s="288"/>
      <c r="E29" s="288"/>
      <c r="F29" s="288"/>
      <c r="G29" s="288"/>
      <c r="H29" s="295"/>
      <c r="I29" s="295"/>
      <c r="J29" s="295"/>
      <c r="K29" s="295"/>
      <c r="L29" s="295"/>
      <c r="M29" s="295"/>
      <c r="N29" s="295"/>
      <c r="O29" s="295"/>
      <c r="P29" s="295"/>
      <c r="Q29" s="295"/>
      <c r="R29" s="295"/>
      <c r="S29" s="295"/>
      <c r="T29" s="295"/>
      <c r="U29" s="295"/>
      <c r="V29" s="295"/>
      <c r="W29" s="295"/>
      <c r="X29" s="295"/>
      <c r="Y29" s="295"/>
      <c r="Z29" s="295"/>
      <c r="AA29" s="295"/>
    </row>
    <row r="30" spans="1:30" ht="24.75" customHeight="1">
      <c r="A30" s="302"/>
      <c r="B30" s="302"/>
      <c r="C30" s="288" t="s">
        <v>733</v>
      </c>
      <c r="D30" s="288"/>
      <c r="E30" s="288"/>
      <c r="F30" s="288"/>
      <c r="G30" s="288"/>
      <c r="H30" s="295" t="s">
        <v>747</v>
      </c>
      <c r="I30" s="295"/>
      <c r="J30" s="295"/>
      <c r="K30" s="295"/>
      <c r="L30" s="295"/>
      <c r="M30" s="295"/>
      <c r="N30" s="295"/>
      <c r="O30" s="295"/>
      <c r="P30" s="295"/>
      <c r="Q30" s="295"/>
      <c r="R30" s="295"/>
      <c r="S30" s="295"/>
      <c r="T30" s="295"/>
      <c r="U30" s="295"/>
      <c r="V30" s="295"/>
      <c r="W30" s="295"/>
      <c r="X30" s="295"/>
      <c r="Y30" s="295"/>
      <c r="Z30" s="295"/>
      <c r="AA30" s="295"/>
    </row>
    <row r="31" spans="1:30" ht="15" customHeight="1">
      <c r="A31" s="302"/>
      <c r="B31" s="302"/>
      <c r="C31" s="288" t="s">
        <v>734</v>
      </c>
      <c r="D31" s="288"/>
      <c r="E31" s="288"/>
      <c r="F31" s="288"/>
      <c r="G31" s="288"/>
      <c r="H31" s="342" t="s">
        <v>748</v>
      </c>
      <c r="I31" s="342"/>
      <c r="J31" s="342"/>
      <c r="K31" s="342"/>
      <c r="L31" s="342"/>
      <c r="M31" s="342"/>
      <c r="N31" s="342"/>
      <c r="O31" s="342"/>
      <c r="P31" s="342"/>
      <c r="Q31" s="342"/>
      <c r="R31" s="342"/>
      <c r="S31" s="342"/>
      <c r="T31" s="342"/>
      <c r="U31" s="342"/>
      <c r="V31" s="342"/>
      <c r="W31" s="342"/>
      <c r="X31" s="342"/>
      <c r="Y31" s="342"/>
      <c r="Z31" s="342"/>
      <c r="AA31" s="342"/>
    </row>
    <row r="32" spans="1:30" ht="15" customHeight="1">
      <c r="A32" s="302"/>
      <c r="B32" s="302"/>
      <c r="C32" s="288"/>
      <c r="D32" s="288"/>
      <c r="E32" s="288"/>
      <c r="F32" s="288"/>
      <c r="G32" s="288"/>
      <c r="H32" s="342"/>
      <c r="I32" s="342"/>
      <c r="J32" s="342"/>
      <c r="K32" s="342"/>
      <c r="L32" s="342"/>
      <c r="M32" s="342"/>
      <c r="N32" s="342"/>
      <c r="O32" s="342"/>
      <c r="P32" s="342"/>
      <c r="Q32" s="342"/>
      <c r="R32" s="342"/>
      <c r="S32" s="342"/>
      <c r="T32" s="342"/>
      <c r="U32" s="342"/>
      <c r="V32" s="342"/>
      <c r="W32" s="342"/>
      <c r="X32" s="342"/>
      <c r="Y32" s="342"/>
      <c r="Z32" s="342"/>
      <c r="AA32" s="342"/>
    </row>
    <row r="33" spans="1:27" ht="15" customHeight="1">
      <c r="A33" s="302"/>
      <c r="B33" s="302"/>
      <c r="C33" s="288"/>
      <c r="D33" s="288"/>
      <c r="E33" s="288"/>
      <c r="F33" s="288"/>
      <c r="G33" s="288"/>
      <c r="H33" s="342"/>
      <c r="I33" s="342"/>
      <c r="J33" s="342"/>
      <c r="K33" s="342"/>
      <c r="L33" s="342"/>
      <c r="M33" s="342"/>
      <c r="N33" s="342"/>
      <c r="O33" s="342"/>
      <c r="P33" s="342"/>
      <c r="Q33" s="342"/>
      <c r="R33" s="342"/>
      <c r="S33" s="342"/>
      <c r="T33" s="342"/>
      <c r="U33" s="342"/>
      <c r="V33" s="342"/>
      <c r="W33" s="342"/>
      <c r="X33" s="342"/>
      <c r="Y33" s="342"/>
      <c r="Z33" s="342"/>
      <c r="AA33" s="342"/>
    </row>
    <row r="34" spans="1:27" ht="15" customHeight="1">
      <c r="A34" s="302"/>
      <c r="B34" s="302"/>
      <c r="C34" s="288"/>
      <c r="D34" s="288"/>
      <c r="E34" s="288"/>
      <c r="F34" s="288"/>
      <c r="G34" s="288"/>
      <c r="H34" s="342"/>
      <c r="I34" s="342"/>
      <c r="J34" s="342"/>
      <c r="K34" s="342"/>
      <c r="L34" s="342"/>
      <c r="M34" s="342"/>
      <c r="N34" s="342"/>
      <c r="O34" s="342"/>
      <c r="P34" s="342"/>
      <c r="Q34" s="342"/>
      <c r="R34" s="342"/>
      <c r="S34" s="342"/>
      <c r="T34" s="342"/>
      <c r="U34" s="342"/>
      <c r="V34" s="342"/>
      <c r="W34" s="342"/>
      <c r="X34" s="342"/>
      <c r="Y34" s="342"/>
      <c r="Z34" s="342"/>
      <c r="AA34" s="342"/>
    </row>
    <row r="35" spans="1:27" ht="15" customHeight="1">
      <c r="A35" s="302"/>
      <c r="B35" s="302"/>
      <c r="C35" s="317" t="s">
        <v>735</v>
      </c>
      <c r="D35" s="318"/>
      <c r="E35" s="318"/>
      <c r="F35" s="318"/>
      <c r="G35" s="319"/>
      <c r="H35" s="343" t="s">
        <v>923</v>
      </c>
      <c r="I35" s="344"/>
      <c r="J35" s="344"/>
      <c r="K35" s="344"/>
      <c r="L35" s="344"/>
      <c r="M35" s="344"/>
      <c r="N35" s="344"/>
      <c r="O35" s="344"/>
      <c r="P35" s="344"/>
      <c r="Q35" s="344"/>
      <c r="R35" s="344"/>
      <c r="S35" s="344"/>
      <c r="T35" s="344"/>
      <c r="U35" s="344"/>
      <c r="V35" s="344"/>
      <c r="W35" s="344"/>
      <c r="X35" s="344"/>
      <c r="Y35" s="344"/>
      <c r="Z35" s="344"/>
      <c r="AA35" s="345"/>
    </row>
    <row r="36" spans="1:27">
      <c r="A36" s="302"/>
      <c r="B36" s="302"/>
      <c r="C36" s="320"/>
      <c r="D36" s="321"/>
      <c r="E36" s="321"/>
      <c r="F36" s="321"/>
      <c r="G36" s="322"/>
      <c r="H36" s="346"/>
      <c r="I36" s="347"/>
      <c r="J36" s="347"/>
      <c r="K36" s="347"/>
      <c r="L36" s="347"/>
      <c r="M36" s="347"/>
      <c r="N36" s="347"/>
      <c r="O36" s="347"/>
      <c r="P36" s="347"/>
      <c r="Q36" s="347"/>
      <c r="R36" s="347"/>
      <c r="S36" s="347"/>
      <c r="T36" s="347"/>
      <c r="U36" s="347"/>
      <c r="V36" s="347"/>
      <c r="W36" s="347"/>
      <c r="X36" s="347"/>
      <c r="Y36" s="347"/>
      <c r="Z36" s="347"/>
      <c r="AA36" s="348"/>
    </row>
    <row r="37" spans="1:27">
      <c r="A37" s="302"/>
      <c r="B37" s="302"/>
      <c r="C37" s="320"/>
      <c r="D37" s="321"/>
      <c r="E37" s="321"/>
      <c r="F37" s="321"/>
      <c r="G37" s="322"/>
      <c r="H37" s="311" t="s">
        <v>922</v>
      </c>
      <c r="I37" s="312"/>
      <c r="J37" s="312"/>
      <c r="K37" s="312"/>
      <c r="L37" s="312"/>
      <c r="M37" s="312"/>
      <c r="N37" s="312"/>
      <c r="O37" s="312"/>
      <c r="P37" s="312"/>
      <c r="Q37" s="312"/>
      <c r="R37" s="312"/>
      <c r="S37" s="312"/>
      <c r="T37" s="312"/>
      <c r="U37" s="312"/>
      <c r="V37" s="312"/>
      <c r="W37" s="312"/>
      <c r="X37" s="312"/>
      <c r="Y37" s="312"/>
      <c r="Z37" s="312"/>
      <c r="AA37" s="313"/>
    </row>
    <row r="38" spans="1:27">
      <c r="A38" s="302"/>
      <c r="B38" s="302"/>
      <c r="C38" s="320"/>
      <c r="D38" s="321"/>
      <c r="E38" s="321"/>
      <c r="F38" s="321"/>
      <c r="G38" s="322"/>
      <c r="H38" s="311"/>
      <c r="I38" s="312"/>
      <c r="J38" s="312"/>
      <c r="K38" s="312"/>
      <c r="L38" s="312"/>
      <c r="M38" s="312"/>
      <c r="N38" s="312"/>
      <c r="O38" s="312"/>
      <c r="P38" s="312"/>
      <c r="Q38" s="312"/>
      <c r="R38" s="312"/>
      <c r="S38" s="312"/>
      <c r="T38" s="312"/>
      <c r="U38" s="312"/>
      <c r="V38" s="312"/>
      <c r="W38" s="312"/>
      <c r="X38" s="312"/>
      <c r="Y38" s="312"/>
      <c r="Z38" s="312"/>
      <c r="AA38" s="313"/>
    </row>
    <row r="39" spans="1:27" ht="13.5" customHeight="1">
      <c r="A39" s="302"/>
      <c r="B39" s="302"/>
      <c r="C39" s="320"/>
      <c r="D39" s="321"/>
      <c r="E39" s="321"/>
      <c r="F39" s="321"/>
      <c r="G39" s="322"/>
      <c r="H39" s="311" t="s">
        <v>921</v>
      </c>
      <c r="I39" s="312"/>
      <c r="J39" s="312"/>
      <c r="K39" s="312"/>
      <c r="L39" s="312"/>
      <c r="M39" s="312"/>
      <c r="N39" s="312"/>
      <c r="O39" s="312"/>
      <c r="P39" s="312"/>
      <c r="Q39" s="312"/>
      <c r="R39" s="312"/>
      <c r="S39" s="312"/>
      <c r="T39" s="312"/>
      <c r="U39" s="312"/>
      <c r="V39" s="312"/>
      <c r="W39" s="312"/>
      <c r="X39" s="312"/>
      <c r="Y39" s="312"/>
      <c r="Z39" s="312"/>
      <c r="AA39" s="313"/>
    </row>
    <row r="40" spans="1:27" ht="13.5" customHeight="1">
      <c r="A40" s="302"/>
      <c r="B40" s="302"/>
      <c r="C40" s="320"/>
      <c r="D40" s="321"/>
      <c r="E40" s="321"/>
      <c r="F40" s="321"/>
      <c r="G40" s="322"/>
      <c r="H40" s="311"/>
      <c r="I40" s="312"/>
      <c r="J40" s="312"/>
      <c r="K40" s="312"/>
      <c r="L40" s="312"/>
      <c r="M40" s="312"/>
      <c r="N40" s="312"/>
      <c r="O40" s="312"/>
      <c r="P40" s="312"/>
      <c r="Q40" s="312"/>
      <c r="R40" s="312"/>
      <c r="S40" s="312"/>
      <c r="T40" s="312"/>
      <c r="U40" s="312"/>
      <c r="V40" s="312"/>
      <c r="W40" s="312"/>
      <c r="X40" s="312"/>
      <c r="Y40" s="312"/>
      <c r="Z40" s="312"/>
      <c r="AA40" s="313"/>
    </row>
    <row r="41" spans="1:27" ht="13.5" customHeight="1">
      <c r="A41" s="302"/>
      <c r="B41" s="302"/>
      <c r="C41" s="320"/>
      <c r="D41" s="321"/>
      <c r="E41" s="321"/>
      <c r="F41" s="321"/>
      <c r="G41" s="322"/>
      <c r="H41" s="311"/>
      <c r="I41" s="312"/>
      <c r="J41" s="312"/>
      <c r="K41" s="312"/>
      <c r="L41" s="312"/>
      <c r="M41" s="312"/>
      <c r="N41" s="312"/>
      <c r="O41" s="312"/>
      <c r="P41" s="312"/>
      <c r="Q41" s="312"/>
      <c r="R41" s="312"/>
      <c r="S41" s="312"/>
      <c r="T41" s="312"/>
      <c r="U41" s="312"/>
      <c r="V41" s="312"/>
      <c r="W41" s="312"/>
      <c r="X41" s="312"/>
      <c r="Y41" s="312"/>
      <c r="Z41" s="312"/>
      <c r="AA41" s="313"/>
    </row>
    <row r="42" spans="1:27" ht="13.5" customHeight="1">
      <c r="A42" s="302"/>
      <c r="B42" s="302"/>
      <c r="C42" s="320"/>
      <c r="D42" s="321"/>
      <c r="E42" s="321"/>
      <c r="F42" s="321"/>
      <c r="G42" s="322"/>
      <c r="H42" s="311"/>
      <c r="I42" s="312"/>
      <c r="J42" s="312"/>
      <c r="K42" s="312"/>
      <c r="L42" s="312"/>
      <c r="M42" s="312"/>
      <c r="N42" s="312"/>
      <c r="O42" s="312"/>
      <c r="P42" s="312"/>
      <c r="Q42" s="312"/>
      <c r="R42" s="312"/>
      <c r="S42" s="312"/>
      <c r="T42" s="312"/>
      <c r="U42" s="312"/>
      <c r="V42" s="312"/>
      <c r="W42" s="312"/>
      <c r="X42" s="312"/>
      <c r="Y42" s="312"/>
      <c r="Z42" s="312"/>
      <c r="AA42" s="313"/>
    </row>
    <row r="43" spans="1:27" ht="13.5" customHeight="1">
      <c r="A43" s="302"/>
      <c r="B43" s="302"/>
      <c r="C43" s="320"/>
      <c r="D43" s="321"/>
      <c r="E43" s="321"/>
      <c r="F43" s="321"/>
      <c r="G43" s="322"/>
      <c r="H43" s="311"/>
      <c r="I43" s="312"/>
      <c r="J43" s="312"/>
      <c r="K43" s="312"/>
      <c r="L43" s="312"/>
      <c r="M43" s="312"/>
      <c r="N43" s="312"/>
      <c r="O43" s="312"/>
      <c r="P43" s="312"/>
      <c r="Q43" s="312"/>
      <c r="R43" s="312"/>
      <c r="S43" s="312"/>
      <c r="T43" s="312"/>
      <c r="U43" s="312"/>
      <c r="V43" s="312"/>
      <c r="W43" s="312"/>
      <c r="X43" s="312"/>
      <c r="Y43" s="312"/>
      <c r="Z43" s="312"/>
      <c r="AA43" s="313"/>
    </row>
    <row r="44" spans="1:27" ht="13.5" customHeight="1">
      <c r="A44" s="302"/>
      <c r="B44" s="302"/>
      <c r="C44" s="320"/>
      <c r="D44" s="321"/>
      <c r="E44" s="321"/>
      <c r="F44" s="321"/>
      <c r="G44" s="322"/>
      <c r="H44" s="311"/>
      <c r="I44" s="312"/>
      <c r="J44" s="312"/>
      <c r="K44" s="312"/>
      <c r="L44" s="312"/>
      <c r="M44" s="312"/>
      <c r="N44" s="312"/>
      <c r="O44" s="312"/>
      <c r="P44" s="312"/>
      <c r="Q44" s="312"/>
      <c r="R44" s="312"/>
      <c r="S44" s="312"/>
      <c r="T44" s="312"/>
      <c r="U44" s="312"/>
      <c r="V44" s="312"/>
      <c r="W44" s="312"/>
      <c r="X44" s="312"/>
      <c r="Y44" s="312"/>
      <c r="Z44" s="312"/>
      <c r="AA44" s="313"/>
    </row>
    <row r="45" spans="1:27" ht="13.5" customHeight="1">
      <c r="A45" s="302"/>
      <c r="B45" s="302"/>
      <c r="C45" s="320"/>
      <c r="D45" s="321"/>
      <c r="E45" s="321"/>
      <c r="F45" s="321"/>
      <c r="G45" s="322"/>
      <c r="H45" s="311"/>
      <c r="I45" s="312"/>
      <c r="J45" s="312"/>
      <c r="K45" s="312"/>
      <c r="L45" s="312"/>
      <c r="M45" s="312"/>
      <c r="N45" s="312"/>
      <c r="O45" s="312"/>
      <c r="P45" s="312"/>
      <c r="Q45" s="312"/>
      <c r="R45" s="312"/>
      <c r="S45" s="312"/>
      <c r="T45" s="312"/>
      <c r="U45" s="312"/>
      <c r="V45" s="312"/>
      <c r="W45" s="312"/>
      <c r="X45" s="312"/>
      <c r="Y45" s="312"/>
      <c r="Z45" s="312"/>
      <c r="AA45" s="313"/>
    </row>
    <row r="46" spans="1:27" ht="13.5" customHeight="1">
      <c r="A46" s="302"/>
      <c r="B46" s="302"/>
      <c r="C46" s="320"/>
      <c r="D46" s="321"/>
      <c r="E46" s="321"/>
      <c r="F46" s="321"/>
      <c r="G46" s="322"/>
      <c r="H46" s="311" t="s">
        <v>924</v>
      </c>
      <c r="I46" s="312"/>
      <c r="J46" s="312"/>
      <c r="K46" s="312"/>
      <c r="L46" s="312"/>
      <c r="M46" s="312"/>
      <c r="N46" s="312"/>
      <c r="O46" s="312"/>
      <c r="P46" s="312"/>
      <c r="Q46" s="312"/>
      <c r="R46" s="312"/>
      <c r="S46" s="312"/>
      <c r="T46" s="312"/>
      <c r="U46" s="312"/>
      <c r="V46" s="312"/>
      <c r="W46" s="312"/>
      <c r="X46" s="312"/>
      <c r="Y46" s="312"/>
      <c r="Z46" s="312"/>
      <c r="AA46" s="313"/>
    </row>
    <row r="47" spans="1:27" ht="13.5" customHeight="1">
      <c r="A47" s="302"/>
      <c r="B47" s="302"/>
      <c r="C47" s="323"/>
      <c r="D47" s="324"/>
      <c r="E47" s="324"/>
      <c r="F47" s="324"/>
      <c r="G47" s="325"/>
      <c r="H47" s="314"/>
      <c r="I47" s="315"/>
      <c r="J47" s="315"/>
      <c r="K47" s="315"/>
      <c r="L47" s="315"/>
      <c r="M47" s="315"/>
      <c r="N47" s="315"/>
      <c r="O47" s="315"/>
      <c r="P47" s="315"/>
      <c r="Q47" s="315"/>
      <c r="R47" s="315"/>
      <c r="S47" s="315"/>
      <c r="T47" s="315"/>
      <c r="U47" s="315"/>
      <c r="V47" s="315"/>
      <c r="W47" s="315"/>
      <c r="X47" s="315"/>
      <c r="Y47" s="315"/>
      <c r="Z47" s="315"/>
      <c r="AA47" s="316"/>
    </row>
    <row r="48" spans="1:27" ht="13.5" customHeight="1">
      <c r="A48" s="302"/>
      <c r="B48" s="302"/>
      <c r="C48" s="295" t="s">
        <v>736</v>
      </c>
      <c r="D48" s="295"/>
      <c r="E48" s="295"/>
      <c r="F48" s="295"/>
      <c r="G48" s="295"/>
      <c r="H48" s="340" t="s">
        <v>749</v>
      </c>
      <c r="I48" s="341"/>
      <c r="J48" s="341"/>
      <c r="K48" s="341"/>
      <c r="L48" s="341"/>
      <c r="M48" s="341"/>
      <c r="N48" s="341"/>
      <c r="O48" s="341"/>
      <c r="P48" s="341"/>
      <c r="Q48" s="341"/>
      <c r="R48" s="341"/>
      <c r="S48" s="341"/>
      <c r="T48" s="341"/>
      <c r="U48" s="341"/>
      <c r="V48" s="341"/>
      <c r="W48" s="341"/>
      <c r="X48" s="341"/>
      <c r="Y48" s="341"/>
      <c r="Z48" s="341"/>
      <c r="AA48" s="270"/>
    </row>
    <row r="49" spans="1:33" ht="13.5" customHeight="1">
      <c r="A49" s="302"/>
      <c r="B49" s="302"/>
      <c r="C49" s="295"/>
      <c r="D49" s="295"/>
      <c r="E49" s="295"/>
      <c r="F49" s="295"/>
      <c r="G49" s="295"/>
      <c r="H49" s="337"/>
      <c r="I49" s="338"/>
      <c r="J49" s="338"/>
      <c r="K49" s="338"/>
      <c r="L49" s="338"/>
      <c r="M49" s="338"/>
      <c r="N49" s="338"/>
      <c r="O49" s="338"/>
      <c r="P49" s="338"/>
      <c r="Q49" s="338"/>
      <c r="R49" s="338"/>
      <c r="S49" s="338"/>
      <c r="T49" s="338"/>
      <c r="U49" s="338"/>
      <c r="V49" s="338"/>
      <c r="W49" s="338"/>
      <c r="X49" s="338"/>
      <c r="Y49" s="338"/>
      <c r="Z49" s="338"/>
      <c r="AA49" s="339"/>
    </row>
    <row r="50" spans="1:33" ht="13.5" customHeight="1">
      <c r="A50" s="302"/>
      <c r="B50" s="302"/>
      <c r="C50" s="295" t="s">
        <v>737</v>
      </c>
      <c r="D50" s="295"/>
      <c r="E50" s="295"/>
      <c r="F50" s="295"/>
      <c r="G50" s="295"/>
      <c r="H50" s="334" t="s">
        <v>750</v>
      </c>
      <c r="I50" s="335"/>
      <c r="J50" s="335"/>
      <c r="K50" s="335"/>
      <c r="L50" s="335"/>
      <c r="M50" s="335"/>
      <c r="N50" s="335"/>
      <c r="O50" s="335"/>
      <c r="P50" s="335"/>
      <c r="Q50" s="335"/>
      <c r="R50" s="335"/>
      <c r="S50" s="335"/>
      <c r="T50" s="335"/>
      <c r="U50" s="335"/>
      <c r="V50" s="335"/>
      <c r="W50" s="335"/>
      <c r="X50" s="335"/>
      <c r="Y50" s="335"/>
      <c r="Z50" s="335"/>
      <c r="AA50" s="336"/>
    </row>
    <row r="51" spans="1:33" ht="13.5" customHeight="1">
      <c r="A51" s="302"/>
      <c r="B51" s="302"/>
      <c r="C51" s="295"/>
      <c r="D51" s="295"/>
      <c r="E51" s="295"/>
      <c r="F51" s="295"/>
      <c r="G51" s="295"/>
      <c r="H51" s="337"/>
      <c r="I51" s="338"/>
      <c r="J51" s="338"/>
      <c r="K51" s="338"/>
      <c r="L51" s="338"/>
      <c r="M51" s="338"/>
      <c r="N51" s="338"/>
      <c r="O51" s="338"/>
      <c r="P51" s="338"/>
      <c r="Q51" s="338"/>
      <c r="R51" s="338"/>
      <c r="S51" s="338"/>
      <c r="T51" s="338"/>
      <c r="U51" s="338"/>
      <c r="V51" s="338"/>
      <c r="W51" s="338"/>
      <c r="X51" s="338"/>
      <c r="Y51" s="338"/>
      <c r="Z51" s="338"/>
      <c r="AA51" s="339"/>
      <c r="AC51" s="17"/>
      <c r="AD51" s="17"/>
      <c r="AE51" s="17"/>
      <c r="AF51" s="17"/>
      <c r="AG51" s="17"/>
    </row>
    <row r="52" spans="1:33" s="17" customFormat="1" ht="20.25" customHeight="1">
      <c r="A52" s="293" t="s">
        <v>738</v>
      </c>
      <c r="B52" s="293"/>
      <c r="C52" s="293"/>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7"/>
      <c r="AC52" s="4"/>
      <c r="AD52" s="4"/>
      <c r="AE52" s="4"/>
      <c r="AF52" s="4"/>
      <c r="AG52" s="4"/>
    </row>
    <row r="53" spans="1:33" ht="14.25">
      <c r="A53" s="286">
        <f>H16</f>
        <v>45017</v>
      </c>
      <c r="B53" s="287"/>
      <c r="C53" s="287"/>
      <c r="D53" s="287"/>
      <c r="E53" s="287"/>
      <c r="F53" s="287"/>
      <c r="G53" s="287"/>
      <c r="H53" s="7"/>
      <c r="I53" s="7"/>
      <c r="J53" s="7"/>
      <c r="K53" s="7"/>
      <c r="L53" s="7"/>
      <c r="M53" s="7"/>
      <c r="N53" s="7"/>
      <c r="O53" s="7"/>
      <c r="P53" s="7"/>
      <c r="Q53" s="7"/>
      <c r="R53" s="7"/>
      <c r="S53" s="7"/>
      <c r="T53" s="7"/>
      <c r="U53" s="7"/>
      <c r="V53" s="7"/>
      <c r="W53" s="7"/>
      <c r="X53" s="7"/>
      <c r="Y53" s="7"/>
      <c r="Z53" s="7"/>
      <c r="AA53" s="7"/>
    </row>
    <row r="54" spans="1:33">
      <c r="A54" s="294" t="s">
        <v>739</v>
      </c>
      <c r="B54" s="294"/>
      <c r="C54" s="7"/>
      <c r="D54" s="7"/>
      <c r="E54" s="7"/>
      <c r="F54" s="7"/>
      <c r="G54" s="7"/>
      <c r="H54" s="7"/>
      <c r="I54" s="7"/>
      <c r="J54" s="7"/>
      <c r="K54" s="7"/>
      <c r="L54" s="7"/>
      <c r="M54" s="7"/>
      <c r="N54" s="7"/>
      <c r="O54" s="7" t="s">
        <v>0</v>
      </c>
      <c r="P54" s="7"/>
      <c r="Q54" s="7"/>
      <c r="R54" s="7"/>
      <c r="S54" s="7"/>
      <c r="T54" s="7"/>
      <c r="U54" s="7"/>
      <c r="V54" s="7"/>
      <c r="W54" s="7"/>
      <c r="X54" s="7"/>
      <c r="Y54" s="7"/>
      <c r="Z54" s="7"/>
      <c r="AA54" s="7"/>
    </row>
    <row r="55" spans="1:33">
      <c r="A55" s="7"/>
      <c r="B55" s="7"/>
      <c r="C55" s="7"/>
      <c r="D55" s="7"/>
      <c r="E55" s="7"/>
      <c r="F55" s="7"/>
      <c r="G55" s="7"/>
      <c r="H55" s="7"/>
      <c r="I55" s="7"/>
      <c r="J55" s="7"/>
      <c r="K55" s="7"/>
      <c r="L55" s="7"/>
      <c r="M55" s="7"/>
      <c r="N55" s="7"/>
      <c r="O55" s="8" t="s">
        <v>679</v>
      </c>
      <c r="P55" s="7"/>
      <c r="Q55" s="7"/>
      <c r="R55" s="7"/>
      <c r="S55" s="7"/>
      <c r="T55" s="7"/>
      <c r="U55" s="7"/>
      <c r="V55" s="7"/>
      <c r="W55" s="7"/>
      <c r="X55" s="7"/>
      <c r="Y55" s="7"/>
      <c r="Z55" s="7"/>
      <c r="AA55" s="7"/>
    </row>
    <row r="56" spans="1:33">
      <c r="A56" s="7"/>
      <c r="B56" s="7"/>
      <c r="C56" s="7"/>
      <c r="D56" s="7"/>
      <c r="E56" s="7"/>
      <c r="F56" s="7"/>
      <c r="G56" s="7"/>
      <c r="H56" s="7"/>
      <c r="I56" s="7"/>
      <c r="J56" s="7"/>
      <c r="K56" s="7"/>
      <c r="L56" s="7"/>
      <c r="M56" s="7"/>
      <c r="N56" s="7"/>
      <c r="O56" s="7" t="s">
        <v>680</v>
      </c>
      <c r="P56" s="7"/>
      <c r="Q56" s="7"/>
      <c r="R56" s="7"/>
      <c r="S56" s="7"/>
      <c r="T56" s="7"/>
      <c r="U56" s="7"/>
      <c r="V56" s="7"/>
      <c r="W56" s="7"/>
      <c r="X56" s="7"/>
      <c r="Y56" s="7"/>
      <c r="Z56" s="7"/>
      <c r="AA56" s="7"/>
    </row>
    <row r="57" spans="1:33">
      <c r="A57" s="7"/>
      <c r="B57" s="7"/>
      <c r="C57" s="7"/>
      <c r="D57" s="7"/>
      <c r="E57" s="7"/>
      <c r="F57" s="7"/>
      <c r="G57" s="7"/>
      <c r="H57" s="7"/>
      <c r="I57" s="7"/>
      <c r="J57" s="7"/>
      <c r="K57" s="7"/>
      <c r="L57" s="7"/>
      <c r="M57" s="7"/>
      <c r="N57" s="7"/>
      <c r="O57" s="7" t="s">
        <v>681</v>
      </c>
      <c r="P57" s="7"/>
      <c r="Q57" s="7"/>
      <c r="R57" s="7"/>
      <c r="S57" s="7"/>
      <c r="T57" s="7"/>
      <c r="U57" s="7"/>
      <c r="V57" s="7"/>
      <c r="W57" s="7"/>
      <c r="X57" s="7"/>
      <c r="Y57" s="7"/>
      <c r="Z57" s="7"/>
      <c r="AA57" s="7"/>
    </row>
    <row r="58" spans="1:33">
      <c r="A58" s="7"/>
      <c r="B58" s="7"/>
      <c r="C58" s="7"/>
      <c r="D58" s="7"/>
      <c r="E58" s="7"/>
      <c r="F58" s="7"/>
      <c r="G58" s="7"/>
      <c r="H58" s="7"/>
      <c r="I58" s="7"/>
      <c r="J58" s="7"/>
      <c r="K58" s="7"/>
      <c r="L58" s="7"/>
      <c r="M58" s="7"/>
      <c r="N58" s="7"/>
      <c r="O58" s="7" t="s">
        <v>682</v>
      </c>
      <c r="P58" s="7"/>
      <c r="Q58" s="7"/>
      <c r="R58" s="7"/>
      <c r="S58" s="7"/>
      <c r="T58" s="7"/>
      <c r="U58" s="7"/>
      <c r="V58" s="7"/>
      <c r="W58" s="7"/>
      <c r="X58" s="7"/>
      <c r="Y58" s="7"/>
      <c r="Z58" s="7"/>
      <c r="AA58" s="7"/>
    </row>
    <row r="59" spans="1:33">
      <c r="A59" s="7"/>
      <c r="B59" s="7"/>
      <c r="C59" s="7"/>
      <c r="D59" s="7"/>
      <c r="E59" s="7"/>
      <c r="F59" s="7"/>
      <c r="G59" s="7"/>
      <c r="H59" s="7"/>
      <c r="I59" s="7"/>
      <c r="J59" s="7"/>
      <c r="K59" s="7"/>
      <c r="L59" s="7"/>
      <c r="M59" s="7"/>
      <c r="N59" s="7"/>
      <c r="O59" s="7"/>
      <c r="P59" s="7"/>
      <c r="Q59" s="7"/>
      <c r="R59" s="7"/>
      <c r="S59" s="7"/>
      <c r="T59" s="7"/>
      <c r="U59" s="7"/>
      <c r="V59" s="7"/>
      <c r="W59" s="7"/>
      <c r="X59" s="7"/>
      <c r="Y59" s="7"/>
      <c r="Z59" s="7"/>
      <c r="AA59" s="7"/>
    </row>
  </sheetData>
  <mergeCells count="124">
    <mergeCell ref="AG2:AI2"/>
    <mergeCell ref="AB4:AC4"/>
    <mergeCell ref="J1:S1"/>
    <mergeCell ref="A2:AA3"/>
    <mergeCell ref="A4:B9"/>
    <mergeCell ref="A10:B11"/>
    <mergeCell ref="Q5:W5"/>
    <mergeCell ref="Y5:AA5"/>
    <mergeCell ref="O11:P11"/>
    <mergeCell ref="J7:N7"/>
    <mergeCell ref="J8:N8"/>
    <mergeCell ref="J9:N9"/>
    <mergeCell ref="C8:G8"/>
    <mergeCell ref="Q4:W4"/>
    <mergeCell ref="Y4:AA4"/>
    <mergeCell ref="I5:N5"/>
    <mergeCell ref="O5:P5"/>
    <mergeCell ref="C4:G4"/>
    <mergeCell ref="AB5:AC5"/>
    <mergeCell ref="H11:I11"/>
    <mergeCell ref="H6:K6"/>
    <mergeCell ref="H19:AA19"/>
    <mergeCell ref="H20:AA20"/>
    <mergeCell ref="N24:U24"/>
    <mergeCell ref="AG7:AI7"/>
    <mergeCell ref="AG6:AI6"/>
    <mergeCell ref="H50:AA51"/>
    <mergeCell ref="H48:AA49"/>
    <mergeCell ref="H30:AA30"/>
    <mergeCell ref="H31:AA34"/>
    <mergeCell ref="H35:AA36"/>
    <mergeCell ref="C50:G51"/>
    <mergeCell ref="H26:J26"/>
    <mergeCell ref="K26:M26"/>
    <mergeCell ref="N26:P26"/>
    <mergeCell ref="Q26:S26"/>
    <mergeCell ref="W23:Y23"/>
    <mergeCell ref="H24:J24"/>
    <mergeCell ref="K24:M24"/>
    <mergeCell ref="W24:Y24"/>
    <mergeCell ref="N23:P23"/>
    <mergeCell ref="Q23:S23"/>
    <mergeCell ref="H46:AA47"/>
    <mergeCell ref="C35:G47"/>
    <mergeCell ref="H37:AA38"/>
    <mergeCell ref="H39:AA45"/>
    <mergeCell ref="T26:V26"/>
    <mergeCell ref="W26:Y26"/>
    <mergeCell ref="H27:Y27"/>
    <mergeCell ref="H28:AA29"/>
    <mergeCell ref="H25:K25"/>
    <mergeCell ref="M25:Q25"/>
    <mergeCell ref="A54:B54"/>
    <mergeCell ref="O4:P4"/>
    <mergeCell ref="I4:N4"/>
    <mergeCell ref="C30:G30"/>
    <mergeCell ref="C31:G34"/>
    <mergeCell ref="C48:G49"/>
    <mergeCell ref="C20:G20"/>
    <mergeCell ref="C21:G22"/>
    <mergeCell ref="C23:G25"/>
    <mergeCell ref="C26:G27"/>
    <mergeCell ref="C28:G29"/>
    <mergeCell ref="C14:G14"/>
    <mergeCell ref="C15:G15"/>
    <mergeCell ref="C16:G16"/>
    <mergeCell ref="C17:G17"/>
    <mergeCell ref="C18:G18"/>
    <mergeCell ref="C19:G19"/>
    <mergeCell ref="C7:G7"/>
    <mergeCell ref="C9:G9"/>
    <mergeCell ref="C10:G10"/>
    <mergeCell ref="C11:G11"/>
    <mergeCell ref="C12:G13"/>
    <mergeCell ref="H15:AA15"/>
    <mergeCell ref="A12:B51"/>
    <mergeCell ref="A53:G53"/>
    <mergeCell ref="C5:G5"/>
    <mergeCell ref="C6:G6"/>
    <mergeCell ref="Y7:AA7"/>
    <mergeCell ref="Y8:AA8"/>
    <mergeCell ref="Y9:AA9"/>
    <mergeCell ref="Y10:AA10"/>
    <mergeCell ref="O7:P7"/>
    <mergeCell ref="O8:P8"/>
    <mergeCell ref="O9:P9"/>
    <mergeCell ref="O10:P10"/>
    <mergeCell ref="H7:I7"/>
    <mergeCell ref="H8:I8"/>
    <mergeCell ref="H9:I9"/>
    <mergeCell ref="H10:I10"/>
    <mergeCell ref="Q7:W7"/>
    <mergeCell ref="Q8:W8"/>
    <mergeCell ref="Q9:W9"/>
    <mergeCell ref="V16:X16"/>
    <mergeCell ref="Y16:AA16"/>
    <mergeCell ref="H16:M16"/>
    <mergeCell ref="P16:U16"/>
    <mergeCell ref="N16:O16"/>
    <mergeCell ref="A52:AA52"/>
    <mergeCell ref="AJ1:AJ7"/>
    <mergeCell ref="AD6:AF6"/>
    <mergeCell ref="H17:AA17"/>
    <mergeCell ref="AD3:AF3"/>
    <mergeCell ref="AD7:AF7"/>
    <mergeCell ref="H18:AA18"/>
    <mergeCell ref="H21:AA22"/>
    <mergeCell ref="H23:J23"/>
    <mergeCell ref="K23:M23"/>
    <mergeCell ref="L6:M6"/>
    <mergeCell ref="J11:N11"/>
    <mergeCell ref="Q11:W11"/>
    <mergeCell ref="Y11:AA11"/>
    <mergeCell ref="J10:N10"/>
    <mergeCell ref="Q10:W10"/>
    <mergeCell ref="O6:P6"/>
    <mergeCell ref="Q6:W6"/>
    <mergeCell ref="AD4:AF4"/>
    <mergeCell ref="AD5:AF5"/>
    <mergeCell ref="AB1:AC1"/>
    <mergeCell ref="AD1:AF1"/>
    <mergeCell ref="AD2:AF2"/>
    <mergeCell ref="AB2:AC2"/>
    <mergeCell ref="T23:V23"/>
  </mergeCells>
  <phoneticPr fontId="9" type="noConversion"/>
  <conditionalFormatting sqref="P16:U16">
    <cfRule type="cellIs" dxfId="37" priority="1" operator="lessThan">
      <formula>$H$16</formula>
    </cfRule>
  </conditionalFormatting>
  <dataValidations count="8">
    <dataValidation type="list" allowBlank="1" showInputMessage="1" showErrorMessage="1" sqref="AD1:AF1" xr:uid="{8162AE19-3751-48FC-AC15-E895244B816D}">
      <formula1>派遣先事業所</formula1>
    </dataValidation>
    <dataValidation type="list" allowBlank="1" showInputMessage="1" showErrorMessage="1" sqref="AD2:AF2 AD4:AF4" xr:uid="{A5D52BCF-9EEB-42D9-9A05-B37478D955D3}">
      <formula1>INDIRECT(JIGYOUSHO)</formula1>
    </dataValidation>
    <dataValidation type="list" allowBlank="1" showInputMessage="1" showErrorMessage="1" sqref="AD5:AF5" xr:uid="{AD712F3B-15CE-4104-ACE5-A260A3857E96}">
      <formula1>INDIRECT(koka)</formula1>
    </dataValidation>
    <dataValidation type="list" allowBlank="1" showInputMessage="1" showErrorMessage="1" sqref="AD6:AF6" xr:uid="{B81C1539-B3EF-417D-A113-4D977E775F28}">
      <formula1>INDIRECT(koku)</formula1>
    </dataValidation>
    <dataValidation type="list" allowBlank="1" showInputMessage="1" showErrorMessage="1" sqref="AD8" xr:uid="{7AF5F0E4-37DC-480D-85B7-1DCC82944BD4}">
      <formula1>"通知書,通知書(別々)"</formula1>
    </dataValidation>
    <dataValidation type="list" allowBlank="1" showInputMessage="1" showErrorMessage="1" sqref="AD7:AF7" xr:uid="{33A810FF-9971-46EC-93AB-CF46AA8B8ADA}">
      <formula1>INDIRECT(Linea)</formula1>
    </dataValidation>
    <dataValidation type="list" allowBlank="1" showInputMessage="1" showErrorMessage="1" sqref="AE10" xr:uid="{3033247E-FA05-4C00-888D-BB5EDC085831}">
      <formula1>"-1,0,1,2,3,0.4,4,5,6"</formula1>
    </dataValidation>
    <dataValidation type="list" allowBlank="1" showInputMessage="1" showErrorMessage="1" sqref="AG7:AI7" xr:uid="{7025A5B6-26CE-4CD4-991F-287BB80A2DF2}">
      <formula1>INDIRECT(naiou)</formula1>
    </dataValidation>
  </dataValidations>
  <hyperlinks>
    <hyperlink ref="AE8" location="入社日変更" display="入社日変更" xr:uid="{C364B0E9-6078-4C94-A3E8-16AF0B575F8F}"/>
    <hyperlink ref="AF8" location="通知書Genzai!A1" display="DAICHO" xr:uid="{49E0E6F5-2C29-4160-8B3E-1D5BF6D039E7}"/>
  </hyperlinks>
  <pageMargins left="0.31496062992125984" right="3.937007874015748E-2" top="0.27559055118110237" bottom="0.27559055118110237" header="0.15748031496062992" footer="7.874015748031496E-2"/>
  <pageSetup paperSize="9" orientation="portrait" r:id="rId1"/>
  <drawing r:id="rId2"/>
  <legacyDrawing r:id="rId3"/>
  <controls>
    <mc:AlternateContent xmlns:mc="http://schemas.openxmlformats.org/markup-compatibility/2006">
      <mc:Choice Requires="x14">
        <control shapeId="9226" r:id="rId4" name="Imprimir">
          <controlPr defaultSize="0" autoLine="0" autoPict="0" r:id="rId5">
            <anchor moveWithCells="1">
              <from>
                <xdr:col>30</xdr:col>
                <xdr:colOff>190500</xdr:colOff>
                <xdr:row>10</xdr:row>
                <xdr:rowOff>114300</xdr:rowOff>
              </from>
              <to>
                <xdr:col>31</xdr:col>
                <xdr:colOff>847725</xdr:colOff>
                <xdr:row>12</xdr:row>
                <xdr:rowOff>104775</xdr:rowOff>
              </to>
            </anchor>
          </controlPr>
        </control>
      </mc:Choice>
      <mc:Fallback>
        <control shapeId="9226" r:id="rId4" name="Imprimir"/>
      </mc:Fallback>
    </mc:AlternateContent>
    <mc:AlternateContent xmlns:mc="http://schemas.openxmlformats.org/markup-compatibility/2006">
      <mc:Choice Requires="x14">
        <control shapeId="9218" r:id="rId6" name="Check Box 2">
          <controlPr defaultSize="0" autoFill="0" autoLine="0" autoPict="0">
            <anchor moveWithCells="1" sizeWithCells="1">
              <from>
                <xdr:col>14</xdr:col>
                <xdr:colOff>9525</xdr:colOff>
                <xdr:row>11</xdr:row>
                <xdr:rowOff>19050</xdr:rowOff>
              </from>
              <to>
                <xdr:col>16</xdr:col>
                <xdr:colOff>123825</xdr:colOff>
                <xdr:row>13</xdr:row>
                <xdr:rowOff>9525</xdr:rowOff>
              </to>
            </anchor>
          </controlPr>
        </control>
      </mc:Choice>
    </mc:AlternateContent>
    <mc:AlternateContent xmlns:mc="http://schemas.openxmlformats.org/markup-compatibility/2006">
      <mc:Choice Requires="x14">
        <control shapeId="9221" r:id="rId7" name="Check Box 5">
          <controlPr defaultSize="0" autoFill="0" autoLine="0" autoPict="0">
            <anchor moveWithCells="1" sizeWithCells="1">
              <from>
                <xdr:col>7</xdr:col>
                <xdr:colOff>76200</xdr:colOff>
                <xdr:row>13</xdr:row>
                <xdr:rowOff>0</xdr:rowOff>
              </from>
              <to>
                <xdr:col>12</xdr:col>
                <xdr:colOff>57150</xdr:colOff>
                <xdr:row>14</xdr:row>
                <xdr:rowOff>0</xdr:rowOff>
              </to>
            </anchor>
          </controlPr>
        </control>
      </mc:Choice>
    </mc:AlternateContent>
    <mc:AlternateContent xmlns:mc="http://schemas.openxmlformats.org/markup-compatibility/2006">
      <mc:Choice Requires="x14">
        <control shapeId="9222" r:id="rId8" name="Check Box 6">
          <controlPr defaultSize="0" autoFill="0" autoLine="0" autoPict="0">
            <anchor moveWithCells="1" sizeWithCells="1">
              <from>
                <xdr:col>14</xdr:col>
                <xdr:colOff>9525</xdr:colOff>
                <xdr:row>13</xdr:row>
                <xdr:rowOff>0</xdr:rowOff>
              </from>
              <to>
                <xdr:col>19</xdr:col>
                <xdr:colOff>114300</xdr:colOff>
                <xdr:row>14</xdr:row>
                <xdr:rowOff>0</xdr:rowOff>
              </to>
            </anchor>
          </controlPr>
        </control>
      </mc:Choice>
    </mc:AlternateContent>
    <mc:AlternateContent xmlns:mc="http://schemas.openxmlformats.org/markup-compatibility/2006">
      <mc:Choice Requires="x14">
        <control shapeId="9223" r:id="rId9" name="Check Box 7">
          <controlPr defaultSize="0" autoFill="0" autoLine="0" autoPict="0">
            <anchor moveWithCells="1" sizeWithCells="1">
              <from>
                <xdr:col>7</xdr:col>
                <xdr:colOff>76200</xdr:colOff>
                <xdr:row>11</xdr:row>
                <xdr:rowOff>0</xdr:rowOff>
              </from>
              <to>
                <xdr:col>14</xdr:col>
                <xdr:colOff>0</xdr:colOff>
                <xdr:row>13</xdr:row>
                <xdr:rowOff>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EF7C2-CCD2-411C-A33D-7BDBE1BD9EC2}">
  <sheetPr codeName="Hoja7">
    <tabColor rgb="FFFFFF00"/>
  </sheetPr>
  <dimension ref="A1:AH135"/>
  <sheetViews>
    <sheetView workbookViewId="0">
      <selection activeCell="W37" sqref="W37:AD39"/>
    </sheetView>
  </sheetViews>
  <sheetFormatPr baseColWidth="10" defaultColWidth="9.125" defaultRowHeight="13.5"/>
  <cols>
    <col min="1" max="1" width="9.875" bestFit="1" customWidth="1"/>
    <col min="2" max="2" width="19.125" bestFit="1" customWidth="1"/>
    <col min="4" max="4" width="15.375" style="62" bestFit="1" customWidth="1"/>
    <col min="7" max="7" width="19.125" style="62" bestFit="1" customWidth="1"/>
    <col min="9" max="9" width="34.125" customWidth="1"/>
    <col min="10" max="10" width="4.375" bestFit="1" customWidth="1"/>
    <col min="11" max="11" width="10.375" bestFit="1" customWidth="1"/>
    <col min="12" max="12" width="8" bestFit="1" customWidth="1"/>
    <col min="13" max="13" width="7.875" bestFit="1" customWidth="1"/>
    <col min="14" max="14" width="11.25" bestFit="1" customWidth="1"/>
    <col min="15" max="15" width="19.75" customWidth="1"/>
    <col min="16" max="16" width="38.75" bestFit="1" customWidth="1"/>
  </cols>
  <sheetData>
    <row r="1" spans="1:34" ht="29.25" customHeight="1">
      <c r="I1" s="89" t="s">
        <v>15</v>
      </c>
      <c r="J1" s="89"/>
      <c r="K1" s="89"/>
      <c r="L1" s="89"/>
      <c r="M1" s="2"/>
      <c r="P1" s="89" t="s">
        <v>16</v>
      </c>
    </row>
    <row r="2" spans="1:34" ht="19.5">
      <c r="I2" s="357" t="str">
        <f>個別契約書X!I4&amp;" "&amp;個別契約書X!J7</f>
        <v xml:space="preserve">高雄工業株式会社 </v>
      </c>
      <c r="J2" s="357"/>
      <c r="K2" s="357"/>
      <c r="L2" s="91" t="s">
        <v>861</v>
      </c>
      <c r="M2" s="2"/>
      <c r="N2" s="2"/>
      <c r="O2" s="2"/>
      <c r="P2" s="2"/>
    </row>
    <row r="3" spans="1:34" ht="18">
      <c r="I3" s="53"/>
      <c r="J3" s="1"/>
      <c r="K3" s="1"/>
      <c r="L3" s="1"/>
      <c r="M3" s="1"/>
      <c r="N3" s="1"/>
      <c r="O3" s="1"/>
      <c r="P3" s="1"/>
    </row>
    <row r="4" spans="1:34" ht="18">
      <c r="D4" s="94" t="s">
        <v>65</v>
      </c>
      <c r="G4" s="123" t="s">
        <v>2628</v>
      </c>
      <c r="I4" s="1"/>
      <c r="J4" s="1"/>
      <c r="K4" s="1"/>
      <c r="L4" s="1"/>
      <c r="M4" s="1"/>
      <c r="N4" s="1"/>
      <c r="O4" s="1"/>
      <c r="P4" s="1"/>
    </row>
    <row r="5" spans="1:34" ht="19.5">
      <c r="I5" s="2"/>
      <c r="J5" s="2"/>
      <c r="K5" s="2"/>
      <c r="L5" s="2"/>
      <c r="O5" s="89" t="s">
        <v>13</v>
      </c>
      <c r="P5" s="90"/>
      <c r="Y5">
        <f>_xlfn.XLOOKUP(KOUJYOU,KanriDaichou[就業場所名称],KanriDaichou[就業場所TEL],"",0,1)</f>
        <v>0</v>
      </c>
    </row>
    <row r="6" spans="1:34" ht="19.5">
      <c r="I6" s="2"/>
      <c r="J6" s="2"/>
      <c r="K6" s="2"/>
      <c r="L6" s="2"/>
      <c r="O6" s="89"/>
      <c r="P6" s="89" t="s">
        <v>14</v>
      </c>
    </row>
    <row r="7" spans="1:34" ht="18">
      <c r="I7" s="88" t="str">
        <f>CONCATENATE(TEXT(個別契約書X!A53,"gggyy年m月d日"),"付の労働者派遣個別契約に基づき以下の者を派遣します。")</f>
        <v>令和05年4月1日付の労働者派遣個別契約に基づき以下の者を派遣します。</v>
      </c>
      <c r="J7" s="60"/>
      <c r="K7" s="60"/>
      <c r="L7" s="60"/>
      <c r="M7" s="60"/>
      <c r="N7" s="2"/>
      <c r="O7" s="2"/>
      <c r="P7" s="60"/>
    </row>
    <row r="8" spans="1:34" ht="18.75" customHeight="1">
      <c r="H8" s="3" t="s">
        <v>5</v>
      </c>
      <c r="I8" s="85" t="s">
        <v>25</v>
      </c>
      <c r="J8" s="85" t="s">
        <v>7</v>
      </c>
      <c r="K8" s="85" t="s">
        <v>8</v>
      </c>
      <c r="L8" s="85" t="s">
        <v>9</v>
      </c>
      <c r="M8" s="85" t="s">
        <v>10</v>
      </c>
      <c r="N8" s="85" t="s">
        <v>11</v>
      </c>
      <c r="O8" s="85" t="s">
        <v>12</v>
      </c>
      <c r="P8" s="85" t="s">
        <v>913</v>
      </c>
    </row>
    <row r="9" spans="1:34" ht="18.75" customHeight="1">
      <c r="A9" t="str" cm="1">
        <f t="array" ref="A9:A135">_xlfn._xlws.FILTER(TablaTransfor[社員№],TablaTransfor[ライン]=Linea,"")</f>
        <v/>
      </c>
      <c r="B9" t="str" cm="1">
        <f t="array" ref="B9">_xlfn._xlws.FILTER(TablaTransfor[カナ],(TablaTransfor[ライン]=Linea)*(TablaTransfor[現在]="在職中")*(TablaTransfor[単価]=PrecioHora)*(TablaTransfor[内容]=naiou),"")</f>
        <v/>
      </c>
      <c r="C9" t="str" cm="1">
        <f t="array" ref="C9">_xlfn._xlws.FILTER(TablaTransfor[性別],(TablaTransfor[ライン]=Linea)*(TablaTransfor[現在]="在職中")*(TablaTransfor[単価]=PrecioHora)*(TablaTransfor[内容]=naiou),"")</f>
        <v/>
      </c>
      <c r="D9" s="62" t="str" cm="1">
        <f t="array" ref="D9">_xlfn._xlws.FILTER(TablaTransfor[生年月日],(TablaTransfor[ライン]=Linea)*(TablaTransfor[現在]="在職中")*(TablaTransfor[単価]=PrecioHora)*(TablaTransfor[内容]=naiou),"")</f>
        <v/>
      </c>
      <c r="E9" t="str" cm="1">
        <f t="array" ref="E9">_xlfn._xlws.FILTER(TablaTransfor[年齢],(TablaTransfor[ライン]=Linea)*(TablaTransfor[現在]="在職中")*(TablaTransfor[単価]=PrecioHora)*(TablaTransfor[内容]=naiou),"")</f>
        <v/>
      </c>
      <c r="F9" t="str" cm="1">
        <f t="array" ref="F9">_xlfn._xlws.FILTER(TablaTransfor[単価],(TablaTransfor[ライン]=Linea)*(TablaTransfor[現在]="在職中")*(TablaTransfor[単価]=PrecioHora)*(TablaTransfor[内容]=naiou),"")</f>
        <v/>
      </c>
      <c r="G9" s="62" t="str" cm="1">
        <f t="array" ref="G9">_xlfn._xlws.FILTER(TablaTransfor[Desde],(TablaTransfor[ライン]=Linea)*(TablaTransfor[現在]="在職中")*(TablaTransfor[単価]=PrecioHora)*(TablaTransfor[内容]=naiou),"")</f>
        <v/>
      </c>
      <c r="H9" s="49" t="str">
        <f>IF(I9="","",1)</f>
        <v/>
      </c>
      <c r="I9" s="82" t="str" cm="1">
        <f t="array" ref="I9">_xlfn._xlws.FILTER(TablaTransfor[カナ],(TablaTransfor[ライン]=Linea)*(TablaTransfor[現在]="在職中")*(TablaTransfor[単価]=PrecioHora)*(TablaTransfor[入社日]&lt;=D4)*(TablaTransfor[内容]=naiou),"")</f>
        <v/>
      </c>
      <c r="J9" s="85" t="str" cm="1">
        <f t="array" ref="J9">_xlfn._xlws.FILTER(TablaTransfor[性別],(TablaTransfor[ライン]=Linea)*(TablaTransfor[現在]="在職中")*(TablaTransfor[単価]=PrecioHora)*(TablaTransfor[入社日]&lt;=D4)*(TablaTransfor[内容]=naiou),"")</f>
        <v/>
      </c>
      <c r="K9" s="85" t="str">
        <f>IF(H9="","",IF(E9&lt;=18,"18未満(     )歳",IF(E9&lt;=60,"60歳未満","60歳以上")))</f>
        <v/>
      </c>
      <c r="L9" s="85" t="str">
        <f>IF($H9="","","加入")</f>
        <v/>
      </c>
      <c r="M9" s="85" t="str">
        <f>IF($H9="","","加入")</f>
        <v/>
      </c>
      <c r="N9" s="85" t="str">
        <f>IF($H9="","","加入")</f>
        <v/>
      </c>
      <c r="O9" s="85" t="str">
        <f>IF($H9="","",IF(G9&gt;=DATE(2022,10,1),"無期雇用","有期雇用（3ヵ月)"))</f>
        <v/>
      </c>
      <c r="P9" s="85" t="str">
        <f>IF($H9="","","協定対象派遣労働者(労使協定式方式)")</f>
        <v/>
      </c>
      <c r="AD9" s="120"/>
    </row>
    <row r="10" spans="1:34" ht="18.75" customHeight="1">
      <c r="A10" t="str">
        <v/>
      </c>
      <c r="H10" s="49" t="str">
        <f>IF(I10="","",H9+1)</f>
        <v/>
      </c>
      <c r="I10" s="82"/>
      <c r="J10" s="50"/>
      <c r="K10" s="85" t="str">
        <f t="shared" ref="K10:K49" si="0">IF(H10="","",IF(E10&lt;=18,"18未満(     )歳",IF(E10&lt;=60,"60歳未満","60歳以上")))</f>
        <v/>
      </c>
      <c r="L10" s="85" t="str">
        <f t="shared" ref="L10:N49" si="1">IF($H10="","","加入")</f>
        <v/>
      </c>
      <c r="M10" s="85" t="str">
        <f t="shared" si="1"/>
        <v/>
      </c>
      <c r="N10" s="85" t="str">
        <f t="shared" si="1"/>
        <v/>
      </c>
      <c r="O10" s="85" t="str">
        <f t="shared" ref="O10:O49" si="2">IF($H10="","",IF(G10&gt;=DATE(2022,10,1),"無期雇用","有期雇用（3ヵ月)"))</f>
        <v/>
      </c>
      <c r="P10" s="85" t="str">
        <f t="shared" ref="P10:P49" si="3">IF($H10="","","協定対象派遣労働者(労使協定式方式)")</f>
        <v/>
      </c>
      <c r="AH10">
        <v>1</v>
      </c>
    </row>
    <row r="11" spans="1:34" ht="18.75" customHeight="1">
      <c r="A11" t="str">
        <v/>
      </c>
      <c r="H11" s="49" t="str">
        <f t="shared" ref="H11:H49" si="4">IF(I11="","",H10+1)</f>
        <v/>
      </c>
      <c r="I11" s="82"/>
      <c r="J11" s="50"/>
      <c r="K11" s="85" t="str">
        <f t="shared" si="0"/>
        <v/>
      </c>
      <c r="L11" s="85" t="str">
        <f t="shared" si="1"/>
        <v/>
      </c>
      <c r="M11" s="85" t="str">
        <f t="shared" si="1"/>
        <v/>
      </c>
      <c r="N11" s="85" t="str">
        <f t="shared" si="1"/>
        <v/>
      </c>
      <c r="O11" s="85" t="str">
        <f t="shared" si="2"/>
        <v/>
      </c>
      <c r="P11" s="85" t="str">
        <f t="shared" si="3"/>
        <v/>
      </c>
    </row>
    <row r="12" spans="1:34" ht="18.75" customHeight="1">
      <c r="A12" t="str">
        <v/>
      </c>
      <c r="H12" s="49" t="str">
        <f t="shared" si="4"/>
        <v/>
      </c>
      <c r="I12" s="82"/>
      <c r="J12" s="50"/>
      <c r="K12" s="85" t="str">
        <f t="shared" si="0"/>
        <v/>
      </c>
      <c r="L12" s="85" t="str">
        <f t="shared" si="1"/>
        <v/>
      </c>
      <c r="M12" s="85" t="str">
        <f t="shared" si="1"/>
        <v/>
      </c>
      <c r="N12" s="85" t="str">
        <f t="shared" si="1"/>
        <v/>
      </c>
      <c r="O12" s="85" t="str">
        <f t="shared" si="2"/>
        <v/>
      </c>
      <c r="P12" s="85" t="str">
        <f t="shared" si="3"/>
        <v/>
      </c>
    </row>
    <row r="13" spans="1:34" ht="18.75" customHeight="1">
      <c r="A13" t="str">
        <v/>
      </c>
      <c r="H13" s="49" t="str">
        <f t="shared" si="4"/>
        <v/>
      </c>
      <c r="I13" s="82"/>
      <c r="J13" s="50"/>
      <c r="K13" s="85" t="str">
        <f t="shared" si="0"/>
        <v/>
      </c>
      <c r="L13" s="85" t="str">
        <f t="shared" si="1"/>
        <v/>
      </c>
      <c r="M13" s="85" t="str">
        <f t="shared" si="1"/>
        <v/>
      </c>
      <c r="N13" s="85" t="str">
        <f t="shared" si="1"/>
        <v/>
      </c>
      <c r="O13" s="85" t="str">
        <f t="shared" si="2"/>
        <v/>
      </c>
      <c r="P13" s="85" t="str">
        <f t="shared" si="3"/>
        <v/>
      </c>
    </row>
    <row r="14" spans="1:34" ht="18.75" customHeight="1">
      <c r="A14" t="str">
        <v/>
      </c>
      <c r="H14" s="49" t="str">
        <f t="shared" si="4"/>
        <v/>
      </c>
      <c r="I14" s="82"/>
      <c r="J14" s="50"/>
      <c r="K14" s="85" t="str">
        <f t="shared" si="0"/>
        <v/>
      </c>
      <c r="L14" s="85" t="str">
        <f t="shared" si="1"/>
        <v/>
      </c>
      <c r="M14" s="85" t="str">
        <f t="shared" si="1"/>
        <v/>
      </c>
      <c r="N14" s="85" t="str">
        <f t="shared" si="1"/>
        <v/>
      </c>
      <c r="O14" s="85" t="str">
        <f t="shared" si="2"/>
        <v/>
      </c>
      <c r="P14" s="85" t="str">
        <f t="shared" si="3"/>
        <v/>
      </c>
    </row>
    <row r="15" spans="1:34" ht="18.75" customHeight="1">
      <c r="A15" t="str">
        <v/>
      </c>
      <c r="H15" s="49" t="str">
        <f t="shared" si="4"/>
        <v/>
      </c>
      <c r="I15" s="82"/>
      <c r="J15" s="50"/>
      <c r="K15" s="85" t="str">
        <f t="shared" si="0"/>
        <v/>
      </c>
      <c r="L15" s="85" t="str">
        <f t="shared" si="1"/>
        <v/>
      </c>
      <c r="M15" s="85" t="str">
        <f t="shared" si="1"/>
        <v/>
      </c>
      <c r="N15" s="85" t="str">
        <f t="shared" si="1"/>
        <v/>
      </c>
      <c r="O15" s="85" t="str">
        <f t="shared" si="2"/>
        <v/>
      </c>
      <c r="P15" s="85" t="str">
        <f t="shared" si="3"/>
        <v/>
      </c>
    </row>
    <row r="16" spans="1:34" ht="18.75" customHeight="1">
      <c r="A16" t="str">
        <v/>
      </c>
      <c r="H16" s="49" t="str">
        <f t="shared" si="4"/>
        <v/>
      </c>
      <c r="I16" s="82"/>
      <c r="J16" s="50"/>
      <c r="K16" s="85" t="str">
        <f t="shared" si="0"/>
        <v/>
      </c>
      <c r="L16" s="85" t="str">
        <f t="shared" si="1"/>
        <v/>
      </c>
      <c r="M16" s="85" t="str">
        <f t="shared" si="1"/>
        <v/>
      </c>
      <c r="N16" s="85" t="str">
        <f t="shared" si="1"/>
        <v/>
      </c>
      <c r="O16" s="85" t="str">
        <f t="shared" si="2"/>
        <v/>
      </c>
      <c r="P16" s="85" t="str">
        <f t="shared" si="3"/>
        <v/>
      </c>
    </row>
    <row r="17" spans="1:16" ht="18.75" customHeight="1">
      <c r="A17" t="str">
        <v/>
      </c>
      <c r="H17" s="49" t="str">
        <f t="shared" si="4"/>
        <v/>
      </c>
      <c r="I17" s="82"/>
      <c r="J17" s="50"/>
      <c r="K17" s="85" t="str">
        <f t="shared" si="0"/>
        <v/>
      </c>
      <c r="L17" s="85" t="str">
        <f t="shared" si="1"/>
        <v/>
      </c>
      <c r="M17" s="85" t="str">
        <f t="shared" si="1"/>
        <v/>
      </c>
      <c r="N17" s="85" t="str">
        <f t="shared" si="1"/>
        <v/>
      </c>
      <c r="O17" s="85" t="str">
        <f t="shared" si="2"/>
        <v/>
      </c>
      <c r="P17" s="85" t="str">
        <f t="shared" si="3"/>
        <v/>
      </c>
    </row>
    <row r="18" spans="1:16" ht="18.75" customHeight="1">
      <c r="A18" t="str">
        <v/>
      </c>
      <c r="H18" s="49" t="str">
        <f t="shared" si="4"/>
        <v/>
      </c>
      <c r="I18" s="82"/>
      <c r="J18" s="50"/>
      <c r="K18" s="85" t="str">
        <f t="shared" si="0"/>
        <v/>
      </c>
      <c r="L18" s="85" t="str">
        <f t="shared" si="1"/>
        <v/>
      </c>
      <c r="M18" s="85" t="str">
        <f t="shared" si="1"/>
        <v/>
      </c>
      <c r="N18" s="85" t="str">
        <f t="shared" si="1"/>
        <v/>
      </c>
      <c r="O18" s="85" t="str">
        <f t="shared" si="2"/>
        <v/>
      </c>
      <c r="P18" s="85" t="str">
        <f t="shared" si="3"/>
        <v/>
      </c>
    </row>
    <row r="19" spans="1:16" ht="18.75" customHeight="1">
      <c r="A19" t="str">
        <v/>
      </c>
      <c r="H19" s="49" t="str">
        <f t="shared" si="4"/>
        <v/>
      </c>
      <c r="I19" s="82"/>
      <c r="J19" s="50"/>
      <c r="K19" s="85" t="str">
        <f t="shared" si="0"/>
        <v/>
      </c>
      <c r="L19" s="85" t="str">
        <f t="shared" si="1"/>
        <v/>
      </c>
      <c r="M19" s="85" t="str">
        <f t="shared" si="1"/>
        <v/>
      </c>
      <c r="N19" s="85" t="str">
        <f t="shared" si="1"/>
        <v/>
      </c>
      <c r="O19" s="85" t="str">
        <f t="shared" si="2"/>
        <v/>
      </c>
      <c r="P19" s="85" t="str">
        <f t="shared" si="3"/>
        <v/>
      </c>
    </row>
    <row r="20" spans="1:16" ht="18.75" customHeight="1">
      <c r="A20" t="str">
        <v/>
      </c>
      <c r="H20" s="49" t="str">
        <f t="shared" si="4"/>
        <v/>
      </c>
      <c r="I20" s="82"/>
      <c r="J20" s="50"/>
      <c r="K20" s="85" t="str">
        <f t="shared" si="0"/>
        <v/>
      </c>
      <c r="L20" s="85" t="str">
        <f t="shared" si="1"/>
        <v/>
      </c>
      <c r="M20" s="85" t="str">
        <f t="shared" si="1"/>
        <v/>
      </c>
      <c r="N20" s="85" t="str">
        <f t="shared" si="1"/>
        <v/>
      </c>
      <c r="O20" s="85" t="str">
        <f t="shared" si="2"/>
        <v/>
      </c>
      <c r="P20" s="85" t="str">
        <f t="shared" si="3"/>
        <v/>
      </c>
    </row>
    <row r="21" spans="1:16" ht="18.75" customHeight="1">
      <c r="A21" t="str">
        <v/>
      </c>
      <c r="H21" s="49" t="str">
        <f t="shared" si="4"/>
        <v/>
      </c>
      <c r="I21" s="82"/>
      <c r="J21" s="50"/>
      <c r="K21" s="85" t="str">
        <f t="shared" si="0"/>
        <v/>
      </c>
      <c r="L21" s="85" t="str">
        <f t="shared" si="1"/>
        <v/>
      </c>
      <c r="M21" s="85" t="str">
        <f t="shared" si="1"/>
        <v/>
      </c>
      <c r="N21" s="85" t="str">
        <f t="shared" si="1"/>
        <v/>
      </c>
      <c r="O21" s="85" t="str">
        <f t="shared" si="2"/>
        <v/>
      </c>
      <c r="P21" s="85" t="str">
        <f t="shared" si="3"/>
        <v/>
      </c>
    </row>
    <row r="22" spans="1:16" ht="18.75" customHeight="1">
      <c r="A22" t="str">
        <v/>
      </c>
      <c r="H22" s="54" t="str">
        <f t="shared" si="4"/>
        <v/>
      </c>
      <c r="I22" s="83"/>
      <c r="J22" s="79"/>
      <c r="K22" s="85" t="str">
        <f t="shared" si="0"/>
        <v/>
      </c>
      <c r="L22" s="86" t="str">
        <f t="shared" si="1"/>
        <v/>
      </c>
      <c r="M22" s="86" t="str">
        <f t="shared" si="1"/>
        <v/>
      </c>
      <c r="N22" s="86" t="str">
        <f t="shared" si="1"/>
        <v/>
      </c>
      <c r="O22" s="85" t="str">
        <f t="shared" si="2"/>
        <v/>
      </c>
      <c r="P22" s="85" t="str">
        <f t="shared" si="3"/>
        <v/>
      </c>
    </row>
    <row r="23" spans="1:16" ht="18.75" customHeight="1">
      <c r="A23" t="str">
        <v/>
      </c>
      <c r="H23" s="49" t="str">
        <f t="shared" si="4"/>
        <v/>
      </c>
      <c r="I23" s="82"/>
      <c r="J23" s="50"/>
      <c r="K23" s="85" t="str">
        <f t="shared" si="0"/>
        <v/>
      </c>
      <c r="L23" s="85" t="str">
        <f t="shared" si="1"/>
        <v/>
      </c>
      <c r="M23" s="85" t="str">
        <f t="shared" si="1"/>
        <v/>
      </c>
      <c r="N23" s="85" t="str">
        <f t="shared" si="1"/>
        <v/>
      </c>
      <c r="O23" s="85" t="str">
        <f t="shared" si="2"/>
        <v/>
      </c>
      <c r="P23" s="85" t="str">
        <f t="shared" si="3"/>
        <v/>
      </c>
    </row>
    <row r="24" spans="1:16" ht="18.75" customHeight="1">
      <c r="A24" t="str">
        <v/>
      </c>
      <c r="H24" s="49" t="str">
        <f t="shared" si="4"/>
        <v/>
      </c>
      <c r="I24" s="82"/>
      <c r="J24" s="50"/>
      <c r="K24" s="85" t="str">
        <f t="shared" si="0"/>
        <v/>
      </c>
      <c r="L24" s="85" t="str">
        <f t="shared" si="1"/>
        <v/>
      </c>
      <c r="M24" s="85" t="str">
        <f t="shared" si="1"/>
        <v/>
      </c>
      <c r="N24" s="85" t="str">
        <f t="shared" si="1"/>
        <v/>
      </c>
      <c r="O24" s="85" t="str">
        <f t="shared" si="2"/>
        <v/>
      </c>
      <c r="P24" s="85" t="str">
        <f t="shared" si="3"/>
        <v/>
      </c>
    </row>
    <row r="25" spans="1:16" ht="18.75" customHeight="1">
      <c r="A25" t="str">
        <v/>
      </c>
      <c r="H25" s="49" t="str">
        <f t="shared" si="4"/>
        <v/>
      </c>
      <c r="I25" s="82"/>
      <c r="J25" s="50"/>
      <c r="K25" s="85" t="str">
        <f t="shared" si="0"/>
        <v/>
      </c>
      <c r="L25" s="85"/>
      <c r="M25" s="85" t="str">
        <f t="shared" si="1"/>
        <v/>
      </c>
      <c r="N25" s="85" t="str">
        <f t="shared" si="1"/>
        <v/>
      </c>
      <c r="O25" s="85" t="str">
        <f t="shared" si="2"/>
        <v/>
      </c>
      <c r="P25" s="85" t="str">
        <f t="shared" si="3"/>
        <v/>
      </c>
    </row>
    <row r="26" spans="1:16" ht="18.75" customHeight="1">
      <c r="A26">
        <v>220213</v>
      </c>
      <c r="H26" s="49" t="str">
        <f t="shared" si="4"/>
        <v/>
      </c>
      <c r="I26" s="82"/>
      <c r="J26" s="50"/>
      <c r="K26" s="85" t="str">
        <f t="shared" si="0"/>
        <v/>
      </c>
      <c r="L26" s="85" t="str">
        <f t="shared" si="1"/>
        <v/>
      </c>
      <c r="M26" s="85" t="str">
        <f t="shared" si="1"/>
        <v/>
      </c>
      <c r="N26" s="85" t="str">
        <f t="shared" si="1"/>
        <v/>
      </c>
      <c r="O26" s="85" t="str">
        <f t="shared" si="2"/>
        <v/>
      </c>
      <c r="P26" s="85" t="str">
        <f t="shared" si="3"/>
        <v/>
      </c>
    </row>
    <row r="27" spans="1:16" ht="18.75" customHeight="1">
      <c r="A27">
        <v>210101</v>
      </c>
      <c r="H27" s="49" t="str">
        <f t="shared" si="4"/>
        <v/>
      </c>
      <c r="I27" s="82"/>
      <c r="J27" s="50"/>
      <c r="K27" s="85" t="str">
        <f t="shared" si="0"/>
        <v/>
      </c>
      <c r="L27" s="85" t="str">
        <f t="shared" si="1"/>
        <v/>
      </c>
      <c r="M27" s="85" t="str">
        <f t="shared" si="1"/>
        <v/>
      </c>
      <c r="N27" s="85" t="str">
        <f t="shared" si="1"/>
        <v/>
      </c>
      <c r="O27" s="85" t="str">
        <f t="shared" si="2"/>
        <v/>
      </c>
      <c r="P27" s="85" t="str">
        <f t="shared" si="3"/>
        <v/>
      </c>
    </row>
    <row r="28" spans="1:16" ht="18.75" customHeight="1">
      <c r="A28">
        <v>201210</v>
      </c>
      <c r="H28" s="56" t="str">
        <f t="shared" si="4"/>
        <v/>
      </c>
      <c r="I28" s="84"/>
      <c r="J28" s="81"/>
      <c r="K28" s="85" t="str">
        <f t="shared" si="0"/>
        <v/>
      </c>
      <c r="L28" s="87" t="str">
        <f t="shared" si="1"/>
        <v/>
      </c>
      <c r="M28" s="87" t="str">
        <f t="shared" si="1"/>
        <v/>
      </c>
      <c r="N28" s="87" t="str">
        <f t="shared" si="1"/>
        <v/>
      </c>
      <c r="O28" s="85" t="str">
        <f t="shared" si="2"/>
        <v/>
      </c>
      <c r="P28" s="85" t="str">
        <f t="shared" si="3"/>
        <v/>
      </c>
    </row>
    <row r="29" spans="1:16" ht="18.75" customHeight="1">
      <c r="A29">
        <v>210511</v>
      </c>
      <c r="H29" s="49" t="str">
        <f t="shared" si="4"/>
        <v/>
      </c>
      <c r="I29" s="82"/>
      <c r="J29" s="50"/>
      <c r="K29" s="85" t="str">
        <f t="shared" si="0"/>
        <v/>
      </c>
      <c r="L29" s="85" t="str">
        <f t="shared" si="1"/>
        <v/>
      </c>
      <c r="M29" s="85" t="str">
        <f t="shared" si="1"/>
        <v/>
      </c>
      <c r="N29" s="85" t="str">
        <f t="shared" si="1"/>
        <v/>
      </c>
      <c r="O29" s="85" t="str">
        <f t="shared" si="2"/>
        <v/>
      </c>
      <c r="P29" s="85" t="str">
        <f t="shared" si="3"/>
        <v/>
      </c>
    </row>
    <row r="30" spans="1:16" ht="18.75" customHeight="1">
      <c r="A30">
        <v>210614</v>
      </c>
      <c r="H30" s="49" t="str">
        <f t="shared" si="4"/>
        <v/>
      </c>
      <c r="I30" s="82"/>
      <c r="J30" s="50"/>
      <c r="K30" s="85" t="str">
        <f t="shared" si="0"/>
        <v/>
      </c>
      <c r="L30" s="85" t="str">
        <f t="shared" si="1"/>
        <v/>
      </c>
      <c r="M30" s="85" t="str">
        <f t="shared" si="1"/>
        <v/>
      </c>
      <c r="N30" s="85" t="str">
        <f t="shared" si="1"/>
        <v/>
      </c>
      <c r="O30" s="85" t="str">
        <f t="shared" si="2"/>
        <v/>
      </c>
      <c r="P30" s="85" t="str">
        <f t="shared" si="3"/>
        <v/>
      </c>
    </row>
    <row r="31" spans="1:16" ht="18.75" customHeight="1">
      <c r="A31">
        <v>220105</v>
      </c>
      <c r="H31" s="49" t="str">
        <f t="shared" si="4"/>
        <v/>
      </c>
      <c r="I31" s="82"/>
      <c r="J31" s="50"/>
      <c r="K31" s="85" t="str">
        <f t="shared" si="0"/>
        <v/>
      </c>
      <c r="L31" s="85" t="str">
        <f t="shared" si="1"/>
        <v/>
      </c>
      <c r="M31" s="85" t="str">
        <f t="shared" si="1"/>
        <v/>
      </c>
      <c r="N31" s="85" t="str">
        <f t="shared" si="1"/>
        <v/>
      </c>
      <c r="O31" s="85" t="str">
        <f t="shared" si="2"/>
        <v/>
      </c>
      <c r="P31" s="85" t="str">
        <f t="shared" si="3"/>
        <v/>
      </c>
    </row>
    <row r="32" spans="1:16" ht="18.75" customHeight="1">
      <c r="A32">
        <v>220132</v>
      </c>
      <c r="H32" s="49" t="str">
        <f t="shared" si="4"/>
        <v/>
      </c>
      <c r="I32" s="82"/>
      <c r="J32" s="50"/>
      <c r="K32" s="85" t="str">
        <f t="shared" si="0"/>
        <v/>
      </c>
      <c r="L32" s="85" t="str">
        <f t="shared" si="1"/>
        <v/>
      </c>
      <c r="M32" s="85" t="str">
        <f t="shared" si="1"/>
        <v/>
      </c>
      <c r="N32" s="85" t="str">
        <f t="shared" si="1"/>
        <v/>
      </c>
      <c r="O32" s="85" t="str">
        <f t="shared" si="2"/>
        <v/>
      </c>
      <c r="P32" s="85" t="str">
        <f t="shared" si="3"/>
        <v/>
      </c>
    </row>
    <row r="33" spans="1:16" ht="18.75" customHeight="1">
      <c r="A33">
        <v>220205</v>
      </c>
      <c r="H33" s="49" t="str">
        <f t="shared" si="4"/>
        <v/>
      </c>
      <c r="I33" s="82"/>
      <c r="J33" s="50"/>
      <c r="K33" s="85" t="str">
        <f t="shared" si="0"/>
        <v/>
      </c>
      <c r="L33" s="85" t="str">
        <f t="shared" si="1"/>
        <v/>
      </c>
      <c r="M33" s="85" t="str">
        <f t="shared" si="1"/>
        <v/>
      </c>
      <c r="N33" s="85" t="str">
        <f t="shared" si="1"/>
        <v/>
      </c>
      <c r="O33" s="85" t="str">
        <f t="shared" si="2"/>
        <v/>
      </c>
      <c r="P33" s="85" t="str">
        <f t="shared" si="3"/>
        <v/>
      </c>
    </row>
    <row r="34" spans="1:16" ht="18.75" customHeight="1">
      <c r="A34" t="str">
        <v/>
      </c>
      <c r="H34" s="49" t="str">
        <f t="shared" si="4"/>
        <v/>
      </c>
      <c r="I34" s="82"/>
      <c r="J34" s="50"/>
      <c r="K34" s="85" t="str">
        <f t="shared" si="0"/>
        <v/>
      </c>
      <c r="L34" s="85" t="str">
        <f t="shared" si="1"/>
        <v/>
      </c>
      <c r="M34" s="85" t="str">
        <f t="shared" si="1"/>
        <v/>
      </c>
      <c r="N34" s="85" t="str">
        <f t="shared" si="1"/>
        <v/>
      </c>
      <c r="O34" s="85" t="str">
        <f t="shared" si="2"/>
        <v/>
      </c>
      <c r="P34" s="85" t="str">
        <f t="shared" si="3"/>
        <v/>
      </c>
    </row>
    <row r="35" spans="1:16" ht="18.75" customHeight="1">
      <c r="A35" t="str">
        <v/>
      </c>
      <c r="H35" s="49" t="str">
        <f t="shared" si="4"/>
        <v/>
      </c>
      <c r="I35" s="82"/>
      <c r="J35" s="50"/>
      <c r="K35" s="85" t="str">
        <f t="shared" si="0"/>
        <v/>
      </c>
      <c r="L35" s="85" t="str">
        <f t="shared" si="1"/>
        <v/>
      </c>
      <c r="M35" s="85" t="str">
        <f t="shared" si="1"/>
        <v/>
      </c>
      <c r="N35" s="85" t="str">
        <f t="shared" si="1"/>
        <v/>
      </c>
      <c r="O35" s="85" t="str">
        <f t="shared" si="2"/>
        <v/>
      </c>
      <c r="P35" s="85" t="str">
        <f t="shared" si="3"/>
        <v/>
      </c>
    </row>
    <row r="36" spans="1:16" ht="18.75" customHeight="1">
      <c r="A36" t="str">
        <v/>
      </c>
      <c r="H36" s="49" t="str">
        <f t="shared" si="4"/>
        <v/>
      </c>
      <c r="I36" s="82"/>
      <c r="J36" s="50"/>
      <c r="K36" s="85" t="str">
        <f t="shared" si="0"/>
        <v/>
      </c>
      <c r="L36" s="85" t="str">
        <f t="shared" si="1"/>
        <v/>
      </c>
      <c r="M36" s="85" t="str">
        <f t="shared" si="1"/>
        <v/>
      </c>
      <c r="N36" s="85" t="str">
        <f t="shared" si="1"/>
        <v/>
      </c>
      <c r="O36" s="85" t="str">
        <f t="shared" si="2"/>
        <v/>
      </c>
      <c r="P36" s="85" t="str">
        <f t="shared" si="3"/>
        <v/>
      </c>
    </row>
    <row r="37" spans="1:16" ht="18.75" customHeight="1">
      <c r="A37" t="str">
        <v/>
      </c>
      <c r="H37" s="49" t="str">
        <f t="shared" si="4"/>
        <v/>
      </c>
      <c r="I37" s="82"/>
      <c r="J37" s="50"/>
      <c r="K37" s="85" t="str">
        <f t="shared" si="0"/>
        <v/>
      </c>
      <c r="L37" s="85" t="str">
        <f t="shared" si="1"/>
        <v/>
      </c>
      <c r="M37" s="85" t="str">
        <f t="shared" si="1"/>
        <v/>
      </c>
      <c r="N37" s="85" t="str">
        <f t="shared" si="1"/>
        <v/>
      </c>
      <c r="O37" s="85" t="str">
        <f t="shared" si="2"/>
        <v/>
      </c>
      <c r="P37" s="85" t="str">
        <f t="shared" si="3"/>
        <v/>
      </c>
    </row>
    <row r="38" spans="1:16" ht="18.75" customHeight="1">
      <c r="A38">
        <v>201101</v>
      </c>
      <c r="H38" s="49" t="str">
        <f t="shared" si="4"/>
        <v/>
      </c>
      <c r="I38" s="82"/>
      <c r="J38" s="50"/>
      <c r="K38" s="85" t="str">
        <f t="shared" si="0"/>
        <v/>
      </c>
      <c r="L38" s="85" t="str">
        <f t="shared" si="1"/>
        <v/>
      </c>
      <c r="M38" s="85" t="str">
        <f t="shared" si="1"/>
        <v/>
      </c>
      <c r="N38" s="85" t="str">
        <f t="shared" si="1"/>
        <v/>
      </c>
      <c r="O38" s="85" t="str">
        <f t="shared" si="2"/>
        <v/>
      </c>
      <c r="P38" s="85" t="str">
        <f t="shared" si="3"/>
        <v/>
      </c>
    </row>
    <row r="39" spans="1:16" ht="18.75" customHeight="1">
      <c r="A39" t="str">
        <v/>
      </c>
      <c r="H39" s="49" t="str">
        <f t="shared" si="4"/>
        <v/>
      </c>
      <c r="I39" s="82"/>
      <c r="J39" s="50"/>
      <c r="K39" s="85" t="str">
        <f t="shared" si="0"/>
        <v/>
      </c>
      <c r="L39" s="85" t="str">
        <f t="shared" si="1"/>
        <v/>
      </c>
      <c r="M39" s="85" t="str">
        <f t="shared" si="1"/>
        <v/>
      </c>
      <c r="N39" s="85" t="str">
        <f t="shared" si="1"/>
        <v/>
      </c>
      <c r="O39" s="85" t="str">
        <f t="shared" si="2"/>
        <v/>
      </c>
      <c r="P39" s="85" t="str">
        <f t="shared" si="3"/>
        <v/>
      </c>
    </row>
    <row r="40" spans="1:16" ht="18.75" customHeight="1">
      <c r="A40" t="str">
        <v/>
      </c>
      <c r="H40" s="49" t="str">
        <f t="shared" si="4"/>
        <v/>
      </c>
      <c r="I40" s="82"/>
      <c r="J40" s="50"/>
      <c r="K40" s="85" t="str">
        <f t="shared" si="0"/>
        <v/>
      </c>
      <c r="L40" s="85" t="str">
        <f t="shared" si="1"/>
        <v/>
      </c>
      <c r="M40" s="85" t="str">
        <f t="shared" si="1"/>
        <v/>
      </c>
      <c r="N40" s="85" t="str">
        <f t="shared" si="1"/>
        <v/>
      </c>
      <c r="O40" s="85" t="str">
        <f t="shared" si="2"/>
        <v/>
      </c>
      <c r="P40" s="85" t="str">
        <f t="shared" si="3"/>
        <v/>
      </c>
    </row>
    <row r="41" spans="1:16" ht="18.75" customHeight="1">
      <c r="A41">
        <v>210702</v>
      </c>
      <c r="H41" s="49" t="str">
        <f t="shared" si="4"/>
        <v/>
      </c>
      <c r="I41" s="82"/>
      <c r="J41" s="50"/>
      <c r="K41" s="85" t="str">
        <f t="shared" si="0"/>
        <v/>
      </c>
      <c r="L41" s="85" t="str">
        <f t="shared" si="1"/>
        <v/>
      </c>
      <c r="M41" s="85" t="str">
        <f t="shared" si="1"/>
        <v/>
      </c>
      <c r="N41" s="85" t="str">
        <f t="shared" si="1"/>
        <v/>
      </c>
      <c r="O41" s="85" t="str">
        <f t="shared" si="2"/>
        <v/>
      </c>
      <c r="P41" s="85" t="str">
        <f t="shared" si="3"/>
        <v/>
      </c>
    </row>
    <row r="42" spans="1:16" ht="18.75" customHeight="1">
      <c r="A42" t="str">
        <v/>
      </c>
      <c r="H42" s="49" t="str">
        <f t="shared" si="4"/>
        <v/>
      </c>
      <c r="I42" s="82"/>
      <c r="J42" s="50"/>
      <c r="K42" s="85" t="str">
        <f t="shared" si="0"/>
        <v/>
      </c>
      <c r="L42" s="85" t="str">
        <f t="shared" si="1"/>
        <v/>
      </c>
      <c r="M42" s="85" t="str">
        <f t="shared" si="1"/>
        <v/>
      </c>
      <c r="N42" s="85" t="str">
        <f t="shared" si="1"/>
        <v/>
      </c>
      <c r="O42" s="85" t="str">
        <f t="shared" si="2"/>
        <v/>
      </c>
      <c r="P42" s="85" t="str">
        <f t="shared" si="3"/>
        <v/>
      </c>
    </row>
    <row r="43" spans="1:16" ht="18.75" customHeight="1">
      <c r="A43" t="str">
        <v/>
      </c>
      <c r="H43" s="49" t="str">
        <f t="shared" si="4"/>
        <v/>
      </c>
      <c r="I43" s="82"/>
      <c r="J43" s="50"/>
      <c r="K43" s="85" t="str">
        <f t="shared" si="0"/>
        <v/>
      </c>
      <c r="L43" s="85" t="str">
        <f t="shared" si="1"/>
        <v/>
      </c>
      <c r="M43" s="85" t="str">
        <f t="shared" si="1"/>
        <v/>
      </c>
      <c r="N43" s="85" t="str">
        <f t="shared" si="1"/>
        <v/>
      </c>
      <c r="O43" s="85" t="str">
        <f t="shared" si="2"/>
        <v/>
      </c>
      <c r="P43" s="85" t="str">
        <f t="shared" si="3"/>
        <v/>
      </c>
    </row>
    <row r="44" spans="1:16" ht="18.75" customHeight="1">
      <c r="A44" t="str">
        <v/>
      </c>
      <c r="H44" s="49" t="str">
        <f t="shared" si="4"/>
        <v/>
      </c>
      <c r="I44" s="82"/>
      <c r="J44" s="50"/>
      <c r="K44" s="85" t="str">
        <f t="shared" si="0"/>
        <v/>
      </c>
      <c r="L44" s="85" t="str">
        <f t="shared" si="1"/>
        <v/>
      </c>
      <c r="M44" s="85" t="str">
        <f t="shared" si="1"/>
        <v/>
      </c>
      <c r="N44" s="85" t="str">
        <f t="shared" si="1"/>
        <v/>
      </c>
      <c r="O44" s="85" t="str">
        <f t="shared" si="2"/>
        <v/>
      </c>
      <c r="P44" s="85" t="str">
        <f t="shared" si="3"/>
        <v/>
      </c>
    </row>
    <row r="45" spans="1:16" ht="18.75" customHeight="1">
      <c r="A45" t="str">
        <v/>
      </c>
      <c r="H45" s="49" t="str">
        <f t="shared" si="4"/>
        <v/>
      </c>
      <c r="I45" s="82"/>
      <c r="J45" s="50"/>
      <c r="K45" s="85" t="str">
        <f t="shared" si="0"/>
        <v/>
      </c>
      <c r="L45" s="85" t="str">
        <f t="shared" si="1"/>
        <v/>
      </c>
      <c r="M45" s="85" t="str">
        <f t="shared" si="1"/>
        <v/>
      </c>
      <c r="N45" s="85" t="str">
        <f t="shared" si="1"/>
        <v/>
      </c>
      <c r="O45" s="85" t="str">
        <f t="shared" si="2"/>
        <v/>
      </c>
      <c r="P45" s="85" t="str">
        <f t="shared" si="3"/>
        <v/>
      </c>
    </row>
    <row r="46" spans="1:16" ht="18.75" customHeight="1">
      <c r="A46" t="str">
        <v/>
      </c>
      <c r="H46" s="49" t="str">
        <f t="shared" si="4"/>
        <v/>
      </c>
      <c r="I46" s="82"/>
      <c r="J46" s="50"/>
      <c r="K46" s="85" t="str">
        <f t="shared" si="0"/>
        <v/>
      </c>
      <c r="L46" s="85" t="str">
        <f t="shared" si="1"/>
        <v/>
      </c>
      <c r="M46" s="85" t="str">
        <f t="shared" si="1"/>
        <v/>
      </c>
      <c r="N46" s="85" t="str">
        <f t="shared" si="1"/>
        <v/>
      </c>
      <c r="O46" s="85" t="str">
        <f t="shared" si="2"/>
        <v/>
      </c>
      <c r="P46" s="85" t="str">
        <f t="shared" si="3"/>
        <v/>
      </c>
    </row>
    <row r="47" spans="1:16" ht="18.75" customHeight="1">
      <c r="A47" t="str">
        <v/>
      </c>
      <c r="H47" s="49" t="str">
        <f t="shared" si="4"/>
        <v/>
      </c>
      <c r="I47" s="82"/>
      <c r="J47" s="50"/>
      <c r="K47" s="85" t="str">
        <f t="shared" si="0"/>
        <v/>
      </c>
      <c r="L47" s="85" t="str">
        <f t="shared" si="1"/>
        <v/>
      </c>
      <c r="M47" s="85" t="str">
        <f t="shared" si="1"/>
        <v/>
      </c>
      <c r="N47" s="85" t="str">
        <f t="shared" si="1"/>
        <v/>
      </c>
      <c r="O47" s="85" t="str">
        <f t="shared" si="2"/>
        <v/>
      </c>
      <c r="P47" s="85" t="str">
        <f t="shared" si="3"/>
        <v/>
      </c>
    </row>
    <row r="48" spans="1:16" ht="18.75" customHeight="1">
      <c r="A48" t="str">
        <v/>
      </c>
      <c r="H48" s="49" t="str">
        <f t="shared" si="4"/>
        <v/>
      </c>
      <c r="I48" s="82"/>
      <c r="J48" s="50"/>
      <c r="K48" s="85" t="str">
        <f t="shared" si="0"/>
        <v/>
      </c>
      <c r="L48" s="85" t="str">
        <f t="shared" si="1"/>
        <v/>
      </c>
      <c r="M48" s="85" t="str">
        <f t="shared" si="1"/>
        <v/>
      </c>
      <c r="N48" s="85" t="str">
        <f t="shared" si="1"/>
        <v/>
      </c>
      <c r="O48" s="85" t="str">
        <f t="shared" si="2"/>
        <v/>
      </c>
      <c r="P48" s="85" t="str">
        <f t="shared" si="3"/>
        <v/>
      </c>
    </row>
    <row r="49" spans="1:16" ht="18.75" customHeight="1">
      <c r="A49" t="str">
        <v/>
      </c>
      <c r="H49" s="49" t="str">
        <f t="shared" si="4"/>
        <v/>
      </c>
      <c r="I49" s="82"/>
      <c r="J49" s="50"/>
      <c r="K49" s="85" t="str">
        <f t="shared" si="0"/>
        <v/>
      </c>
      <c r="L49" s="85" t="str">
        <f t="shared" si="1"/>
        <v/>
      </c>
      <c r="M49" s="85" t="str">
        <f t="shared" si="1"/>
        <v/>
      </c>
      <c r="N49" s="85" t="str">
        <f t="shared" si="1"/>
        <v/>
      </c>
      <c r="O49" s="85" t="str">
        <f t="shared" si="2"/>
        <v/>
      </c>
      <c r="P49" s="85" t="str">
        <f t="shared" si="3"/>
        <v/>
      </c>
    </row>
    <row r="50" spans="1:16" ht="19.5">
      <c r="A50" t="str">
        <v/>
      </c>
      <c r="H50" s="49"/>
      <c r="I50" s="82"/>
      <c r="J50" s="50"/>
      <c r="K50" s="85"/>
      <c r="L50" s="85"/>
      <c r="M50" s="85"/>
      <c r="N50" s="85"/>
      <c r="O50" s="85"/>
      <c r="P50" s="85"/>
    </row>
    <row r="51" spans="1:16" ht="19.5">
      <c r="A51" t="str">
        <v/>
      </c>
      <c r="H51" s="49"/>
      <c r="I51" s="82"/>
      <c r="J51" s="50"/>
      <c r="K51" s="85"/>
      <c r="L51" s="85"/>
      <c r="M51" s="85"/>
      <c r="N51" s="85"/>
      <c r="O51" s="85"/>
      <c r="P51" s="85"/>
    </row>
    <row r="52" spans="1:16" ht="19.5">
      <c r="A52" t="str">
        <v/>
      </c>
      <c r="H52" s="49"/>
      <c r="I52" s="82"/>
      <c r="J52" s="50"/>
      <c r="K52" s="85"/>
      <c r="L52" s="85"/>
      <c r="M52" s="85"/>
      <c r="N52" s="85"/>
      <c r="O52" s="85"/>
      <c r="P52" s="85"/>
    </row>
    <row r="53" spans="1:16" ht="19.5">
      <c r="A53" t="str">
        <v/>
      </c>
      <c r="H53" s="49"/>
      <c r="I53" s="82"/>
      <c r="J53" s="50"/>
      <c r="K53" s="85"/>
      <c r="L53" s="85"/>
      <c r="M53" s="85"/>
      <c r="N53" s="85"/>
      <c r="O53" s="85"/>
      <c r="P53" s="85"/>
    </row>
    <row r="54" spans="1:16" ht="19.5">
      <c r="A54">
        <v>221201</v>
      </c>
      <c r="H54" s="49"/>
      <c r="I54" s="82"/>
      <c r="J54" s="50"/>
      <c r="K54" s="85"/>
      <c r="L54" s="85"/>
      <c r="M54" s="85"/>
      <c r="N54" s="85"/>
      <c r="O54" s="85"/>
      <c r="P54" s="85"/>
    </row>
    <row r="55" spans="1:16" ht="19.5">
      <c r="A55" t="str">
        <v/>
      </c>
      <c r="H55" s="49"/>
      <c r="I55" s="82"/>
      <c r="J55" s="50"/>
      <c r="K55" s="85"/>
      <c r="L55" s="85"/>
      <c r="M55" s="85"/>
      <c r="N55" s="85"/>
      <c r="O55" s="85"/>
      <c r="P55" s="85"/>
    </row>
    <row r="56" spans="1:16" ht="19.5">
      <c r="A56" t="str">
        <v/>
      </c>
      <c r="H56" s="49"/>
      <c r="I56" s="82"/>
      <c r="J56" s="50"/>
      <c r="K56" s="85"/>
      <c r="L56" s="85"/>
      <c r="M56" s="85"/>
      <c r="N56" s="85"/>
      <c r="O56" s="85"/>
      <c r="P56" s="85"/>
    </row>
    <row r="57" spans="1:16" ht="19.5">
      <c r="A57" t="str">
        <v/>
      </c>
      <c r="H57" s="49"/>
      <c r="I57" s="82"/>
      <c r="J57" s="50"/>
      <c r="K57" s="85"/>
      <c r="L57" s="85"/>
      <c r="M57" s="85"/>
      <c r="N57" s="85"/>
      <c r="O57" s="85"/>
      <c r="P57" s="85"/>
    </row>
    <row r="58" spans="1:16" ht="19.5">
      <c r="A58" t="str">
        <v/>
      </c>
      <c r="H58" s="49"/>
      <c r="I58" s="82"/>
      <c r="J58" s="50"/>
      <c r="K58" s="85"/>
      <c r="L58" s="85"/>
      <c r="M58" s="85"/>
      <c r="N58" s="85"/>
      <c r="O58" s="85"/>
      <c r="P58" s="85"/>
    </row>
    <row r="59" spans="1:16" ht="19.5">
      <c r="A59" t="str">
        <v/>
      </c>
      <c r="H59" s="49"/>
      <c r="I59" s="82"/>
      <c r="J59" s="50"/>
      <c r="K59" s="85"/>
      <c r="L59" s="85"/>
      <c r="M59" s="85"/>
      <c r="N59" s="85"/>
      <c r="O59" s="85"/>
      <c r="P59" s="85"/>
    </row>
    <row r="60" spans="1:16" ht="19.5">
      <c r="A60" t="str">
        <v/>
      </c>
      <c r="H60" s="49"/>
      <c r="I60" s="82"/>
      <c r="J60" s="50"/>
      <c r="K60" s="85"/>
      <c r="L60" s="85"/>
      <c r="M60" s="85"/>
      <c r="N60" s="85"/>
      <c r="O60" s="85"/>
      <c r="P60" s="85"/>
    </row>
    <row r="61" spans="1:16" ht="19.5">
      <c r="A61" t="str">
        <v/>
      </c>
      <c r="H61" s="49"/>
      <c r="I61" s="82"/>
      <c r="J61" s="50"/>
      <c r="K61" s="85"/>
      <c r="L61" s="85"/>
      <c r="M61" s="85"/>
      <c r="N61" s="85"/>
      <c r="O61" s="85"/>
      <c r="P61" s="85"/>
    </row>
    <row r="62" spans="1:16" ht="19.5">
      <c r="A62" t="str">
        <v/>
      </c>
      <c r="H62" s="49"/>
      <c r="I62" s="82"/>
      <c r="J62" s="50"/>
      <c r="K62" s="85"/>
      <c r="L62" s="85"/>
      <c r="M62" s="85"/>
      <c r="N62" s="85"/>
      <c r="O62" s="85"/>
      <c r="P62" s="85"/>
    </row>
    <row r="63" spans="1:16" ht="19.5">
      <c r="A63" t="str">
        <v/>
      </c>
      <c r="H63" s="49"/>
      <c r="I63" s="82"/>
      <c r="J63" s="50"/>
      <c r="K63" s="85"/>
      <c r="L63" s="85"/>
      <c r="M63" s="85"/>
      <c r="N63" s="85"/>
      <c r="O63" s="85"/>
      <c r="P63" s="85"/>
    </row>
    <row r="64" spans="1:16" ht="19.5">
      <c r="A64" t="str">
        <v/>
      </c>
      <c r="H64" s="49"/>
      <c r="I64" s="82"/>
      <c r="J64" s="50"/>
      <c r="K64" s="85"/>
      <c r="L64" s="85"/>
      <c r="M64" s="85"/>
      <c r="N64" s="85"/>
      <c r="O64" s="85"/>
      <c r="P64" s="85"/>
    </row>
    <row r="65" spans="1:16" ht="19.5">
      <c r="A65" t="str">
        <v/>
      </c>
      <c r="H65" s="49"/>
      <c r="I65" s="82"/>
      <c r="J65" s="50"/>
      <c r="K65" s="85"/>
      <c r="L65" s="85"/>
      <c r="M65" s="85"/>
      <c r="N65" s="85"/>
      <c r="O65" s="85"/>
      <c r="P65" s="85"/>
    </row>
    <row r="66" spans="1:16" ht="19.5">
      <c r="A66" t="str">
        <v/>
      </c>
      <c r="H66" s="49"/>
      <c r="I66" s="82"/>
      <c r="J66" s="50"/>
      <c r="K66" s="85"/>
      <c r="L66" s="85"/>
      <c r="M66" s="85"/>
      <c r="N66" s="85"/>
      <c r="O66" s="85"/>
      <c r="P66" s="85"/>
    </row>
    <row r="67" spans="1:16">
      <c r="A67" t="str">
        <v/>
      </c>
    </row>
    <row r="68" spans="1:16">
      <c r="A68" t="str">
        <v/>
      </c>
    </row>
    <row r="69" spans="1:16">
      <c r="A69" t="str">
        <v/>
      </c>
    </row>
    <row r="70" spans="1:16">
      <c r="A70" t="str">
        <v/>
      </c>
    </row>
    <row r="71" spans="1:16">
      <c r="A71" t="str">
        <v/>
      </c>
    </row>
    <row r="72" spans="1:16">
      <c r="A72" t="str">
        <v/>
      </c>
    </row>
    <row r="73" spans="1:16">
      <c r="A73" t="str">
        <v/>
      </c>
    </row>
    <row r="74" spans="1:16">
      <c r="A74" t="str">
        <v/>
      </c>
    </row>
    <row r="75" spans="1:16">
      <c r="A75" t="str">
        <v/>
      </c>
    </row>
    <row r="76" spans="1:16">
      <c r="A76" t="str">
        <v/>
      </c>
    </row>
    <row r="77" spans="1:16">
      <c r="A77" t="str">
        <v/>
      </c>
    </row>
    <row r="78" spans="1:16">
      <c r="A78" t="str">
        <v/>
      </c>
    </row>
    <row r="79" spans="1:16">
      <c r="A79" t="str">
        <v/>
      </c>
    </row>
    <row r="80" spans="1:16">
      <c r="A80" t="str">
        <v/>
      </c>
    </row>
    <row r="81" spans="1:1">
      <c r="A81" t="str">
        <v/>
      </c>
    </row>
    <row r="82" spans="1:1">
      <c r="A82" t="str">
        <v/>
      </c>
    </row>
    <row r="83" spans="1:1">
      <c r="A83" t="str">
        <v/>
      </c>
    </row>
    <row r="84" spans="1:1">
      <c r="A84" t="str">
        <v/>
      </c>
    </row>
    <row r="85" spans="1:1">
      <c r="A85" t="str">
        <v/>
      </c>
    </row>
    <row r="86" spans="1:1">
      <c r="A86" t="str">
        <v/>
      </c>
    </row>
    <row r="87" spans="1:1">
      <c r="A87" t="str">
        <v/>
      </c>
    </row>
    <row r="88" spans="1:1">
      <c r="A88" t="str">
        <v/>
      </c>
    </row>
    <row r="89" spans="1:1">
      <c r="A89" t="str">
        <v/>
      </c>
    </row>
    <row r="90" spans="1:1">
      <c r="A90" t="str">
        <v/>
      </c>
    </row>
    <row r="91" spans="1:1">
      <c r="A91" t="str">
        <v/>
      </c>
    </row>
    <row r="92" spans="1:1">
      <c r="A92" t="str">
        <v/>
      </c>
    </row>
    <row r="93" spans="1:1">
      <c r="A93" t="str">
        <v/>
      </c>
    </row>
    <row r="94" spans="1:1">
      <c r="A94" t="str">
        <v/>
      </c>
    </row>
    <row r="95" spans="1:1">
      <c r="A95" t="str">
        <v/>
      </c>
    </row>
    <row r="96" spans="1:1">
      <c r="A96" t="str">
        <v/>
      </c>
    </row>
    <row r="97" spans="1:1">
      <c r="A97" t="str">
        <v/>
      </c>
    </row>
    <row r="98" spans="1:1">
      <c r="A98" t="str">
        <v/>
      </c>
    </row>
    <row r="99" spans="1:1">
      <c r="A99" t="str">
        <v/>
      </c>
    </row>
    <row r="100" spans="1:1">
      <c r="A100" t="str">
        <v/>
      </c>
    </row>
    <row r="101" spans="1:1">
      <c r="A101" t="str">
        <v/>
      </c>
    </row>
    <row r="102" spans="1:1">
      <c r="A102" t="str">
        <v/>
      </c>
    </row>
    <row r="103" spans="1:1">
      <c r="A103" t="str">
        <v/>
      </c>
    </row>
    <row r="104" spans="1:1">
      <c r="A104" t="str">
        <v/>
      </c>
    </row>
    <row r="105" spans="1:1">
      <c r="A105" t="str">
        <v/>
      </c>
    </row>
    <row r="106" spans="1:1">
      <c r="A106" t="str">
        <v/>
      </c>
    </row>
    <row r="107" spans="1:1">
      <c r="A107" t="str">
        <v/>
      </c>
    </row>
    <row r="108" spans="1:1">
      <c r="A108" t="str">
        <v/>
      </c>
    </row>
    <row r="109" spans="1:1">
      <c r="A109" t="str">
        <v/>
      </c>
    </row>
    <row r="110" spans="1:1">
      <c r="A110" t="str">
        <v/>
      </c>
    </row>
    <row r="111" spans="1:1">
      <c r="A111" t="str">
        <v/>
      </c>
    </row>
    <row r="112" spans="1:1">
      <c r="A112" t="str">
        <v/>
      </c>
    </row>
    <row r="113" spans="1:1">
      <c r="A113" t="str">
        <v/>
      </c>
    </row>
    <row r="114" spans="1:1">
      <c r="A114" t="str">
        <v/>
      </c>
    </row>
    <row r="115" spans="1:1">
      <c r="A115" t="str">
        <v/>
      </c>
    </row>
    <row r="116" spans="1:1">
      <c r="A116" t="str">
        <v/>
      </c>
    </row>
    <row r="117" spans="1:1">
      <c r="A117" t="str">
        <v/>
      </c>
    </row>
    <row r="118" spans="1:1">
      <c r="A118" t="str">
        <v/>
      </c>
    </row>
    <row r="119" spans="1:1">
      <c r="A119" t="str">
        <v/>
      </c>
    </row>
    <row r="120" spans="1:1">
      <c r="A120" t="str">
        <v/>
      </c>
    </row>
    <row r="121" spans="1:1">
      <c r="A121" t="str">
        <v/>
      </c>
    </row>
    <row r="122" spans="1:1">
      <c r="A122" t="str">
        <v/>
      </c>
    </row>
    <row r="123" spans="1:1">
      <c r="A123" t="str">
        <v/>
      </c>
    </row>
    <row r="124" spans="1:1">
      <c r="A124" t="str">
        <v/>
      </c>
    </row>
    <row r="125" spans="1:1">
      <c r="A125" t="str">
        <v/>
      </c>
    </row>
    <row r="126" spans="1:1">
      <c r="A126" t="str">
        <v/>
      </c>
    </row>
    <row r="127" spans="1:1">
      <c r="A127" t="str">
        <v/>
      </c>
    </row>
    <row r="128" spans="1:1">
      <c r="A128" t="str">
        <v/>
      </c>
    </row>
    <row r="129" spans="1:1">
      <c r="A129" t="str">
        <v/>
      </c>
    </row>
    <row r="130" spans="1:1">
      <c r="A130" t="str">
        <v/>
      </c>
    </row>
    <row r="131" spans="1:1">
      <c r="A131" t="str">
        <v/>
      </c>
    </row>
    <row r="132" spans="1:1">
      <c r="A132" t="str">
        <v/>
      </c>
    </row>
    <row r="133" spans="1:1">
      <c r="A133" t="str">
        <v/>
      </c>
    </row>
    <row r="134" spans="1:1">
      <c r="A134" t="str">
        <v/>
      </c>
    </row>
    <row r="135" spans="1:1">
      <c r="A135" t="str">
        <v/>
      </c>
    </row>
  </sheetData>
  <mergeCells count="1">
    <mergeCell ref="I2:K2"/>
  </mergeCells>
  <phoneticPr fontId="1"/>
  <dataValidations count="3">
    <dataValidation type="list" allowBlank="1" showInputMessage="1" showErrorMessage="1" sqref="K58" xr:uid="{AE2E86D4-1176-42BE-87C5-10498CF3486F}">
      <formula1>"18歳未満（　　　　歳）,45歳以上60歳未満,60歳以上,60歳未満"</formula1>
    </dataValidation>
    <dataValidation type="list" allowBlank="1" showInputMessage="1" showErrorMessage="1" sqref="J58" xr:uid="{90329B12-6E3D-48BC-B719-530096CAB6C8}">
      <formula1>"男,女"</formula1>
    </dataValidation>
    <dataValidation type="list" allowBlank="1" showInputMessage="1" showErrorMessage="1" sqref="D4" xr:uid="{0BC2179D-51AF-40E1-90FE-78600270154A}">
      <formula1>$G$9:$G$66</formula1>
    </dataValidation>
  </dataValidations>
  <hyperlinks>
    <hyperlink ref="G4" location="PuntoG" display="Go to Back" xr:uid="{11CC80F2-63A6-4155-9402-F875619475D1}"/>
  </hyperlinks>
  <pageMargins left="0.31496062992125984" right="3.937007874015748E-2" top="0.27559055118110237" bottom="0.27559055118110237" header="0.15748031496062992" footer="7.874015748031496E-2"/>
  <pageSetup paperSize="9" scale="7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04AE0-8693-4615-87E8-470E39057080}">
  <sheetPr codeName="Hoja14">
    <tabColor rgb="FFFFFF00"/>
  </sheetPr>
  <dimension ref="A1:AH135"/>
  <sheetViews>
    <sheetView workbookViewId="0">
      <selection activeCell="O9" sqref="O9"/>
    </sheetView>
  </sheetViews>
  <sheetFormatPr baseColWidth="10" defaultColWidth="9.125" defaultRowHeight="13.5"/>
  <cols>
    <col min="1" max="1" width="9.875" bestFit="1" customWidth="1"/>
    <col min="2" max="2" width="33.625" bestFit="1" customWidth="1"/>
    <col min="4" max="4" width="15.375" style="62" bestFit="1" customWidth="1"/>
    <col min="7" max="7" width="19.125" style="62" bestFit="1" customWidth="1"/>
    <col min="9" max="9" width="34.125" customWidth="1"/>
    <col min="10" max="10" width="4.375" bestFit="1" customWidth="1"/>
    <col min="11" max="11" width="10.375" bestFit="1" customWidth="1"/>
    <col min="12" max="12" width="8" bestFit="1" customWidth="1"/>
    <col min="13" max="13" width="7.875" bestFit="1" customWidth="1"/>
    <col min="14" max="14" width="11.25" bestFit="1" customWidth="1"/>
    <col min="15" max="15" width="19.75" customWidth="1"/>
    <col min="16" max="16" width="38.75" bestFit="1" customWidth="1"/>
  </cols>
  <sheetData>
    <row r="1" spans="1:34" ht="29.25" customHeight="1">
      <c r="I1" s="89" t="s">
        <v>15</v>
      </c>
      <c r="J1" s="89"/>
      <c r="K1" s="89"/>
      <c r="L1" s="89"/>
      <c r="M1" s="2"/>
      <c r="P1" s="89" t="s">
        <v>16</v>
      </c>
    </row>
    <row r="2" spans="1:34" ht="19.5">
      <c r="I2" s="357" t="str">
        <f>個別契約書X!I4&amp;" "&amp;個別契約書X!J7</f>
        <v xml:space="preserve">高雄工業株式会社 </v>
      </c>
      <c r="J2" s="357"/>
      <c r="K2" s="357"/>
      <c r="L2" s="91" t="s">
        <v>861</v>
      </c>
      <c r="M2" s="2"/>
      <c r="N2" s="2"/>
      <c r="O2" s="2"/>
      <c r="P2" s="2"/>
    </row>
    <row r="3" spans="1:34" ht="18">
      <c r="I3" s="53"/>
      <c r="J3" s="1"/>
      <c r="K3" s="1"/>
      <c r="L3" s="1"/>
      <c r="M3" s="1"/>
      <c r="N3" s="1"/>
      <c r="O3" s="1"/>
      <c r="P3" s="1"/>
    </row>
    <row r="4" spans="1:34" ht="18">
      <c r="D4" s="94">
        <v>44767</v>
      </c>
      <c r="F4" s="100" t="s">
        <v>2509</v>
      </c>
      <c r="I4" s="1"/>
      <c r="J4" s="1"/>
      <c r="K4" s="1"/>
      <c r="L4" s="1"/>
      <c r="M4" s="1"/>
      <c r="N4" s="1"/>
      <c r="O4" s="1"/>
      <c r="P4" s="1"/>
    </row>
    <row r="5" spans="1:34" ht="19.5">
      <c r="I5" s="2"/>
      <c r="J5" s="2"/>
      <c r="K5" s="2"/>
      <c r="L5" s="2"/>
      <c r="O5" s="89" t="s">
        <v>13</v>
      </c>
      <c r="P5" s="90"/>
      <c r="Y5">
        <f>_xlfn.XLOOKUP(KOUJYOU,KanriDaichou[就業場所名称],KanriDaichou[就業場所TEL],"",0,1)</f>
        <v>0</v>
      </c>
    </row>
    <row r="6" spans="1:34" ht="19.5">
      <c r="I6" s="2"/>
      <c r="J6" s="2"/>
      <c r="K6" s="2"/>
      <c r="L6" s="2"/>
      <c r="O6" s="89"/>
      <c r="P6" s="89" t="s">
        <v>14</v>
      </c>
    </row>
    <row r="7" spans="1:34" ht="18">
      <c r="I7" s="88" t="str">
        <f>CONCATENATE(TEXT(個別契約書X!A53,"gggyy年m月d日"),"付の労働者派遣個別契約に基づき以下の者を派遣します。")</f>
        <v>令和05年4月1日付の労働者派遣個別契約に基づき以下の者を派遣します。</v>
      </c>
      <c r="J7" s="60"/>
      <c r="K7" s="60"/>
      <c r="L7" s="60"/>
      <c r="M7" s="60"/>
      <c r="N7" s="2"/>
      <c r="O7" s="2"/>
      <c r="P7" s="60"/>
    </row>
    <row r="8" spans="1:34" ht="18.75" customHeight="1">
      <c r="H8" s="3" t="s">
        <v>5</v>
      </c>
      <c r="I8" s="85" t="s">
        <v>25</v>
      </c>
      <c r="J8" s="85" t="s">
        <v>7</v>
      </c>
      <c r="K8" s="85" t="s">
        <v>8</v>
      </c>
      <c r="L8" s="85" t="s">
        <v>9</v>
      </c>
      <c r="M8" s="85" t="s">
        <v>10</v>
      </c>
      <c r="N8" s="85" t="s">
        <v>11</v>
      </c>
      <c r="O8" s="85" t="s">
        <v>12</v>
      </c>
      <c r="P8" s="85" t="s">
        <v>913</v>
      </c>
    </row>
    <row r="9" spans="1:34" ht="18.75" customHeight="1">
      <c r="A9" t="str" cm="1">
        <f t="array" ref="A9:A135">_xlfn._xlws.FILTER(TablaTransfor[社員№],TablaTransfor[ライン]=Linea,"")</f>
        <v/>
      </c>
      <c r="B9" t="str" cm="1">
        <f t="array" ref="B9">_xlfn._xlws.FILTER(TablaTransfor[カナ],(TablaTransfor[ライン]=Linea)*(TablaTransfor[現在]="在職中")*(TablaTransfor[単価]=PrecioHora),"")</f>
        <v/>
      </c>
      <c r="C9" t="str" cm="1">
        <f t="array" ref="C9">_xlfn._xlws.FILTER(TablaTransfor[性別],(TablaTransfor[ライン]=Linea)*(TablaTransfor[現在]="在職中")*(TablaTransfor[単価]=PrecioHora)*(TablaTransfor[内容]=naiou),"")</f>
        <v/>
      </c>
      <c r="D9" s="62" t="str" cm="1">
        <f t="array" ref="D9">_xlfn._xlws.FILTER(TablaTransfor[生年月日],(TablaTransfor[ライン]=Linea)*(TablaTransfor[現在]="在職中")*(TablaTransfor[単価]=PrecioHora)*(TablaTransfor[内容]=naiou),"")</f>
        <v/>
      </c>
      <c r="E9" t="str" cm="1">
        <f t="array" ref="E9">_xlfn._xlws.FILTER(TablaTransfor[年齢],(TablaTransfor[ライン]=Linea)*(TablaTransfor[現在]="在職中")*(TablaTransfor[単価]=PrecioHora)*(TablaTransfor[内容]=naiou),"")</f>
        <v/>
      </c>
      <c r="F9" t="str" cm="1">
        <f t="array" ref="F9">_xlfn._xlws.FILTER(TablaTransfor[単価],(TablaTransfor[ライン]=Linea)*(TablaTransfor[現在]="在職中")*(TablaTransfor[単価]=PrecioHora)*(TablaTransfor[内容]=naiou),"")</f>
        <v/>
      </c>
      <c r="G9" s="62" t="str" cm="1">
        <f t="array" ref="G9">_xlfn._xlws.FILTER(TablaTransfor[Desde],(TablaTransfor[ライン]=Linea)*(TablaTransfor[現在]="在職中")*(TablaTransfor[単価]=PrecioHora)*(TablaTransfor[内容]=naiou),"")</f>
        <v/>
      </c>
      <c r="H9" s="49" t="str">
        <f>IF(I9="","",1)</f>
        <v/>
      </c>
      <c r="I9" s="82" t="str" cm="1">
        <f t="array" ref="I9">_xlfn._xlws.FILTER(TablaTransfor[カナ],(TablaTransfor[ライン]=Linea)*(TablaTransfor[現在]="在職中")*(TablaTransfor[単価]=PrecioHora)*(TablaTransfor[入社日]=D4)*(TablaTransfor[内容]=naiou),"")</f>
        <v/>
      </c>
      <c r="J9" s="85" t="str" cm="1">
        <f t="array" ref="J9">_xlfn._xlws.FILTER(TablaTransfor[性別],(TablaTransfor[ライン]=Linea)*(TablaTransfor[現在]="在職中")*(TablaTransfor[単価]=PrecioHora)*(TablaTransfor[入社日]=D4)*(TablaTransfor[内容]=naiou),"")</f>
        <v/>
      </c>
      <c r="K9" s="85" t="str">
        <f>IF(H9="","",IF(E9&lt;=18,"18未満(     )歳",IF(E9&lt;=60,"60歳未満","60歳以上")))</f>
        <v/>
      </c>
      <c r="L9" s="85" t="str">
        <f>IF($H9="","","加入")</f>
        <v/>
      </c>
      <c r="M9" s="85" t="str">
        <f>IF($H9="","","加入")</f>
        <v/>
      </c>
      <c r="N9" s="85" t="str">
        <f>IF($H9="","","加入")</f>
        <v/>
      </c>
      <c r="O9" s="85" t="str">
        <f>IF($H9="","",IF(G9&gt;=DATE(2022,10,1),"無期雇用","有期雇用（3ヵ月)"))</f>
        <v/>
      </c>
      <c r="P9" s="85" t="str">
        <f>IF($H9="","","協定対象派遣労働者(労使協定式方式)")</f>
        <v/>
      </c>
      <c r="AD9" s="51">
        <f>EDATE("2021/10/26",AE9)</f>
        <v>44495</v>
      </c>
    </row>
    <row r="10" spans="1:34" ht="18.75" customHeight="1">
      <c r="A10" t="str">
        <v/>
      </c>
      <c r="H10" s="49" t="str">
        <f>IF(I10="","",H9+1)</f>
        <v/>
      </c>
      <c r="I10" s="82"/>
      <c r="J10" s="50"/>
      <c r="K10" s="85" t="str">
        <f t="shared" ref="K10:K49" si="0">IF(H10="","",IF(E10&lt;=18,"18未満(     )歳",IF(E10&lt;=60,"60歳未満","60歳以上")))</f>
        <v/>
      </c>
      <c r="L10" s="85" t="str">
        <f t="shared" ref="L10:N49" si="1">IF($H10="","","加入")</f>
        <v/>
      </c>
      <c r="M10" s="85" t="str">
        <f t="shared" si="1"/>
        <v/>
      </c>
      <c r="N10" s="85" t="str">
        <f t="shared" si="1"/>
        <v/>
      </c>
      <c r="O10" s="85" t="str">
        <f t="shared" ref="O10:O49" si="2">IF($H10="","",IF(G10&gt;=DATE(2022,10,1),"無期雇用","有期雇用（3ヵ月)"))</f>
        <v/>
      </c>
      <c r="P10" s="85" t="str">
        <f t="shared" ref="P10:P49" si="3">IF($H10="","","協定対象派遣労働者(労使協定式方式)")</f>
        <v/>
      </c>
      <c r="AH10">
        <v>2</v>
      </c>
    </row>
    <row r="11" spans="1:34" ht="18.75" customHeight="1">
      <c r="A11" t="str">
        <v/>
      </c>
      <c r="H11" s="49" t="str">
        <f t="shared" ref="H11:H49" si="4">IF(I11="","",H10+1)</f>
        <v/>
      </c>
      <c r="I11" s="82"/>
      <c r="J11" s="50"/>
      <c r="K11" s="85" t="str">
        <f t="shared" si="0"/>
        <v/>
      </c>
      <c r="L11" s="85" t="str">
        <f t="shared" si="1"/>
        <v/>
      </c>
      <c r="M11" s="85" t="str">
        <f t="shared" si="1"/>
        <v/>
      </c>
      <c r="N11" s="85" t="str">
        <f t="shared" si="1"/>
        <v/>
      </c>
      <c r="O11" s="85" t="str">
        <f t="shared" si="2"/>
        <v/>
      </c>
      <c r="P11" s="85" t="str">
        <f t="shared" si="3"/>
        <v/>
      </c>
    </row>
    <row r="12" spans="1:34" ht="18.75" customHeight="1">
      <c r="A12" t="str">
        <v/>
      </c>
      <c r="H12" s="49" t="str">
        <f t="shared" si="4"/>
        <v/>
      </c>
      <c r="I12" s="82"/>
      <c r="J12" s="50"/>
      <c r="K12" s="85" t="str">
        <f t="shared" si="0"/>
        <v/>
      </c>
      <c r="L12" s="85" t="str">
        <f t="shared" si="1"/>
        <v/>
      </c>
      <c r="M12" s="85" t="str">
        <f t="shared" si="1"/>
        <v/>
      </c>
      <c r="N12" s="85" t="str">
        <f t="shared" si="1"/>
        <v/>
      </c>
      <c r="O12" s="85" t="str">
        <f t="shared" si="2"/>
        <v/>
      </c>
      <c r="P12" s="85" t="str">
        <f t="shared" si="3"/>
        <v/>
      </c>
    </row>
    <row r="13" spans="1:34" ht="18.75" customHeight="1">
      <c r="A13" t="str">
        <v/>
      </c>
      <c r="H13" s="49" t="str">
        <f t="shared" si="4"/>
        <v/>
      </c>
      <c r="I13" s="82"/>
      <c r="J13" s="50"/>
      <c r="K13" s="85" t="str">
        <f t="shared" si="0"/>
        <v/>
      </c>
      <c r="L13" s="85" t="str">
        <f t="shared" si="1"/>
        <v/>
      </c>
      <c r="M13" s="85" t="str">
        <f t="shared" si="1"/>
        <v/>
      </c>
      <c r="N13" s="85" t="str">
        <f t="shared" si="1"/>
        <v/>
      </c>
      <c r="O13" s="85" t="str">
        <f t="shared" si="2"/>
        <v/>
      </c>
      <c r="P13" s="85" t="str">
        <f t="shared" si="3"/>
        <v/>
      </c>
    </row>
    <row r="14" spans="1:34" ht="18.75" customHeight="1">
      <c r="A14" t="str">
        <v/>
      </c>
      <c r="H14" s="49" t="str">
        <f t="shared" si="4"/>
        <v/>
      </c>
      <c r="I14" s="82"/>
      <c r="J14" s="50"/>
      <c r="K14" s="85" t="str">
        <f t="shared" si="0"/>
        <v/>
      </c>
      <c r="L14" s="85" t="str">
        <f t="shared" si="1"/>
        <v/>
      </c>
      <c r="M14" s="85" t="str">
        <f t="shared" si="1"/>
        <v/>
      </c>
      <c r="N14" s="85" t="str">
        <f t="shared" si="1"/>
        <v/>
      </c>
      <c r="O14" s="85" t="str">
        <f t="shared" si="2"/>
        <v/>
      </c>
      <c r="P14" s="85" t="str">
        <f t="shared" si="3"/>
        <v/>
      </c>
    </row>
    <row r="15" spans="1:34" ht="18.75" customHeight="1">
      <c r="A15" t="str">
        <v/>
      </c>
      <c r="H15" s="49" t="str">
        <f t="shared" si="4"/>
        <v/>
      </c>
      <c r="I15" s="82"/>
      <c r="J15" s="50"/>
      <c r="K15" s="85" t="str">
        <f t="shared" si="0"/>
        <v/>
      </c>
      <c r="L15" s="85" t="str">
        <f t="shared" si="1"/>
        <v/>
      </c>
      <c r="M15" s="85" t="str">
        <f t="shared" si="1"/>
        <v/>
      </c>
      <c r="N15" s="85" t="str">
        <f t="shared" si="1"/>
        <v/>
      </c>
      <c r="O15" s="85" t="str">
        <f t="shared" si="2"/>
        <v/>
      </c>
      <c r="P15" s="85" t="str">
        <f t="shared" si="3"/>
        <v/>
      </c>
    </row>
    <row r="16" spans="1:34" ht="18.75" customHeight="1">
      <c r="A16" t="str">
        <v/>
      </c>
      <c r="H16" s="49" t="str">
        <f t="shared" si="4"/>
        <v/>
      </c>
      <c r="I16" s="82"/>
      <c r="J16" s="50"/>
      <c r="K16" s="85" t="str">
        <f t="shared" si="0"/>
        <v/>
      </c>
      <c r="L16" s="85" t="str">
        <f t="shared" si="1"/>
        <v/>
      </c>
      <c r="M16" s="85" t="str">
        <f t="shared" si="1"/>
        <v/>
      </c>
      <c r="N16" s="85" t="str">
        <f t="shared" si="1"/>
        <v/>
      </c>
      <c r="O16" s="85" t="str">
        <f t="shared" si="2"/>
        <v/>
      </c>
      <c r="P16" s="85" t="str">
        <f t="shared" si="3"/>
        <v/>
      </c>
    </row>
    <row r="17" spans="1:16" ht="18.75" customHeight="1">
      <c r="A17" t="str">
        <v/>
      </c>
      <c r="H17" s="49" t="str">
        <f t="shared" si="4"/>
        <v/>
      </c>
      <c r="I17" s="82"/>
      <c r="J17" s="50"/>
      <c r="K17" s="85" t="str">
        <f t="shared" si="0"/>
        <v/>
      </c>
      <c r="L17" s="85" t="str">
        <f t="shared" si="1"/>
        <v/>
      </c>
      <c r="M17" s="85" t="str">
        <f t="shared" si="1"/>
        <v/>
      </c>
      <c r="N17" s="85" t="str">
        <f t="shared" si="1"/>
        <v/>
      </c>
      <c r="O17" s="85" t="str">
        <f t="shared" si="2"/>
        <v/>
      </c>
      <c r="P17" s="85" t="str">
        <f t="shared" si="3"/>
        <v/>
      </c>
    </row>
    <row r="18" spans="1:16" ht="18.75" customHeight="1">
      <c r="A18" t="str">
        <v/>
      </c>
      <c r="H18" s="49" t="str">
        <f t="shared" si="4"/>
        <v/>
      </c>
      <c r="I18" s="82"/>
      <c r="J18" s="50"/>
      <c r="K18" s="85" t="str">
        <f t="shared" si="0"/>
        <v/>
      </c>
      <c r="L18" s="85" t="str">
        <f t="shared" si="1"/>
        <v/>
      </c>
      <c r="M18" s="85" t="str">
        <f t="shared" si="1"/>
        <v/>
      </c>
      <c r="N18" s="85" t="str">
        <f t="shared" si="1"/>
        <v/>
      </c>
      <c r="O18" s="85" t="str">
        <f t="shared" si="2"/>
        <v/>
      </c>
      <c r="P18" s="85" t="str">
        <f t="shared" si="3"/>
        <v/>
      </c>
    </row>
    <row r="19" spans="1:16" ht="18.75" customHeight="1">
      <c r="A19" t="str">
        <v/>
      </c>
      <c r="H19" s="49" t="str">
        <f t="shared" si="4"/>
        <v/>
      </c>
      <c r="I19" s="82"/>
      <c r="J19" s="50"/>
      <c r="K19" s="85" t="str">
        <f t="shared" si="0"/>
        <v/>
      </c>
      <c r="L19" s="85" t="str">
        <f t="shared" si="1"/>
        <v/>
      </c>
      <c r="M19" s="85" t="str">
        <f t="shared" si="1"/>
        <v/>
      </c>
      <c r="N19" s="85" t="str">
        <f t="shared" si="1"/>
        <v/>
      </c>
      <c r="O19" s="85" t="str">
        <f t="shared" si="2"/>
        <v/>
      </c>
      <c r="P19" s="85" t="str">
        <f t="shared" si="3"/>
        <v/>
      </c>
    </row>
    <row r="20" spans="1:16" ht="18.75" customHeight="1">
      <c r="A20" t="str">
        <v/>
      </c>
      <c r="H20" s="49" t="str">
        <f t="shared" si="4"/>
        <v/>
      </c>
      <c r="I20" s="82"/>
      <c r="J20" s="50"/>
      <c r="K20" s="85" t="str">
        <f t="shared" si="0"/>
        <v/>
      </c>
      <c r="L20" s="85" t="str">
        <f t="shared" si="1"/>
        <v/>
      </c>
      <c r="M20" s="85" t="str">
        <f t="shared" si="1"/>
        <v/>
      </c>
      <c r="N20" s="85" t="str">
        <f t="shared" si="1"/>
        <v/>
      </c>
      <c r="O20" s="85" t="str">
        <f t="shared" si="2"/>
        <v/>
      </c>
      <c r="P20" s="85" t="str">
        <f t="shared" si="3"/>
        <v/>
      </c>
    </row>
    <row r="21" spans="1:16" ht="18.75" customHeight="1">
      <c r="A21" t="str">
        <v/>
      </c>
      <c r="H21" s="49" t="str">
        <f t="shared" si="4"/>
        <v/>
      </c>
      <c r="I21" s="82"/>
      <c r="J21" s="50"/>
      <c r="K21" s="85" t="str">
        <f t="shared" si="0"/>
        <v/>
      </c>
      <c r="L21" s="85" t="str">
        <f t="shared" si="1"/>
        <v/>
      </c>
      <c r="M21" s="85" t="str">
        <f t="shared" si="1"/>
        <v/>
      </c>
      <c r="N21" s="85" t="str">
        <f t="shared" si="1"/>
        <v/>
      </c>
      <c r="O21" s="85" t="str">
        <f t="shared" si="2"/>
        <v/>
      </c>
      <c r="P21" s="85" t="str">
        <f t="shared" si="3"/>
        <v/>
      </c>
    </row>
    <row r="22" spans="1:16" ht="18.75" customHeight="1">
      <c r="A22" t="str">
        <v/>
      </c>
      <c r="H22" s="49" t="str">
        <f t="shared" si="4"/>
        <v/>
      </c>
      <c r="I22" s="83"/>
      <c r="J22" s="79"/>
      <c r="K22" s="85" t="str">
        <f t="shared" si="0"/>
        <v/>
      </c>
      <c r="L22" s="86" t="str">
        <f t="shared" si="1"/>
        <v/>
      </c>
      <c r="M22" s="86" t="str">
        <f t="shared" si="1"/>
        <v/>
      </c>
      <c r="N22" s="86" t="str">
        <f t="shared" si="1"/>
        <v/>
      </c>
      <c r="O22" s="85" t="str">
        <f t="shared" si="2"/>
        <v/>
      </c>
      <c r="P22" s="85" t="str">
        <f t="shared" si="3"/>
        <v/>
      </c>
    </row>
    <row r="23" spans="1:16" ht="18.75" customHeight="1">
      <c r="A23" t="str">
        <v/>
      </c>
      <c r="H23" s="49" t="str">
        <f t="shared" si="4"/>
        <v/>
      </c>
      <c r="I23" s="82"/>
      <c r="J23" s="50"/>
      <c r="K23" s="85" t="str">
        <f t="shared" si="0"/>
        <v/>
      </c>
      <c r="L23" s="85" t="str">
        <f t="shared" si="1"/>
        <v/>
      </c>
      <c r="M23" s="85" t="str">
        <f t="shared" si="1"/>
        <v/>
      </c>
      <c r="N23" s="85" t="str">
        <f t="shared" si="1"/>
        <v/>
      </c>
      <c r="O23" s="85" t="str">
        <f t="shared" si="2"/>
        <v/>
      </c>
      <c r="P23" s="85" t="str">
        <f t="shared" si="3"/>
        <v/>
      </c>
    </row>
    <row r="24" spans="1:16" ht="18.75" customHeight="1">
      <c r="A24" t="str">
        <v/>
      </c>
      <c r="H24" s="49" t="str">
        <f t="shared" si="4"/>
        <v/>
      </c>
      <c r="I24" s="82"/>
      <c r="J24" s="50"/>
      <c r="K24" s="85" t="str">
        <f t="shared" si="0"/>
        <v/>
      </c>
      <c r="L24" s="85" t="str">
        <f t="shared" si="1"/>
        <v/>
      </c>
      <c r="M24" s="85" t="str">
        <f t="shared" si="1"/>
        <v/>
      </c>
      <c r="N24" s="85" t="str">
        <f t="shared" si="1"/>
        <v/>
      </c>
      <c r="O24" s="85" t="str">
        <f t="shared" si="2"/>
        <v/>
      </c>
      <c r="P24" s="85" t="str">
        <f t="shared" si="3"/>
        <v/>
      </c>
    </row>
    <row r="25" spans="1:16" ht="18.75" customHeight="1">
      <c r="A25" t="str">
        <v/>
      </c>
      <c r="H25" s="49" t="str">
        <f t="shared" si="4"/>
        <v/>
      </c>
      <c r="I25" s="82"/>
      <c r="J25" s="50"/>
      <c r="K25" s="85" t="str">
        <f t="shared" si="0"/>
        <v/>
      </c>
      <c r="L25" s="85"/>
      <c r="M25" s="85" t="str">
        <f t="shared" si="1"/>
        <v/>
      </c>
      <c r="N25" s="85" t="str">
        <f t="shared" si="1"/>
        <v/>
      </c>
      <c r="O25" s="85" t="str">
        <f t="shared" si="2"/>
        <v/>
      </c>
      <c r="P25" s="85" t="str">
        <f t="shared" si="3"/>
        <v/>
      </c>
    </row>
    <row r="26" spans="1:16" ht="18.75" customHeight="1">
      <c r="A26">
        <v>220213</v>
      </c>
      <c r="H26" s="49" t="str">
        <f t="shared" si="4"/>
        <v/>
      </c>
      <c r="I26" s="82"/>
      <c r="J26" s="50"/>
      <c r="K26" s="85" t="str">
        <f t="shared" si="0"/>
        <v/>
      </c>
      <c r="L26" s="85" t="str">
        <f t="shared" si="1"/>
        <v/>
      </c>
      <c r="M26" s="85" t="str">
        <f t="shared" si="1"/>
        <v/>
      </c>
      <c r="N26" s="85" t="str">
        <f t="shared" si="1"/>
        <v/>
      </c>
      <c r="O26" s="85" t="str">
        <f t="shared" si="2"/>
        <v/>
      </c>
      <c r="P26" s="85" t="str">
        <f t="shared" si="3"/>
        <v/>
      </c>
    </row>
    <row r="27" spans="1:16" ht="18.75" customHeight="1">
      <c r="A27">
        <v>210101</v>
      </c>
      <c r="H27" s="49" t="str">
        <f t="shared" si="4"/>
        <v/>
      </c>
      <c r="I27" s="82"/>
      <c r="J27" s="50"/>
      <c r="K27" s="85" t="str">
        <f t="shared" si="0"/>
        <v/>
      </c>
      <c r="L27" s="85" t="str">
        <f t="shared" si="1"/>
        <v/>
      </c>
      <c r="M27" s="85" t="str">
        <f t="shared" si="1"/>
        <v/>
      </c>
      <c r="N27" s="85" t="str">
        <f t="shared" si="1"/>
        <v/>
      </c>
      <c r="O27" s="85" t="str">
        <f t="shared" si="2"/>
        <v/>
      </c>
      <c r="P27" s="85" t="str">
        <f t="shared" si="3"/>
        <v/>
      </c>
    </row>
    <row r="28" spans="1:16" ht="18.75" customHeight="1">
      <c r="A28">
        <v>201210</v>
      </c>
      <c r="H28" s="49" t="str">
        <f t="shared" si="4"/>
        <v/>
      </c>
      <c r="I28" s="84"/>
      <c r="J28" s="81"/>
      <c r="K28" s="85" t="str">
        <f t="shared" si="0"/>
        <v/>
      </c>
      <c r="L28" s="87" t="str">
        <f t="shared" si="1"/>
        <v/>
      </c>
      <c r="M28" s="87" t="str">
        <f t="shared" si="1"/>
        <v/>
      </c>
      <c r="N28" s="87" t="str">
        <f t="shared" si="1"/>
        <v/>
      </c>
      <c r="O28" s="85" t="str">
        <f t="shared" si="2"/>
        <v/>
      </c>
      <c r="P28" s="85" t="str">
        <f t="shared" si="3"/>
        <v/>
      </c>
    </row>
    <row r="29" spans="1:16" ht="18.75" customHeight="1">
      <c r="A29">
        <v>210511</v>
      </c>
      <c r="H29" s="49" t="str">
        <f t="shared" si="4"/>
        <v/>
      </c>
      <c r="I29" s="82"/>
      <c r="J29" s="50"/>
      <c r="K29" s="85" t="str">
        <f t="shared" si="0"/>
        <v/>
      </c>
      <c r="L29" s="85" t="str">
        <f t="shared" si="1"/>
        <v/>
      </c>
      <c r="M29" s="85" t="str">
        <f t="shared" si="1"/>
        <v/>
      </c>
      <c r="N29" s="85" t="str">
        <f t="shared" si="1"/>
        <v/>
      </c>
      <c r="O29" s="85" t="str">
        <f t="shared" si="2"/>
        <v/>
      </c>
      <c r="P29" s="85" t="str">
        <f t="shared" si="3"/>
        <v/>
      </c>
    </row>
    <row r="30" spans="1:16" ht="18.75" customHeight="1">
      <c r="A30">
        <v>210614</v>
      </c>
      <c r="H30" s="49" t="str">
        <f t="shared" si="4"/>
        <v/>
      </c>
      <c r="I30" s="82"/>
      <c r="J30" s="50"/>
      <c r="K30" s="85" t="str">
        <f t="shared" si="0"/>
        <v/>
      </c>
      <c r="L30" s="85" t="str">
        <f t="shared" si="1"/>
        <v/>
      </c>
      <c r="M30" s="85" t="str">
        <f t="shared" si="1"/>
        <v/>
      </c>
      <c r="N30" s="85" t="str">
        <f t="shared" si="1"/>
        <v/>
      </c>
      <c r="O30" s="85" t="str">
        <f t="shared" si="2"/>
        <v/>
      </c>
      <c r="P30" s="85" t="str">
        <f t="shared" si="3"/>
        <v/>
      </c>
    </row>
    <row r="31" spans="1:16" ht="18.75" customHeight="1">
      <c r="A31">
        <v>220105</v>
      </c>
      <c r="H31" s="49" t="str">
        <f t="shared" si="4"/>
        <v/>
      </c>
      <c r="I31" s="82"/>
      <c r="J31" s="50"/>
      <c r="K31" s="85" t="str">
        <f t="shared" si="0"/>
        <v/>
      </c>
      <c r="L31" s="85" t="str">
        <f t="shared" si="1"/>
        <v/>
      </c>
      <c r="M31" s="85" t="str">
        <f t="shared" si="1"/>
        <v/>
      </c>
      <c r="N31" s="85" t="str">
        <f t="shared" si="1"/>
        <v/>
      </c>
      <c r="O31" s="85" t="str">
        <f t="shared" si="2"/>
        <v/>
      </c>
      <c r="P31" s="85" t="str">
        <f t="shared" si="3"/>
        <v/>
      </c>
    </row>
    <row r="32" spans="1:16" ht="18.75" customHeight="1">
      <c r="A32">
        <v>220132</v>
      </c>
      <c r="H32" s="49" t="str">
        <f t="shared" si="4"/>
        <v/>
      </c>
      <c r="I32" s="82"/>
      <c r="J32" s="50"/>
      <c r="K32" s="85" t="str">
        <f t="shared" si="0"/>
        <v/>
      </c>
      <c r="L32" s="85" t="str">
        <f t="shared" si="1"/>
        <v/>
      </c>
      <c r="M32" s="85" t="str">
        <f t="shared" si="1"/>
        <v/>
      </c>
      <c r="N32" s="85" t="str">
        <f t="shared" si="1"/>
        <v/>
      </c>
      <c r="O32" s="85" t="str">
        <f t="shared" si="2"/>
        <v/>
      </c>
      <c r="P32" s="85" t="str">
        <f t="shared" si="3"/>
        <v/>
      </c>
    </row>
    <row r="33" spans="1:16" ht="18.75" customHeight="1">
      <c r="A33">
        <v>220205</v>
      </c>
      <c r="H33" s="49" t="str">
        <f t="shared" si="4"/>
        <v/>
      </c>
      <c r="I33" s="82"/>
      <c r="J33" s="50"/>
      <c r="K33" s="85" t="str">
        <f t="shared" si="0"/>
        <v/>
      </c>
      <c r="L33" s="85" t="str">
        <f t="shared" si="1"/>
        <v/>
      </c>
      <c r="M33" s="85" t="str">
        <f t="shared" si="1"/>
        <v/>
      </c>
      <c r="N33" s="85" t="str">
        <f t="shared" si="1"/>
        <v/>
      </c>
      <c r="O33" s="85" t="str">
        <f t="shared" si="2"/>
        <v/>
      </c>
      <c r="P33" s="85" t="str">
        <f t="shared" si="3"/>
        <v/>
      </c>
    </row>
    <row r="34" spans="1:16" ht="18.75" customHeight="1">
      <c r="A34" t="str">
        <v/>
      </c>
      <c r="H34" s="49" t="str">
        <f t="shared" si="4"/>
        <v/>
      </c>
      <c r="I34" s="82"/>
      <c r="J34" s="50"/>
      <c r="K34" s="85" t="str">
        <f t="shared" si="0"/>
        <v/>
      </c>
      <c r="L34" s="85" t="str">
        <f t="shared" si="1"/>
        <v/>
      </c>
      <c r="M34" s="85" t="str">
        <f t="shared" si="1"/>
        <v/>
      </c>
      <c r="N34" s="85" t="str">
        <f t="shared" si="1"/>
        <v/>
      </c>
      <c r="O34" s="85" t="str">
        <f t="shared" si="2"/>
        <v/>
      </c>
      <c r="P34" s="85" t="str">
        <f t="shared" si="3"/>
        <v/>
      </c>
    </row>
    <row r="35" spans="1:16" ht="18.75" customHeight="1">
      <c r="A35" t="str">
        <v/>
      </c>
      <c r="H35" s="49" t="str">
        <f t="shared" si="4"/>
        <v/>
      </c>
      <c r="I35" s="82"/>
      <c r="J35" s="50"/>
      <c r="K35" s="85" t="str">
        <f t="shared" si="0"/>
        <v/>
      </c>
      <c r="L35" s="85" t="str">
        <f t="shared" si="1"/>
        <v/>
      </c>
      <c r="M35" s="85" t="str">
        <f t="shared" si="1"/>
        <v/>
      </c>
      <c r="N35" s="85" t="str">
        <f t="shared" si="1"/>
        <v/>
      </c>
      <c r="O35" s="85" t="str">
        <f t="shared" si="2"/>
        <v/>
      </c>
      <c r="P35" s="85" t="str">
        <f t="shared" si="3"/>
        <v/>
      </c>
    </row>
    <row r="36" spans="1:16" ht="18.75" customHeight="1">
      <c r="A36" t="str">
        <v/>
      </c>
      <c r="H36" s="49" t="str">
        <f t="shared" si="4"/>
        <v/>
      </c>
      <c r="I36" s="82"/>
      <c r="J36" s="50"/>
      <c r="K36" s="85" t="str">
        <f t="shared" si="0"/>
        <v/>
      </c>
      <c r="L36" s="85" t="str">
        <f t="shared" si="1"/>
        <v/>
      </c>
      <c r="M36" s="85" t="str">
        <f t="shared" si="1"/>
        <v/>
      </c>
      <c r="N36" s="85" t="str">
        <f t="shared" si="1"/>
        <v/>
      </c>
      <c r="O36" s="85" t="str">
        <f t="shared" si="2"/>
        <v/>
      </c>
      <c r="P36" s="85" t="str">
        <f t="shared" si="3"/>
        <v/>
      </c>
    </row>
    <row r="37" spans="1:16" ht="18.75" customHeight="1">
      <c r="A37" t="str">
        <v/>
      </c>
      <c r="H37" s="49" t="str">
        <f t="shared" si="4"/>
        <v/>
      </c>
      <c r="I37" s="82"/>
      <c r="J37" s="50"/>
      <c r="K37" s="85" t="str">
        <f t="shared" si="0"/>
        <v/>
      </c>
      <c r="L37" s="85" t="str">
        <f t="shared" si="1"/>
        <v/>
      </c>
      <c r="M37" s="85" t="str">
        <f t="shared" si="1"/>
        <v/>
      </c>
      <c r="N37" s="85" t="str">
        <f t="shared" si="1"/>
        <v/>
      </c>
      <c r="O37" s="85" t="str">
        <f t="shared" si="2"/>
        <v/>
      </c>
      <c r="P37" s="85" t="str">
        <f t="shared" si="3"/>
        <v/>
      </c>
    </row>
    <row r="38" spans="1:16" ht="18.75" customHeight="1">
      <c r="A38">
        <v>201101</v>
      </c>
      <c r="H38" s="49" t="str">
        <f t="shared" si="4"/>
        <v/>
      </c>
      <c r="I38" s="82"/>
      <c r="J38" s="50"/>
      <c r="K38" s="85" t="str">
        <f t="shared" si="0"/>
        <v/>
      </c>
      <c r="L38" s="85" t="str">
        <f t="shared" si="1"/>
        <v/>
      </c>
      <c r="M38" s="85" t="str">
        <f t="shared" si="1"/>
        <v/>
      </c>
      <c r="N38" s="85" t="str">
        <f t="shared" si="1"/>
        <v/>
      </c>
      <c r="O38" s="85" t="str">
        <f t="shared" si="2"/>
        <v/>
      </c>
      <c r="P38" s="85" t="str">
        <f t="shared" si="3"/>
        <v/>
      </c>
    </row>
    <row r="39" spans="1:16" ht="18.75" customHeight="1">
      <c r="A39" t="str">
        <v/>
      </c>
      <c r="H39" s="49" t="str">
        <f t="shared" si="4"/>
        <v/>
      </c>
      <c r="I39" s="82"/>
      <c r="J39" s="50"/>
      <c r="K39" s="85" t="str">
        <f t="shared" si="0"/>
        <v/>
      </c>
      <c r="L39" s="85" t="str">
        <f t="shared" si="1"/>
        <v/>
      </c>
      <c r="M39" s="85" t="str">
        <f t="shared" si="1"/>
        <v/>
      </c>
      <c r="N39" s="85" t="str">
        <f t="shared" si="1"/>
        <v/>
      </c>
      <c r="O39" s="85" t="str">
        <f t="shared" si="2"/>
        <v/>
      </c>
      <c r="P39" s="85" t="str">
        <f t="shared" si="3"/>
        <v/>
      </c>
    </row>
    <row r="40" spans="1:16" ht="18.75" customHeight="1">
      <c r="A40" t="str">
        <v/>
      </c>
      <c r="H40" s="49" t="str">
        <f t="shared" si="4"/>
        <v/>
      </c>
      <c r="I40" s="82"/>
      <c r="J40" s="50"/>
      <c r="K40" s="85" t="str">
        <f t="shared" si="0"/>
        <v/>
      </c>
      <c r="L40" s="85" t="str">
        <f t="shared" si="1"/>
        <v/>
      </c>
      <c r="M40" s="85" t="str">
        <f t="shared" si="1"/>
        <v/>
      </c>
      <c r="N40" s="85" t="str">
        <f t="shared" si="1"/>
        <v/>
      </c>
      <c r="O40" s="85" t="str">
        <f t="shared" si="2"/>
        <v/>
      </c>
      <c r="P40" s="85" t="str">
        <f t="shared" si="3"/>
        <v/>
      </c>
    </row>
    <row r="41" spans="1:16" ht="18.75" customHeight="1">
      <c r="A41">
        <v>210702</v>
      </c>
      <c r="H41" s="49" t="str">
        <f t="shared" si="4"/>
        <v/>
      </c>
      <c r="I41" s="82"/>
      <c r="J41" s="50"/>
      <c r="K41" s="85" t="str">
        <f t="shared" si="0"/>
        <v/>
      </c>
      <c r="L41" s="85" t="str">
        <f t="shared" si="1"/>
        <v/>
      </c>
      <c r="M41" s="85" t="str">
        <f t="shared" si="1"/>
        <v/>
      </c>
      <c r="N41" s="85" t="str">
        <f t="shared" si="1"/>
        <v/>
      </c>
      <c r="O41" s="85" t="str">
        <f t="shared" si="2"/>
        <v/>
      </c>
      <c r="P41" s="85" t="str">
        <f t="shared" si="3"/>
        <v/>
      </c>
    </row>
    <row r="42" spans="1:16" ht="18.75" customHeight="1">
      <c r="A42" t="str">
        <v/>
      </c>
      <c r="H42" s="49" t="str">
        <f t="shared" si="4"/>
        <v/>
      </c>
      <c r="I42" s="82"/>
      <c r="J42" s="50"/>
      <c r="K42" s="85" t="str">
        <f t="shared" si="0"/>
        <v/>
      </c>
      <c r="L42" s="85" t="str">
        <f t="shared" si="1"/>
        <v/>
      </c>
      <c r="M42" s="85" t="str">
        <f t="shared" si="1"/>
        <v/>
      </c>
      <c r="N42" s="85" t="str">
        <f t="shared" si="1"/>
        <v/>
      </c>
      <c r="O42" s="85" t="str">
        <f t="shared" si="2"/>
        <v/>
      </c>
      <c r="P42" s="85" t="str">
        <f t="shared" si="3"/>
        <v/>
      </c>
    </row>
    <row r="43" spans="1:16" ht="18.75" customHeight="1">
      <c r="A43" t="str">
        <v/>
      </c>
      <c r="H43" s="49" t="str">
        <f t="shared" si="4"/>
        <v/>
      </c>
      <c r="I43" s="82"/>
      <c r="J43" s="50"/>
      <c r="K43" s="85" t="str">
        <f t="shared" si="0"/>
        <v/>
      </c>
      <c r="L43" s="85" t="str">
        <f t="shared" si="1"/>
        <v/>
      </c>
      <c r="M43" s="85" t="str">
        <f t="shared" si="1"/>
        <v/>
      </c>
      <c r="N43" s="85" t="str">
        <f t="shared" si="1"/>
        <v/>
      </c>
      <c r="O43" s="85" t="str">
        <f t="shared" si="2"/>
        <v/>
      </c>
      <c r="P43" s="85" t="str">
        <f t="shared" si="3"/>
        <v/>
      </c>
    </row>
    <row r="44" spans="1:16" ht="18.75" customHeight="1">
      <c r="A44" t="str">
        <v/>
      </c>
      <c r="H44" s="49" t="str">
        <f t="shared" si="4"/>
        <v/>
      </c>
      <c r="I44" s="82"/>
      <c r="J44" s="50"/>
      <c r="K44" s="85" t="str">
        <f t="shared" si="0"/>
        <v/>
      </c>
      <c r="L44" s="85" t="str">
        <f t="shared" si="1"/>
        <v/>
      </c>
      <c r="M44" s="85" t="str">
        <f t="shared" si="1"/>
        <v/>
      </c>
      <c r="N44" s="85" t="str">
        <f t="shared" si="1"/>
        <v/>
      </c>
      <c r="O44" s="85" t="str">
        <f t="shared" si="2"/>
        <v/>
      </c>
      <c r="P44" s="85" t="str">
        <f t="shared" si="3"/>
        <v/>
      </c>
    </row>
    <row r="45" spans="1:16" ht="18.75" customHeight="1">
      <c r="A45" t="str">
        <v/>
      </c>
      <c r="H45" s="49" t="str">
        <f t="shared" si="4"/>
        <v/>
      </c>
      <c r="I45" s="82"/>
      <c r="J45" s="50"/>
      <c r="K45" s="85" t="str">
        <f t="shared" si="0"/>
        <v/>
      </c>
      <c r="L45" s="85" t="str">
        <f t="shared" si="1"/>
        <v/>
      </c>
      <c r="M45" s="85" t="str">
        <f t="shared" si="1"/>
        <v/>
      </c>
      <c r="N45" s="85" t="str">
        <f t="shared" si="1"/>
        <v/>
      </c>
      <c r="O45" s="85" t="str">
        <f t="shared" si="2"/>
        <v/>
      </c>
      <c r="P45" s="85" t="str">
        <f t="shared" si="3"/>
        <v/>
      </c>
    </row>
    <row r="46" spans="1:16" ht="18.75" customHeight="1">
      <c r="A46" t="str">
        <v/>
      </c>
      <c r="H46" s="49" t="str">
        <f t="shared" si="4"/>
        <v/>
      </c>
      <c r="I46" s="82"/>
      <c r="J46" s="50"/>
      <c r="K46" s="85" t="str">
        <f t="shared" si="0"/>
        <v/>
      </c>
      <c r="L46" s="85" t="str">
        <f t="shared" si="1"/>
        <v/>
      </c>
      <c r="M46" s="85" t="str">
        <f t="shared" si="1"/>
        <v/>
      </c>
      <c r="N46" s="85" t="str">
        <f t="shared" si="1"/>
        <v/>
      </c>
      <c r="O46" s="85" t="str">
        <f t="shared" si="2"/>
        <v/>
      </c>
      <c r="P46" s="85" t="str">
        <f t="shared" si="3"/>
        <v/>
      </c>
    </row>
    <row r="47" spans="1:16" ht="18.75" customHeight="1">
      <c r="A47" t="str">
        <v/>
      </c>
      <c r="H47" s="49" t="str">
        <f t="shared" si="4"/>
        <v/>
      </c>
      <c r="I47" s="82"/>
      <c r="J47" s="50"/>
      <c r="K47" s="85" t="str">
        <f t="shared" si="0"/>
        <v/>
      </c>
      <c r="L47" s="85" t="str">
        <f t="shared" si="1"/>
        <v/>
      </c>
      <c r="M47" s="85" t="str">
        <f t="shared" si="1"/>
        <v/>
      </c>
      <c r="N47" s="85" t="str">
        <f t="shared" si="1"/>
        <v/>
      </c>
      <c r="O47" s="85" t="str">
        <f t="shared" si="2"/>
        <v/>
      </c>
      <c r="P47" s="85" t="str">
        <f t="shared" si="3"/>
        <v/>
      </c>
    </row>
    <row r="48" spans="1:16" ht="18.75" customHeight="1">
      <c r="A48" t="str">
        <v/>
      </c>
      <c r="H48" s="49" t="str">
        <f t="shared" si="4"/>
        <v/>
      </c>
      <c r="I48" s="82"/>
      <c r="J48" s="50"/>
      <c r="K48" s="85" t="str">
        <f t="shared" si="0"/>
        <v/>
      </c>
      <c r="L48" s="85" t="str">
        <f t="shared" si="1"/>
        <v/>
      </c>
      <c r="M48" s="85" t="str">
        <f t="shared" si="1"/>
        <v/>
      </c>
      <c r="N48" s="85" t="str">
        <f t="shared" si="1"/>
        <v/>
      </c>
      <c r="O48" s="85" t="str">
        <f t="shared" si="2"/>
        <v/>
      </c>
      <c r="P48" s="85" t="str">
        <f t="shared" si="3"/>
        <v/>
      </c>
    </row>
    <row r="49" spans="1:16" ht="18.75" customHeight="1">
      <c r="A49" t="str">
        <v/>
      </c>
      <c r="H49" s="49" t="str">
        <f t="shared" si="4"/>
        <v/>
      </c>
      <c r="I49" s="82"/>
      <c r="J49" s="50"/>
      <c r="K49" s="85" t="str">
        <f t="shared" si="0"/>
        <v/>
      </c>
      <c r="L49" s="85" t="str">
        <f t="shared" si="1"/>
        <v/>
      </c>
      <c r="M49" s="85" t="str">
        <f t="shared" si="1"/>
        <v/>
      </c>
      <c r="N49" s="85" t="str">
        <f t="shared" si="1"/>
        <v/>
      </c>
      <c r="O49" s="85" t="str">
        <f t="shared" si="2"/>
        <v/>
      </c>
      <c r="P49" s="85" t="str">
        <f t="shared" si="3"/>
        <v/>
      </c>
    </row>
    <row r="50" spans="1:16" ht="19.5">
      <c r="A50" t="str">
        <v/>
      </c>
      <c r="H50" s="49"/>
      <c r="I50" s="82"/>
      <c r="J50" s="50"/>
      <c r="K50" s="85"/>
      <c r="L50" s="85"/>
      <c r="M50" s="85"/>
      <c r="N50" s="85"/>
      <c r="O50" s="85"/>
      <c r="P50" s="85"/>
    </row>
    <row r="51" spans="1:16" ht="19.5">
      <c r="A51" t="str">
        <v/>
      </c>
      <c r="H51" s="49"/>
      <c r="I51" s="82"/>
      <c r="J51" s="50"/>
      <c r="K51" s="85"/>
      <c r="L51" s="85"/>
      <c r="M51" s="85"/>
      <c r="N51" s="85"/>
      <c r="O51" s="85"/>
      <c r="P51" s="85"/>
    </row>
    <row r="52" spans="1:16" ht="19.5">
      <c r="A52" t="str">
        <v/>
      </c>
      <c r="H52" s="49"/>
      <c r="I52" s="82"/>
      <c r="J52" s="50"/>
      <c r="K52" s="85"/>
      <c r="L52" s="85"/>
      <c r="M52" s="85"/>
      <c r="N52" s="85"/>
      <c r="O52" s="85"/>
      <c r="P52" s="85"/>
    </row>
    <row r="53" spans="1:16" ht="19.5">
      <c r="A53" t="str">
        <v/>
      </c>
      <c r="H53" s="49"/>
      <c r="I53" s="82"/>
      <c r="J53" s="50"/>
      <c r="K53" s="85"/>
      <c r="L53" s="85"/>
      <c r="M53" s="85"/>
      <c r="N53" s="85"/>
      <c r="O53" s="85"/>
      <c r="P53" s="85"/>
    </row>
    <row r="54" spans="1:16" ht="19.5">
      <c r="A54">
        <v>221201</v>
      </c>
      <c r="H54" s="49"/>
      <c r="I54" s="82"/>
      <c r="J54" s="50"/>
      <c r="K54" s="85"/>
      <c r="L54" s="85"/>
      <c r="M54" s="85"/>
      <c r="N54" s="85"/>
      <c r="O54" s="85"/>
      <c r="P54" s="85"/>
    </row>
    <row r="55" spans="1:16" ht="19.5">
      <c r="A55" t="str">
        <v/>
      </c>
      <c r="H55" s="49"/>
      <c r="I55" s="82"/>
      <c r="J55" s="50"/>
      <c r="K55" s="85"/>
      <c r="L55" s="85"/>
      <c r="M55" s="85"/>
      <c r="N55" s="85"/>
      <c r="O55" s="85"/>
      <c r="P55" s="85"/>
    </row>
    <row r="56" spans="1:16" ht="19.5">
      <c r="A56" t="str">
        <v/>
      </c>
      <c r="H56" s="49"/>
      <c r="I56" s="82"/>
      <c r="J56" s="50"/>
      <c r="K56" s="85"/>
      <c r="L56" s="85"/>
      <c r="M56" s="85"/>
      <c r="N56" s="85"/>
      <c r="O56" s="85"/>
      <c r="P56" s="85"/>
    </row>
    <row r="57" spans="1:16" ht="19.5">
      <c r="A57" t="str">
        <v/>
      </c>
      <c r="H57" s="49"/>
      <c r="I57" s="82"/>
      <c r="J57" s="50"/>
      <c r="K57" s="85"/>
      <c r="L57" s="85"/>
      <c r="M57" s="85"/>
      <c r="N57" s="85"/>
      <c r="O57" s="85"/>
      <c r="P57" s="85"/>
    </row>
    <row r="58" spans="1:16" ht="19.5">
      <c r="A58" t="str">
        <v/>
      </c>
      <c r="H58" s="49"/>
      <c r="I58" s="82"/>
      <c r="J58" s="50"/>
      <c r="K58" s="85"/>
      <c r="L58" s="85"/>
      <c r="M58" s="85"/>
      <c r="N58" s="85"/>
      <c r="O58" s="85"/>
      <c r="P58" s="85"/>
    </row>
    <row r="59" spans="1:16" ht="19.5">
      <c r="A59" t="str">
        <v/>
      </c>
      <c r="H59" s="49"/>
      <c r="I59" s="82"/>
      <c r="J59" s="50"/>
      <c r="K59" s="85"/>
      <c r="L59" s="85"/>
      <c r="M59" s="85"/>
      <c r="N59" s="85"/>
      <c r="O59" s="85"/>
      <c r="P59" s="85"/>
    </row>
    <row r="60" spans="1:16" ht="19.5">
      <c r="A60" t="str">
        <v/>
      </c>
      <c r="H60" s="49"/>
      <c r="I60" s="82"/>
      <c r="J60" s="50"/>
      <c r="K60" s="85"/>
      <c r="L60" s="85"/>
      <c r="M60" s="85"/>
      <c r="N60" s="85"/>
      <c r="O60" s="85"/>
      <c r="P60" s="85"/>
    </row>
    <row r="61" spans="1:16" ht="19.5">
      <c r="A61" t="str">
        <v/>
      </c>
      <c r="H61" s="49"/>
      <c r="I61" s="82"/>
      <c r="J61" s="50"/>
      <c r="K61" s="85"/>
      <c r="L61" s="85"/>
      <c r="M61" s="85"/>
      <c r="N61" s="85"/>
      <c r="O61" s="85"/>
      <c r="P61" s="85"/>
    </row>
    <row r="62" spans="1:16" ht="19.5">
      <c r="A62" t="str">
        <v/>
      </c>
      <c r="H62" s="49"/>
      <c r="I62" s="82"/>
      <c r="J62" s="50"/>
      <c r="K62" s="85"/>
      <c r="L62" s="85"/>
      <c r="M62" s="85"/>
      <c r="N62" s="85"/>
      <c r="O62" s="85"/>
      <c r="P62" s="85"/>
    </row>
    <row r="63" spans="1:16" ht="19.5">
      <c r="A63" t="str">
        <v/>
      </c>
      <c r="H63" s="49"/>
      <c r="I63" s="82"/>
      <c r="J63" s="50"/>
      <c r="K63" s="85"/>
      <c r="L63" s="85"/>
      <c r="M63" s="85"/>
      <c r="N63" s="85"/>
      <c r="O63" s="85"/>
      <c r="P63" s="85"/>
    </row>
    <row r="64" spans="1:16" ht="19.5">
      <c r="A64" t="str">
        <v/>
      </c>
      <c r="H64" s="49"/>
      <c r="I64" s="82"/>
      <c r="J64" s="50"/>
      <c r="K64" s="85"/>
      <c r="L64" s="85"/>
      <c r="M64" s="85"/>
      <c r="N64" s="85"/>
      <c r="O64" s="85"/>
      <c r="P64" s="85"/>
    </row>
    <row r="65" spans="1:16" ht="19.5">
      <c r="A65" t="str">
        <v/>
      </c>
      <c r="H65" s="49"/>
      <c r="I65" s="82"/>
      <c r="J65" s="50"/>
      <c r="K65" s="85"/>
      <c r="L65" s="85"/>
      <c r="M65" s="85"/>
      <c r="N65" s="85"/>
      <c r="O65" s="85"/>
      <c r="P65" s="85"/>
    </row>
    <row r="66" spans="1:16" ht="19.5">
      <c r="A66" t="str">
        <v/>
      </c>
      <c r="H66" s="49"/>
      <c r="I66" s="82"/>
      <c r="J66" s="50"/>
      <c r="K66" s="85"/>
      <c r="L66" s="85"/>
      <c r="M66" s="85"/>
      <c r="N66" s="85"/>
      <c r="O66" s="85"/>
      <c r="P66" s="85"/>
    </row>
    <row r="67" spans="1:16">
      <c r="A67" t="str">
        <v/>
      </c>
    </row>
    <row r="68" spans="1:16">
      <c r="A68" t="str">
        <v/>
      </c>
    </row>
    <row r="69" spans="1:16">
      <c r="A69" t="str">
        <v/>
      </c>
    </row>
    <row r="70" spans="1:16">
      <c r="A70" t="str">
        <v/>
      </c>
    </row>
    <row r="71" spans="1:16">
      <c r="A71" t="str">
        <v/>
      </c>
    </row>
    <row r="72" spans="1:16">
      <c r="A72" t="str">
        <v/>
      </c>
    </row>
    <row r="73" spans="1:16">
      <c r="A73" t="str">
        <v/>
      </c>
    </row>
    <row r="74" spans="1:16">
      <c r="A74" t="str">
        <v/>
      </c>
    </row>
    <row r="75" spans="1:16">
      <c r="A75" t="str">
        <v/>
      </c>
    </row>
    <row r="76" spans="1:16">
      <c r="A76" t="str">
        <v/>
      </c>
    </row>
    <row r="77" spans="1:16">
      <c r="A77" t="str">
        <v/>
      </c>
    </row>
    <row r="78" spans="1:16">
      <c r="A78" t="str">
        <v/>
      </c>
    </row>
    <row r="79" spans="1:16">
      <c r="A79" t="str">
        <v/>
      </c>
    </row>
    <row r="80" spans="1:16">
      <c r="A80" t="str">
        <v/>
      </c>
    </row>
    <row r="81" spans="1:1">
      <c r="A81" t="str">
        <v/>
      </c>
    </row>
    <row r="82" spans="1:1">
      <c r="A82" t="str">
        <v/>
      </c>
    </row>
    <row r="83" spans="1:1">
      <c r="A83" t="str">
        <v/>
      </c>
    </row>
    <row r="84" spans="1:1">
      <c r="A84" t="str">
        <v/>
      </c>
    </row>
    <row r="85" spans="1:1">
      <c r="A85" t="str">
        <v/>
      </c>
    </row>
    <row r="86" spans="1:1">
      <c r="A86" t="str">
        <v/>
      </c>
    </row>
    <row r="87" spans="1:1">
      <c r="A87" t="str">
        <v/>
      </c>
    </row>
    <row r="88" spans="1:1">
      <c r="A88" t="str">
        <v/>
      </c>
    </row>
    <row r="89" spans="1:1">
      <c r="A89" t="str">
        <v/>
      </c>
    </row>
    <row r="90" spans="1:1">
      <c r="A90" t="str">
        <v/>
      </c>
    </row>
    <row r="91" spans="1:1">
      <c r="A91" t="str">
        <v/>
      </c>
    </row>
    <row r="92" spans="1:1">
      <c r="A92" t="str">
        <v/>
      </c>
    </row>
    <row r="93" spans="1:1">
      <c r="A93" t="str">
        <v/>
      </c>
    </row>
    <row r="94" spans="1:1">
      <c r="A94" t="str">
        <v/>
      </c>
    </row>
    <row r="95" spans="1:1">
      <c r="A95" t="str">
        <v/>
      </c>
    </row>
    <row r="96" spans="1:1">
      <c r="A96" t="str">
        <v/>
      </c>
    </row>
    <row r="97" spans="1:1">
      <c r="A97" t="str">
        <v/>
      </c>
    </row>
    <row r="98" spans="1:1">
      <c r="A98" t="str">
        <v/>
      </c>
    </row>
    <row r="99" spans="1:1">
      <c r="A99" t="str">
        <v/>
      </c>
    </row>
    <row r="100" spans="1:1">
      <c r="A100" t="str">
        <v/>
      </c>
    </row>
    <row r="101" spans="1:1">
      <c r="A101" t="str">
        <v/>
      </c>
    </row>
    <row r="102" spans="1:1">
      <c r="A102" t="str">
        <v/>
      </c>
    </row>
    <row r="103" spans="1:1">
      <c r="A103" t="str">
        <v/>
      </c>
    </row>
    <row r="104" spans="1:1">
      <c r="A104" t="str">
        <v/>
      </c>
    </row>
    <row r="105" spans="1:1">
      <c r="A105" t="str">
        <v/>
      </c>
    </row>
    <row r="106" spans="1:1">
      <c r="A106" t="str">
        <v/>
      </c>
    </row>
    <row r="107" spans="1:1">
      <c r="A107" t="str">
        <v/>
      </c>
    </row>
    <row r="108" spans="1:1">
      <c r="A108" t="str">
        <v/>
      </c>
    </row>
    <row r="109" spans="1:1">
      <c r="A109" t="str">
        <v/>
      </c>
    </row>
    <row r="110" spans="1:1">
      <c r="A110" t="str">
        <v/>
      </c>
    </row>
    <row r="111" spans="1:1">
      <c r="A111" t="str">
        <v/>
      </c>
    </row>
    <row r="112" spans="1:1">
      <c r="A112" t="str">
        <v/>
      </c>
    </row>
    <row r="113" spans="1:1">
      <c r="A113" t="str">
        <v/>
      </c>
    </row>
    <row r="114" spans="1:1">
      <c r="A114" t="str">
        <v/>
      </c>
    </row>
    <row r="115" spans="1:1">
      <c r="A115" t="str">
        <v/>
      </c>
    </row>
    <row r="116" spans="1:1">
      <c r="A116" t="str">
        <v/>
      </c>
    </row>
    <row r="117" spans="1:1">
      <c r="A117" t="str">
        <v/>
      </c>
    </row>
    <row r="118" spans="1:1">
      <c r="A118" t="str">
        <v/>
      </c>
    </row>
    <row r="119" spans="1:1">
      <c r="A119" t="str">
        <v/>
      </c>
    </row>
    <row r="120" spans="1:1">
      <c r="A120" t="str">
        <v/>
      </c>
    </row>
    <row r="121" spans="1:1">
      <c r="A121" t="str">
        <v/>
      </c>
    </row>
    <row r="122" spans="1:1">
      <c r="A122" t="str">
        <v/>
      </c>
    </row>
    <row r="123" spans="1:1">
      <c r="A123" t="str">
        <v/>
      </c>
    </row>
    <row r="124" spans="1:1">
      <c r="A124" t="str">
        <v/>
      </c>
    </row>
    <row r="125" spans="1:1">
      <c r="A125" t="str">
        <v/>
      </c>
    </row>
    <row r="126" spans="1:1">
      <c r="A126" t="str">
        <v/>
      </c>
    </row>
    <row r="127" spans="1:1">
      <c r="A127" t="str">
        <v/>
      </c>
    </row>
    <row r="128" spans="1:1">
      <c r="A128" t="str">
        <v/>
      </c>
    </row>
    <row r="129" spans="1:1">
      <c r="A129" t="str">
        <v/>
      </c>
    </row>
    <row r="130" spans="1:1">
      <c r="A130" t="str">
        <v/>
      </c>
    </row>
    <row r="131" spans="1:1">
      <c r="A131" t="str">
        <v/>
      </c>
    </row>
    <row r="132" spans="1:1">
      <c r="A132" t="str">
        <v/>
      </c>
    </row>
    <row r="133" spans="1:1">
      <c r="A133" t="str">
        <v/>
      </c>
    </row>
    <row r="134" spans="1:1">
      <c r="A134" t="str">
        <v/>
      </c>
    </row>
    <row r="135" spans="1:1">
      <c r="A135" t="str">
        <v/>
      </c>
    </row>
  </sheetData>
  <mergeCells count="1">
    <mergeCell ref="I2:K2"/>
  </mergeCells>
  <phoneticPr fontId="1"/>
  <dataValidations count="3">
    <dataValidation type="list" allowBlank="1" showInputMessage="1" showErrorMessage="1" sqref="D4" xr:uid="{2D929343-F951-4DB2-B78B-6E1F9F1B12D0}">
      <formula1>$G$9:$G$66</formula1>
    </dataValidation>
    <dataValidation type="list" allowBlank="1" showInputMessage="1" showErrorMessage="1" sqref="J58" xr:uid="{0B9EE466-9758-4F73-A8C1-9D756BB4CD62}">
      <formula1>"男,女"</formula1>
    </dataValidation>
    <dataValidation type="list" allowBlank="1" showInputMessage="1" showErrorMessage="1" sqref="K58" xr:uid="{11BBD274-2342-4D0C-B1C2-CDDE19750A18}">
      <formula1>"18歳未満（　　　　歳）,45歳以上60歳未満,60歳以上,60歳未満"</formula1>
    </dataValidation>
  </dataValidations>
  <hyperlinks>
    <hyperlink ref="F4" location="PrecioHora" display="PrecioHora" xr:uid="{A696307C-895F-4F15-BAB0-143958B53CF2}"/>
  </hyperlinks>
  <pageMargins left="0.31496062992125984" right="3.937007874015748E-2" top="0.27559055118110237" bottom="0.27559055118110237" header="0.15748031496062992" footer="7.874015748031496E-2"/>
  <pageSetup paperSize="9" scale="7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C4E7A-66B3-4330-811C-4DD780506EC9}">
  <sheetPr codeName="Hoja12">
    <tabColor theme="3" tint="0.39997558519241921"/>
  </sheetPr>
  <dimension ref="A1:Z135"/>
  <sheetViews>
    <sheetView view="pageBreakPreview" zoomScale="60" zoomScaleNormal="100" workbookViewId="0">
      <selection activeCell="B9" sqref="B9"/>
    </sheetView>
  </sheetViews>
  <sheetFormatPr baseColWidth="10" defaultColWidth="9.125" defaultRowHeight="13.5"/>
  <cols>
    <col min="1" max="1" width="10" bestFit="1" customWidth="1"/>
    <col min="2" max="2" width="29.875" customWidth="1"/>
    <col min="3" max="3" width="4.25" bestFit="1" customWidth="1"/>
    <col min="4" max="4" width="17.25" style="62" bestFit="1" customWidth="1"/>
    <col min="5" max="5" width="4.5" bestFit="1" customWidth="1"/>
    <col min="6" max="6" width="9.25" bestFit="1" customWidth="1"/>
    <col min="7" max="7" width="17.25" style="62" bestFit="1" customWidth="1"/>
    <col min="8" max="8" width="2" style="62" customWidth="1"/>
    <col min="9" max="9" width="5" customWidth="1"/>
    <col min="10" max="10" width="34.125" customWidth="1"/>
    <col min="11" max="11" width="4.375" bestFit="1" customWidth="1"/>
    <col min="12" max="12" width="10.375" bestFit="1" customWidth="1"/>
    <col min="13" max="14" width="9" bestFit="1" customWidth="1"/>
    <col min="15" max="15" width="11.25" bestFit="1" customWidth="1"/>
    <col min="16" max="16" width="22.5" customWidth="1"/>
    <col min="17" max="17" width="36.125" customWidth="1"/>
    <col min="18" max="18" width="14.625" style="62" bestFit="1" customWidth="1"/>
  </cols>
  <sheetData>
    <row r="1" spans="1:26" ht="29.25" customHeight="1">
      <c r="A1">
        <v>2</v>
      </c>
      <c r="J1" s="2" t="s">
        <v>15</v>
      </c>
      <c r="K1" s="2"/>
      <c r="L1" s="2"/>
      <c r="M1" s="2"/>
      <c r="N1" s="2"/>
      <c r="Q1" s="2" t="s">
        <v>16</v>
      </c>
      <c r="U1">
        <f>COUNT(I9:I66)</f>
        <v>0</v>
      </c>
    </row>
    <row r="2" spans="1:26" ht="18">
      <c r="J2" s="358" t="str">
        <f>個別契約書X!I4&amp;" "&amp;個別契約書X!J7</f>
        <v xml:space="preserve">高雄工業株式会社 </v>
      </c>
      <c r="K2" s="358"/>
      <c r="L2" s="358"/>
      <c r="M2" s="39" t="s">
        <v>861</v>
      </c>
      <c r="N2" s="2"/>
      <c r="O2" s="2"/>
      <c r="P2" s="2"/>
      <c r="Q2" s="2"/>
    </row>
    <row r="3" spans="1:26" ht="18">
      <c r="J3" s="53">
        <f>Linea</f>
        <v>0</v>
      </c>
      <c r="K3" s="1"/>
      <c r="L3" s="1"/>
      <c r="M3" s="1"/>
      <c r="N3" s="1"/>
      <c r="O3" s="1"/>
      <c r="P3" s="1"/>
      <c r="Q3" s="1"/>
    </row>
    <row r="4" spans="1:26" ht="18">
      <c r="J4" s="1"/>
      <c r="K4" s="1"/>
      <c r="L4" s="1"/>
      <c r="M4" s="1"/>
      <c r="N4" s="1"/>
      <c r="O4" s="1"/>
      <c r="P4" s="1"/>
      <c r="Q4" s="1"/>
    </row>
    <row r="5" spans="1:26" ht="19.5">
      <c r="G5" s="125" t="s">
        <v>2630</v>
      </c>
      <c r="H5" s="123" t="s">
        <v>2627</v>
      </c>
      <c r="J5" s="2"/>
      <c r="K5" s="2"/>
      <c r="L5" s="2"/>
      <c r="M5" s="2"/>
      <c r="P5" s="89" t="s">
        <v>13</v>
      </c>
      <c r="Q5" s="90"/>
      <c r="Z5">
        <f>_xlfn.XLOOKUP(KOUJYOU,KanriDaichou[就業場所名称],KanriDaichou[就業場所TEL],"",0,1)</f>
        <v>0</v>
      </c>
    </row>
    <row r="6" spans="1:26" ht="19.5">
      <c r="J6" s="2"/>
      <c r="K6" s="2"/>
      <c r="L6" s="2"/>
      <c r="M6" s="2"/>
      <c r="P6" s="89"/>
      <c r="Q6" s="89" t="s">
        <v>14</v>
      </c>
    </row>
    <row r="7" spans="1:26" ht="18">
      <c r="A7" s="353" t="str">
        <f>J2</f>
        <v xml:space="preserve">高雄工業株式会社 </v>
      </c>
      <c r="B7" s="353"/>
      <c r="C7" s="353"/>
      <c r="D7" s="353"/>
      <c r="E7" s="353"/>
      <c r="F7" s="353"/>
      <c r="G7" s="353"/>
      <c r="H7" s="232"/>
      <c r="I7" s="7"/>
      <c r="J7" s="233" t="str">
        <f>CONCATENATE(TEXT(個別契約書X!A53,"gggyy年m月d日"),"付の労働者派遣個別契約に基づき以下の者を派遣します。")</f>
        <v>令和05年4月1日付の労働者派遣個別契約に基づき以下の者を派遣します。</v>
      </c>
      <c r="K7" s="60"/>
      <c r="L7" s="60"/>
      <c r="M7" s="60"/>
      <c r="N7" s="60"/>
      <c r="O7" s="2"/>
      <c r="P7" s="2"/>
      <c r="Q7" s="60"/>
    </row>
    <row r="8" spans="1:26" ht="18.75" customHeight="1">
      <c r="A8" s="353"/>
      <c r="B8" s="353"/>
      <c r="C8" s="353"/>
      <c r="D8" s="353"/>
      <c r="E8" s="353"/>
      <c r="F8" s="353"/>
      <c r="G8" s="353"/>
      <c r="H8" s="232"/>
      <c r="I8" s="240" t="s">
        <v>5</v>
      </c>
      <c r="J8" s="241" t="s">
        <v>25</v>
      </c>
      <c r="K8" s="85" t="s">
        <v>7</v>
      </c>
      <c r="L8" s="85" t="s">
        <v>8</v>
      </c>
      <c r="M8" s="85" t="s">
        <v>9</v>
      </c>
      <c r="N8" s="85" t="s">
        <v>10</v>
      </c>
      <c r="O8" s="85" t="s">
        <v>11</v>
      </c>
      <c r="P8" s="85" t="s">
        <v>12</v>
      </c>
      <c r="Q8" s="85" t="s">
        <v>913</v>
      </c>
    </row>
    <row r="9" spans="1:26" ht="18.75" customHeight="1">
      <c r="A9" s="242" t="str" cm="1">
        <f t="array" ref="A9:A135">_xlfn._xlws.FILTER(TablaTransfor[社員№],TablaTransfor[ライン]=Linea,"")</f>
        <v/>
      </c>
      <c r="B9" s="242" t="str" cm="1">
        <f t="array" ref="B9">_xlfn._xlws.FILTER(TablaTransfor[カナ],(TablaTransfor[ライン]=Linea)*(TablaTransfor[現在]="在職中")*(TablaTransfor[内容]=naiou),"")</f>
        <v/>
      </c>
      <c r="C9" s="242" t="str" cm="1">
        <f t="array" ref="C9">_xlfn._xlws.FILTER(TablaTransfor[性別],(TablaTransfor[ライン]=Linea)*(TablaTransfor[現在]="在職中")*(TablaTransfor[内容]=naiou),"")</f>
        <v/>
      </c>
      <c r="D9" s="243" t="str" cm="1">
        <f t="array" ref="D9">_xlfn._xlws.FILTER(TablaTransfor[生年月日],(TablaTransfor[ライン]=Linea)*(TablaTransfor[現在]="在職中")*(TablaTransfor[内容]=naiou),"")</f>
        <v/>
      </c>
      <c r="E9" s="242" t="str" cm="1">
        <f t="array" ref="E9">_xlfn._xlws.FILTER(TablaTransfor[年齢],(TablaTransfor[ライン]=Linea)*(TablaTransfor[現在]="在職中")*(TablaTransfor[内容]=naiou),"")</f>
        <v/>
      </c>
      <c r="F9" s="242" t="str" cm="1">
        <f t="array" ref="F9">_xlfn._xlws.FILTER(TablaTransfor[単価],(TablaTransfor[ライン]=Linea)*(TablaTransfor[現在]="在職中")*(TablaTransfor[内容]=naiou),"")</f>
        <v/>
      </c>
      <c r="G9" s="243" t="str" cm="1">
        <f t="array" ref="G9">_xlfn._xlws.FILTER(TablaTransfor[入社日],(TablaTransfor[ライン]=Linea)*(TablaTransfor[現在]="在職中")*(TablaTransfor[内容]=naiou),"")</f>
        <v/>
      </c>
      <c r="H9" s="244" t="str" cm="1">
        <f t="array" ref="H9">_xlfn._xlws.FILTER(TablaTransfor[unicos],(TablaTransfor[ライン]=Linea)*(TablaTransfor[現在]="在職中")*(TablaTransfor[内容]=naiou),"")</f>
        <v/>
      </c>
      <c r="I9" s="234" t="str">
        <f>IF(J9="","",1)</f>
        <v/>
      </c>
      <c r="J9" s="235" t="str" cm="1">
        <f t="array" ref="J9">_xlfn._xlws.FILTER(TablaTransfor[カナ],(TablaTransfor[ライン]=Linea)*(TablaTransfor[現在]="在職中")*(TablaTransfor[入社日]&gt;D2)*(TablaTransfor[内容]=naiou),"")</f>
        <v/>
      </c>
      <c r="K9" s="85" t="str" cm="1">
        <f t="array" ref="K9">_xlfn._xlws.FILTER(TablaTransfor[性別],(TablaTransfor[ライン]=Linea)*(TablaTransfor[現在]="在職中")*(TablaTransfor[入社日]&gt;D2)*(TablaTransfor[内容]=naiou),"")</f>
        <v/>
      </c>
      <c r="L9" s="85" t="str">
        <f t="shared" ref="L9:L40" si="0">IF(I9="","",IF(E9&lt;=18,"18未満(     )歳",IF(E9&lt;=60,"60歳未満","60歳以上")))</f>
        <v/>
      </c>
      <c r="M9" s="85" t="str">
        <f>IF($I9="","","加入")</f>
        <v/>
      </c>
      <c r="N9" s="85" t="str">
        <f>IF($I9="","","加入")</f>
        <v/>
      </c>
      <c r="O9" s="85" t="str">
        <f>IF($I9="","","加入")</f>
        <v/>
      </c>
      <c r="P9" s="85" t="str">
        <f>IF($I9="","",IF(H9&gt;=DATE(2022,10,1),"無期雇用","有期雇用（3ヵ月)"))</f>
        <v/>
      </c>
      <c r="Q9" s="85" t="str">
        <f>IF($I9="","","協定対象派遣労働者(労使協定式方式)")</f>
        <v/>
      </c>
      <c r="R9" s="62" t="str" cm="1">
        <f t="array" ref="R9">_xlfn._xlws.FILTER(TablaTransfor[SACARFECHQA],(TablaTransfor[ライン]=Linea)*(TablaTransfor[現在]="在職中"),"")</f>
        <v/>
      </c>
    </row>
    <row r="10" spans="1:26" ht="18.75" customHeight="1">
      <c r="A10" s="7" t="str">
        <v/>
      </c>
      <c r="B10" s="7"/>
      <c r="C10" s="7"/>
      <c r="D10" s="232"/>
      <c r="E10" s="7"/>
      <c r="F10" s="7"/>
      <c r="G10" s="232"/>
      <c r="H10" s="245"/>
      <c r="I10" s="208" t="str">
        <f>IF(J10="","",I9+1)</f>
        <v/>
      </c>
      <c r="J10" s="239"/>
      <c r="K10" s="236"/>
      <c r="L10" s="85" t="str">
        <f t="shared" si="0"/>
        <v/>
      </c>
      <c r="M10" s="85" t="str">
        <f t="shared" ref="M10:O50" si="1">IF($I10="","","加入")</f>
        <v/>
      </c>
      <c r="N10" s="85" t="str">
        <f t="shared" si="1"/>
        <v/>
      </c>
      <c r="O10" s="85" t="str">
        <f t="shared" si="1"/>
        <v/>
      </c>
      <c r="P10" s="85" t="str">
        <f t="shared" ref="P10:P66" si="2">IF($I10="","",IF(H10&gt;=DATE(2022,10,1),"無期雇用","有期雇用（3ヵ月)"))</f>
        <v/>
      </c>
      <c r="Q10" s="85" t="str">
        <f t="shared" ref="Q10:Q66" si="3">IF($I10="","","協定対象派遣労働者(労使協定式方式)")</f>
        <v/>
      </c>
    </row>
    <row r="11" spans="1:26" ht="18.75" customHeight="1">
      <c r="A11" s="247" t="str">
        <v/>
      </c>
      <c r="B11" s="247"/>
      <c r="C11" s="247"/>
      <c r="D11" s="248"/>
      <c r="E11" s="247"/>
      <c r="F11" s="247"/>
      <c r="G11" s="248"/>
      <c r="H11" s="248"/>
      <c r="I11" s="249" t="str">
        <f t="shared" ref="I11:I43" si="4">IF(J11="","",I10+1)</f>
        <v/>
      </c>
      <c r="J11" s="250"/>
      <c r="K11" s="236"/>
      <c r="L11" s="85" t="str">
        <f t="shared" si="0"/>
        <v/>
      </c>
      <c r="M11" s="85" t="str">
        <f t="shared" si="1"/>
        <v/>
      </c>
      <c r="N11" s="85" t="str">
        <f t="shared" si="1"/>
        <v/>
      </c>
      <c r="O11" s="85" t="str">
        <f t="shared" si="1"/>
        <v/>
      </c>
      <c r="P11" s="85" t="str">
        <f t="shared" si="2"/>
        <v/>
      </c>
      <c r="Q11" s="85" t="str">
        <f t="shared" si="3"/>
        <v/>
      </c>
    </row>
    <row r="12" spans="1:26" ht="18.75" customHeight="1">
      <c r="A12" s="247" t="str">
        <v/>
      </c>
      <c r="B12" s="247"/>
      <c r="C12" s="247"/>
      <c r="D12" s="248"/>
      <c r="E12" s="247"/>
      <c r="F12" s="247"/>
      <c r="G12" s="248"/>
      <c r="H12" s="248"/>
      <c r="I12" s="249" t="str">
        <f t="shared" si="4"/>
        <v/>
      </c>
      <c r="J12" s="250"/>
      <c r="K12" s="236"/>
      <c r="L12" s="85" t="str">
        <f t="shared" si="0"/>
        <v/>
      </c>
      <c r="M12" s="85" t="str">
        <f t="shared" si="1"/>
        <v/>
      </c>
      <c r="N12" s="85" t="str">
        <f t="shared" si="1"/>
        <v/>
      </c>
      <c r="O12" s="85" t="str">
        <f t="shared" si="1"/>
        <v/>
      </c>
      <c r="P12" s="85" t="str">
        <f t="shared" si="2"/>
        <v/>
      </c>
      <c r="Q12" s="85" t="str">
        <f t="shared" si="3"/>
        <v/>
      </c>
    </row>
    <row r="13" spans="1:26" ht="18.75" customHeight="1">
      <c r="A13" s="247" t="str">
        <v/>
      </c>
      <c r="B13" s="247"/>
      <c r="C13" s="247"/>
      <c r="D13" s="248"/>
      <c r="E13" s="247"/>
      <c r="F13" s="247"/>
      <c r="G13" s="248"/>
      <c r="H13" s="248"/>
      <c r="I13" s="249" t="str">
        <f t="shared" si="4"/>
        <v/>
      </c>
      <c r="J13" s="250"/>
      <c r="K13" s="236"/>
      <c r="L13" s="85" t="str">
        <f t="shared" si="0"/>
        <v/>
      </c>
      <c r="M13" s="85" t="str">
        <f t="shared" si="1"/>
        <v/>
      </c>
      <c r="N13" s="85" t="str">
        <f t="shared" si="1"/>
        <v/>
      </c>
      <c r="O13" s="85" t="str">
        <f t="shared" si="1"/>
        <v/>
      </c>
      <c r="P13" s="85" t="str">
        <f t="shared" si="2"/>
        <v/>
      </c>
      <c r="Q13" s="85" t="str">
        <f t="shared" si="3"/>
        <v/>
      </c>
    </row>
    <row r="14" spans="1:26" ht="18.75" customHeight="1">
      <c r="A14" s="247" t="str">
        <v/>
      </c>
      <c r="B14" s="247"/>
      <c r="C14" s="247"/>
      <c r="D14" s="248"/>
      <c r="E14" s="247"/>
      <c r="F14" s="247"/>
      <c r="G14" s="248"/>
      <c r="H14" s="248"/>
      <c r="I14" s="249" t="str">
        <f t="shared" si="4"/>
        <v/>
      </c>
      <c r="J14" s="250"/>
      <c r="K14" s="236"/>
      <c r="L14" s="85" t="str">
        <f t="shared" si="0"/>
        <v/>
      </c>
      <c r="M14" s="85" t="str">
        <f t="shared" si="1"/>
        <v/>
      </c>
      <c r="N14" s="85" t="str">
        <f t="shared" si="1"/>
        <v/>
      </c>
      <c r="O14" s="85" t="str">
        <f t="shared" si="1"/>
        <v/>
      </c>
      <c r="P14" s="85" t="str">
        <f t="shared" si="2"/>
        <v/>
      </c>
      <c r="Q14" s="85" t="str">
        <f t="shared" si="3"/>
        <v/>
      </c>
    </row>
    <row r="15" spans="1:26" ht="18.75" customHeight="1">
      <c r="A15" s="247" t="str">
        <v/>
      </c>
      <c r="B15" s="247"/>
      <c r="C15" s="247"/>
      <c r="D15" s="248"/>
      <c r="E15" s="247"/>
      <c r="F15" s="247"/>
      <c r="G15" s="248"/>
      <c r="H15" s="248"/>
      <c r="I15" s="249" t="str">
        <f t="shared" si="4"/>
        <v/>
      </c>
      <c r="J15" s="250"/>
      <c r="K15" s="236"/>
      <c r="L15" s="85" t="str">
        <f t="shared" si="0"/>
        <v/>
      </c>
      <c r="M15" s="85" t="str">
        <f t="shared" si="1"/>
        <v/>
      </c>
      <c r="N15" s="85" t="str">
        <f t="shared" si="1"/>
        <v/>
      </c>
      <c r="O15" s="85" t="str">
        <f t="shared" si="1"/>
        <v/>
      </c>
      <c r="P15" s="85" t="str">
        <f t="shared" si="2"/>
        <v/>
      </c>
      <c r="Q15" s="85" t="str">
        <f t="shared" si="3"/>
        <v/>
      </c>
    </row>
    <row r="16" spans="1:26" ht="18.75" customHeight="1">
      <c r="A16" s="247" t="str">
        <v/>
      </c>
      <c r="B16" s="247"/>
      <c r="C16" s="247"/>
      <c r="D16" s="248"/>
      <c r="E16" s="247"/>
      <c r="F16" s="247"/>
      <c r="G16" s="248"/>
      <c r="H16" s="248"/>
      <c r="I16" s="249" t="str">
        <f t="shared" si="4"/>
        <v/>
      </c>
      <c r="J16" s="250"/>
      <c r="K16" s="236"/>
      <c r="L16" s="85" t="str">
        <f t="shared" si="0"/>
        <v/>
      </c>
      <c r="M16" s="85" t="str">
        <f t="shared" si="1"/>
        <v/>
      </c>
      <c r="N16" s="85" t="str">
        <f t="shared" si="1"/>
        <v/>
      </c>
      <c r="O16" s="85" t="str">
        <f t="shared" si="1"/>
        <v/>
      </c>
      <c r="P16" s="85" t="str">
        <f t="shared" si="2"/>
        <v/>
      </c>
      <c r="Q16" s="85" t="str">
        <f t="shared" si="3"/>
        <v/>
      </c>
    </row>
    <row r="17" spans="1:17" ht="18.75" customHeight="1">
      <c r="A17" s="7" t="str">
        <v/>
      </c>
      <c r="B17" s="7"/>
      <c r="C17" s="7"/>
      <c r="D17" s="232"/>
      <c r="E17" s="7"/>
      <c r="F17" s="7"/>
      <c r="G17" s="232"/>
      <c r="H17" s="232"/>
      <c r="I17" s="208" t="str">
        <f t="shared" si="4"/>
        <v/>
      </c>
      <c r="J17" s="239"/>
      <c r="K17" s="236"/>
      <c r="L17" s="85" t="str">
        <f t="shared" si="0"/>
        <v/>
      </c>
      <c r="M17" s="85" t="str">
        <f t="shared" si="1"/>
        <v/>
      </c>
      <c r="N17" s="85" t="str">
        <f t="shared" si="1"/>
        <v/>
      </c>
      <c r="O17" s="85" t="str">
        <f t="shared" si="1"/>
        <v/>
      </c>
      <c r="P17" s="85" t="str">
        <f t="shared" si="2"/>
        <v/>
      </c>
      <c r="Q17" s="85" t="str">
        <f t="shared" si="3"/>
        <v/>
      </c>
    </row>
    <row r="18" spans="1:17" ht="18.75" customHeight="1">
      <c r="A18" s="7" t="str">
        <v/>
      </c>
      <c r="B18" s="7"/>
      <c r="C18" s="7"/>
      <c r="D18" s="232"/>
      <c r="E18" s="7"/>
      <c r="F18" s="7"/>
      <c r="G18" s="232"/>
      <c r="H18" s="232"/>
      <c r="I18" s="208" t="str">
        <f t="shared" si="4"/>
        <v/>
      </c>
      <c r="J18" s="239"/>
      <c r="K18" s="236"/>
      <c r="L18" s="85" t="str">
        <f t="shared" si="0"/>
        <v/>
      </c>
      <c r="M18" s="85" t="str">
        <f t="shared" si="1"/>
        <v/>
      </c>
      <c r="N18" s="85" t="str">
        <f t="shared" si="1"/>
        <v/>
      </c>
      <c r="O18" s="85" t="str">
        <f t="shared" si="1"/>
        <v/>
      </c>
      <c r="P18" s="85" t="str">
        <f t="shared" si="2"/>
        <v/>
      </c>
      <c r="Q18" s="85" t="str">
        <f t="shared" si="3"/>
        <v/>
      </c>
    </row>
    <row r="19" spans="1:17" ht="18.75" customHeight="1">
      <c r="A19" s="7" t="str">
        <v/>
      </c>
      <c r="B19" s="7"/>
      <c r="C19" s="7"/>
      <c r="D19" s="232"/>
      <c r="E19" s="7"/>
      <c r="F19" s="7"/>
      <c r="G19" s="232"/>
      <c r="H19" s="232"/>
      <c r="I19" s="208" t="str">
        <f t="shared" si="4"/>
        <v/>
      </c>
      <c r="J19" s="239"/>
      <c r="K19" s="236"/>
      <c r="L19" s="85" t="str">
        <f t="shared" si="0"/>
        <v/>
      </c>
      <c r="M19" s="85" t="str">
        <f t="shared" si="1"/>
        <v/>
      </c>
      <c r="N19" s="85" t="str">
        <f t="shared" si="1"/>
        <v/>
      </c>
      <c r="O19" s="85" t="str">
        <f t="shared" si="1"/>
        <v/>
      </c>
      <c r="P19" s="85" t="str">
        <f t="shared" si="2"/>
        <v/>
      </c>
      <c r="Q19" s="85" t="str">
        <f t="shared" si="3"/>
        <v/>
      </c>
    </row>
    <row r="20" spans="1:17" ht="18.75" customHeight="1">
      <c r="A20" s="7" t="str">
        <v/>
      </c>
      <c r="B20" s="7"/>
      <c r="C20" s="7"/>
      <c r="D20" s="232"/>
      <c r="E20" s="7"/>
      <c r="F20" s="7"/>
      <c r="G20" s="232"/>
      <c r="H20" s="232"/>
      <c r="I20" s="208" t="str">
        <f t="shared" si="4"/>
        <v/>
      </c>
      <c r="J20" s="239"/>
      <c r="K20" s="236"/>
      <c r="L20" s="85" t="str">
        <f t="shared" si="0"/>
        <v/>
      </c>
      <c r="M20" s="85" t="str">
        <f t="shared" si="1"/>
        <v/>
      </c>
      <c r="N20" s="85" t="str">
        <f t="shared" si="1"/>
        <v/>
      </c>
      <c r="O20" s="85" t="str">
        <f t="shared" si="1"/>
        <v/>
      </c>
      <c r="P20" s="85" t="str">
        <f t="shared" si="2"/>
        <v/>
      </c>
      <c r="Q20" s="85" t="str">
        <f t="shared" si="3"/>
        <v/>
      </c>
    </row>
    <row r="21" spans="1:17" ht="18.75" customHeight="1">
      <c r="A21" s="7" t="str">
        <v/>
      </c>
      <c r="B21" s="7"/>
      <c r="C21" s="7"/>
      <c r="D21" s="232"/>
      <c r="E21" s="7"/>
      <c r="F21" s="7"/>
      <c r="G21" s="232"/>
      <c r="H21" s="232"/>
      <c r="I21" s="208" t="str">
        <f t="shared" si="4"/>
        <v/>
      </c>
      <c r="J21" s="239"/>
      <c r="K21" s="236"/>
      <c r="L21" s="85" t="str">
        <f t="shared" si="0"/>
        <v/>
      </c>
      <c r="M21" s="85" t="str">
        <f t="shared" si="1"/>
        <v/>
      </c>
      <c r="N21" s="85" t="str">
        <f t="shared" si="1"/>
        <v/>
      </c>
      <c r="O21" s="85" t="str">
        <f t="shared" si="1"/>
        <v/>
      </c>
      <c r="P21" s="85" t="str">
        <f t="shared" si="2"/>
        <v/>
      </c>
      <c r="Q21" s="85" t="str">
        <f t="shared" si="3"/>
        <v/>
      </c>
    </row>
    <row r="22" spans="1:17" ht="18.75" customHeight="1">
      <c r="A22" s="7" t="str">
        <v/>
      </c>
      <c r="B22" s="7"/>
      <c r="C22" s="7"/>
      <c r="D22" s="232"/>
      <c r="E22" s="7"/>
      <c r="F22" s="7"/>
      <c r="G22" s="232"/>
      <c r="H22" s="232"/>
      <c r="I22" s="208" t="str">
        <f t="shared" si="4"/>
        <v/>
      </c>
      <c r="J22" s="239"/>
      <c r="K22" s="237"/>
      <c r="L22" s="85" t="str">
        <f t="shared" si="0"/>
        <v/>
      </c>
      <c r="M22" s="86" t="str">
        <f t="shared" si="1"/>
        <v/>
      </c>
      <c r="N22" s="86" t="str">
        <f t="shared" si="1"/>
        <v/>
      </c>
      <c r="O22" s="86" t="str">
        <f t="shared" si="1"/>
        <v/>
      </c>
      <c r="P22" s="85" t="str">
        <f t="shared" si="2"/>
        <v/>
      </c>
      <c r="Q22" s="86" t="str">
        <f t="shared" si="3"/>
        <v/>
      </c>
    </row>
    <row r="23" spans="1:17" ht="18.75" customHeight="1">
      <c r="A23" s="7" t="str">
        <v/>
      </c>
      <c r="B23" s="7"/>
      <c r="C23" s="7"/>
      <c r="D23" s="232"/>
      <c r="E23" s="7"/>
      <c r="F23" s="7"/>
      <c r="G23" s="232"/>
      <c r="H23" s="232"/>
      <c r="I23" s="208" t="str">
        <f t="shared" si="4"/>
        <v/>
      </c>
      <c r="J23" s="239"/>
      <c r="K23" s="236"/>
      <c r="L23" s="85" t="str">
        <f t="shared" si="0"/>
        <v/>
      </c>
      <c r="M23" s="85" t="str">
        <f t="shared" si="1"/>
        <v/>
      </c>
      <c r="N23" s="85" t="str">
        <f t="shared" si="1"/>
        <v/>
      </c>
      <c r="O23" s="85" t="str">
        <f t="shared" si="1"/>
        <v/>
      </c>
      <c r="P23" s="85" t="str">
        <f t="shared" si="2"/>
        <v/>
      </c>
      <c r="Q23" s="85" t="str">
        <f t="shared" si="3"/>
        <v/>
      </c>
    </row>
    <row r="24" spans="1:17" ht="18.75" customHeight="1">
      <c r="A24" s="7" t="str">
        <v/>
      </c>
      <c r="B24" s="7"/>
      <c r="C24" s="7"/>
      <c r="D24" s="232"/>
      <c r="E24" s="7"/>
      <c r="F24" s="7"/>
      <c r="G24" s="232"/>
      <c r="H24" s="232"/>
      <c r="I24" s="208" t="str">
        <f t="shared" si="4"/>
        <v/>
      </c>
      <c r="J24" s="239"/>
      <c r="K24" s="236"/>
      <c r="L24" s="85" t="str">
        <f t="shared" si="0"/>
        <v/>
      </c>
      <c r="M24" s="85" t="str">
        <f t="shared" si="1"/>
        <v/>
      </c>
      <c r="N24" s="85" t="str">
        <f t="shared" si="1"/>
        <v/>
      </c>
      <c r="O24" s="85" t="str">
        <f t="shared" si="1"/>
        <v/>
      </c>
      <c r="P24" s="85" t="str">
        <f t="shared" si="2"/>
        <v/>
      </c>
      <c r="Q24" s="85" t="str">
        <f t="shared" si="3"/>
        <v/>
      </c>
    </row>
    <row r="25" spans="1:17" ht="18.75" customHeight="1">
      <c r="A25" s="7" t="str">
        <v/>
      </c>
      <c r="B25" s="7"/>
      <c r="C25" s="7"/>
      <c r="D25" s="232"/>
      <c r="E25" s="7"/>
      <c r="F25" s="7"/>
      <c r="G25" s="232"/>
      <c r="H25" s="232"/>
      <c r="I25" s="208" t="str">
        <f t="shared" si="4"/>
        <v/>
      </c>
      <c r="J25" s="239"/>
      <c r="K25" s="236"/>
      <c r="L25" s="85" t="str">
        <f t="shared" si="0"/>
        <v/>
      </c>
      <c r="M25" s="85" t="str">
        <f t="shared" si="1"/>
        <v/>
      </c>
      <c r="N25" s="85" t="str">
        <f t="shared" si="1"/>
        <v/>
      </c>
      <c r="O25" s="85" t="str">
        <f t="shared" si="1"/>
        <v/>
      </c>
      <c r="P25" s="85" t="str">
        <f t="shared" si="2"/>
        <v/>
      </c>
      <c r="Q25" s="85" t="str">
        <f t="shared" si="3"/>
        <v/>
      </c>
    </row>
    <row r="26" spans="1:17" ht="18.75" customHeight="1">
      <c r="A26" s="7">
        <v>220213</v>
      </c>
      <c r="B26" s="7"/>
      <c r="C26" s="7"/>
      <c r="D26" s="232"/>
      <c r="E26" s="7"/>
      <c r="F26" s="7"/>
      <c r="G26" s="232"/>
      <c r="H26" s="232"/>
      <c r="I26" s="208" t="str">
        <f t="shared" si="4"/>
        <v/>
      </c>
      <c r="J26" s="239"/>
      <c r="K26" s="236"/>
      <c r="L26" s="85" t="str">
        <f t="shared" si="0"/>
        <v/>
      </c>
      <c r="M26" s="85" t="str">
        <f t="shared" si="1"/>
        <v/>
      </c>
      <c r="N26" s="85" t="str">
        <f t="shared" si="1"/>
        <v/>
      </c>
      <c r="O26" s="85" t="str">
        <f t="shared" si="1"/>
        <v/>
      </c>
      <c r="P26" s="85" t="str">
        <f t="shared" si="2"/>
        <v/>
      </c>
      <c r="Q26" s="85" t="str">
        <f t="shared" si="3"/>
        <v/>
      </c>
    </row>
    <row r="27" spans="1:17" ht="18.75" customHeight="1">
      <c r="A27" s="7">
        <v>210101</v>
      </c>
      <c r="B27" s="7"/>
      <c r="C27" s="7"/>
      <c r="D27" s="232"/>
      <c r="E27" s="7"/>
      <c r="F27" s="7"/>
      <c r="G27" s="232"/>
      <c r="H27" s="232"/>
      <c r="I27" s="208" t="str">
        <f t="shared" si="4"/>
        <v/>
      </c>
      <c r="J27" s="239"/>
      <c r="K27" s="236"/>
      <c r="L27" s="85" t="str">
        <f t="shared" si="0"/>
        <v/>
      </c>
      <c r="M27" s="85" t="str">
        <f t="shared" si="1"/>
        <v/>
      </c>
      <c r="N27" s="85" t="str">
        <f t="shared" si="1"/>
        <v/>
      </c>
      <c r="O27" s="85" t="str">
        <f t="shared" si="1"/>
        <v/>
      </c>
      <c r="P27" s="85" t="str">
        <f t="shared" si="2"/>
        <v/>
      </c>
      <c r="Q27" s="85" t="str">
        <f t="shared" si="3"/>
        <v/>
      </c>
    </row>
    <row r="28" spans="1:17" ht="18.75" customHeight="1">
      <c r="A28" s="7">
        <v>201210</v>
      </c>
      <c r="B28" s="7"/>
      <c r="C28" s="7"/>
      <c r="D28" s="232"/>
      <c r="E28" s="7"/>
      <c r="F28" s="7"/>
      <c r="G28" s="232"/>
      <c r="H28" s="232"/>
      <c r="I28" s="208" t="str">
        <f t="shared" si="4"/>
        <v/>
      </c>
      <c r="J28" s="239"/>
      <c r="K28" s="238"/>
      <c r="L28" s="85" t="str">
        <f t="shared" si="0"/>
        <v/>
      </c>
      <c r="M28" s="87" t="str">
        <f t="shared" si="1"/>
        <v/>
      </c>
      <c r="N28" s="87" t="str">
        <f t="shared" si="1"/>
        <v/>
      </c>
      <c r="O28" s="87" t="str">
        <f t="shared" si="1"/>
        <v/>
      </c>
      <c r="P28" s="85" t="str">
        <f t="shared" si="2"/>
        <v/>
      </c>
      <c r="Q28" s="87" t="str">
        <f t="shared" si="3"/>
        <v/>
      </c>
    </row>
    <row r="29" spans="1:17" ht="18.75" customHeight="1">
      <c r="A29" s="7">
        <v>210511</v>
      </c>
      <c r="B29" s="7"/>
      <c r="C29" s="7"/>
      <c r="D29" s="232"/>
      <c r="E29" s="7"/>
      <c r="F29" s="7"/>
      <c r="G29" s="232"/>
      <c r="H29" s="232"/>
      <c r="I29" s="208" t="str">
        <f t="shared" si="4"/>
        <v/>
      </c>
      <c r="J29" s="239"/>
      <c r="K29" s="236"/>
      <c r="L29" s="85" t="str">
        <f t="shared" si="0"/>
        <v/>
      </c>
      <c r="M29" s="85" t="str">
        <f t="shared" si="1"/>
        <v/>
      </c>
      <c r="N29" s="85" t="str">
        <f t="shared" si="1"/>
        <v/>
      </c>
      <c r="O29" s="85" t="str">
        <f t="shared" si="1"/>
        <v/>
      </c>
      <c r="P29" s="85" t="str">
        <f t="shared" si="2"/>
        <v/>
      </c>
      <c r="Q29" s="85" t="str">
        <f t="shared" si="3"/>
        <v/>
      </c>
    </row>
    <row r="30" spans="1:17" ht="18.75" customHeight="1">
      <c r="A30" s="7">
        <v>210614</v>
      </c>
      <c r="B30" s="7"/>
      <c r="C30" s="7"/>
      <c r="D30" s="232"/>
      <c r="E30" s="7"/>
      <c r="F30" s="7"/>
      <c r="G30" s="232"/>
      <c r="H30" s="232"/>
      <c r="I30" s="208" t="str">
        <f t="shared" si="4"/>
        <v/>
      </c>
      <c r="J30" s="239"/>
      <c r="K30" s="236"/>
      <c r="L30" s="85" t="str">
        <f t="shared" si="0"/>
        <v/>
      </c>
      <c r="M30" s="85" t="str">
        <f t="shared" si="1"/>
        <v/>
      </c>
      <c r="N30" s="85" t="str">
        <f t="shared" si="1"/>
        <v/>
      </c>
      <c r="O30" s="85" t="str">
        <f t="shared" si="1"/>
        <v/>
      </c>
      <c r="P30" s="85" t="str">
        <f t="shared" si="2"/>
        <v/>
      </c>
      <c r="Q30" s="85" t="str">
        <f t="shared" si="3"/>
        <v/>
      </c>
    </row>
    <row r="31" spans="1:17" ht="18.75" customHeight="1">
      <c r="A31" s="7">
        <v>220105</v>
      </c>
      <c r="B31" s="7"/>
      <c r="C31" s="7"/>
      <c r="D31" s="232"/>
      <c r="E31" s="7"/>
      <c r="F31" s="7"/>
      <c r="G31" s="232"/>
      <c r="H31" s="232"/>
      <c r="I31" s="208" t="str">
        <f t="shared" si="4"/>
        <v/>
      </c>
      <c r="J31" s="239"/>
      <c r="K31" s="236"/>
      <c r="L31" s="85" t="str">
        <f t="shared" si="0"/>
        <v/>
      </c>
      <c r="M31" s="85" t="str">
        <f t="shared" si="1"/>
        <v/>
      </c>
      <c r="N31" s="85" t="str">
        <f t="shared" si="1"/>
        <v/>
      </c>
      <c r="O31" s="85" t="str">
        <f t="shared" si="1"/>
        <v/>
      </c>
      <c r="P31" s="85" t="str">
        <f t="shared" si="2"/>
        <v/>
      </c>
      <c r="Q31" s="85" t="str">
        <f t="shared" si="3"/>
        <v/>
      </c>
    </row>
    <row r="32" spans="1:17" ht="18.75" customHeight="1">
      <c r="A32" s="7">
        <v>220132</v>
      </c>
      <c r="B32" s="7"/>
      <c r="C32" s="7"/>
      <c r="D32" s="232"/>
      <c r="E32" s="7"/>
      <c r="F32" s="7"/>
      <c r="G32" s="232"/>
      <c r="H32" s="232"/>
      <c r="I32" s="208" t="str">
        <f t="shared" si="4"/>
        <v/>
      </c>
      <c r="J32" s="239"/>
      <c r="K32" s="236"/>
      <c r="L32" s="85" t="str">
        <f t="shared" si="0"/>
        <v/>
      </c>
      <c r="M32" s="85" t="str">
        <f t="shared" si="1"/>
        <v/>
      </c>
      <c r="N32" s="85" t="str">
        <f t="shared" si="1"/>
        <v/>
      </c>
      <c r="O32" s="85" t="str">
        <f t="shared" si="1"/>
        <v/>
      </c>
      <c r="P32" s="85" t="str">
        <f t="shared" si="2"/>
        <v/>
      </c>
      <c r="Q32" s="85" t="str">
        <f t="shared" si="3"/>
        <v/>
      </c>
    </row>
    <row r="33" spans="1:17" ht="18.75" customHeight="1">
      <c r="A33" s="7">
        <v>220205</v>
      </c>
      <c r="B33" s="7"/>
      <c r="C33" s="7"/>
      <c r="D33" s="232"/>
      <c r="E33" s="7"/>
      <c r="F33" s="7"/>
      <c r="G33" s="232"/>
      <c r="H33" s="232"/>
      <c r="I33" s="208" t="str">
        <f t="shared" si="4"/>
        <v/>
      </c>
      <c r="J33" s="239"/>
      <c r="K33" s="236"/>
      <c r="L33" s="85" t="str">
        <f t="shared" si="0"/>
        <v/>
      </c>
      <c r="M33" s="85" t="str">
        <f t="shared" si="1"/>
        <v/>
      </c>
      <c r="N33" s="85" t="str">
        <f t="shared" si="1"/>
        <v/>
      </c>
      <c r="O33" s="85" t="str">
        <f t="shared" si="1"/>
        <v/>
      </c>
      <c r="P33" s="85" t="str">
        <f t="shared" si="2"/>
        <v/>
      </c>
      <c r="Q33" s="85" t="str">
        <f t="shared" si="3"/>
        <v/>
      </c>
    </row>
    <row r="34" spans="1:17" ht="18.75" customHeight="1">
      <c r="A34" s="7" t="str">
        <v/>
      </c>
      <c r="B34" s="7"/>
      <c r="C34" s="7"/>
      <c r="D34" s="232"/>
      <c r="E34" s="7"/>
      <c r="F34" s="7"/>
      <c r="G34" s="232"/>
      <c r="H34" s="232"/>
      <c r="I34" s="208" t="str">
        <f t="shared" si="4"/>
        <v/>
      </c>
      <c r="J34" s="239"/>
      <c r="K34" s="236"/>
      <c r="L34" s="85" t="str">
        <f t="shared" si="0"/>
        <v/>
      </c>
      <c r="M34" s="85" t="str">
        <f t="shared" si="1"/>
        <v/>
      </c>
      <c r="N34" s="85" t="str">
        <f t="shared" si="1"/>
        <v/>
      </c>
      <c r="O34" s="85" t="str">
        <f t="shared" si="1"/>
        <v/>
      </c>
      <c r="P34" s="85" t="str">
        <f t="shared" si="2"/>
        <v/>
      </c>
      <c r="Q34" s="85" t="str">
        <f t="shared" si="3"/>
        <v/>
      </c>
    </row>
    <row r="35" spans="1:17" ht="18.75" customHeight="1">
      <c r="A35" s="7" t="str">
        <v/>
      </c>
      <c r="B35" s="7"/>
      <c r="C35" s="7"/>
      <c r="D35" s="232"/>
      <c r="E35" s="7"/>
      <c r="F35" s="7"/>
      <c r="G35" s="232"/>
      <c r="H35" s="232"/>
      <c r="I35" s="208" t="str">
        <f t="shared" si="4"/>
        <v/>
      </c>
      <c r="J35" s="239"/>
      <c r="K35" s="236"/>
      <c r="L35" s="85" t="str">
        <f t="shared" si="0"/>
        <v/>
      </c>
      <c r="M35" s="85" t="str">
        <f t="shared" si="1"/>
        <v/>
      </c>
      <c r="N35" s="85" t="str">
        <f t="shared" si="1"/>
        <v/>
      </c>
      <c r="O35" s="85" t="str">
        <f t="shared" si="1"/>
        <v/>
      </c>
      <c r="P35" s="85" t="str">
        <f t="shared" si="2"/>
        <v/>
      </c>
      <c r="Q35" s="85" t="str">
        <f t="shared" si="3"/>
        <v/>
      </c>
    </row>
    <row r="36" spans="1:17" ht="18.75" customHeight="1">
      <c r="A36" s="7" t="str">
        <v/>
      </c>
      <c r="B36" s="7"/>
      <c r="C36" s="7"/>
      <c r="D36" s="232"/>
      <c r="E36" s="7"/>
      <c r="F36" s="7"/>
      <c r="G36" s="232"/>
      <c r="H36" s="232"/>
      <c r="I36" s="208" t="str">
        <f t="shared" si="4"/>
        <v/>
      </c>
      <c r="J36" s="239"/>
      <c r="K36" s="236"/>
      <c r="L36" s="85" t="str">
        <f t="shared" si="0"/>
        <v/>
      </c>
      <c r="M36" s="85" t="str">
        <f t="shared" si="1"/>
        <v/>
      </c>
      <c r="N36" s="85" t="str">
        <f t="shared" si="1"/>
        <v/>
      </c>
      <c r="O36" s="85" t="str">
        <f t="shared" si="1"/>
        <v/>
      </c>
      <c r="P36" s="85" t="str">
        <f t="shared" si="2"/>
        <v/>
      </c>
      <c r="Q36" s="85" t="str">
        <f t="shared" si="3"/>
        <v/>
      </c>
    </row>
    <row r="37" spans="1:17" ht="18.75" customHeight="1">
      <c r="A37" s="7" t="str">
        <v/>
      </c>
      <c r="B37" s="7"/>
      <c r="C37" s="7"/>
      <c r="D37" s="232"/>
      <c r="E37" s="7"/>
      <c r="F37" s="7"/>
      <c r="G37" s="232"/>
      <c r="H37" s="232"/>
      <c r="I37" s="208" t="str">
        <f t="shared" si="4"/>
        <v/>
      </c>
      <c r="J37" s="239"/>
      <c r="K37" s="236"/>
      <c r="L37" s="85" t="str">
        <f t="shared" si="0"/>
        <v/>
      </c>
      <c r="M37" s="85" t="str">
        <f t="shared" si="1"/>
        <v/>
      </c>
      <c r="N37" s="85" t="str">
        <f t="shared" si="1"/>
        <v/>
      </c>
      <c r="O37" s="85" t="str">
        <f t="shared" si="1"/>
        <v/>
      </c>
      <c r="P37" s="85" t="str">
        <f t="shared" si="2"/>
        <v/>
      </c>
      <c r="Q37" s="85" t="str">
        <f t="shared" si="3"/>
        <v/>
      </c>
    </row>
    <row r="38" spans="1:17" ht="18.75" customHeight="1">
      <c r="A38" s="7">
        <v>201101</v>
      </c>
      <c r="B38" s="7"/>
      <c r="C38" s="7"/>
      <c r="D38" s="232"/>
      <c r="E38" s="7"/>
      <c r="F38" s="7"/>
      <c r="G38" s="232"/>
      <c r="H38" s="232"/>
      <c r="I38" s="208" t="str">
        <f t="shared" si="4"/>
        <v/>
      </c>
      <c r="J38" s="239"/>
      <c r="K38" s="236"/>
      <c r="L38" s="85" t="str">
        <f t="shared" si="0"/>
        <v/>
      </c>
      <c r="M38" s="85" t="str">
        <f t="shared" si="1"/>
        <v/>
      </c>
      <c r="N38" s="85" t="str">
        <f t="shared" si="1"/>
        <v/>
      </c>
      <c r="O38" s="85" t="str">
        <f t="shared" si="1"/>
        <v/>
      </c>
      <c r="P38" s="85" t="str">
        <f t="shared" si="2"/>
        <v/>
      </c>
      <c r="Q38" s="85" t="str">
        <f t="shared" si="3"/>
        <v/>
      </c>
    </row>
    <row r="39" spans="1:17" ht="18.75" customHeight="1">
      <c r="A39" s="7" t="str">
        <v/>
      </c>
      <c r="B39" s="7"/>
      <c r="C39" s="7"/>
      <c r="D39" s="232"/>
      <c r="E39" s="7"/>
      <c r="F39" s="7"/>
      <c r="G39" s="232"/>
      <c r="H39" s="232"/>
      <c r="I39" s="208" t="str">
        <f t="shared" si="4"/>
        <v/>
      </c>
      <c r="J39" s="239"/>
      <c r="K39" s="236"/>
      <c r="L39" s="85" t="str">
        <f t="shared" si="0"/>
        <v/>
      </c>
      <c r="M39" s="85" t="str">
        <f t="shared" si="1"/>
        <v/>
      </c>
      <c r="N39" s="85" t="str">
        <f t="shared" si="1"/>
        <v/>
      </c>
      <c r="O39" s="85" t="str">
        <f t="shared" si="1"/>
        <v/>
      </c>
      <c r="P39" s="85" t="str">
        <f t="shared" si="2"/>
        <v/>
      </c>
      <c r="Q39" s="85" t="str">
        <f t="shared" si="3"/>
        <v/>
      </c>
    </row>
    <row r="40" spans="1:17" ht="18.75" customHeight="1">
      <c r="A40" s="7" t="str">
        <v/>
      </c>
      <c r="B40" s="7"/>
      <c r="C40" s="7"/>
      <c r="D40" s="232"/>
      <c r="E40" s="7"/>
      <c r="F40" s="7"/>
      <c r="G40" s="232"/>
      <c r="H40" s="232"/>
      <c r="I40" s="208" t="str">
        <f t="shared" si="4"/>
        <v/>
      </c>
      <c r="J40" s="239"/>
      <c r="K40" s="236"/>
      <c r="L40" s="85" t="str">
        <f t="shared" si="0"/>
        <v/>
      </c>
      <c r="M40" s="85" t="str">
        <f t="shared" si="1"/>
        <v/>
      </c>
      <c r="N40" s="85" t="str">
        <f t="shared" si="1"/>
        <v/>
      </c>
      <c r="O40" s="85" t="str">
        <f t="shared" si="1"/>
        <v/>
      </c>
      <c r="P40" s="85" t="str">
        <f t="shared" si="2"/>
        <v/>
      </c>
      <c r="Q40" s="85" t="str">
        <f t="shared" si="3"/>
        <v/>
      </c>
    </row>
    <row r="41" spans="1:17" ht="18.75" customHeight="1">
      <c r="A41" s="7">
        <v>210702</v>
      </c>
      <c r="B41" s="7"/>
      <c r="C41" s="7"/>
      <c r="D41" s="232"/>
      <c r="E41" s="7"/>
      <c r="F41" s="7"/>
      <c r="G41" s="232"/>
      <c r="H41" s="232"/>
      <c r="I41" s="208" t="str">
        <f t="shared" si="4"/>
        <v/>
      </c>
      <c r="J41" s="239"/>
      <c r="K41" s="236"/>
      <c r="L41" s="85" t="str">
        <f t="shared" ref="L41:L43" si="5">IF(I41="","",IF(E41&lt;=18,"18未満(     )歳",IF(E41&lt;=60,"60歳未満","60歳以上")))</f>
        <v/>
      </c>
      <c r="M41" s="85" t="str">
        <f t="shared" si="1"/>
        <v/>
      </c>
      <c r="N41" s="85" t="str">
        <f t="shared" si="1"/>
        <v/>
      </c>
      <c r="O41" s="85" t="str">
        <f t="shared" si="1"/>
        <v/>
      </c>
      <c r="P41" s="85" t="str">
        <f t="shared" si="2"/>
        <v/>
      </c>
      <c r="Q41" s="85" t="str">
        <f t="shared" si="3"/>
        <v/>
      </c>
    </row>
    <row r="42" spans="1:17" ht="18.75" customHeight="1">
      <c r="A42" s="7" t="str">
        <v/>
      </c>
      <c r="B42" s="7"/>
      <c r="C42" s="7"/>
      <c r="D42" s="232"/>
      <c r="E42" s="7"/>
      <c r="F42" s="7"/>
      <c r="G42" s="232"/>
      <c r="H42" s="232"/>
      <c r="I42" s="208" t="str">
        <f t="shared" si="4"/>
        <v/>
      </c>
      <c r="J42" s="239"/>
      <c r="K42" s="236"/>
      <c r="L42" s="85" t="str">
        <f t="shared" si="5"/>
        <v/>
      </c>
      <c r="M42" s="85" t="str">
        <f t="shared" si="1"/>
        <v/>
      </c>
      <c r="N42" s="85" t="str">
        <f t="shared" si="1"/>
        <v/>
      </c>
      <c r="O42" s="85" t="str">
        <f t="shared" si="1"/>
        <v/>
      </c>
      <c r="P42" s="85" t="str">
        <f t="shared" si="2"/>
        <v/>
      </c>
      <c r="Q42" s="85" t="str">
        <f t="shared" si="3"/>
        <v/>
      </c>
    </row>
    <row r="43" spans="1:17" ht="18.75" customHeight="1">
      <c r="A43" s="7" t="str">
        <v/>
      </c>
      <c r="B43" s="7"/>
      <c r="C43" s="7"/>
      <c r="D43" s="232"/>
      <c r="E43" s="7"/>
      <c r="F43" s="7"/>
      <c r="G43" s="232"/>
      <c r="H43" s="232"/>
      <c r="I43" s="208" t="str">
        <f t="shared" si="4"/>
        <v/>
      </c>
      <c r="J43" s="239"/>
      <c r="K43" s="236"/>
      <c r="L43" s="85" t="str">
        <f t="shared" si="5"/>
        <v/>
      </c>
      <c r="M43" s="85" t="str">
        <f t="shared" si="1"/>
        <v/>
      </c>
      <c r="N43" s="85" t="str">
        <f t="shared" si="1"/>
        <v/>
      </c>
      <c r="O43" s="85" t="str">
        <f t="shared" si="1"/>
        <v/>
      </c>
      <c r="P43" s="85" t="str">
        <f t="shared" si="2"/>
        <v/>
      </c>
      <c r="Q43" s="85" t="str">
        <f t="shared" si="3"/>
        <v/>
      </c>
    </row>
    <row r="44" spans="1:17" ht="18.75" customHeight="1">
      <c r="A44" s="7" t="str">
        <v/>
      </c>
      <c r="B44" s="7"/>
      <c r="C44" s="7"/>
      <c r="D44" s="232"/>
      <c r="E44" s="7"/>
      <c r="F44" s="7"/>
      <c r="G44" s="232"/>
      <c r="H44" s="232"/>
      <c r="I44" s="208" t="str">
        <f t="shared" ref="I44:I66" si="6">IF(J44="","",I43+1)</f>
        <v/>
      </c>
      <c r="J44" s="239"/>
      <c r="K44" s="236"/>
      <c r="L44" s="85" t="str">
        <f t="shared" ref="L44:L66" si="7">IF(I44="","",IF(E44&lt;=18,"18未満(     )歳",IF(E44&lt;=60,"60歳未満","60歳以上")))</f>
        <v/>
      </c>
      <c r="M44" s="85" t="str">
        <f t="shared" si="1"/>
        <v/>
      </c>
      <c r="N44" s="85" t="str">
        <f t="shared" si="1"/>
        <v/>
      </c>
      <c r="O44" s="85" t="str">
        <f t="shared" si="1"/>
        <v/>
      </c>
      <c r="P44" s="85" t="str">
        <f t="shared" si="2"/>
        <v/>
      </c>
      <c r="Q44" s="85" t="str">
        <f t="shared" si="3"/>
        <v/>
      </c>
    </row>
    <row r="45" spans="1:17" ht="18.75" customHeight="1">
      <c r="A45" s="7" t="str">
        <v/>
      </c>
      <c r="B45" s="7"/>
      <c r="C45" s="7"/>
      <c r="D45" s="232"/>
      <c r="E45" s="7"/>
      <c r="F45" s="7"/>
      <c r="G45" s="232"/>
      <c r="H45" s="232"/>
      <c r="I45" s="208" t="str">
        <f t="shared" si="6"/>
        <v/>
      </c>
      <c r="J45" s="239"/>
      <c r="K45" s="236"/>
      <c r="L45" s="85" t="str">
        <f t="shared" si="7"/>
        <v/>
      </c>
      <c r="M45" s="85" t="str">
        <f t="shared" si="1"/>
        <v/>
      </c>
      <c r="N45" s="85" t="str">
        <f t="shared" si="1"/>
        <v/>
      </c>
      <c r="O45" s="85" t="str">
        <f t="shared" si="1"/>
        <v/>
      </c>
      <c r="P45" s="85" t="str">
        <f t="shared" si="2"/>
        <v/>
      </c>
      <c r="Q45" s="85" t="str">
        <f t="shared" si="3"/>
        <v/>
      </c>
    </row>
    <row r="46" spans="1:17" ht="18.75" customHeight="1">
      <c r="A46" s="7" t="str">
        <v/>
      </c>
      <c r="B46" s="7"/>
      <c r="C46" s="7"/>
      <c r="D46" s="232"/>
      <c r="E46" s="7"/>
      <c r="F46" s="7"/>
      <c r="G46" s="232"/>
      <c r="H46" s="232"/>
      <c r="I46" s="208" t="str">
        <f t="shared" si="6"/>
        <v/>
      </c>
      <c r="J46" s="239"/>
      <c r="K46" s="236"/>
      <c r="L46" s="85" t="str">
        <f t="shared" si="7"/>
        <v/>
      </c>
      <c r="M46" s="85" t="str">
        <f t="shared" si="1"/>
        <v/>
      </c>
      <c r="N46" s="85" t="str">
        <f t="shared" si="1"/>
        <v/>
      </c>
      <c r="O46" s="85" t="str">
        <f t="shared" si="1"/>
        <v/>
      </c>
      <c r="P46" s="85" t="str">
        <f t="shared" si="2"/>
        <v/>
      </c>
      <c r="Q46" s="85" t="str">
        <f t="shared" si="3"/>
        <v/>
      </c>
    </row>
    <row r="47" spans="1:17" ht="18.75" customHeight="1">
      <c r="A47" s="7" t="str">
        <v/>
      </c>
      <c r="B47" s="7"/>
      <c r="C47" s="7"/>
      <c r="D47" s="232"/>
      <c r="E47" s="7"/>
      <c r="F47" s="7"/>
      <c r="G47" s="232"/>
      <c r="H47" s="232"/>
      <c r="I47" s="208" t="str">
        <f t="shared" si="6"/>
        <v/>
      </c>
      <c r="J47" s="239"/>
      <c r="K47" s="236"/>
      <c r="L47" s="85" t="str">
        <f t="shared" si="7"/>
        <v/>
      </c>
      <c r="M47" s="85" t="str">
        <f t="shared" si="1"/>
        <v/>
      </c>
      <c r="N47" s="85" t="str">
        <f t="shared" si="1"/>
        <v/>
      </c>
      <c r="O47" s="85" t="str">
        <f t="shared" si="1"/>
        <v/>
      </c>
      <c r="P47" s="85" t="str">
        <f t="shared" si="2"/>
        <v/>
      </c>
      <c r="Q47" s="85" t="str">
        <f t="shared" si="3"/>
        <v/>
      </c>
    </row>
    <row r="48" spans="1:17" ht="18.75" customHeight="1">
      <c r="A48" s="7" t="str">
        <v/>
      </c>
      <c r="B48" s="7"/>
      <c r="C48" s="7"/>
      <c r="D48" s="232"/>
      <c r="E48" s="7"/>
      <c r="F48" s="7"/>
      <c r="G48" s="232"/>
      <c r="H48" s="232"/>
      <c r="I48" s="208" t="str">
        <f t="shared" si="6"/>
        <v/>
      </c>
      <c r="J48" s="239"/>
      <c r="K48" s="236"/>
      <c r="L48" s="85" t="str">
        <f t="shared" si="7"/>
        <v/>
      </c>
      <c r="M48" s="85" t="str">
        <f t="shared" si="1"/>
        <v/>
      </c>
      <c r="N48" s="85" t="str">
        <f t="shared" si="1"/>
        <v/>
      </c>
      <c r="O48" s="85" t="str">
        <f t="shared" si="1"/>
        <v/>
      </c>
      <c r="P48" s="85" t="str">
        <f t="shared" si="2"/>
        <v/>
      </c>
      <c r="Q48" s="85" t="str">
        <f t="shared" si="3"/>
        <v/>
      </c>
    </row>
    <row r="49" spans="1:20" ht="18.75" customHeight="1">
      <c r="A49" s="7" t="str">
        <v/>
      </c>
      <c r="B49" s="7"/>
      <c r="C49" s="7"/>
      <c r="D49" s="232"/>
      <c r="E49" s="7"/>
      <c r="F49" s="7"/>
      <c r="G49" s="232"/>
      <c r="H49" s="232"/>
      <c r="I49" s="208" t="str">
        <f t="shared" si="6"/>
        <v/>
      </c>
      <c r="J49" s="239"/>
      <c r="K49" s="236"/>
      <c r="L49" s="85" t="str">
        <f t="shared" si="7"/>
        <v/>
      </c>
      <c r="M49" s="85" t="str">
        <f t="shared" si="1"/>
        <v/>
      </c>
      <c r="N49" s="85" t="str">
        <f t="shared" si="1"/>
        <v/>
      </c>
      <c r="O49" s="85" t="str">
        <f t="shared" si="1"/>
        <v/>
      </c>
      <c r="P49" s="85" t="str">
        <f t="shared" si="2"/>
        <v/>
      </c>
      <c r="Q49" s="85" t="str">
        <f t="shared" si="3"/>
        <v/>
      </c>
    </row>
    <row r="50" spans="1:20" ht="18">
      <c r="A50" s="7" t="str">
        <v/>
      </c>
      <c r="B50" s="7"/>
      <c r="C50" s="7"/>
      <c r="D50" s="232"/>
      <c r="E50" s="7"/>
      <c r="F50" s="7"/>
      <c r="G50" s="232"/>
      <c r="H50" s="232"/>
      <c r="I50" s="208" t="str">
        <f t="shared" si="6"/>
        <v/>
      </c>
      <c r="J50" s="239"/>
      <c r="K50" s="236"/>
      <c r="L50" s="85" t="str">
        <f t="shared" si="7"/>
        <v/>
      </c>
      <c r="M50" s="85" t="str">
        <f t="shared" si="1"/>
        <v/>
      </c>
      <c r="N50" s="85" t="str">
        <f t="shared" si="1"/>
        <v/>
      </c>
      <c r="O50" s="85" t="str">
        <f t="shared" si="1"/>
        <v/>
      </c>
      <c r="P50" s="85" t="str">
        <f t="shared" si="2"/>
        <v/>
      </c>
      <c r="Q50" s="85" t="str">
        <f t="shared" si="3"/>
        <v/>
      </c>
    </row>
    <row r="51" spans="1:20" ht="18">
      <c r="A51" s="7" t="str">
        <v/>
      </c>
      <c r="B51" s="7"/>
      <c r="C51" s="7"/>
      <c r="D51" s="232"/>
      <c r="E51" s="7"/>
      <c r="F51" s="7"/>
      <c r="G51" s="232"/>
      <c r="H51" s="232"/>
      <c r="I51" s="208" t="str">
        <f t="shared" si="6"/>
        <v/>
      </c>
      <c r="J51" s="239"/>
      <c r="K51" s="236"/>
      <c r="L51" s="85" t="str">
        <f t="shared" si="7"/>
        <v/>
      </c>
      <c r="M51" s="85" t="str">
        <f t="shared" ref="M51:O66" si="8">IF($I51="","","加入")</f>
        <v/>
      </c>
      <c r="N51" s="85" t="str">
        <f t="shared" si="8"/>
        <v/>
      </c>
      <c r="O51" s="85" t="str">
        <f t="shared" si="8"/>
        <v/>
      </c>
      <c r="P51" s="85" t="str">
        <f t="shared" si="2"/>
        <v/>
      </c>
      <c r="Q51" s="85" t="str">
        <f t="shared" si="3"/>
        <v/>
      </c>
    </row>
    <row r="52" spans="1:20" ht="18">
      <c r="A52" s="7" t="str">
        <v/>
      </c>
      <c r="B52" s="7"/>
      <c r="C52" s="7"/>
      <c r="D52" s="232"/>
      <c r="E52" s="7"/>
      <c r="F52" s="7"/>
      <c r="G52" s="232"/>
      <c r="H52" s="232"/>
      <c r="I52" s="208" t="str">
        <f t="shared" si="6"/>
        <v/>
      </c>
      <c r="J52" s="239"/>
      <c r="K52" s="236"/>
      <c r="L52" s="85" t="str">
        <f t="shared" si="7"/>
        <v/>
      </c>
      <c r="M52" s="85" t="str">
        <f t="shared" si="8"/>
        <v/>
      </c>
      <c r="N52" s="85" t="str">
        <f t="shared" si="8"/>
        <v/>
      </c>
      <c r="O52" s="85" t="str">
        <f t="shared" si="8"/>
        <v/>
      </c>
      <c r="P52" s="85" t="str">
        <f t="shared" si="2"/>
        <v/>
      </c>
      <c r="Q52" s="85" t="str">
        <f t="shared" si="3"/>
        <v/>
      </c>
    </row>
    <row r="53" spans="1:20" ht="18">
      <c r="A53" s="7" t="str">
        <v/>
      </c>
      <c r="B53" s="7"/>
      <c r="C53" s="7"/>
      <c r="D53" s="232"/>
      <c r="E53" s="7"/>
      <c r="F53" s="7"/>
      <c r="G53" s="232"/>
      <c r="H53" s="232"/>
      <c r="I53" s="208" t="str">
        <f t="shared" si="6"/>
        <v/>
      </c>
      <c r="J53" s="239"/>
      <c r="K53" s="236"/>
      <c r="L53" s="85" t="str">
        <f t="shared" si="7"/>
        <v/>
      </c>
      <c r="M53" s="85" t="str">
        <f t="shared" si="8"/>
        <v/>
      </c>
      <c r="N53" s="85" t="str">
        <f t="shared" si="8"/>
        <v/>
      </c>
      <c r="O53" s="85" t="str">
        <f t="shared" si="8"/>
        <v/>
      </c>
      <c r="P53" s="85" t="str">
        <f t="shared" si="2"/>
        <v/>
      </c>
      <c r="Q53" s="85" t="str">
        <f t="shared" si="3"/>
        <v/>
      </c>
    </row>
    <row r="54" spans="1:20" ht="19.5">
      <c r="A54">
        <v>221201</v>
      </c>
      <c r="I54" s="56" t="str">
        <f t="shared" si="6"/>
        <v/>
      </c>
      <c r="J54" s="84"/>
      <c r="K54" s="50"/>
      <c r="L54" s="85" t="str">
        <f t="shared" si="7"/>
        <v/>
      </c>
      <c r="M54" s="85" t="str">
        <f t="shared" si="8"/>
        <v/>
      </c>
      <c r="N54" s="85" t="str">
        <f t="shared" si="8"/>
        <v/>
      </c>
      <c r="O54" s="85" t="str">
        <f t="shared" si="8"/>
        <v/>
      </c>
      <c r="P54" s="85" t="str">
        <f t="shared" si="2"/>
        <v/>
      </c>
      <c r="Q54" s="85" t="str">
        <f t="shared" si="3"/>
        <v/>
      </c>
      <c r="T54" t="s">
        <v>3006</v>
      </c>
    </row>
    <row r="55" spans="1:20" ht="19.5">
      <c r="A55" t="str">
        <v/>
      </c>
      <c r="I55" s="49" t="str">
        <f t="shared" si="6"/>
        <v/>
      </c>
      <c r="J55" s="82"/>
      <c r="K55" s="50"/>
      <c r="L55" s="85" t="str">
        <f t="shared" si="7"/>
        <v/>
      </c>
      <c r="M55" s="85" t="str">
        <f t="shared" si="8"/>
        <v/>
      </c>
      <c r="N55" s="85" t="str">
        <f t="shared" si="8"/>
        <v/>
      </c>
      <c r="O55" s="85" t="str">
        <f t="shared" si="8"/>
        <v/>
      </c>
      <c r="P55" s="85" t="str">
        <f t="shared" si="2"/>
        <v/>
      </c>
      <c r="Q55" s="85" t="str">
        <f t="shared" si="3"/>
        <v/>
      </c>
    </row>
    <row r="56" spans="1:20" ht="19.5">
      <c r="A56" t="str">
        <v/>
      </c>
      <c r="I56" s="49" t="str">
        <f t="shared" si="6"/>
        <v/>
      </c>
      <c r="J56" s="82"/>
      <c r="K56" s="50"/>
      <c r="L56" s="85" t="str">
        <f t="shared" si="7"/>
        <v/>
      </c>
      <c r="M56" s="85" t="str">
        <f t="shared" si="8"/>
        <v/>
      </c>
      <c r="N56" s="85" t="str">
        <f t="shared" si="8"/>
        <v/>
      </c>
      <c r="O56" s="85" t="str">
        <f t="shared" si="8"/>
        <v/>
      </c>
      <c r="P56" s="85" t="str">
        <f t="shared" si="2"/>
        <v/>
      </c>
      <c r="Q56" s="85" t="str">
        <f t="shared" si="3"/>
        <v/>
      </c>
    </row>
    <row r="57" spans="1:20" ht="19.5">
      <c r="A57" t="str">
        <v/>
      </c>
      <c r="I57" s="49" t="str">
        <f t="shared" si="6"/>
        <v/>
      </c>
      <c r="J57" s="82"/>
      <c r="K57" s="50"/>
      <c r="L57" s="85" t="str">
        <f t="shared" si="7"/>
        <v/>
      </c>
      <c r="M57" s="85" t="str">
        <f t="shared" si="8"/>
        <v/>
      </c>
      <c r="N57" s="85" t="str">
        <f t="shared" si="8"/>
        <v/>
      </c>
      <c r="O57" s="85" t="str">
        <f t="shared" si="8"/>
        <v/>
      </c>
      <c r="P57" s="85" t="str">
        <f t="shared" si="2"/>
        <v/>
      </c>
      <c r="Q57" s="85" t="str">
        <f t="shared" si="3"/>
        <v/>
      </c>
    </row>
    <row r="58" spans="1:20" ht="19.5">
      <c r="A58" t="str">
        <v/>
      </c>
      <c r="I58" s="49" t="str">
        <f t="shared" si="6"/>
        <v/>
      </c>
      <c r="J58" s="82"/>
      <c r="K58" s="50"/>
      <c r="L58" s="85" t="str">
        <f t="shared" si="7"/>
        <v/>
      </c>
      <c r="M58" s="85" t="str">
        <f t="shared" si="8"/>
        <v/>
      </c>
      <c r="N58" s="85" t="str">
        <f t="shared" si="8"/>
        <v/>
      </c>
      <c r="O58" s="85" t="str">
        <f t="shared" si="8"/>
        <v/>
      </c>
      <c r="P58" s="85" t="str">
        <f t="shared" si="2"/>
        <v/>
      </c>
      <c r="Q58" s="85" t="str">
        <f t="shared" si="3"/>
        <v/>
      </c>
    </row>
    <row r="59" spans="1:20" ht="19.5">
      <c r="A59" t="str">
        <v/>
      </c>
      <c r="I59" s="49" t="str">
        <f t="shared" si="6"/>
        <v/>
      </c>
      <c r="J59" s="82"/>
      <c r="K59" s="50"/>
      <c r="L59" s="85" t="str">
        <f t="shared" si="7"/>
        <v/>
      </c>
      <c r="M59" s="85" t="str">
        <f t="shared" si="8"/>
        <v/>
      </c>
      <c r="N59" s="85" t="str">
        <f t="shared" si="8"/>
        <v/>
      </c>
      <c r="O59" s="85" t="str">
        <f t="shared" si="8"/>
        <v/>
      </c>
      <c r="P59" s="85" t="str">
        <f t="shared" si="2"/>
        <v/>
      </c>
      <c r="Q59" s="85" t="str">
        <f t="shared" si="3"/>
        <v/>
      </c>
    </row>
    <row r="60" spans="1:20" ht="19.5">
      <c r="A60" t="str">
        <v/>
      </c>
      <c r="I60" s="49" t="str">
        <f t="shared" si="6"/>
        <v/>
      </c>
      <c r="J60" s="82"/>
      <c r="K60" s="50"/>
      <c r="L60" s="85" t="str">
        <f t="shared" si="7"/>
        <v/>
      </c>
      <c r="M60" s="85" t="str">
        <f t="shared" si="8"/>
        <v/>
      </c>
      <c r="N60" s="85" t="str">
        <f t="shared" si="8"/>
        <v/>
      </c>
      <c r="O60" s="85" t="str">
        <f t="shared" si="8"/>
        <v/>
      </c>
      <c r="P60" s="85" t="str">
        <f t="shared" si="2"/>
        <v/>
      </c>
      <c r="Q60" s="85" t="str">
        <f t="shared" si="3"/>
        <v/>
      </c>
    </row>
    <row r="61" spans="1:20" ht="19.5">
      <c r="A61" t="str">
        <v/>
      </c>
      <c r="I61" s="49" t="str">
        <f t="shared" si="6"/>
        <v/>
      </c>
      <c r="J61" s="82"/>
      <c r="K61" s="50"/>
      <c r="L61" s="85" t="str">
        <f t="shared" si="7"/>
        <v/>
      </c>
      <c r="M61" s="85" t="str">
        <f t="shared" si="8"/>
        <v/>
      </c>
      <c r="N61" s="85" t="str">
        <f t="shared" si="8"/>
        <v/>
      </c>
      <c r="O61" s="85" t="str">
        <f t="shared" si="8"/>
        <v/>
      </c>
      <c r="P61" s="85" t="str">
        <f t="shared" si="2"/>
        <v/>
      </c>
      <c r="Q61" s="85" t="str">
        <f t="shared" si="3"/>
        <v/>
      </c>
    </row>
    <row r="62" spans="1:20" ht="19.5">
      <c r="A62" t="str">
        <v/>
      </c>
      <c r="I62" s="49" t="str">
        <f t="shared" si="6"/>
        <v/>
      </c>
      <c r="J62" s="82"/>
      <c r="K62" s="50"/>
      <c r="L62" s="85" t="str">
        <f t="shared" si="7"/>
        <v/>
      </c>
      <c r="M62" s="85" t="str">
        <f t="shared" si="8"/>
        <v/>
      </c>
      <c r="N62" s="85" t="str">
        <f t="shared" si="8"/>
        <v/>
      </c>
      <c r="O62" s="85" t="str">
        <f t="shared" si="8"/>
        <v/>
      </c>
      <c r="P62" s="85" t="str">
        <f t="shared" si="2"/>
        <v/>
      </c>
      <c r="Q62" s="85" t="str">
        <f t="shared" si="3"/>
        <v/>
      </c>
    </row>
    <row r="63" spans="1:20" ht="19.5">
      <c r="A63" t="str">
        <v/>
      </c>
      <c r="I63" s="49" t="str">
        <f t="shared" si="6"/>
        <v/>
      </c>
      <c r="J63" s="82"/>
      <c r="K63" s="50"/>
      <c r="L63" s="85" t="str">
        <f t="shared" si="7"/>
        <v/>
      </c>
      <c r="M63" s="85" t="str">
        <f t="shared" si="8"/>
        <v/>
      </c>
      <c r="N63" s="85" t="str">
        <f t="shared" si="8"/>
        <v/>
      </c>
      <c r="O63" s="85" t="str">
        <f t="shared" si="8"/>
        <v/>
      </c>
      <c r="P63" s="85" t="str">
        <f t="shared" si="2"/>
        <v/>
      </c>
      <c r="Q63" s="85" t="str">
        <f t="shared" si="3"/>
        <v/>
      </c>
    </row>
    <row r="64" spans="1:20" ht="19.5">
      <c r="A64" t="str">
        <v/>
      </c>
      <c r="I64" s="49" t="str">
        <f t="shared" si="6"/>
        <v/>
      </c>
      <c r="J64" s="82"/>
      <c r="K64" s="50"/>
      <c r="L64" s="85" t="str">
        <f t="shared" si="7"/>
        <v/>
      </c>
      <c r="M64" s="85" t="str">
        <f t="shared" si="8"/>
        <v/>
      </c>
      <c r="N64" s="85" t="str">
        <f t="shared" si="8"/>
        <v/>
      </c>
      <c r="O64" s="85" t="str">
        <f t="shared" si="8"/>
        <v/>
      </c>
      <c r="P64" s="85" t="str">
        <f t="shared" si="2"/>
        <v/>
      </c>
      <c r="Q64" s="85" t="str">
        <f t="shared" si="3"/>
        <v/>
      </c>
    </row>
    <row r="65" spans="1:17" ht="19.5">
      <c r="A65" t="str">
        <v/>
      </c>
      <c r="I65" s="49" t="str">
        <f t="shared" si="6"/>
        <v/>
      </c>
      <c r="J65" s="82"/>
      <c r="K65" s="50"/>
      <c r="L65" s="85" t="str">
        <f t="shared" si="7"/>
        <v/>
      </c>
      <c r="M65" s="85" t="str">
        <f t="shared" si="8"/>
        <v/>
      </c>
      <c r="N65" s="85" t="str">
        <f t="shared" si="8"/>
        <v/>
      </c>
      <c r="O65" s="85" t="str">
        <f t="shared" si="8"/>
        <v/>
      </c>
      <c r="P65" s="85" t="str">
        <f t="shared" si="2"/>
        <v/>
      </c>
      <c r="Q65" s="85" t="str">
        <f t="shared" si="3"/>
        <v/>
      </c>
    </row>
    <row r="66" spans="1:17" ht="19.5">
      <c r="A66" t="str">
        <v/>
      </c>
      <c r="I66" s="49" t="str">
        <f t="shared" si="6"/>
        <v/>
      </c>
      <c r="J66" s="82"/>
      <c r="K66" s="50"/>
      <c r="L66" s="85" t="str">
        <f t="shared" si="7"/>
        <v/>
      </c>
      <c r="M66" s="85" t="str">
        <f t="shared" si="8"/>
        <v/>
      </c>
      <c r="N66" s="85" t="str">
        <f t="shared" si="8"/>
        <v/>
      </c>
      <c r="O66" s="85" t="str">
        <f t="shared" si="8"/>
        <v/>
      </c>
      <c r="P66" s="85" t="str">
        <f t="shared" si="2"/>
        <v/>
      </c>
      <c r="Q66" s="85" t="str">
        <f t="shared" si="3"/>
        <v/>
      </c>
    </row>
    <row r="67" spans="1:17">
      <c r="A67" t="str">
        <v/>
      </c>
    </row>
    <row r="68" spans="1:17">
      <c r="A68" t="str">
        <v/>
      </c>
    </row>
    <row r="69" spans="1:17">
      <c r="A69" t="str">
        <v/>
      </c>
    </row>
    <row r="70" spans="1:17">
      <c r="A70" t="str">
        <v/>
      </c>
    </row>
    <row r="71" spans="1:17">
      <c r="A71" t="str">
        <v/>
      </c>
    </row>
    <row r="72" spans="1:17">
      <c r="A72" t="str">
        <v/>
      </c>
    </row>
    <row r="73" spans="1:17">
      <c r="A73" t="str">
        <v/>
      </c>
    </row>
    <row r="74" spans="1:17">
      <c r="A74" t="str">
        <v/>
      </c>
    </row>
    <row r="75" spans="1:17">
      <c r="A75" t="str">
        <v/>
      </c>
    </row>
    <row r="76" spans="1:17">
      <c r="A76" t="str">
        <v/>
      </c>
    </row>
    <row r="77" spans="1:17">
      <c r="A77" t="str">
        <v/>
      </c>
    </row>
    <row r="78" spans="1:17">
      <c r="A78" t="str">
        <v/>
      </c>
    </row>
    <row r="79" spans="1:17">
      <c r="A79" t="str">
        <v/>
      </c>
    </row>
    <row r="80" spans="1:17">
      <c r="A80" t="str">
        <v/>
      </c>
    </row>
    <row r="81" spans="1:1">
      <c r="A81" t="str">
        <v/>
      </c>
    </row>
    <row r="82" spans="1:1">
      <c r="A82" t="str">
        <v/>
      </c>
    </row>
    <row r="83" spans="1:1">
      <c r="A83" t="str">
        <v/>
      </c>
    </row>
    <row r="84" spans="1:1">
      <c r="A84" t="str">
        <v/>
      </c>
    </row>
    <row r="85" spans="1:1">
      <c r="A85" t="str">
        <v/>
      </c>
    </row>
    <row r="86" spans="1:1">
      <c r="A86" t="str">
        <v/>
      </c>
    </row>
    <row r="87" spans="1:1">
      <c r="A87" t="str">
        <v/>
      </c>
    </row>
    <row r="88" spans="1:1">
      <c r="A88" t="str">
        <v/>
      </c>
    </row>
    <row r="89" spans="1:1">
      <c r="A89" t="str">
        <v/>
      </c>
    </row>
    <row r="90" spans="1:1">
      <c r="A90" t="str">
        <v/>
      </c>
    </row>
    <row r="91" spans="1:1">
      <c r="A91" t="str">
        <v/>
      </c>
    </row>
    <row r="92" spans="1:1">
      <c r="A92" t="str">
        <v/>
      </c>
    </row>
    <row r="93" spans="1:1">
      <c r="A93" t="str">
        <v/>
      </c>
    </row>
    <row r="94" spans="1:1">
      <c r="A94" t="str">
        <v/>
      </c>
    </row>
    <row r="95" spans="1:1">
      <c r="A95" t="str">
        <v/>
      </c>
    </row>
    <row r="96" spans="1:1">
      <c r="A96" t="str">
        <v/>
      </c>
    </row>
    <row r="97" spans="1:1">
      <c r="A97" t="str">
        <v/>
      </c>
    </row>
    <row r="98" spans="1:1">
      <c r="A98" t="str">
        <v/>
      </c>
    </row>
    <row r="99" spans="1:1">
      <c r="A99" t="str">
        <v/>
      </c>
    </row>
    <row r="100" spans="1:1">
      <c r="A100" t="str">
        <v/>
      </c>
    </row>
    <row r="101" spans="1:1">
      <c r="A101" t="str">
        <v/>
      </c>
    </row>
    <row r="102" spans="1:1">
      <c r="A102" t="str">
        <v/>
      </c>
    </row>
    <row r="103" spans="1:1">
      <c r="A103" t="str">
        <v/>
      </c>
    </row>
    <row r="104" spans="1:1">
      <c r="A104" t="str">
        <v/>
      </c>
    </row>
    <row r="105" spans="1:1">
      <c r="A105" t="str">
        <v/>
      </c>
    </row>
    <row r="106" spans="1:1">
      <c r="A106" t="str">
        <v/>
      </c>
    </row>
    <row r="107" spans="1:1">
      <c r="A107" t="str">
        <v/>
      </c>
    </row>
    <row r="108" spans="1:1">
      <c r="A108" t="str">
        <v/>
      </c>
    </row>
    <row r="109" spans="1:1">
      <c r="A109" t="str">
        <v/>
      </c>
    </row>
    <row r="110" spans="1:1">
      <c r="A110" t="str">
        <v/>
      </c>
    </row>
    <row r="111" spans="1:1">
      <c r="A111" t="str">
        <v/>
      </c>
    </row>
    <row r="112" spans="1:1">
      <c r="A112" t="str">
        <v/>
      </c>
    </row>
    <row r="113" spans="1:1">
      <c r="A113" t="str">
        <v/>
      </c>
    </row>
    <row r="114" spans="1:1">
      <c r="A114" t="str">
        <v/>
      </c>
    </row>
    <row r="115" spans="1:1">
      <c r="A115" t="str">
        <v/>
      </c>
    </row>
    <row r="116" spans="1:1">
      <c r="A116" t="str">
        <v/>
      </c>
    </row>
    <row r="117" spans="1:1">
      <c r="A117" t="str">
        <v/>
      </c>
    </row>
    <row r="118" spans="1:1">
      <c r="A118" t="str">
        <v/>
      </c>
    </row>
    <row r="119" spans="1:1">
      <c r="A119" t="str">
        <v/>
      </c>
    </row>
    <row r="120" spans="1:1">
      <c r="A120" t="str">
        <v/>
      </c>
    </row>
    <row r="121" spans="1:1">
      <c r="A121" t="str">
        <v/>
      </c>
    </row>
    <row r="122" spans="1:1">
      <c r="A122" t="str">
        <v/>
      </c>
    </row>
    <row r="123" spans="1:1">
      <c r="A123" t="str">
        <v/>
      </c>
    </row>
    <row r="124" spans="1:1">
      <c r="A124" t="str">
        <v/>
      </c>
    </row>
    <row r="125" spans="1:1">
      <c r="A125" t="str">
        <v/>
      </c>
    </row>
    <row r="126" spans="1:1">
      <c r="A126" t="str">
        <v/>
      </c>
    </row>
    <row r="127" spans="1:1">
      <c r="A127" t="str">
        <v/>
      </c>
    </row>
    <row r="128" spans="1:1">
      <c r="A128" t="str">
        <v/>
      </c>
    </row>
    <row r="129" spans="1:1">
      <c r="A129" t="str">
        <v/>
      </c>
    </row>
    <row r="130" spans="1:1">
      <c r="A130" t="str">
        <v/>
      </c>
    </row>
    <row r="131" spans="1:1">
      <c r="A131" t="str">
        <v/>
      </c>
    </row>
    <row r="132" spans="1:1">
      <c r="A132" t="str">
        <v/>
      </c>
    </row>
    <row r="133" spans="1:1">
      <c r="A133" t="str">
        <v/>
      </c>
    </row>
    <row r="134" spans="1:1">
      <c r="A134" t="str">
        <v/>
      </c>
    </row>
    <row r="135" spans="1:1">
      <c r="A135" t="str">
        <v/>
      </c>
    </row>
  </sheetData>
  <mergeCells count="2">
    <mergeCell ref="J2:L2"/>
    <mergeCell ref="A7:G8"/>
  </mergeCells>
  <phoneticPr fontId="1"/>
  <hyperlinks>
    <hyperlink ref="H5" location="PuntoG" display="Back to main" xr:uid="{38424899-29AA-4FBB-A865-127ECC02FB59}"/>
    <hyperlink ref="G5" location="DAICHO!_GoBack" display="DAICHO" xr:uid="{A66F2C4B-05AC-43EB-9FFB-F264DD6F691F}"/>
  </hyperlinks>
  <pageMargins left="0.31496062992125984" right="3.937007874015748E-2" top="0.27559055118110237" bottom="0.27559055118110237" header="0.15748031496062992" footer="7.874015748031496E-2"/>
  <pageSetup paperSize="9" scale="65" orientation="portrait" r:id="rId1"/>
  <colBreaks count="1" manualBreakCount="1">
    <brk id="10" min="7" max="52"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62731-A9C5-42EC-9BD7-1730F0C1420D}">
  <sheetPr codeName="Hoja11">
    <tabColor rgb="FFFFFF00"/>
  </sheetPr>
  <dimension ref="A1:BH417"/>
  <sheetViews>
    <sheetView workbookViewId="0">
      <selection activeCell="W37" sqref="W37:AD39"/>
    </sheetView>
  </sheetViews>
  <sheetFormatPr baseColWidth="10" defaultColWidth="11" defaultRowHeight="13.5"/>
  <cols>
    <col min="1" max="7" width="1.625" style="7" customWidth="1"/>
    <col min="8" max="9" width="2" style="7" customWidth="1"/>
    <col min="10" max="13" width="1.625" style="7" customWidth="1"/>
    <col min="14" max="14" width="0.875" style="7" customWidth="1"/>
    <col min="15" max="15" width="2" style="7" customWidth="1"/>
    <col min="16" max="20" width="1.625" style="7" customWidth="1"/>
    <col min="21" max="21" width="2.125" style="7" customWidth="1"/>
    <col min="22" max="54" width="1.625" style="7" customWidth="1"/>
    <col min="55" max="55" width="2.125" style="7" customWidth="1"/>
    <col min="56" max="453" width="1.625" style="7" customWidth="1"/>
    <col min="454" max="16384" width="11" style="7"/>
  </cols>
  <sheetData>
    <row r="1" spans="1:57">
      <c r="A1" s="92">
        <v>1</v>
      </c>
      <c r="B1" s="92">
        <f>Linea</f>
        <v>0</v>
      </c>
    </row>
    <row r="2" spans="1:57">
      <c r="AU2" s="121"/>
      <c r="AV2" s="121"/>
      <c r="AW2" s="121"/>
      <c r="AX2" s="121"/>
      <c r="AY2" s="121"/>
      <c r="AZ2" s="121"/>
      <c r="BA2" s="121"/>
      <c r="BB2" s="121"/>
      <c r="BC2" s="121"/>
    </row>
    <row r="3" spans="1:57" ht="9" customHeight="1">
      <c r="O3" s="360" t="s">
        <v>2288</v>
      </c>
      <c r="P3" s="360"/>
      <c r="Q3" s="360"/>
      <c r="R3" s="360"/>
      <c r="S3" s="360"/>
      <c r="T3" s="360"/>
      <c r="U3" s="360"/>
      <c r="V3" s="360"/>
      <c r="W3" s="360"/>
      <c r="X3" s="360"/>
      <c r="Y3" s="360"/>
      <c r="Z3" s="360"/>
      <c r="AA3" s="360"/>
      <c r="AB3" s="360"/>
      <c r="AC3" s="360"/>
      <c r="AD3" s="360"/>
      <c r="AE3" s="360"/>
      <c r="AF3" s="360"/>
      <c r="AG3" s="360"/>
      <c r="AH3" s="360"/>
      <c r="AI3" s="360"/>
      <c r="AJ3" s="360"/>
      <c r="AK3" s="360"/>
      <c r="AL3" s="360"/>
      <c r="AM3" s="360"/>
      <c r="AP3" s="92" t="s">
        <v>2328</v>
      </c>
      <c r="AQ3" s="92"/>
      <c r="AR3" s="92"/>
      <c r="AS3" s="92"/>
      <c r="AT3" s="92"/>
      <c r="AU3" s="121"/>
      <c r="AV3" s="121"/>
      <c r="AW3" s="121"/>
      <c r="AX3" s="121"/>
      <c r="AY3" s="121"/>
      <c r="AZ3" s="121"/>
      <c r="BA3" s="121"/>
      <c r="BB3" s="121"/>
      <c r="BC3" s="121"/>
      <c r="BD3" s="92"/>
      <c r="BE3" s="92"/>
    </row>
    <row r="4" spans="1:57" ht="9.75" customHeight="1">
      <c r="O4" s="360"/>
      <c r="P4" s="360"/>
      <c r="Q4" s="360"/>
      <c r="R4" s="360"/>
      <c r="S4" s="360"/>
      <c r="T4" s="360"/>
      <c r="U4" s="360"/>
      <c r="V4" s="360"/>
      <c r="W4" s="360"/>
      <c r="X4" s="360"/>
      <c r="Y4" s="360"/>
      <c r="Z4" s="360"/>
      <c r="AA4" s="360"/>
      <c r="AB4" s="360"/>
      <c r="AC4" s="360"/>
      <c r="AD4" s="360"/>
      <c r="AE4" s="360"/>
      <c r="AF4" s="360"/>
      <c r="AG4" s="360"/>
      <c r="AH4" s="360"/>
      <c r="AI4" s="360"/>
      <c r="AJ4" s="360"/>
      <c r="AK4" s="360"/>
      <c r="AL4" s="360"/>
      <c r="AM4" s="360"/>
      <c r="AR4" s="93"/>
      <c r="AS4" s="93"/>
      <c r="AT4" s="93"/>
      <c r="AU4" s="122"/>
      <c r="AV4" s="122"/>
      <c r="AW4" s="122"/>
      <c r="AX4" s="122"/>
      <c r="AY4" s="385" t="str">
        <f>_xlfn.XLOOKUP(A1,TablaTsuchichou[No],TablaTsuchichou[年齢],"",0,1)</f>
        <v/>
      </c>
      <c r="AZ4" s="385"/>
      <c r="BA4" s="385"/>
      <c r="BB4" s="385"/>
      <c r="BC4" s="385"/>
      <c r="BD4" s="385"/>
    </row>
    <row r="5" spans="1:57" ht="9.75" customHeight="1">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R5" s="93"/>
      <c r="AS5" s="93"/>
      <c r="AT5" s="93"/>
      <c r="AU5" s="122"/>
      <c r="AV5" s="122"/>
      <c r="AW5" s="122"/>
      <c r="AX5" s="122"/>
      <c r="AY5" s="122"/>
      <c r="AZ5" s="122"/>
      <c r="BA5" s="122"/>
      <c r="BB5" s="121"/>
      <c r="BC5" s="121"/>
    </row>
    <row r="6" spans="1:57" ht="9.75" customHeight="1">
      <c r="AU6" s="121"/>
      <c r="BB6" s="121"/>
      <c r="BC6" s="121"/>
    </row>
    <row r="7" spans="1:57" ht="9.75" customHeight="1">
      <c r="AU7" s="121"/>
      <c r="AV7" s="121"/>
      <c r="AW7" s="121"/>
      <c r="AX7" s="121"/>
      <c r="AY7" s="121"/>
      <c r="AZ7" s="121"/>
      <c r="BA7" s="121"/>
      <c r="BB7" s="121"/>
      <c r="BC7" s="121"/>
    </row>
    <row r="8" spans="1:57" ht="9.75" customHeight="1">
      <c r="AU8" s="121"/>
      <c r="AV8" s="121"/>
      <c r="AW8" s="121"/>
      <c r="AX8" s="121"/>
      <c r="AY8" s="121"/>
      <c r="AZ8" s="121"/>
      <c r="BA8" s="121"/>
      <c r="BB8" s="121"/>
      <c r="BC8" s="121"/>
    </row>
    <row r="9" spans="1:57" ht="9.75" customHeight="1">
      <c r="C9" s="359" t="e">
        <f>W37-364</f>
        <v>#N/A</v>
      </c>
      <c r="D9" s="359"/>
      <c r="E9" s="359"/>
      <c r="F9" s="359"/>
      <c r="G9" s="359"/>
      <c r="H9" s="359"/>
      <c r="I9" s="359"/>
      <c r="J9" s="57" t="s">
        <v>2333</v>
      </c>
      <c r="K9" s="57"/>
      <c r="L9" s="57"/>
      <c r="M9" s="57"/>
      <c r="N9" s="57"/>
      <c r="O9" s="57"/>
      <c r="P9" s="57"/>
      <c r="Q9" s="57"/>
      <c r="R9" s="57"/>
      <c r="S9" s="57"/>
      <c r="T9" s="57"/>
      <c r="U9" s="72"/>
      <c r="V9" s="72"/>
      <c r="W9" s="72"/>
      <c r="X9" s="72"/>
      <c r="Y9" s="72"/>
      <c r="Z9" s="72"/>
      <c r="AA9" s="72"/>
      <c r="AB9" s="72"/>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row>
    <row r="10" spans="1:57" ht="9.75" customHeight="1">
      <c r="C10" s="327"/>
      <c r="D10" s="327"/>
      <c r="E10" s="327"/>
      <c r="F10" s="327"/>
      <c r="G10" s="327"/>
      <c r="H10" s="327"/>
      <c r="I10" s="327"/>
      <c r="J10" s="327"/>
      <c r="K10" s="327"/>
      <c r="L10" s="327"/>
      <c r="M10" s="327"/>
      <c r="N10" s="327"/>
      <c r="O10" s="327"/>
      <c r="P10" s="327"/>
      <c r="Q10" s="327"/>
      <c r="R10" s="327"/>
      <c r="S10" s="327"/>
      <c r="T10" s="327"/>
      <c r="U10" s="327"/>
      <c r="V10" s="327"/>
      <c r="W10" s="327"/>
      <c r="X10" s="327"/>
      <c r="Y10" s="327"/>
      <c r="Z10" s="327"/>
      <c r="AA10" s="327"/>
      <c r="AB10" s="327"/>
      <c r="AC10" s="327"/>
      <c r="AD10" s="327"/>
      <c r="AE10" s="327"/>
      <c r="AF10" s="327"/>
      <c r="AG10" s="327"/>
      <c r="AH10" s="327"/>
      <c r="AI10" s="327"/>
      <c r="AJ10" s="327"/>
      <c r="AK10" s="327"/>
      <c r="AL10" s="327"/>
      <c r="AM10" s="327"/>
      <c r="AN10" s="327"/>
      <c r="AO10" s="327"/>
      <c r="AP10" s="327"/>
      <c r="AQ10" s="327"/>
      <c r="AR10" s="327"/>
      <c r="AS10" s="327"/>
      <c r="AT10" s="327"/>
      <c r="AU10" s="327"/>
      <c r="AV10" s="327"/>
      <c r="AW10" s="327"/>
      <c r="AX10" s="327"/>
      <c r="AY10" s="327"/>
      <c r="AZ10" s="327"/>
      <c r="BA10" s="327"/>
      <c r="BB10" s="327"/>
      <c r="BC10" s="327"/>
    </row>
    <row r="11" spans="1:57" ht="9.75" customHeight="1">
      <c r="C11" s="365" t="s">
        <v>2289</v>
      </c>
      <c r="D11" s="366"/>
      <c r="E11" s="366"/>
      <c r="F11" s="366"/>
      <c r="G11" s="366"/>
      <c r="H11" s="366"/>
      <c r="I11" s="366"/>
      <c r="J11" s="366"/>
      <c r="K11" s="366"/>
      <c r="L11" s="366"/>
      <c r="M11" s="367"/>
      <c r="N11" s="374"/>
      <c r="O11" s="361" t="e">
        <f>VLOOKUP(A1,通知書Genzai!I9:Q66,2,TRUE)</f>
        <v>#N/A</v>
      </c>
      <c r="P11" s="361"/>
      <c r="Q11" s="361"/>
      <c r="R11" s="361"/>
      <c r="S11" s="361"/>
      <c r="T11" s="361"/>
      <c r="U11" s="361"/>
      <c r="V11" s="361"/>
      <c r="W11" s="361"/>
      <c r="X11" s="361"/>
      <c r="Y11" s="361"/>
      <c r="Z11" s="361"/>
      <c r="AA11" s="361"/>
      <c r="AB11" s="361"/>
      <c r="AC11" s="361"/>
      <c r="AD11" s="361"/>
      <c r="AE11" s="361"/>
      <c r="AF11" s="361"/>
      <c r="AG11" s="361"/>
      <c r="AH11" s="361"/>
      <c r="AI11" s="361"/>
      <c r="AJ11" s="361"/>
      <c r="AK11" s="361"/>
      <c r="AL11" s="361"/>
      <c r="AM11" s="361"/>
      <c r="AN11" s="361"/>
      <c r="AO11" s="361"/>
      <c r="AP11" s="361"/>
      <c r="AQ11" s="361"/>
      <c r="AR11" s="361"/>
      <c r="AS11" s="361"/>
      <c r="AT11" s="361"/>
      <c r="AU11" s="361"/>
      <c r="AV11" s="361"/>
      <c r="AW11" s="361"/>
      <c r="AX11" s="361"/>
      <c r="AY11" s="361"/>
      <c r="AZ11" s="361"/>
      <c r="BA11" s="361"/>
      <c r="BB11" s="361"/>
      <c r="BC11" s="362"/>
    </row>
    <row r="12" spans="1:57" ht="9.75" customHeight="1">
      <c r="C12" s="368"/>
      <c r="D12" s="369"/>
      <c r="E12" s="369"/>
      <c r="F12" s="369"/>
      <c r="G12" s="369"/>
      <c r="H12" s="369"/>
      <c r="I12" s="369"/>
      <c r="J12" s="369"/>
      <c r="K12" s="369"/>
      <c r="L12" s="369"/>
      <c r="M12" s="370"/>
      <c r="N12" s="375"/>
      <c r="O12" s="377"/>
      <c r="P12" s="377"/>
      <c r="Q12" s="377"/>
      <c r="R12" s="377"/>
      <c r="S12" s="377"/>
      <c r="T12" s="377"/>
      <c r="U12" s="377"/>
      <c r="V12" s="377"/>
      <c r="W12" s="377"/>
      <c r="X12" s="377"/>
      <c r="Y12" s="377"/>
      <c r="Z12" s="377"/>
      <c r="AA12" s="377"/>
      <c r="AB12" s="377"/>
      <c r="AC12" s="377"/>
      <c r="AD12" s="377"/>
      <c r="AE12" s="377"/>
      <c r="AF12" s="377"/>
      <c r="AG12" s="377"/>
      <c r="AH12" s="377"/>
      <c r="AI12" s="377"/>
      <c r="AJ12" s="377"/>
      <c r="AK12" s="377"/>
      <c r="AL12" s="377"/>
      <c r="AM12" s="377"/>
      <c r="AN12" s="377"/>
      <c r="AO12" s="377"/>
      <c r="AP12" s="377"/>
      <c r="AQ12" s="377"/>
      <c r="AR12" s="377"/>
      <c r="AS12" s="377"/>
      <c r="AT12" s="377"/>
      <c r="AU12" s="377"/>
      <c r="AV12" s="377"/>
      <c r="AW12" s="377"/>
      <c r="AX12" s="377"/>
      <c r="AY12" s="377"/>
      <c r="AZ12" s="377"/>
      <c r="BA12" s="377"/>
      <c r="BB12" s="377"/>
      <c r="BC12" s="378"/>
    </row>
    <row r="13" spans="1:57" ht="15" customHeight="1">
      <c r="C13" s="371"/>
      <c r="D13" s="372"/>
      <c r="E13" s="372"/>
      <c r="F13" s="372"/>
      <c r="G13" s="372"/>
      <c r="H13" s="372"/>
      <c r="I13" s="372"/>
      <c r="J13" s="372"/>
      <c r="K13" s="372"/>
      <c r="L13" s="372"/>
      <c r="M13" s="373"/>
      <c r="N13" s="376"/>
      <c r="O13" s="363"/>
      <c r="P13" s="363"/>
      <c r="Q13" s="363"/>
      <c r="R13" s="363"/>
      <c r="S13" s="363"/>
      <c r="T13" s="363"/>
      <c r="U13" s="363"/>
      <c r="V13" s="363"/>
      <c r="W13" s="363"/>
      <c r="X13" s="363"/>
      <c r="Y13" s="363"/>
      <c r="Z13" s="363"/>
      <c r="AA13" s="363"/>
      <c r="AB13" s="363"/>
      <c r="AC13" s="363"/>
      <c r="AD13" s="363"/>
      <c r="AE13" s="363"/>
      <c r="AF13" s="363"/>
      <c r="AG13" s="363"/>
      <c r="AH13" s="363"/>
      <c r="AI13" s="363"/>
      <c r="AJ13" s="363"/>
      <c r="AK13" s="363"/>
      <c r="AL13" s="363"/>
      <c r="AM13" s="363"/>
      <c r="AN13" s="363"/>
      <c r="AO13" s="363"/>
      <c r="AP13" s="363"/>
      <c r="AQ13" s="363"/>
      <c r="AR13" s="363"/>
      <c r="AS13" s="363"/>
      <c r="AT13" s="363"/>
      <c r="AU13" s="363"/>
      <c r="AV13" s="363"/>
      <c r="AW13" s="363"/>
      <c r="AX13" s="363"/>
      <c r="AY13" s="363"/>
      <c r="AZ13" s="363"/>
      <c r="BA13" s="363"/>
      <c r="BB13" s="363"/>
      <c r="BC13" s="364"/>
    </row>
    <row r="14" spans="1:57" ht="11.25" customHeight="1">
      <c r="C14" s="379" t="s">
        <v>2329</v>
      </c>
      <c r="D14" s="366"/>
      <c r="E14" s="366"/>
      <c r="F14" s="366"/>
      <c r="G14" s="366"/>
      <c r="H14" s="366"/>
      <c r="I14" s="366"/>
      <c r="J14" s="366"/>
      <c r="K14" s="366"/>
      <c r="L14" s="366"/>
      <c r="M14" s="367"/>
      <c r="N14" s="69"/>
      <c r="O14" s="361" t="e">
        <f>VLOOKUP(A1,通知書Genzai!I9:Q66,3,TRUE)</f>
        <v>#N/A</v>
      </c>
      <c r="P14" s="361"/>
      <c r="Q14" s="361"/>
      <c r="R14" s="361"/>
      <c r="S14" s="361"/>
      <c r="T14" s="361"/>
      <c r="U14" s="361"/>
      <c r="V14" s="361"/>
      <c r="W14" s="361"/>
      <c r="X14" s="361"/>
      <c r="Y14" s="361" t="e">
        <f>IF(VLOOKUP(A1,通知書Genzai!I9:Q66,4)="60歳未満","□60才以上       ☑ 60才未満","☑60才以上        □ 60才未満")</f>
        <v>#N/A</v>
      </c>
      <c r="Z14" s="361"/>
      <c r="AA14" s="361"/>
      <c r="AB14" s="361"/>
      <c r="AC14" s="361"/>
      <c r="AD14" s="361"/>
      <c r="AE14" s="361"/>
      <c r="AF14" s="361"/>
      <c r="AG14" s="361"/>
      <c r="AH14" s="361"/>
      <c r="AI14" s="361"/>
      <c r="AJ14" s="361"/>
      <c r="AK14" s="361"/>
      <c r="AL14" s="361"/>
      <c r="AM14" s="361"/>
      <c r="AN14" s="361"/>
      <c r="AO14" s="361"/>
      <c r="AP14" s="361"/>
      <c r="AQ14" s="361"/>
      <c r="AR14" s="361"/>
      <c r="AS14" s="361"/>
      <c r="AT14" s="361"/>
      <c r="AU14" s="361"/>
      <c r="AV14" s="361"/>
      <c r="AW14" s="361"/>
      <c r="AX14" s="361"/>
      <c r="AY14" s="361"/>
      <c r="AZ14" s="361"/>
      <c r="BA14" s="361"/>
      <c r="BB14" s="361"/>
      <c r="BC14" s="362"/>
    </row>
    <row r="15" spans="1:57" ht="11.25" customHeight="1">
      <c r="C15" s="371"/>
      <c r="D15" s="372"/>
      <c r="E15" s="372"/>
      <c r="F15" s="372"/>
      <c r="G15" s="372"/>
      <c r="H15" s="372"/>
      <c r="I15" s="372"/>
      <c r="J15" s="372"/>
      <c r="K15" s="372"/>
      <c r="L15" s="372"/>
      <c r="M15" s="373"/>
      <c r="N15" s="70"/>
      <c r="O15" s="363"/>
      <c r="P15" s="363"/>
      <c r="Q15" s="363"/>
      <c r="R15" s="363"/>
      <c r="S15" s="363"/>
      <c r="T15" s="363"/>
      <c r="U15" s="363"/>
      <c r="V15" s="363"/>
      <c r="W15" s="363"/>
      <c r="X15" s="363"/>
      <c r="Y15" s="363"/>
      <c r="Z15" s="363"/>
      <c r="AA15" s="363"/>
      <c r="AB15" s="363"/>
      <c r="AC15" s="363"/>
      <c r="AD15" s="363"/>
      <c r="AE15" s="363"/>
      <c r="AF15" s="363"/>
      <c r="AG15" s="363"/>
      <c r="AH15" s="363"/>
      <c r="AI15" s="363"/>
      <c r="AJ15" s="363"/>
      <c r="AK15" s="363"/>
      <c r="AL15" s="363"/>
      <c r="AM15" s="363"/>
      <c r="AN15" s="363"/>
      <c r="AO15" s="363"/>
      <c r="AP15" s="363"/>
      <c r="AQ15" s="363"/>
      <c r="AR15" s="363"/>
      <c r="AS15" s="363"/>
      <c r="AT15" s="363"/>
      <c r="AU15" s="363"/>
      <c r="AV15" s="363"/>
      <c r="AW15" s="363"/>
      <c r="AX15" s="363"/>
      <c r="AY15" s="363"/>
      <c r="AZ15" s="363"/>
      <c r="BA15" s="363"/>
      <c r="BB15" s="363"/>
      <c r="BC15" s="364"/>
    </row>
    <row r="16" spans="1:57" ht="13.5" customHeight="1">
      <c r="C16" s="380" t="s">
        <v>2290</v>
      </c>
      <c r="D16" s="381"/>
      <c r="E16" s="381"/>
      <c r="F16" s="381"/>
      <c r="G16" s="381"/>
      <c r="H16" s="381"/>
      <c r="I16" s="381"/>
      <c r="J16" s="381"/>
      <c r="K16" s="381"/>
      <c r="L16" s="381"/>
      <c r="M16" s="382"/>
      <c r="N16" s="383" t="s">
        <v>2291</v>
      </c>
      <c r="O16" s="361"/>
      <c r="P16" s="361"/>
      <c r="Q16" s="361"/>
      <c r="R16" s="361"/>
      <c r="S16" s="361"/>
      <c r="T16" s="361"/>
      <c r="U16" s="361" t="s">
        <v>2296</v>
      </c>
      <c r="V16" s="361"/>
      <c r="W16" s="361"/>
      <c r="X16" s="361"/>
      <c r="Y16" s="361" t="s">
        <v>2292</v>
      </c>
      <c r="Z16" s="361"/>
      <c r="AA16" s="361"/>
      <c r="AB16" s="361"/>
      <c r="AC16" s="361"/>
      <c r="AD16" s="361"/>
      <c r="AE16" s="361"/>
      <c r="AF16" s="361"/>
      <c r="AG16" s="361"/>
      <c r="AH16" s="361"/>
      <c r="AI16" s="361"/>
      <c r="AJ16" s="361"/>
      <c r="AK16" s="361"/>
      <c r="AL16" s="361"/>
      <c r="AM16" s="361" t="s">
        <v>2293</v>
      </c>
      <c r="AN16" s="361"/>
      <c r="AO16" s="361"/>
      <c r="AP16" s="361"/>
      <c r="AQ16" s="361"/>
      <c r="AR16" s="361"/>
      <c r="AS16" s="361"/>
      <c r="AT16" s="361"/>
      <c r="AU16" s="361"/>
      <c r="AV16" s="361"/>
      <c r="AW16" s="361"/>
      <c r="AX16" s="361"/>
      <c r="AY16" s="361"/>
      <c r="AZ16" s="361"/>
      <c r="BA16" s="361"/>
      <c r="BB16" s="361"/>
      <c r="BC16" s="362"/>
    </row>
    <row r="17" spans="3:55" ht="13.5" customHeight="1">
      <c r="C17" s="380"/>
      <c r="D17" s="381"/>
      <c r="E17" s="381"/>
      <c r="F17" s="381"/>
      <c r="G17" s="381"/>
      <c r="H17" s="381"/>
      <c r="I17" s="381"/>
      <c r="J17" s="381"/>
      <c r="K17" s="381"/>
      <c r="L17" s="381"/>
      <c r="M17" s="382"/>
      <c r="N17" s="384"/>
      <c r="O17" s="363"/>
      <c r="P17" s="363"/>
      <c r="Q17" s="363"/>
      <c r="R17" s="363"/>
      <c r="S17" s="363"/>
      <c r="T17" s="363"/>
      <c r="U17" s="363"/>
      <c r="V17" s="363"/>
      <c r="W17" s="363"/>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3"/>
      <c r="AT17" s="363"/>
      <c r="AU17" s="363"/>
      <c r="AV17" s="363"/>
      <c r="AW17" s="363"/>
      <c r="AX17" s="363"/>
      <c r="AY17" s="363"/>
      <c r="AZ17" s="363"/>
      <c r="BA17" s="363"/>
      <c r="BB17" s="363"/>
      <c r="BC17" s="364"/>
    </row>
    <row r="18" spans="3:55" ht="13.5" customHeight="1">
      <c r="C18" s="386" t="s">
        <v>2294</v>
      </c>
      <c r="D18" s="387"/>
      <c r="E18" s="387"/>
      <c r="F18" s="387"/>
      <c r="G18" s="387"/>
      <c r="H18" s="387"/>
      <c r="I18" s="387"/>
      <c r="J18" s="387"/>
      <c r="K18" s="387"/>
      <c r="L18" s="387"/>
      <c r="M18" s="388"/>
      <c r="N18" s="383" t="s">
        <v>2295</v>
      </c>
      <c r="O18" s="361"/>
      <c r="P18" s="361"/>
      <c r="Q18" s="361"/>
      <c r="R18" s="361"/>
      <c r="S18" s="361"/>
      <c r="T18" s="361"/>
      <c r="U18" s="361" t="s">
        <v>2296</v>
      </c>
      <c r="V18" s="361"/>
      <c r="W18" s="361"/>
      <c r="X18" s="361"/>
      <c r="Y18" s="361" t="s">
        <v>2292</v>
      </c>
      <c r="Z18" s="361"/>
      <c r="AA18" s="361"/>
      <c r="AB18" s="361"/>
      <c r="AC18" s="361"/>
      <c r="AD18" s="361"/>
      <c r="AE18" s="361"/>
      <c r="AF18" s="361"/>
      <c r="AG18" s="361"/>
      <c r="AH18" s="361"/>
      <c r="AI18" s="361"/>
      <c r="AJ18" s="361"/>
      <c r="AK18" s="361"/>
      <c r="AL18" s="361"/>
      <c r="AM18" s="361" t="s">
        <v>2293</v>
      </c>
      <c r="AN18" s="361"/>
      <c r="AO18" s="361"/>
      <c r="AP18" s="361"/>
      <c r="AQ18" s="361"/>
      <c r="AR18" s="361"/>
      <c r="AS18" s="361"/>
      <c r="AT18" s="361"/>
      <c r="AU18" s="361"/>
      <c r="AV18" s="361"/>
      <c r="AW18" s="361"/>
      <c r="AX18" s="361"/>
      <c r="AY18" s="361"/>
      <c r="AZ18" s="361"/>
      <c r="BA18" s="361"/>
      <c r="BB18" s="361"/>
      <c r="BC18" s="362"/>
    </row>
    <row r="19" spans="3:55" ht="13.5" customHeight="1">
      <c r="C19" s="386"/>
      <c r="D19" s="387"/>
      <c r="E19" s="387"/>
      <c r="F19" s="387"/>
      <c r="G19" s="387"/>
      <c r="H19" s="387"/>
      <c r="I19" s="387"/>
      <c r="J19" s="387"/>
      <c r="K19" s="387"/>
      <c r="L19" s="387"/>
      <c r="M19" s="388"/>
      <c r="N19" s="384"/>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c r="AM19" s="363"/>
      <c r="AN19" s="363"/>
      <c r="AO19" s="363"/>
      <c r="AP19" s="363"/>
      <c r="AQ19" s="363"/>
      <c r="AR19" s="363"/>
      <c r="AS19" s="363"/>
      <c r="AT19" s="363"/>
      <c r="AU19" s="363"/>
      <c r="AV19" s="363"/>
      <c r="AW19" s="363"/>
      <c r="AX19" s="363"/>
      <c r="AY19" s="363"/>
      <c r="AZ19" s="363"/>
      <c r="BA19" s="363"/>
      <c r="BB19" s="363"/>
      <c r="BC19" s="364"/>
    </row>
    <row r="20" spans="3:55" ht="13.5" customHeight="1">
      <c r="C20" s="389" t="s">
        <v>2297</v>
      </c>
      <c r="D20" s="390"/>
      <c r="E20" s="390"/>
      <c r="F20" s="390"/>
      <c r="G20" s="390"/>
      <c r="H20" s="390"/>
      <c r="I20" s="390"/>
      <c r="J20" s="390"/>
      <c r="K20" s="390"/>
      <c r="L20" s="390"/>
      <c r="M20" s="391"/>
      <c r="N20" s="377" t="s">
        <v>2298</v>
      </c>
      <c r="O20" s="377"/>
      <c r="P20" s="377"/>
      <c r="Q20" s="377"/>
      <c r="R20" s="377"/>
      <c r="S20" s="377"/>
      <c r="T20" s="377"/>
      <c r="U20" s="377" t="s">
        <v>2296</v>
      </c>
      <c r="V20" s="377"/>
      <c r="W20" s="377"/>
      <c r="X20" s="377"/>
      <c r="Y20" s="377" t="s">
        <v>2292</v>
      </c>
      <c r="Z20" s="377"/>
      <c r="AA20" s="377"/>
      <c r="AB20" s="377"/>
      <c r="AC20" s="377"/>
      <c r="AD20" s="377"/>
      <c r="AE20" s="377"/>
      <c r="AF20" s="377"/>
      <c r="AG20" s="377"/>
      <c r="AH20" s="377"/>
      <c r="AI20" s="377"/>
      <c r="AJ20" s="377"/>
      <c r="AK20" s="377"/>
      <c r="AL20" s="377"/>
      <c r="AM20" s="377" t="s">
        <v>2293</v>
      </c>
      <c r="AN20" s="377"/>
      <c r="AO20" s="377"/>
      <c r="AP20" s="377"/>
      <c r="AQ20" s="377"/>
      <c r="AR20" s="377"/>
      <c r="AS20" s="377"/>
      <c r="AT20" s="377"/>
      <c r="AU20" s="377"/>
      <c r="AV20" s="377"/>
      <c r="AW20" s="377"/>
      <c r="AX20" s="377"/>
      <c r="AY20" s="377"/>
      <c r="AZ20" s="377"/>
      <c r="BA20" s="377"/>
      <c r="BB20" s="377"/>
      <c r="BC20" s="378"/>
    </row>
    <row r="21" spans="3:55" ht="13.5" customHeight="1">
      <c r="C21" s="392"/>
      <c r="D21" s="393"/>
      <c r="E21" s="393"/>
      <c r="F21" s="393"/>
      <c r="G21" s="393"/>
      <c r="H21" s="393"/>
      <c r="I21" s="393"/>
      <c r="J21" s="393"/>
      <c r="K21" s="393"/>
      <c r="L21" s="393"/>
      <c r="M21" s="394"/>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c r="AM21" s="363"/>
      <c r="AN21" s="363"/>
      <c r="AO21" s="363"/>
      <c r="AP21" s="363"/>
      <c r="AQ21" s="363"/>
      <c r="AR21" s="363"/>
      <c r="AS21" s="363"/>
      <c r="AT21" s="363"/>
      <c r="AU21" s="363"/>
      <c r="AV21" s="363"/>
      <c r="AW21" s="363"/>
      <c r="AX21" s="363"/>
      <c r="AY21" s="363"/>
      <c r="AZ21" s="363"/>
      <c r="BA21" s="363"/>
      <c r="BB21" s="363"/>
      <c r="BC21" s="364"/>
    </row>
    <row r="22" spans="3:55" ht="9" customHeight="1">
      <c r="C22" s="395" t="s">
        <v>2299</v>
      </c>
      <c r="D22" s="396"/>
      <c r="E22" s="396"/>
      <c r="F22" s="396"/>
      <c r="G22" s="396"/>
      <c r="H22" s="396"/>
      <c r="I22" s="396"/>
      <c r="J22" s="396"/>
      <c r="K22" s="396"/>
      <c r="L22" s="396"/>
      <c r="M22" s="397"/>
      <c r="N22" s="401"/>
      <c r="O22" s="377" t="str">
        <f>Fabrica</f>
        <v>高雄工業株式会社</v>
      </c>
      <c r="P22" s="377"/>
      <c r="Q22" s="377"/>
      <c r="R22" s="377"/>
      <c r="S22" s="377"/>
      <c r="T22" s="377"/>
      <c r="U22" s="377"/>
      <c r="V22" s="377"/>
      <c r="W22" s="377"/>
      <c r="X22" s="377"/>
      <c r="Y22" s="377"/>
      <c r="Z22" s="377"/>
      <c r="AA22" s="377"/>
      <c r="AB22" s="377"/>
      <c r="AC22" s="377"/>
      <c r="AD22" s="377"/>
      <c r="AE22" s="377"/>
      <c r="AF22" s="377"/>
      <c r="AG22" s="377"/>
      <c r="AH22" s="377"/>
      <c r="AI22" s="377"/>
      <c r="AJ22" s="377"/>
      <c r="AK22" s="377"/>
      <c r="AL22" s="377"/>
      <c r="AM22" s="377"/>
      <c r="AN22" s="377"/>
      <c r="AO22" s="377"/>
      <c r="AP22" s="377"/>
      <c r="AQ22" s="377"/>
      <c r="AR22" s="377"/>
      <c r="AS22" s="377"/>
      <c r="AT22" s="377"/>
      <c r="AU22" s="377"/>
      <c r="AV22" s="377"/>
      <c r="AW22" s="377"/>
      <c r="AX22" s="377"/>
      <c r="AY22" s="377"/>
      <c r="AZ22" s="377"/>
      <c r="BA22" s="377"/>
      <c r="BB22" s="377"/>
      <c r="BC22" s="378"/>
    </row>
    <row r="23" spans="3:55" ht="9" customHeight="1">
      <c r="C23" s="368"/>
      <c r="D23" s="369"/>
      <c r="E23" s="369"/>
      <c r="F23" s="369"/>
      <c r="G23" s="369"/>
      <c r="H23" s="369"/>
      <c r="I23" s="369"/>
      <c r="J23" s="369"/>
      <c r="K23" s="369"/>
      <c r="L23" s="369"/>
      <c r="M23" s="370"/>
      <c r="N23" s="401"/>
      <c r="O23" s="377"/>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377"/>
      <c r="AQ23" s="377"/>
      <c r="AR23" s="377"/>
      <c r="AS23" s="377"/>
      <c r="AT23" s="377"/>
      <c r="AU23" s="377"/>
      <c r="AV23" s="377"/>
      <c r="AW23" s="377"/>
      <c r="AX23" s="377"/>
      <c r="AY23" s="377"/>
      <c r="AZ23" s="377"/>
      <c r="BA23" s="377"/>
      <c r="BB23" s="377"/>
      <c r="BC23" s="378"/>
    </row>
    <row r="24" spans="3:55" ht="9" customHeight="1">
      <c r="C24" s="398"/>
      <c r="D24" s="399"/>
      <c r="E24" s="399"/>
      <c r="F24" s="399"/>
      <c r="G24" s="399"/>
      <c r="H24" s="399"/>
      <c r="I24" s="399"/>
      <c r="J24" s="399"/>
      <c r="K24" s="399"/>
      <c r="L24" s="399"/>
      <c r="M24" s="400"/>
      <c r="N24" s="401"/>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7"/>
      <c r="AW24" s="377"/>
      <c r="AX24" s="377"/>
      <c r="AY24" s="377"/>
      <c r="AZ24" s="377"/>
      <c r="BA24" s="377"/>
      <c r="BB24" s="377"/>
      <c r="BC24" s="378"/>
    </row>
    <row r="25" spans="3:55" ht="9" customHeight="1">
      <c r="C25" s="365" t="s">
        <v>2300</v>
      </c>
      <c r="D25" s="366"/>
      <c r="E25" s="366"/>
      <c r="F25" s="366"/>
      <c r="G25" s="366"/>
      <c r="H25" s="366"/>
      <c r="I25" s="366"/>
      <c r="J25" s="366"/>
      <c r="K25" s="366"/>
      <c r="L25" s="366"/>
      <c r="M25" s="367"/>
      <c r="N25" s="361"/>
      <c r="O25" s="361" t="str">
        <f>_xlfn.XLOOKUP(O22,KanriDaichou[派遣先事業所],KanriDaichou[派遣先事業所住所],"",0,1)</f>
        <v>愛知県弥富市楠三丁目13番地2</v>
      </c>
      <c r="P25" s="361"/>
      <c r="Q25" s="361"/>
      <c r="R25" s="361"/>
      <c r="S25" s="361"/>
      <c r="T25" s="361"/>
      <c r="U25" s="361"/>
      <c r="V25" s="361"/>
      <c r="W25" s="361"/>
      <c r="X25" s="361"/>
      <c r="Y25" s="361"/>
      <c r="Z25" s="361"/>
      <c r="AA25" s="361"/>
      <c r="AB25" s="361"/>
      <c r="AC25" s="361"/>
      <c r="AD25" s="361"/>
      <c r="AE25" s="361"/>
      <c r="AF25" s="361"/>
      <c r="AG25" s="361"/>
      <c r="AH25" s="361"/>
      <c r="AI25" s="361"/>
      <c r="AJ25" s="383" t="s">
        <v>2301</v>
      </c>
      <c r="AK25" s="361"/>
      <c r="AL25" s="361"/>
      <c r="AM25" s="361"/>
      <c r="AN25" s="361"/>
      <c r="AO25" s="361"/>
      <c r="AP25" s="362"/>
      <c r="AQ25" s="403" t="str">
        <f>個別契約書X!J8&amp;" "&amp;個別契約書X!J7&amp;" "&amp;個別契約書X!L6</f>
        <v xml:space="preserve">  (課長）</v>
      </c>
      <c r="AR25" s="404"/>
      <c r="AS25" s="404"/>
      <c r="AT25" s="404"/>
      <c r="AU25" s="404"/>
      <c r="AV25" s="404"/>
      <c r="AW25" s="404"/>
      <c r="AX25" s="404"/>
      <c r="AY25" s="404"/>
      <c r="AZ25" s="404"/>
      <c r="BA25" s="404"/>
      <c r="BB25" s="404"/>
      <c r="BC25" s="405"/>
    </row>
    <row r="26" spans="3:55" ht="9" customHeight="1">
      <c r="C26" s="368"/>
      <c r="D26" s="369"/>
      <c r="E26" s="369"/>
      <c r="F26" s="369"/>
      <c r="G26" s="369"/>
      <c r="H26" s="369"/>
      <c r="I26" s="369"/>
      <c r="J26" s="369"/>
      <c r="K26" s="369"/>
      <c r="L26" s="369"/>
      <c r="M26" s="370"/>
      <c r="N26" s="377"/>
      <c r="O26" s="377"/>
      <c r="P26" s="377"/>
      <c r="Q26" s="377"/>
      <c r="R26" s="377"/>
      <c r="S26" s="377"/>
      <c r="T26" s="377"/>
      <c r="U26" s="377"/>
      <c r="V26" s="377"/>
      <c r="W26" s="377"/>
      <c r="X26" s="377"/>
      <c r="Y26" s="377"/>
      <c r="Z26" s="377"/>
      <c r="AA26" s="377"/>
      <c r="AB26" s="377"/>
      <c r="AC26" s="377"/>
      <c r="AD26" s="377"/>
      <c r="AE26" s="377"/>
      <c r="AF26" s="377"/>
      <c r="AG26" s="377"/>
      <c r="AH26" s="377"/>
      <c r="AI26" s="377"/>
      <c r="AJ26" s="402"/>
      <c r="AK26" s="377"/>
      <c r="AL26" s="377"/>
      <c r="AM26" s="377"/>
      <c r="AN26" s="377"/>
      <c r="AO26" s="377"/>
      <c r="AP26" s="378"/>
      <c r="AQ26" s="406"/>
      <c r="AR26" s="407"/>
      <c r="AS26" s="407"/>
      <c r="AT26" s="407"/>
      <c r="AU26" s="407"/>
      <c r="AV26" s="407"/>
      <c r="AW26" s="407"/>
      <c r="AX26" s="407"/>
      <c r="AY26" s="407"/>
      <c r="AZ26" s="407"/>
      <c r="BA26" s="407"/>
      <c r="BB26" s="407"/>
      <c r="BC26" s="408"/>
    </row>
    <row r="27" spans="3:55" ht="9" customHeight="1">
      <c r="C27" s="371"/>
      <c r="D27" s="372"/>
      <c r="E27" s="372"/>
      <c r="F27" s="372"/>
      <c r="G27" s="372"/>
      <c r="H27" s="372"/>
      <c r="I27" s="372"/>
      <c r="J27" s="372"/>
      <c r="K27" s="372"/>
      <c r="L27" s="372"/>
      <c r="M27" s="373"/>
      <c r="N27" s="363"/>
      <c r="O27" s="363"/>
      <c r="P27" s="363"/>
      <c r="Q27" s="363"/>
      <c r="R27" s="363"/>
      <c r="S27" s="363"/>
      <c r="T27" s="363"/>
      <c r="U27" s="363"/>
      <c r="V27" s="363"/>
      <c r="W27" s="363"/>
      <c r="X27" s="363"/>
      <c r="Y27" s="363"/>
      <c r="Z27" s="363"/>
      <c r="AA27" s="363"/>
      <c r="AB27" s="363"/>
      <c r="AC27" s="363"/>
      <c r="AD27" s="363"/>
      <c r="AE27" s="363"/>
      <c r="AF27" s="363"/>
      <c r="AG27" s="363"/>
      <c r="AH27" s="363"/>
      <c r="AI27" s="363"/>
      <c r="AJ27" s="384"/>
      <c r="AK27" s="363"/>
      <c r="AL27" s="363"/>
      <c r="AM27" s="363"/>
      <c r="AN27" s="363"/>
      <c r="AO27" s="363"/>
      <c r="AP27" s="364"/>
      <c r="AQ27" s="409"/>
      <c r="AR27" s="410"/>
      <c r="AS27" s="410"/>
      <c r="AT27" s="410"/>
      <c r="AU27" s="410"/>
      <c r="AV27" s="410"/>
      <c r="AW27" s="410"/>
      <c r="AX27" s="410"/>
      <c r="AY27" s="410"/>
      <c r="AZ27" s="410"/>
      <c r="BA27" s="410"/>
      <c r="BB27" s="410"/>
      <c r="BC27" s="411"/>
    </row>
    <row r="28" spans="3:55" ht="9.75" customHeight="1">
      <c r="C28" s="395" t="s">
        <v>2302</v>
      </c>
      <c r="D28" s="396"/>
      <c r="E28" s="396"/>
      <c r="F28" s="396"/>
      <c r="G28" s="396"/>
      <c r="H28" s="396"/>
      <c r="I28" s="396"/>
      <c r="J28" s="396"/>
      <c r="K28" s="396"/>
      <c r="L28" s="412"/>
      <c r="M28" s="413"/>
      <c r="N28" s="377"/>
      <c r="O28" s="377" t="str">
        <f>個別契約書X!J8&amp;" "&amp;個別契約書X!J7&amp;" "&amp;Linea</f>
        <v xml:space="preserve">  </v>
      </c>
      <c r="P28" s="377"/>
      <c r="Q28" s="377"/>
      <c r="R28" s="377"/>
      <c r="S28" s="377"/>
      <c r="T28" s="377"/>
      <c r="U28" s="377"/>
      <c r="V28" s="377"/>
      <c r="W28" s="377"/>
      <c r="X28" s="377"/>
      <c r="Y28" s="377"/>
      <c r="Z28" s="377"/>
      <c r="AA28" s="377"/>
      <c r="AB28" s="377"/>
      <c r="AC28" s="377"/>
      <c r="AD28" s="377"/>
      <c r="AE28" s="377"/>
      <c r="AF28" s="377"/>
      <c r="AG28" s="377"/>
      <c r="AH28" s="377"/>
      <c r="AI28" s="377"/>
      <c r="AJ28" s="377"/>
      <c r="AK28" s="377"/>
      <c r="AL28" s="377"/>
      <c r="AM28" s="377"/>
      <c r="AN28" s="377"/>
      <c r="AO28" s="377"/>
      <c r="AP28" s="377" t="s">
        <v>2303</v>
      </c>
      <c r="AQ28" s="377"/>
      <c r="AR28" s="377"/>
      <c r="AS28" s="377"/>
      <c r="AT28" s="377" t="str">
        <f>個別契約書X!Y5</f>
        <v/>
      </c>
      <c r="AU28" s="377"/>
      <c r="AV28" s="377"/>
      <c r="AW28" s="377"/>
      <c r="AX28" s="377"/>
      <c r="AY28" s="377"/>
      <c r="AZ28" s="377"/>
      <c r="BA28" s="377"/>
      <c r="BB28" s="377"/>
      <c r="BC28" s="378"/>
    </row>
    <row r="29" spans="3:55" ht="9.75" customHeight="1">
      <c r="C29" s="368"/>
      <c r="D29" s="369"/>
      <c r="E29" s="369"/>
      <c r="F29" s="369"/>
      <c r="G29" s="369"/>
      <c r="H29" s="369"/>
      <c r="I29" s="369"/>
      <c r="J29" s="369"/>
      <c r="K29" s="414"/>
      <c r="L29" s="415"/>
      <c r="M29" s="416"/>
      <c r="N29" s="420"/>
      <c r="O29" s="420"/>
      <c r="P29" s="420"/>
      <c r="Q29" s="420"/>
      <c r="R29" s="420"/>
      <c r="S29" s="420"/>
      <c r="T29" s="420"/>
      <c r="U29" s="420"/>
      <c r="V29" s="420"/>
      <c r="W29" s="420"/>
      <c r="X29" s="420"/>
      <c r="Y29" s="420"/>
      <c r="Z29" s="420"/>
      <c r="AA29" s="420"/>
      <c r="AB29" s="420"/>
      <c r="AC29" s="420"/>
      <c r="AD29" s="420"/>
      <c r="AE29" s="420"/>
      <c r="AF29" s="420"/>
      <c r="AG29" s="420"/>
      <c r="AH29" s="420"/>
      <c r="AI29" s="420"/>
      <c r="AJ29" s="420"/>
      <c r="AK29" s="420"/>
      <c r="AL29" s="420"/>
      <c r="AM29" s="420"/>
      <c r="AN29" s="420"/>
      <c r="AO29" s="420"/>
      <c r="AP29" s="420"/>
      <c r="AQ29" s="420"/>
      <c r="AR29" s="420"/>
      <c r="AS29" s="420"/>
      <c r="AT29" s="420"/>
      <c r="AU29" s="420"/>
      <c r="AV29" s="420"/>
      <c r="AW29" s="420"/>
      <c r="AX29" s="420"/>
      <c r="AY29" s="420"/>
      <c r="AZ29" s="420"/>
      <c r="BA29" s="420"/>
      <c r="BB29" s="420"/>
      <c r="BC29" s="421"/>
    </row>
    <row r="30" spans="3:55" ht="9.75" customHeight="1">
      <c r="C30" s="371"/>
      <c r="D30" s="372"/>
      <c r="E30" s="372"/>
      <c r="F30" s="372"/>
      <c r="G30" s="372"/>
      <c r="H30" s="372"/>
      <c r="I30" s="372"/>
      <c r="J30" s="372"/>
      <c r="K30" s="417"/>
      <c r="L30" s="418"/>
      <c r="M30" s="419"/>
      <c r="N30" s="363"/>
      <c r="O30" s="363"/>
      <c r="P30" s="363"/>
      <c r="Q30" s="363"/>
      <c r="R30" s="363"/>
      <c r="S30" s="363"/>
      <c r="T30" s="363"/>
      <c r="U30" s="363"/>
      <c r="V30" s="363"/>
      <c r="W30" s="363"/>
      <c r="X30" s="363"/>
      <c r="Y30" s="363"/>
      <c r="Z30" s="363"/>
      <c r="AA30" s="363"/>
      <c r="AB30" s="363"/>
      <c r="AC30" s="363"/>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4"/>
    </row>
    <row r="31" spans="3:55" ht="9.75" customHeight="1">
      <c r="C31" s="395" t="s">
        <v>2304</v>
      </c>
      <c r="D31" s="396"/>
      <c r="E31" s="396"/>
      <c r="F31" s="396"/>
      <c r="G31" s="396"/>
      <c r="H31" s="396"/>
      <c r="I31" s="396"/>
      <c r="J31" s="396"/>
      <c r="K31" s="422"/>
      <c r="L31" s="423"/>
      <c r="M31" s="424"/>
      <c r="N31" s="377"/>
      <c r="O31" s="425" t="e">
        <f>_xlfn.XLOOKUP(NombreID,TablaTransfor[カナ],TablaTransfor[内容],1,0)</f>
        <v>#N/A</v>
      </c>
      <c r="P31" s="425"/>
      <c r="Q31" s="425"/>
      <c r="R31" s="425"/>
      <c r="S31" s="425"/>
      <c r="T31" s="425"/>
      <c r="U31" s="425"/>
      <c r="V31" s="425"/>
      <c r="W31" s="425"/>
      <c r="X31" s="425"/>
      <c r="Y31" s="425"/>
      <c r="Z31" s="425"/>
      <c r="AA31" s="425"/>
      <c r="AB31" s="425"/>
      <c r="AC31" s="425"/>
      <c r="AD31" s="425"/>
      <c r="AE31" s="425"/>
      <c r="AF31" s="425"/>
      <c r="AG31" s="425"/>
      <c r="AH31" s="425"/>
      <c r="AI31" s="425"/>
      <c r="AJ31" s="425"/>
      <c r="AK31" s="425"/>
      <c r="AL31" s="425"/>
      <c r="AM31" s="425"/>
      <c r="AN31" s="427" t="s">
        <v>2305</v>
      </c>
      <c r="AO31" s="428"/>
      <c r="AP31" s="428"/>
      <c r="AQ31" s="428"/>
      <c r="AR31" s="428"/>
      <c r="AS31" s="428"/>
      <c r="AT31" s="429"/>
      <c r="AU31" s="436" t="s">
        <v>2330</v>
      </c>
      <c r="AV31" s="437"/>
      <c r="AW31" s="437"/>
      <c r="AX31" s="437"/>
      <c r="AY31" s="437"/>
      <c r="AZ31" s="437"/>
      <c r="BA31" s="437"/>
      <c r="BB31" s="437"/>
      <c r="BC31" s="438"/>
    </row>
    <row r="32" spans="3:55" ht="9.75" customHeight="1">
      <c r="C32" s="368"/>
      <c r="D32" s="369"/>
      <c r="E32" s="369"/>
      <c r="F32" s="369"/>
      <c r="G32" s="369"/>
      <c r="H32" s="369"/>
      <c r="I32" s="369"/>
      <c r="J32" s="369"/>
      <c r="K32" s="414"/>
      <c r="L32" s="423"/>
      <c r="M32" s="424"/>
      <c r="N32" s="377"/>
      <c r="O32" s="425"/>
      <c r="P32" s="425"/>
      <c r="Q32" s="425"/>
      <c r="R32" s="425"/>
      <c r="S32" s="425"/>
      <c r="T32" s="425"/>
      <c r="U32" s="425"/>
      <c r="V32" s="425"/>
      <c r="W32" s="425"/>
      <c r="X32" s="425"/>
      <c r="Y32" s="425"/>
      <c r="Z32" s="425"/>
      <c r="AA32" s="425"/>
      <c r="AB32" s="425"/>
      <c r="AC32" s="425"/>
      <c r="AD32" s="425"/>
      <c r="AE32" s="425"/>
      <c r="AF32" s="425"/>
      <c r="AG32" s="425"/>
      <c r="AH32" s="425"/>
      <c r="AI32" s="425"/>
      <c r="AJ32" s="425"/>
      <c r="AK32" s="425"/>
      <c r="AL32" s="425"/>
      <c r="AM32" s="425"/>
      <c r="AN32" s="430"/>
      <c r="AO32" s="431"/>
      <c r="AP32" s="431"/>
      <c r="AQ32" s="431"/>
      <c r="AR32" s="431"/>
      <c r="AS32" s="431"/>
      <c r="AT32" s="432"/>
      <c r="AU32" s="439"/>
      <c r="AV32" s="440"/>
      <c r="AW32" s="440"/>
      <c r="AX32" s="440"/>
      <c r="AY32" s="440"/>
      <c r="AZ32" s="440"/>
      <c r="BA32" s="440"/>
      <c r="BB32" s="440"/>
      <c r="BC32" s="441"/>
    </row>
    <row r="33" spans="3:55" ht="9.75" customHeight="1">
      <c r="C33" s="371"/>
      <c r="D33" s="372"/>
      <c r="E33" s="372"/>
      <c r="F33" s="372"/>
      <c r="G33" s="372"/>
      <c r="H33" s="372"/>
      <c r="I33" s="372"/>
      <c r="J33" s="372"/>
      <c r="K33" s="417"/>
      <c r="L33" s="418"/>
      <c r="M33" s="419"/>
      <c r="N33" s="363"/>
      <c r="O33" s="426"/>
      <c r="P33" s="426"/>
      <c r="Q33" s="426"/>
      <c r="R33" s="426"/>
      <c r="S33" s="426"/>
      <c r="T33" s="426"/>
      <c r="U33" s="426"/>
      <c r="V33" s="426"/>
      <c r="W33" s="426"/>
      <c r="X33" s="426"/>
      <c r="Y33" s="426"/>
      <c r="Z33" s="426"/>
      <c r="AA33" s="426"/>
      <c r="AB33" s="426"/>
      <c r="AC33" s="426"/>
      <c r="AD33" s="426"/>
      <c r="AE33" s="426"/>
      <c r="AF33" s="426"/>
      <c r="AG33" s="426"/>
      <c r="AH33" s="426"/>
      <c r="AI33" s="426"/>
      <c r="AJ33" s="426"/>
      <c r="AK33" s="426"/>
      <c r="AL33" s="426"/>
      <c r="AM33" s="426"/>
      <c r="AN33" s="433"/>
      <c r="AO33" s="434"/>
      <c r="AP33" s="434"/>
      <c r="AQ33" s="434"/>
      <c r="AR33" s="434"/>
      <c r="AS33" s="434"/>
      <c r="AT33" s="435"/>
      <c r="AU33" s="442"/>
      <c r="AV33" s="443"/>
      <c r="AW33" s="443"/>
      <c r="AX33" s="443"/>
      <c r="AY33" s="443"/>
      <c r="AZ33" s="443"/>
      <c r="BA33" s="443"/>
      <c r="BB33" s="443"/>
      <c r="BC33" s="444"/>
    </row>
    <row r="34" spans="3:55" ht="9.75" customHeight="1">
      <c r="C34" s="395" t="s">
        <v>2306</v>
      </c>
      <c r="D34" s="396"/>
      <c r="E34" s="396"/>
      <c r="F34" s="396"/>
      <c r="G34" s="396"/>
      <c r="H34" s="396"/>
      <c r="I34" s="396"/>
      <c r="J34" s="396"/>
      <c r="K34" s="422"/>
      <c r="L34" s="423"/>
      <c r="M34" s="424"/>
      <c r="N34" s="377"/>
      <c r="O34" s="447" t="s">
        <v>2566</v>
      </c>
      <c r="P34" s="377"/>
      <c r="Q34" s="377"/>
      <c r="R34" s="377"/>
      <c r="S34" s="377"/>
      <c r="T34" s="377"/>
      <c r="U34" s="377"/>
      <c r="V34" s="377"/>
      <c r="W34" s="377"/>
      <c r="X34" s="377"/>
      <c r="Y34" s="377"/>
      <c r="Z34" s="377"/>
      <c r="AA34" s="377"/>
      <c r="AB34" s="377"/>
      <c r="AC34" s="377"/>
      <c r="AD34" s="377"/>
      <c r="AE34" s="377"/>
      <c r="AF34" s="377"/>
      <c r="AG34" s="377"/>
      <c r="AH34" s="377"/>
      <c r="AI34" s="377"/>
      <c r="AJ34" s="377"/>
      <c r="AK34" s="377"/>
      <c r="AL34" s="377"/>
      <c r="AM34" s="377"/>
      <c r="AN34" s="377"/>
      <c r="AO34" s="377"/>
      <c r="AP34" s="377"/>
      <c r="AQ34" s="377"/>
      <c r="AR34" s="377"/>
      <c r="AS34" s="377"/>
      <c r="AT34" s="377"/>
      <c r="AU34" s="377"/>
      <c r="AV34" s="377"/>
      <c r="AW34" s="377"/>
      <c r="AX34" s="377"/>
      <c r="AY34" s="377"/>
      <c r="AZ34" s="377"/>
      <c r="BA34" s="377"/>
      <c r="BB34" s="377"/>
      <c r="BC34" s="378"/>
    </row>
    <row r="35" spans="3:55" ht="9.75" customHeight="1">
      <c r="C35" s="368"/>
      <c r="D35" s="369"/>
      <c r="E35" s="369"/>
      <c r="F35" s="369"/>
      <c r="G35" s="369"/>
      <c r="H35" s="369"/>
      <c r="I35" s="369"/>
      <c r="J35" s="369"/>
      <c r="K35" s="414"/>
      <c r="L35" s="422"/>
      <c r="M35" s="445"/>
      <c r="N35" s="446"/>
      <c r="O35" s="446"/>
      <c r="P35" s="446"/>
      <c r="Q35" s="446"/>
      <c r="R35" s="446"/>
      <c r="S35" s="446"/>
      <c r="T35" s="446"/>
      <c r="U35" s="446"/>
      <c r="V35" s="446"/>
      <c r="W35" s="446"/>
      <c r="X35" s="446"/>
      <c r="Y35" s="446"/>
      <c r="Z35" s="446"/>
      <c r="AA35" s="446"/>
      <c r="AB35" s="446"/>
      <c r="AC35" s="446"/>
      <c r="AD35" s="446"/>
      <c r="AE35" s="446"/>
      <c r="AF35" s="446"/>
      <c r="AG35" s="446"/>
      <c r="AH35" s="446"/>
      <c r="AI35" s="446"/>
      <c r="AJ35" s="446"/>
      <c r="AK35" s="446"/>
      <c r="AL35" s="446"/>
      <c r="AM35" s="446"/>
      <c r="AN35" s="446"/>
      <c r="AO35" s="446"/>
      <c r="AP35" s="446"/>
      <c r="AQ35" s="446"/>
      <c r="AR35" s="446"/>
      <c r="AS35" s="446"/>
      <c r="AT35" s="446"/>
      <c r="AU35" s="446"/>
      <c r="AV35" s="446"/>
      <c r="AW35" s="446"/>
      <c r="AX35" s="446"/>
      <c r="AY35" s="446"/>
      <c r="AZ35" s="446"/>
      <c r="BA35" s="446"/>
      <c r="BB35" s="446"/>
      <c r="BC35" s="448"/>
    </row>
    <row r="36" spans="3:55" ht="9.75" customHeight="1">
      <c r="C36" s="398"/>
      <c r="D36" s="399"/>
      <c r="E36" s="399"/>
      <c r="F36" s="399"/>
      <c r="G36" s="399"/>
      <c r="H36" s="399"/>
      <c r="I36" s="399"/>
      <c r="J36" s="399"/>
      <c r="K36" s="399"/>
      <c r="L36" s="412"/>
      <c r="M36" s="413"/>
      <c r="N36" s="377"/>
      <c r="O36" s="377"/>
      <c r="P36" s="377"/>
      <c r="Q36" s="449"/>
      <c r="R36" s="377"/>
      <c r="S36" s="377"/>
      <c r="T36" s="377"/>
      <c r="U36" s="377"/>
      <c r="V36" s="377"/>
      <c r="W36" s="377"/>
      <c r="X36" s="377"/>
      <c r="Y36" s="377"/>
      <c r="Z36" s="377"/>
      <c r="AA36" s="377"/>
      <c r="AB36" s="377"/>
      <c r="AC36" s="377"/>
      <c r="AD36" s="377"/>
      <c r="AE36" s="377"/>
      <c r="AF36" s="377"/>
      <c r="AG36" s="377"/>
      <c r="AH36" s="377"/>
      <c r="AI36" s="377"/>
      <c r="AJ36" s="377"/>
      <c r="AK36" s="377"/>
      <c r="AL36" s="377"/>
      <c r="AM36" s="377"/>
      <c r="AN36" s="377"/>
      <c r="AO36" s="377"/>
      <c r="AP36" s="377"/>
      <c r="AQ36" s="377"/>
      <c r="AR36" s="377"/>
      <c r="AS36" s="377"/>
      <c r="AT36" s="377"/>
      <c r="AU36" s="377"/>
      <c r="AV36" s="377"/>
      <c r="AW36" s="377"/>
      <c r="AX36" s="377"/>
      <c r="AY36" s="377"/>
      <c r="AZ36" s="377"/>
      <c r="BA36" s="377"/>
      <c r="BB36" s="377"/>
      <c r="BC36" s="378"/>
    </row>
    <row r="37" spans="3:55" ht="9.75" customHeight="1">
      <c r="C37" s="365" t="s">
        <v>2307</v>
      </c>
      <c r="D37" s="366"/>
      <c r="E37" s="366"/>
      <c r="F37" s="366"/>
      <c r="G37" s="366"/>
      <c r="H37" s="366"/>
      <c r="I37" s="366"/>
      <c r="J37" s="366"/>
      <c r="K37" s="366"/>
      <c r="L37" s="366"/>
      <c r="M37" s="367"/>
      <c r="N37" s="361"/>
      <c r="O37" s="450" t="e">
        <f>_xlfn.XLOOKUP(NombreID,TablaTransfor[カナ],TablaTransfor[Desde],"",0,1)</f>
        <v>#N/A</v>
      </c>
      <c r="P37" s="450"/>
      <c r="Q37" s="450"/>
      <c r="R37" s="450"/>
      <c r="S37" s="450"/>
      <c r="T37" s="450"/>
      <c r="U37" s="450"/>
      <c r="V37" s="453" t="s">
        <v>2331</v>
      </c>
      <c r="W37" s="456" t="e">
        <f>_xlfn.XLOOKUP(NombreID,TablaTransfor[カナ],TablaTransfor[unicos],"",0,1)</f>
        <v>#N/A</v>
      </c>
      <c r="X37" s="456"/>
      <c r="Y37" s="456"/>
      <c r="Z37" s="456"/>
      <c r="AA37" s="456"/>
      <c r="AB37" s="456"/>
      <c r="AC37" s="456"/>
      <c r="AD37" s="457"/>
      <c r="AE37" s="462" t="s">
        <v>2308</v>
      </c>
      <c r="AF37" s="462"/>
      <c r="AG37" s="462"/>
      <c r="AH37" s="462"/>
      <c r="AI37" s="462"/>
      <c r="AJ37" s="462"/>
      <c r="AK37" s="462"/>
      <c r="AL37" s="462"/>
      <c r="AM37" s="462"/>
      <c r="AN37" s="462"/>
      <c r="AO37" s="462"/>
      <c r="AP37" s="462"/>
      <c r="AQ37" s="462"/>
      <c r="AR37" s="462"/>
      <c r="AS37" s="462"/>
      <c r="AT37" s="462"/>
      <c r="AU37" s="462"/>
      <c r="AV37" s="462"/>
      <c r="AW37" s="462"/>
      <c r="AX37" s="462"/>
      <c r="AY37" s="462"/>
      <c r="AZ37" s="462"/>
      <c r="BA37" s="462"/>
      <c r="BB37" s="462"/>
      <c r="BC37" s="463"/>
    </row>
    <row r="38" spans="3:55" ht="9.75" customHeight="1">
      <c r="C38" s="368"/>
      <c r="D38" s="369"/>
      <c r="E38" s="369"/>
      <c r="F38" s="369"/>
      <c r="G38" s="369"/>
      <c r="H38" s="369"/>
      <c r="I38" s="369"/>
      <c r="J38" s="369"/>
      <c r="K38" s="369"/>
      <c r="L38" s="369"/>
      <c r="M38" s="370"/>
      <c r="N38" s="377"/>
      <c r="O38" s="451"/>
      <c r="P38" s="451"/>
      <c r="Q38" s="451"/>
      <c r="R38" s="451"/>
      <c r="S38" s="451"/>
      <c r="T38" s="451"/>
      <c r="U38" s="451"/>
      <c r="V38" s="454"/>
      <c r="W38" s="458"/>
      <c r="X38" s="458"/>
      <c r="Y38" s="458"/>
      <c r="Z38" s="458"/>
      <c r="AA38" s="458"/>
      <c r="AB38" s="458"/>
      <c r="AC38" s="458"/>
      <c r="AD38" s="459"/>
      <c r="AE38" s="464" t="s">
        <v>2309</v>
      </c>
      <c r="AF38" s="464"/>
      <c r="AG38" s="464"/>
      <c r="AH38" s="464"/>
      <c r="AI38" s="464"/>
      <c r="AJ38" s="464"/>
      <c r="AK38" s="464"/>
      <c r="AL38" s="464"/>
      <c r="AM38" s="464"/>
      <c r="AN38" s="464"/>
      <c r="AO38" s="464"/>
      <c r="AP38" s="464"/>
      <c r="AQ38" s="464"/>
      <c r="AR38" s="464"/>
      <c r="AS38" s="464"/>
      <c r="AT38" s="464"/>
      <c r="AU38" s="464"/>
      <c r="AV38" s="464"/>
      <c r="AW38" s="464"/>
      <c r="AX38" s="464"/>
      <c r="AY38" s="464"/>
      <c r="AZ38" s="464"/>
      <c r="BA38" s="464"/>
      <c r="BB38" s="464"/>
      <c r="BC38" s="465"/>
    </row>
    <row r="39" spans="3:55" ht="9.75" customHeight="1">
      <c r="C39" s="371"/>
      <c r="D39" s="372"/>
      <c r="E39" s="372"/>
      <c r="F39" s="372"/>
      <c r="G39" s="372"/>
      <c r="H39" s="372"/>
      <c r="I39" s="372"/>
      <c r="J39" s="372"/>
      <c r="K39" s="372"/>
      <c r="L39" s="372"/>
      <c r="M39" s="373"/>
      <c r="N39" s="363"/>
      <c r="O39" s="452"/>
      <c r="P39" s="452"/>
      <c r="Q39" s="452"/>
      <c r="R39" s="452"/>
      <c r="S39" s="452"/>
      <c r="T39" s="452"/>
      <c r="U39" s="452"/>
      <c r="V39" s="455"/>
      <c r="W39" s="460"/>
      <c r="X39" s="460"/>
      <c r="Y39" s="460"/>
      <c r="Z39" s="460"/>
      <c r="AA39" s="460"/>
      <c r="AB39" s="460"/>
      <c r="AC39" s="460"/>
      <c r="AD39" s="461"/>
      <c r="AE39" s="327" t="s">
        <v>2310</v>
      </c>
      <c r="AF39" s="327"/>
      <c r="AG39" s="327"/>
      <c r="AH39" s="327"/>
      <c r="AI39" s="327"/>
      <c r="AJ39" s="327"/>
      <c r="AK39" s="327"/>
      <c r="AL39" s="327"/>
      <c r="AM39" s="327"/>
      <c r="AN39" s="327"/>
      <c r="AO39" s="327"/>
      <c r="AP39" s="327"/>
      <c r="AQ39" s="327"/>
      <c r="AR39" s="327"/>
      <c r="AS39" s="327"/>
      <c r="AT39" s="327"/>
      <c r="AU39" s="327"/>
      <c r="AV39" s="327"/>
      <c r="AW39" s="327"/>
      <c r="AX39" s="327"/>
      <c r="AY39" s="327"/>
      <c r="AZ39" s="327"/>
      <c r="BA39" s="327"/>
      <c r="BB39" s="327"/>
      <c r="BC39" s="466"/>
    </row>
    <row r="40" spans="3:55" ht="9.75" customHeight="1">
      <c r="C40" s="379" t="s">
        <v>2311</v>
      </c>
      <c r="D40" s="366"/>
      <c r="E40" s="366"/>
      <c r="F40" s="366"/>
      <c r="G40" s="366"/>
      <c r="H40" s="366"/>
      <c r="I40" s="366"/>
      <c r="J40" s="366"/>
      <c r="K40" s="366"/>
      <c r="L40" s="366"/>
      <c r="M40" s="367"/>
      <c r="N40" s="361"/>
      <c r="O40" s="361" t="str">
        <f>個別契約書X!J8</f>
        <v/>
      </c>
      <c r="P40" s="361"/>
      <c r="Q40" s="361"/>
      <c r="R40" s="361"/>
      <c r="S40" s="361"/>
      <c r="T40" s="361"/>
      <c r="U40" s="361"/>
      <c r="V40" s="361"/>
      <c r="W40" s="361"/>
      <c r="X40" s="361"/>
      <c r="Y40" s="361"/>
      <c r="Z40" s="361"/>
      <c r="AA40" s="361"/>
      <c r="AB40" s="304" t="e" cm="1">
        <f t="array" ref="AB40">_xlfn.XLOOKUP(Linea&amp;FechaMas,KanriDaichou[配属係]&amp;KanriDaichou[DATEIF],KanriDaichou[派遣先責任者役職])</f>
        <v>#N/A</v>
      </c>
      <c r="AC40" s="304"/>
      <c r="AD40" s="304"/>
      <c r="AE40" s="304"/>
      <c r="AF40" s="12"/>
      <c r="AG40" s="361" t="e" cm="1">
        <f t="array" ref="AG40">_xlfn.XLOOKUP(Linea&amp;FechaMas,KanriDaichou[配属係]&amp;KanriDaichou[DATEIF],KanriDaichou[派遣先責任者])</f>
        <v>#N/A</v>
      </c>
      <c r="AH40" s="361"/>
      <c r="AI40" s="361"/>
      <c r="AJ40" s="361"/>
      <c r="AK40" s="361"/>
      <c r="AL40" s="361"/>
      <c r="AM40" s="361"/>
      <c r="AN40" s="361"/>
      <c r="AO40" s="361"/>
      <c r="AP40" s="361" t="s">
        <v>2303</v>
      </c>
      <c r="AQ40" s="361"/>
      <c r="AR40" s="361"/>
      <c r="AS40" s="361"/>
      <c r="AT40" s="361">
        <f>_xlfn.XLOOKUP(Linea,KanriDaichou[配属係],KanriDaichou[就業場所TEL],"",0,1)</f>
        <v>0</v>
      </c>
      <c r="AU40" s="361"/>
      <c r="AV40" s="361"/>
      <c r="AW40" s="361"/>
      <c r="AX40" s="361"/>
      <c r="AY40" s="361"/>
      <c r="AZ40" s="361"/>
      <c r="BA40" s="361"/>
      <c r="BB40" s="361"/>
      <c r="BC40" s="362"/>
    </row>
    <row r="41" spans="3:55" ht="9.75" customHeight="1">
      <c r="C41" s="368"/>
      <c r="D41" s="369"/>
      <c r="E41" s="369"/>
      <c r="F41" s="369"/>
      <c r="G41" s="369"/>
      <c r="H41" s="369"/>
      <c r="I41" s="369"/>
      <c r="J41" s="369"/>
      <c r="K41" s="369"/>
      <c r="L41" s="399"/>
      <c r="M41" s="400"/>
      <c r="N41" s="377"/>
      <c r="O41" s="377"/>
      <c r="P41" s="377"/>
      <c r="Q41" s="377"/>
      <c r="R41" s="377"/>
      <c r="S41" s="377"/>
      <c r="T41" s="377"/>
      <c r="U41" s="377"/>
      <c r="V41" s="377"/>
      <c r="W41" s="377"/>
      <c r="X41" s="377"/>
      <c r="Y41" s="377"/>
      <c r="Z41" s="377"/>
      <c r="AA41" s="377"/>
      <c r="AB41" s="309"/>
      <c r="AC41" s="309"/>
      <c r="AD41" s="309"/>
      <c r="AE41" s="309"/>
      <c r="AF41" s="57"/>
      <c r="AG41" s="377"/>
      <c r="AH41" s="377"/>
      <c r="AI41" s="377"/>
      <c r="AJ41" s="377"/>
      <c r="AK41" s="377"/>
      <c r="AL41" s="377"/>
      <c r="AM41" s="377"/>
      <c r="AN41" s="377"/>
      <c r="AO41" s="377"/>
      <c r="AP41" s="377"/>
      <c r="AQ41" s="377"/>
      <c r="AR41" s="377"/>
      <c r="AS41" s="377"/>
      <c r="AT41" s="377"/>
      <c r="AU41" s="377"/>
      <c r="AV41" s="377"/>
      <c r="AW41" s="377"/>
      <c r="AX41" s="377"/>
      <c r="AY41" s="377"/>
      <c r="AZ41" s="377"/>
      <c r="BA41" s="377"/>
      <c r="BB41" s="377"/>
      <c r="BC41" s="378"/>
    </row>
    <row r="42" spans="3:55" ht="9.75" customHeight="1">
      <c r="C42" s="371"/>
      <c r="D42" s="372"/>
      <c r="E42" s="372"/>
      <c r="F42" s="372"/>
      <c r="G42" s="372"/>
      <c r="H42" s="372"/>
      <c r="I42" s="372"/>
      <c r="J42" s="372"/>
      <c r="K42" s="417"/>
      <c r="L42" s="372"/>
      <c r="M42" s="373"/>
      <c r="N42" s="528"/>
      <c r="O42" s="363"/>
      <c r="P42" s="363"/>
      <c r="Q42" s="363"/>
      <c r="R42" s="363"/>
      <c r="S42" s="363"/>
      <c r="T42" s="363"/>
      <c r="U42" s="363"/>
      <c r="V42" s="363"/>
      <c r="W42" s="363"/>
      <c r="X42" s="363"/>
      <c r="Y42" s="363"/>
      <c r="Z42" s="363"/>
      <c r="AA42" s="363"/>
      <c r="AB42" s="330"/>
      <c r="AC42" s="330"/>
      <c r="AD42" s="330"/>
      <c r="AE42" s="330"/>
      <c r="AF42" s="15"/>
      <c r="AG42" s="363"/>
      <c r="AH42" s="363"/>
      <c r="AI42" s="363"/>
      <c r="AJ42" s="363"/>
      <c r="AK42" s="363"/>
      <c r="AL42" s="363"/>
      <c r="AM42" s="363"/>
      <c r="AN42" s="363"/>
      <c r="AO42" s="363"/>
      <c r="AP42" s="528"/>
      <c r="AQ42" s="528"/>
      <c r="AR42" s="528"/>
      <c r="AS42" s="528"/>
      <c r="AT42" s="528"/>
      <c r="AU42" s="528"/>
      <c r="AV42" s="528"/>
      <c r="AW42" s="528"/>
      <c r="AX42" s="528"/>
      <c r="AY42" s="528"/>
      <c r="AZ42" s="528"/>
      <c r="BA42" s="528"/>
      <c r="BB42" s="528"/>
      <c r="BC42" s="529"/>
    </row>
    <row r="43" spans="3:55" ht="9.75" customHeight="1">
      <c r="C43" s="395" t="s">
        <v>2312</v>
      </c>
      <c r="D43" s="396"/>
      <c r="E43" s="396"/>
      <c r="F43" s="396"/>
      <c r="G43" s="396"/>
      <c r="H43" s="396"/>
      <c r="I43" s="396"/>
      <c r="J43" s="396"/>
      <c r="K43" s="422"/>
      <c r="L43" s="423"/>
      <c r="M43" s="424"/>
      <c r="N43" s="377" t="s">
        <v>2334</v>
      </c>
      <c r="O43" s="377"/>
      <c r="P43" s="377"/>
      <c r="Q43" s="377"/>
      <c r="R43" s="377"/>
      <c r="S43" s="377"/>
      <c r="T43" s="377"/>
      <c r="U43" s="377"/>
      <c r="V43" s="377"/>
      <c r="W43" s="377"/>
      <c r="X43" s="377"/>
      <c r="Y43" s="377"/>
      <c r="Z43" s="377"/>
      <c r="AA43" s="377"/>
      <c r="AB43" s="377"/>
      <c r="AC43" s="377"/>
      <c r="AD43" s="377"/>
      <c r="AE43" s="377"/>
      <c r="AF43" s="377"/>
      <c r="AG43" s="377"/>
      <c r="AH43" s="377"/>
      <c r="AI43" s="377"/>
      <c r="AJ43" s="377"/>
      <c r="AK43" s="377"/>
      <c r="AL43" s="377"/>
      <c r="AM43" s="377"/>
      <c r="AN43" s="377"/>
      <c r="AO43" s="377"/>
      <c r="AP43" s="377"/>
      <c r="AQ43" s="377"/>
      <c r="AR43" s="377"/>
      <c r="AS43" s="377"/>
      <c r="AT43" s="377"/>
      <c r="AU43" s="377"/>
      <c r="AV43" s="377"/>
      <c r="AW43" s="377"/>
      <c r="AX43" s="377"/>
      <c r="AY43" s="377"/>
      <c r="AZ43" s="377"/>
      <c r="BA43" s="377"/>
      <c r="BB43" s="377"/>
      <c r="BC43" s="378"/>
    </row>
    <row r="44" spans="3:55" ht="9.75" customHeight="1">
      <c r="C44" s="368"/>
      <c r="D44" s="369"/>
      <c r="E44" s="369"/>
      <c r="F44" s="369"/>
      <c r="G44" s="369"/>
      <c r="H44" s="369"/>
      <c r="I44" s="369"/>
      <c r="J44" s="369"/>
      <c r="K44" s="414"/>
      <c r="L44" s="423"/>
      <c r="M44" s="424"/>
      <c r="N44" s="377"/>
      <c r="O44" s="377"/>
      <c r="P44" s="377"/>
      <c r="Q44" s="377"/>
      <c r="R44" s="377"/>
      <c r="S44" s="377"/>
      <c r="T44" s="377"/>
      <c r="U44" s="377"/>
      <c r="V44" s="377"/>
      <c r="W44" s="377"/>
      <c r="X44" s="377"/>
      <c r="Y44" s="377"/>
      <c r="Z44" s="377"/>
      <c r="AA44" s="377"/>
      <c r="AB44" s="377"/>
      <c r="AC44" s="377"/>
      <c r="AD44" s="377"/>
      <c r="AE44" s="377"/>
      <c r="AF44" s="377"/>
      <c r="AG44" s="377"/>
      <c r="AH44" s="377"/>
      <c r="AI44" s="377"/>
      <c r="AJ44" s="377"/>
      <c r="AK44" s="377"/>
      <c r="AL44" s="377"/>
      <c r="AM44" s="377"/>
      <c r="AN44" s="377"/>
      <c r="AO44" s="377"/>
      <c r="AP44" s="377"/>
      <c r="AQ44" s="377"/>
      <c r="AR44" s="377"/>
      <c r="AS44" s="377"/>
      <c r="AT44" s="377"/>
      <c r="AU44" s="377"/>
      <c r="AV44" s="377"/>
      <c r="AW44" s="377"/>
      <c r="AX44" s="377"/>
      <c r="AY44" s="377"/>
      <c r="AZ44" s="377"/>
      <c r="BA44" s="377"/>
      <c r="BB44" s="377"/>
      <c r="BC44" s="378"/>
    </row>
    <row r="45" spans="3:55" ht="9.75" customHeight="1">
      <c r="C45" s="371"/>
      <c r="D45" s="372"/>
      <c r="E45" s="372"/>
      <c r="F45" s="372"/>
      <c r="G45" s="372"/>
      <c r="H45" s="372"/>
      <c r="I45" s="372"/>
      <c r="J45" s="372"/>
      <c r="K45" s="417"/>
      <c r="L45" s="418"/>
      <c r="M45" s="419"/>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4"/>
    </row>
    <row r="46" spans="3:55" ht="9.75" customHeight="1">
      <c r="C46" s="365" t="s">
        <v>2313</v>
      </c>
      <c r="D46" s="366"/>
      <c r="E46" s="366"/>
      <c r="F46" s="366"/>
      <c r="G46" s="366"/>
      <c r="H46" s="366"/>
      <c r="I46" s="366"/>
      <c r="J46" s="366"/>
      <c r="K46" s="470"/>
      <c r="L46" s="471"/>
      <c r="M46" s="472"/>
      <c r="N46" s="361" t="s">
        <v>2332</v>
      </c>
      <c r="O46" s="361"/>
      <c r="P46" s="361"/>
      <c r="Q46" s="361"/>
      <c r="R46" s="361"/>
      <c r="S46" s="361"/>
      <c r="T46" s="361"/>
      <c r="U46" s="361"/>
      <c r="V46" s="361"/>
      <c r="W46" s="361"/>
      <c r="X46" s="361"/>
      <c r="Y46" s="361"/>
      <c r="Z46" s="361"/>
      <c r="AA46" s="361"/>
      <c r="AB46" s="361"/>
      <c r="AC46" s="361"/>
      <c r="AD46" s="361"/>
      <c r="AE46" s="361"/>
      <c r="AF46" s="361"/>
      <c r="AG46" s="361"/>
      <c r="AH46" s="361"/>
      <c r="AI46" s="361"/>
      <c r="AJ46" s="361"/>
      <c r="AK46" s="361"/>
      <c r="AL46" s="361"/>
      <c r="AM46" s="361"/>
      <c r="AN46" s="361"/>
      <c r="AO46" s="361"/>
      <c r="AP46" s="361"/>
      <c r="AQ46" s="361"/>
      <c r="AR46" s="361"/>
      <c r="AS46" s="361"/>
      <c r="AT46" s="361"/>
      <c r="AU46" s="361"/>
      <c r="AV46" s="361"/>
      <c r="AW46" s="361"/>
      <c r="AX46" s="361"/>
      <c r="AY46" s="361"/>
      <c r="AZ46" s="361"/>
      <c r="BA46" s="361"/>
      <c r="BB46" s="361"/>
      <c r="BC46" s="362"/>
    </row>
    <row r="47" spans="3:55" ht="9.75" customHeight="1">
      <c r="C47" s="368"/>
      <c r="D47" s="369"/>
      <c r="E47" s="369"/>
      <c r="F47" s="369"/>
      <c r="G47" s="369"/>
      <c r="H47" s="369"/>
      <c r="I47" s="369"/>
      <c r="J47" s="369"/>
      <c r="K47" s="414"/>
      <c r="L47" s="423"/>
      <c r="M47" s="424"/>
      <c r="N47" s="377"/>
      <c r="O47" s="377"/>
      <c r="P47" s="377"/>
      <c r="Q47" s="377"/>
      <c r="R47" s="377"/>
      <c r="S47" s="377"/>
      <c r="T47" s="377"/>
      <c r="U47" s="377"/>
      <c r="V47" s="377"/>
      <c r="W47" s="377"/>
      <c r="X47" s="377"/>
      <c r="Y47" s="377"/>
      <c r="Z47" s="377"/>
      <c r="AA47" s="377"/>
      <c r="AB47" s="377"/>
      <c r="AC47" s="377"/>
      <c r="AD47" s="377"/>
      <c r="AE47" s="377"/>
      <c r="AF47" s="377"/>
      <c r="AG47" s="377"/>
      <c r="AH47" s="377"/>
      <c r="AI47" s="377"/>
      <c r="AJ47" s="377"/>
      <c r="AK47" s="377"/>
      <c r="AL47" s="377"/>
      <c r="AM47" s="377"/>
      <c r="AN47" s="377"/>
      <c r="AO47" s="377"/>
      <c r="AP47" s="377"/>
      <c r="AQ47" s="377"/>
      <c r="AR47" s="377"/>
      <c r="AS47" s="377"/>
      <c r="AT47" s="377"/>
      <c r="AU47" s="377"/>
      <c r="AV47" s="377"/>
      <c r="AW47" s="377"/>
      <c r="AX47" s="377"/>
      <c r="AY47" s="377"/>
      <c r="AZ47" s="377"/>
      <c r="BA47" s="377"/>
      <c r="BB47" s="377"/>
      <c r="BC47" s="378"/>
    </row>
    <row r="48" spans="3:55" ht="9.75" customHeight="1">
      <c r="C48" s="371"/>
      <c r="D48" s="372"/>
      <c r="E48" s="372"/>
      <c r="F48" s="372"/>
      <c r="G48" s="372"/>
      <c r="H48" s="372"/>
      <c r="I48" s="372"/>
      <c r="J48" s="372"/>
      <c r="K48" s="417"/>
      <c r="L48" s="418"/>
      <c r="M48" s="419"/>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4"/>
    </row>
    <row r="49" spans="3:60" ht="10.5" customHeight="1">
      <c r="C49" s="527" t="s">
        <v>2314</v>
      </c>
      <c r="D49" s="396"/>
      <c r="E49" s="396"/>
      <c r="F49" s="396"/>
      <c r="G49" s="396"/>
      <c r="H49" s="396"/>
      <c r="I49" s="396"/>
      <c r="J49" s="396"/>
      <c r="K49" s="422"/>
      <c r="L49" s="423"/>
      <c r="M49" s="424"/>
      <c r="N49" s="383"/>
      <c r="O49" s="361" t="str">
        <f>_xlfn.XLOOKUP(JIGYOUSHO,KanriDaichou[就業場所名称],KanriDaichou[苦情　派遣元（部署)],"",0,1)</f>
        <v>営業部</v>
      </c>
      <c r="P49" s="361"/>
      <c r="Q49" s="361"/>
      <c r="R49" s="361"/>
      <c r="S49" s="361"/>
      <c r="T49" s="361"/>
      <c r="U49" s="361"/>
      <c r="V49" s="361" t="str" cm="1">
        <f t="array" ref="V49">_xlfn.XLOOKUP(JIGYOUSHO,KanriDaichou[就業場所名称],KanriDaichou[苦情　派遣元（役職)]&amp;" "&amp;KanriDaichou[苦情　派遣元（氏名)],"",0,1)</f>
        <v>取締役 ブウ　ティ　サウ</v>
      </c>
      <c r="W49" s="361"/>
      <c r="X49" s="361"/>
      <c r="Y49" s="361"/>
      <c r="Z49" s="361"/>
      <c r="AA49" s="361"/>
      <c r="AB49" s="361"/>
      <c r="AC49" s="361"/>
      <c r="AD49" s="361"/>
      <c r="AE49" s="361"/>
      <c r="AF49" s="361"/>
      <c r="AG49" s="361"/>
      <c r="AH49" s="361"/>
      <c r="AI49" s="361"/>
      <c r="AJ49" s="361"/>
      <c r="AK49" s="361"/>
      <c r="AL49" s="361"/>
      <c r="AM49" s="361"/>
      <c r="AN49" s="361"/>
      <c r="AO49" s="361"/>
      <c r="AP49" s="361" t="s">
        <v>2303</v>
      </c>
      <c r="AQ49" s="361"/>
      <c r="AR49" s="361"/>
      <c r="AS49" s="361"/>
      <c r="AT49" s="361" t="str">
        <f>_xlfn.XLOOKUP(JIGYOUSHO,KanriDaichou[就業場所名称],KanriDaichou[苦情　派遣元（電話番号)],"",0,1)</f>
        <v>052-938-8840</v>
      </c>
      <c r="AU49" s="361"/>
      <c r="AV49" s="361"/>
      <c r="AW49" s="361"/>
      <c r="AX49" s="361"/>
      <c r="AY49" s="361"/>
      <c r="AZ49" s="361"/>
      <c r="BA49" s="361"/>
      <c r="BB49" s="361"/>
      <c r="BC49" s="362"/>
    </row>
    <row r="50" spans="3:60" ht="10.5" customHeight="1">
      <c r="C50" s="368"/>
      <c r="D50" s="369"/>
      <c r="E50" s="369"/>
      <c r="F50" s="369"/>
      <c r="G50" s="369"/>
      <c r="H50" s="369"/>
      <c r="I50" s="369"/>
      <c r="J50" s="369"/>
      <c r="K50" s="414"/>
      <c r="L50" s="423"/>
      <c r="M50" s="424"/>
      <c r="N50" s="402"/>
      <c r="O50" s="377"/>
      <c r="P50" s="377"/>
      <c r="Q50" s="377"/>
      <c r="R50" s="377"/>
      <c r="S50" s="377"/>
      <c r="T50" s="377"/>
      <c r="U50" s="377"/>
      <c r="V50" s="377"/>
      <c r="W50" s="377"/>
      <c r="X50" s="377"/>
      <c r="Y50" s="377"/>
      <c r="Z50" s="377"/>
      <c r="AA50" s="377"/>
      <c r="AB50" s="377"/>
      <c r="AC50" s="377"/>
      <c r="AD50" s="377"/>
      <c r="AE50" s="377"/>
      <c r="AF50" s="377"/>
      <c r="AG50" s="377"/>
      <c r="AH50" s="377"/>
      <c r="AI50" s="377"/>
      <c r="AJ50" s="377"/>
      <c r="AK50" s="377"/>
      <c r="AL50" s="377"/>
      <c r="AM50" s="377"/>
      <c r="AN50" s="377"/>
      <c r="AO50" s="377"/>
      <c r="AP50" s="377"/>
      <c r="AQ50" s="377"/>
      <c r="AR50" s="377"/>
      <c r="AS50" s="377"/>
      <c r="AT50" s="377"/>
      <c r="AU50" s="377"/>
      <c r="AV50" s="377"/>
      <c r="AW50" s="377"/>
      <c r="AX50" s="377"/>
      <c r="AY50" s="377"/>
      <c r="AZ50" s="377"/>
      <c r="BA50" s="377"/>
      <c r="BB50" s="377"/>
      <c r="BC50" s="378"/>
    </row>
    <row r="51" spans="3:60" ht="10.5" customHeight="1">
      <c r="C51" s="371"/>
      <c r="D51" s="372"/>
      <c r="E51" s="372"/>
      <c r="F51" s="372"/>
      <c r="G51" s="372"/>
      <c r="H51" s="372"/>
      <c r="I51" s="372"/>
      <c r="J51" s="372"/>
      <c r="K51" s="417"/>
      <c r="L51" s="418"/>
      <c r="M51" s="419"/>
      <c r="N51" s="384"/>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4"/>
    </row>
    <row r="52" spans="3:60" ht="9" customHeight="1">
      <c r="C52" s="395" t="s">
        <v>2315</v>
      </c>
      <c r="D52" s="396"/>
      <c r="E52" s="396"/>
      <c r="F52" s="396"/>
      <c r="G52" s="396"/>
      <c r="H52" s="396"/>
      <c r="I52" s="396"/>
      <c r="J52" s="396"/>
      <c r="K52" s="422"/>
      <c r="L52" s="423"/>
      <c r="M52" s="424"/>
      <c r="N52" s="8"/>
      <c r="O52" s="361" t="s">
        <v>2316</v>
      </c>
      <c r="P52" s="361"/>
      <c r="Q52" s="361"/>
      <c r="R52" s="361"/>
      <c r="S52" s="361"/>
      <c r="T52" s="361"/>
      <c r="U52" s="361"/>
      <c r="V52" s="361"/>
      <c r="W52" s="361"/>
      <c r="X52" s="361"/>
      <c r="Y52" s="361"/>
      <c r="Z52" s="361"/>
      <c r="AA52" s="361"/>
      <c r="AB52" s="361"/>
      <c r="AC52" s="361"/>
      <c r="AD52" s="361"/>
      <c r="AE52" s="362"/>
      <c r="AF52" s="383" t="s">
        <v>2317</v>
      </c>
      <c r="AG52" s="361"/>
      <c r="AH52" s="361"/>
      <c r="AI52" s="361"/>
      <c r="AJ52" s="361"/>
      <c r="AK52" s="361"/>
      <c r="AL52" s="362"/>
      <c r="AM52" s="377" t="s">
        <v>2318</v>
      </c>
      <c r="AN52" s="377"/>
      <c r="AO52" s="377"/>
      <c r="AP52" s="377"/>
      <c r="AQ52" s="377"/>
      <c r="AR52" s="377"/>
      <c r="AS52" s="377"/>
      <c r="AT52" s="377"/>
      <c r="AU52" s="377"/>
      <c r="AV52" s="377"/>
      <c r="AW52" s="377"/>
      <c r="AX52" s="377"/>
      <c r="AY52" s="377"/>
      <c r="AZ52" s="377"/>
      <c r="BA52" s="377"/>
      <c r="BB52" s="377"/>
      <c r="BC52" s="378"/>
      <c r="BH52" s="7" t="s">
        <v>3029</v>
      </c>
    </row>
    <row r="53" spans="3:60" ht="9" customHeight="1">
      <c r="C53" s="368"/>
      <c r="D53" s="369"/>
      <c r="E53" s="369"/>
      <c r="F53" s="369"/>
      <c r="G53" s="369"/>
      <c r="H53" s="369"/>
      <c r="I53" s="369"/>
      <c r="J53" s="369"/>
      <c r="K53" s="414"/>
      <c r="L53" s="423"/>
      <c r="M53" s="424"/>
      <c r="N53" s="71"/>
      <c r="O53" s="377"/>
      <c r="P53" s="377"/>
      <c r="Q53" s="377"/>
      <c r="R53" s="377"/>
      <c r="S53" s="377"/>
      <c r="T53" s="377"/>
      <c r="U53" s="377"/>
      <c r="V53" s="377"/>
      <c r="W53" s="377"/>
      <c r="X53" s="377"/>
      <c r="Y53" s="377"/>
      <c r="Z53" s="377"/>
      <c r="AA53" s="377"/>
      <c r="AB53" s="377"/>
      <c r="AC53" s="377"/>
      <c r="AD53" s="377"/>
      <c r="AE53" s="378"/>
      <c r="AF53" s="402"/>
      <c r="AG53" s="377"/>
      <c r="AH53" s="377"/>
      <c r="AI53" s="377"/>
      <c r="AJ53" s="377"/>
      <c r="AK53" s="377"/>
      <c r="AL53" s="378"/>
      <c r="AM53" s="377"/>
      <c r="AN53" s="377"/>
      <c r="AO53" s="377"/>
      <c r="AP53" s="377"/>
      <c r="AQ53" s="377"/>
      <c r="AR53" s="377"/>
      <c r="AS53" s="377"/>
      <c r="AT53" s="377"/>
      <c r="AU53" s="377"/>
      <c r="AV53" s="377"/>
      <c r="AW53" s="377"/>
      <c r="AX53" s="377"/>
      <c r="AY53" s="377"/>
      <c r="AZ53" s="377"/>
      <c r="BA53" s="377"/>
      <c r="BB53" s="377"/>
      <c r="BC53" s="378"/>
    </row>
    <row r="54" spans="3:60" ht="9" customHeight="1">
      <c r="C54" s="371"/>
      <c r="D54" s="372"/>
      <c r="E54" s="372"/>
      <c r="F54" s="372"/>
      <c r="G54" s="372"/>
      <c r="H54" s="372"/>
      <c r="I54" s="372"/>
      <c r="J54" s="372"/>
      <c r="K54" s="417"/>
      <c r="L54" s="418"/>
      <c r="M54" s="419"/>
      <c r="N54" s="71"/>
      <c r="O54" s="363"/>
      <c r="P54" s="363"/>
      <c r="Q54" s="363"/>
      <c r="R54" s="363"/>
      <c r="S54" s="363"/>
      <c r="T54" s="363"/>
      <c r="U54" s="363"/>
      <c r="V54" s="363"/>
      <c r="W54" s="363"/>
      <c r="X54" s="363"/>
      <c r="Y54" s="363"/>
      <c r="Z54" s="363"/>
      <c r="AA54" s="363"/>
      <c r="AB54" s="363"/>
      <c r="AC54" s="363"/>
      <c r="AD54" s="363"/>
      <c r="AE54" s="364"/>
      <c r="AF54" s="384"/>
      <c r="AG54" s="363"/>
      <c r="AH54" s="363"/>
      <c r="AI54" s="363"/>
      <c r="AJ54" s="363"/>
      <c r="AK54" s="363"/>
      <c r="AL54" s="364"/>
      <c r="AM54" s="377"/>
      <c r="AN54" s="377"/>
      <c r="AO54" s="377"/>
      <c r="AP54" s="377"/>
      <c r="AQ54" s="377"/>
      <c r="AR54" s="377"/>
      <c r="AS54" s="377"/>
      <c r="AT54" s="377"/>
      <c r="AU54" s="377"/>
      <c r="AV54" s="377"/>
      <c r="AW54" s="377"/>
      <c r="AX54" s="377"/>
      <c r="AY54" s="377"/>
      <c r="AZ54" s="377"/>
      <c r="BA54" s="377"/>
      <c r="BB54" s="377"/>
      <c r="BC54" s="378"/>
      <c r="BH54" s="7" t="s">
        <v>3008</v>
      </c>
    </row>
    <row r="55" spans="3:60" ht="15" customHeight="1">
      <c r="C55" s="467" t="s">
        <v>2319</v>
      </c>
      <c r="D55" s="468"/>
      <c r="E55" s="468"/>
      <c r="F55" s="468"/>
      <c r="G55" s="468"/>
      <c r="H55" s="468"/>
      <c r="I55" s="468"/>
      <c r="J55" s="468"/>
      <c r="K55" s="468"/>
      <c r="L55" s="468"/>
      <c r="M55" s="468"/>
      <c r="N55" s="468"/>
      <c r="O55" s="468"/>
      <c r="P55" s="468"/>
      <c r="Q55" s="468"/>
      <c r="R55" s="468"/>
      <c r="S55" s="468"/>
      <c r="T55" s="468"/>
      <c r="U55" s="468"/>
      <c r="V55" s="468"/>
      <c r="W55" s="468"/>
      <c r="X55" s="468"/>
      <c r="Y55" s="468"/>
      <c r="Z55" s="468"/>
      <c r="AA55" s="468"/>
      <c r="AB55" s="468"/>
      <c r="AC55" s="468"/>
      <c r="AD55" s="468"/>
      <c r="AE55" s="468"/>
      <c r="AF55" s="468"/>
      <c r="AG55" s="468"/>
      <c r="AH55" s="468"/>
      <c r="AI55" s="468"/>
      <c r="AJ55" s="468"/>
      <c r="AK55" s="468"/>
      <c r="AL55" s="468"/>
      <c r="AM55" s="468"/>
      <c r="AN55" s="468"/>
      <c r="AO55" s="468"/>
      <c r="AP55" s="468"/>
      <c r="AQ55" s="468"/>
      <c r="AR55" s="468"/>
      <c r="AS55" s="468"/>
      <c r="AT55" s="468"/>
      <c r="AU55" s="468"/>
      <c r="AV55" s="468"/>
      <c r="AW55" s="468"/>
      <c r="AX55" s="468"/>
      <c r="AY55" s="468"/>
      <c r="AZ55" s="468"/>
      <c r="BA55" s="468"/>
      <c r="BB55" s="468"/>
      <c r="BC55" s="469"/>
      <c r="BH55" s="7" t="s">
        <v>2956</v>
      </c>
    </row>
    <row r="56" spans="3:60" ht="15" customHeight="1">
      <c r="C56" s="474" t="e">
        <f>IF(AND(_xlfn.XLOOKUP(NombreID,TablaTransfor[カナ],TablaTransfor[入社日])&gt;=O37,_xlfn.XLOOKUP(NombreID,TablaTransfor[カナ],TablaTransfor[入社日])&lt;=W37),_xlfn.XLOOKUP(NombreID,TablaTransfor[カナ],TablaTransfor[入社日]),"")</f>
        <v>#N/A</v>
      </c>
      <c r="D56" s="475"/>
      <c r="E56" s="475"/>
      <c r="F56" s="475"/>
      <c r="G56" s="475"/>
      <c r="H56" s="475"/>
      <c r="I56" s="475"/>
      <c r="J56" s="475"/>
      <c r="K56" s="475"/>
      <c r="L56" s="475"/>
      <c r="M56" s="475"/>
      <c r="N56" s="473" t="e">
        <f>IF(C56="","","安全衛生教育")</f>
        <v>#N/A</v>
      </c>
      <c r="O56" s="473"/>
      <c r="P56" s="473"/>
      <c r="Q56" s="473"/>
      <c r="R56" s="473"/>
      <c r="S56" s="473"/>
      <c r="T56" s="473"/>
      <c r="U56" s="473"/>
      <c r="V56" s="473"/>
      <c r="W56" s="473"/>
      <c r="X56" s="473"/>
      <c r="Y56" s="473"/>
      <c r="Z56" s="473"/>
      <c r="AA56" s="473"/>
      <c r="AB56" s="473"/>
      <c r="AC56" s="473"/>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5"/>
      <c r="BC56" s="536"/>
      <c r="BH56" s="7" t="s">
        <v>3027</v>
      </c>
    </row>
    <row r="57" spans="3:60" ht="15" customHeight="1">
      <c r="C57" s="474" t="e">
        <f>IF(NombreID="ブイ　ティ　イエン","",IF(AND(_xlfn.XLOOKUP(NombreID,TablaTransfor[カナ],TablaTransfor[入社日])&gt;=O37,_xlfn.XLOOKUP(NombreID,TablaTransfor[カナ],TablaTransfor[入社日])&lt;=W37),_xlfn.XLOOKUP(NombreID,TablaTransfor[カナ],TablaTransfor[入社日])+1,""))</f>
        <v>#N/A</v>
      </c>
      <c r="D57" s="475"/>
      <c r="E57" s="475"/>
      <c r="F57" s="475"/>
      <c r="G57" s="475"/>
      <c r="H57" s="475"/>
      <c r="I57" s="475"/>
      <c r="J57" s="475"/>
      <c r="K57" s="475"/>
      <c r="L57" s="475"/>
      <c r="M57" s="475"/>
      <c r="N57" s="473" t="e">
        <f>IF(C57="","","産業用ロボット特別教育")</f>
        <v>#N/A</v>
      </c>
      <c r="O57" s="473"/>
      <c r="P57" s="473"/>
      <c r="Q57" s="473"/>
      <c r="R57" s="473"/>
      <c r="S57" s="473"/>
      <c r="T57" s="473"/>
      <c r="U57" s="473"/>
      <c r="V57" s="473"/>
      <c r="W57" s="473"/>
      <c r="X57" s="473"/>
      <c r="Y57" s="473"/>
      <c r="Z57" s="473"/>
      <c r="AA57" s="473"/>
      <c r="AB57" s="473"/>
      <c r="AC57" s="473"/>
      <c r="AD57" s="535"/>
      <c r="AE57" s="535"/>
      <c r="AF57" s="535"/>
      <c r="AG57" s="535"/>
      <c r="AH57" s="535"/>
      <c r="AI57" s="535"/>
      <c r="AJ57" s="535"/>
      <c r="AK57" s="535"/>
      <c r="AL57" s="535"/>
      <c r="AM57" s="535"/>
      <c r="AN57" s="535"/>
      <c r="AO57" s="535"/>
      <c r="AP57" s="535"/>
      <c r="AQ57" s="535"/>
      <c r="AR57" s="535"/>
      <c r="AS57" s="535"/>
      <c r="AT57" s="535"/>
      <c r="AU57" s="535"/>
      <c r="AV57" s="535"/>
      <c r="AW57" s="535"/>
      <c r="AX57" s="535"/>
      <c r="AY57" s="535"/>
      <c r="AZ57" s="535"/>
      <c r="BA57" s="535"/>
      <c r="BB57" s="535"/>
      <c r="BC57" s="536"/>
    </row>
    <row r="58" spans="3:60" ht="15" customHeight="1">
      <c r="C58" s="533" t="e">
        <f>IF(AND(_xlfn.XLOOKUP(NombreID,TablaTransfor[カナ],TablaTransfor[Robot])&gt;=O37,_xlfn.XLOOKUP(NombreID,TablaTransfor[カナ],TablaTransfor[Robot])&lt;=W37),_xlfn.XLOOKUP(NombreID,TablaTransfor[カナ],TablaTransfor[Robot]),"")</f>
        <v>#N/A</v>
      </c>
      <c r="D58" s="534"/>
      <c r="E58" s="534"/>
      <c r="F58" s="534"/>
      <c r="G58" s="534"/>
      <c r="H58" s="534"/>
      <c r="I58" s="534"/>
      <c r="J58" s="534"/>
      <c r="K58" s="534"/>
      <c r="L58" s="534"/>
      <c r="M58" s="534"/>
      <c r="N58" s="530" t="e">
        <f>IF(C58="","",IF(NombreID="ブイ　ティ　イエン","出荷検査","作業認定"))</f>
        <v>#N/A</v>
      </c>
      <c r="O58" s="530"/>
      <c r="P58" s="530"/>
      <c r="Q58" s="530"/>
      <c r="R58" s="530"/>
      <c r="S58" s="530"/>
      <c r="T58" s="530"/>
      <c r="U58" s="530"/>
      <c r="V58" s="530"/>
      <c r="W58" s="530"/>
      <c r="X58" s="530"/>
      <c r="Y58" s="530"/>
      <c r="Z58" s="530"/>
      <c r="AA58" s="530"/>
      <c r="AB58" s="530"/>
      <c r="AC58" s="530"/>
      <c r="AD58" s="531"/>
      <c r="AE58" s="531"/>
      <c r="AF58" s="531"/>
      <c r="AG58" s="531"/>
      <c r="AH58" s="531"/>
      <c r="AI58" s="531"/>
      <c r="AJ58" s="531"/>
      <c r="AK58" s="531"/>
      <c r="AL58" s="531"/>
      <c r="AM58" s="531"/>
      <c r="AN58" s="531"/>
      <c r="AO58" s="531"/>
      <c r="AP58" s="531"/>
      <c r="AQ58" s="531"/>
      <c r="AR58" s="531"/>
      <c r="AS58" s="531"/>
      <c r="AT58" s="531"/>
      <c r="AU58" s="531"/>
      <c r="AV58" s="531"/>
      <c r="AW58" s="531"/>
      <c r="AX58" s="531"/>
      <c r="AY58" s="531"/>
      <c r="AZ58" s="531"/>
      <c r="BA58" s="531"/>
      <c r="BB58" s="531"/>
      <c r="BC58" s="532"/>
    </row>
    <row r="59" spans="3:60" ht="15" customHeight="1">
      <c r="C59" s="477" t="s">
        <v>2320</v>
      </c>
      <c r="D59" s="478"/>
      <c r="E59" s="479"/>
      <c r="F59" s="486" t="s">
        <v>2321</v>
      </c>
      <c r="G59" s="487"/>
      <c r="H59" s="487"/>
      <c r="I59" s="487"/>
      <c r="J59" s="487"/>
      <c r="K59" s="487"/>
      <c r="L59" s="488"/>
      <c r="M59" s="487"/>
      <c r="N59" s="487"/>
      <c r="O59" s="487"/>
      <c r="P59" s="489"/>
      <c r="Q59" s="487" t="s">
        <v>2322</v>
      </c>
      <c r="R59" s="487"/>
      <c r="S59" s="487"/>
      <c r="T59" s="487"/>
      <c r="U59" s="487"/>
      <c r="V59" s="487"/>
      <c r="W59" s="487"/>
      <c r="X59" s="487"/>
      <c r="Y59" s="487"/>
      <c r="Z59" s="487"/>
      <c r="AA59" s="487"/>
      <c r="AB59" s="487"/>
      <c r="AC59" s="487"/>
      <c r="AD59" s="487"/>
      <c r="AE59" s="487"/>
      <c r="AF59" s="487"/>
      <c r="AG59" s="487"/>
      <c r="AH59" s="487"/>
      <c r="AI59" s="487"/>
      <c r="AJ59" s="487"/>
      <c r="AK59" s="487"/>
      <c r="AL59" s="487"/>
      <c r="AM59" s="487"/>
      <c r="AN59" s="487"/>
      <c r="AO59" s="487"/>
      <c r="AP59" s="487"/>
      <c r="AQ59" s="487"/>
      <c r="AR59" s="487"/>
      <c r="AS59" s="487"/>
      <c r="AT59" s="487"/>
      <c r="AU59" s="487"/>
      <c r="AV59" s="487"/>
      <c r="AW59" s="487"/>
      <c r="AX59" s="487"/>
      <c r="AY59" s="487"/>
      <c r="AZ59" s="487"/>
      <c r="BA59" s="487"/>
      <c r="BB59" s="487"/>
      <c r="BC59" s="489"/>
    </row>
    <row r="60" spans="3:60" ht="9" customHeight="1">
      <c r="C60" s="480"/>
      <c r="D60" s="481"/>
      <c r="E60" s="482"/>
      <c r="F60" s="490" t="s">
        <v>2323</v>
      </c>
      <c r="G60" s="491"/>
      <c r="H60" s="491"/>
      <c r="I60" s="494" t="s">
        <v>2324</v>
      </c>
      <c r="J60" s="495"/>
      <c r="K60" s="496"/>
      <c r="L60" s="496"/>
      <c r="M60" s="497"/>
      <c r="N60" s="497"/>
      <c r="O60" s="497"/>
      <c r="P60" s="498"/>
      <c r="Q60" s="507"/>
      <c r="R60" s="508"/>
      <c r="S60" s="508"/>
      <c r="T60" s="508"/>
      <c r="U60" s="508"/>
      <c r="V60" s="508"/>
      <c r="W60" s="508"/>
      <c r="X60" s="508"/>
      <c r="Y60" s="508"/>
      <c r="Z60" s="508"/>
      <c r="AA60" s="508"/>
      <c r="AB60" s="508"/>
      <c r="AC60" s="508"/>
      <c r="AD60" s="508"/>
      <c r="AE60" s="508"/>
      <c r="AF60" s="508"/>
      <c r="AG60" s="508"/>
      <c r="AH60" s="508"/>
      <c r="AI60" s="508"/>
      <c r="AJ60" s="508"/>
      <c r="AK60" s="508"/>
      <c r="AL60" s="508"/>
      <c r="AM60" s="508"/>
      <c r="AN60" s="508"/>
      <c r="AO60" s="508"/>
      <c r="AP60" s="508"/>
      <c r="AQ60" s="508"/>
      <c r="AR60" s="508"/>
      <c r="AS60" s="508"/>
      <c r="AT60" s="508"/>
      <c r="AU60" s="508"/>
      <c r="AV60" s="508"/>
      <c r="AW60" s="508"/>
      <c r="AX60" s="508"/>
      <c r="AY60" s="508"/>
      <c r="AZ60" s="508"/>
      <c r="BA60" s="508"/>
      <c r="BB60" s="508"/>
      <c r="BC60" s="509"/>
    </row>
    <row r="61" spans="3:60" ht="9" customHeight="1">
      <c r="C61" s="480"/>
      <c r="D61" s="481"/>
      <c r="E61" s="482"/>
      <c r="F61" s="490"/>
      <c r="G61" s="491"/>
      <c r="H61" s="491"/>
      <c r="I61" s="499"/>
      <c r="J61" s="500"/>
      <c r="K61" s="500"/>
      <c r="L61" s="501"/>
      <c r="M61" s="501"/>
      <c r="N61" s="501"/>
      <c r="O61" s="501"/>
      <c r="P61" s="502"/>
      <c r="Q61" s="510"/>
      <c r="R61" s="511"/>
      <c r="S61" s="511"/>
      <c r="T61" s="511"/>
      <c r="U61" s="511"/>
      <c r="V61" s="511"/>
      <c r="W61" s="511"/>
      <c r="X61" s="511"/>
      <c r="Y61" s="511"/>
      <c r="Z61" s="511"/>
      <c r="AA61" s="511"/>
      <c r="AB61" s="511"/>
      <c r="AC61" s="511"/>
      <c r="AD61" s="511"/>
      <c r="AE61" s="511"/>
      <c r="AF61" s="511"/>
      <c r="AG61" s="511"/>
      <c r="AH61" s="511"/>
      <c r="AI61" s="511"/>
      <c r="AJ61" s="511"/>
      <c r="AK61" s="511"/>
      <c r="AL61" s="511"/>
      <c r="AM61" s="511"/>
      <c r="AN61" s="511"/>
      <c r="AO61" s="511"/>
      <c r="AP61" s="511"/>
      <c r="AQ61" s="511"/>
      <c r="AR61" s="511"/>
      <c r="AS61" s="511"/>
      <c r="AT61" s="511"/>
      <c r="AU61" s="511"/>
      <c r="AV61" s="511"/>
      <c r="AW61" s="511"/>
      <c r="AX61" s="511"/>
      <c r="AY61" s="511"/>
      <c r="AZ61" s="511"/>
      <c r="BA61" s="511"/>
      <c r="BB61" s="511"/>
      <c r="BC61" s="512"/>
    </row>
    <row r="62" spans="3:60" ht="9" customHeight="1">
      <c r="C62" s="480"/>
      <c r="D62" s="481"/>
      <c r="E62" s="482"/>
      <c r="F62" s="490"/>
      <c r="G62" s="491"/>
      <c r="H62" s="491"/>
      <c r="I62" s="499"/>
      <c r="J62" s="500"/>
      <c r="K62" s="500"/>
      <c r="L62" s="500"/>
      <c r="M62" s="500"/>
      <c r="N62" s="500"/>
      <c r="O62" s="500"/>
      <c r="P62" s="503"/>
      <c r="Q62" s="513"/>
      <c r="R62" s="514"/>
      <c r="S62" s="514"/>
      <c r="T62" s="514"/>
      <c r="U62" s="514"/>
      <c r="V62" s="514"/>
      <c r="W62" s="514"/>
      <c r="X62" s="514"/>
      <c r="Y62" s="514"/>
      <c r="Z62" s="514"/>
      <c r="AA62" s="514"/>
      <c r="AB62" s="514"/>
      <c r="AC62" s="514"/>
      <c r="AD62" s="514"/>
      <c r="AE62" s="514"/>
      <c r="AF62" s="514"/>
      <c r="AG62" s="514"/>
      <c r="AH62" s="514"/>
      <c r="AI62" s="514"/>
      <c r="AJ62" s="514"/>
      <c r="AK62" s="514"/>
      <c r="AL62" s="514"/>
      <c r="AM62" s="514"/>
      <c r="AN62" s="514"/>
      <c r="AO62" s="514"/>
      <c r="AP62" s="514"/>
      <c r="AQ62" s="514"/>
      <c r="AR62" s="514"/>
      <c r="AS62" s="514"/>
      <c r="AT62" s="514"/>
      <c r="AU62" s="514"/>
      <c r="AV62" s="514"/>
      <c r="AW62" s="514"/>
      <c r="AX62" s="514"/>
      <c r="AY62" s="514"/>
      <c r="AZ62" s="514"/>
      <c r="BA62" s="514"/>
      <c r="BB62" s="514"/>
      <c r="BC62" s="515"/>
    </row>
    <row r="63" spans="3:60" ht="9" customHeight="1">
      <c r="C63" s="480"/>
      <c r="D63" s="481"/>
      <c r="E63" s="482"/>
      <c r="F63" s="490"/>
      <c r="G63" s="491"/>
      <c r="H63" s="491"/>
      <c r="I63" s="499"/>
      <c r="J63" s="500"/>
      <c r="K63" s="500"/>
      <c r="L63" s="500"/>
      <c r="M63" s="500"/>
      <c r="N63" s="500"/>
      <c r="O63" s="500"/>
      <c r="P63" s="503"/>
      <c r="Q63" s="510"/>
      <c r="R63" s="511"/>
      <c r="S63" s="511"/>
      <c r="T63" s="511"/>
      <c r="U63" s="511"/>
      <c r="V63" s="511"/>
      <c r="W63" s="511"/>
      <c r="X63" s="511"/>
      <c r="Y63" s="511"/>
      <c r="Z63" s="511"/>
      <c r="AA63" s="511"/>
      <c r="AB63" s="511"/>
      <c r="AC63" s="511"/>
      <c r="AD63" s="511"/>
      <c r="AE63" s="511"/>
      <c r="AF63" s="511"/>
      <c r="AG63" s="511"/>
      <c r="AH63" s="511"/>
      <c r="AI63" s="511"/>
      <c r="AJ63" s="511"/>
      <c r="AK63" s="511"/>
      <c r="AL63" s="511"/>
      <c r="AM63" s="511"/>
      <c r="AN63" s="511"/>
      <c r="AO63" s="511"/>
      <c r="AP63" s="511"/>
      <c r="AQ63" s="511"/>
      <c r="AR63" s="511"/>
      <c r="AS63" s="511"/>
      <c r="AT63" s="511"/>
      <c r="AU63" s="511"/>
      <c r="AV63" s="511"/>
      <c r="AW63" s="511"/>
      <c r="AX63" s="511"/>
      <c r="AY63" s="511"/>
      <c r="AZ63" s="511"/>
      <c r="BA63" s="511"/>
      <c r="BB63" s="511"/>
      <c r="BC63" s="512"/>
    </row>
    <row r="64" spans="3:60" ht="9" customHeight="1">
      <c r="C64" s="480"/>
      <c r="D64" s="481"/>
      <c r="E64" s="482"/>
      <c r="F64" s="490"/>
      <c r="G64" s="491"/>
      <c r="H64" s="491"/>
      <c r="I64" s="499"/>
      <c r="J64" s="500"/>
      <c r="K64" s="500"/>
      <c r="L64" s="500"/>
      <c r="M64" s="500"/>
      <c r="N64" s="500"/>
      <c r="O64" s="500"/>
      <c r="P64" s="503"/>
      <c r="Q64" s="516"/>
      <c r="R64" s="517"/>
      <c r="S64" s="517"/>
      <c r="T64" s="517"/>
      <c r="U64" s="517"/>
      <c r="V64" s="517"/>
      <c r="W64" s="517"/>
      <c r="X64" s="517"/>
      <c r="Y64" s="517"/>
      <c r="Z64" s="517"/>
      <c r="AA64" s="517"/>
      <c r="AB64" s="517"/>
      <c r="AC64" s="517"/>
      <c r="AD64" s="517"/>
      <c r="AE64" s="517"/>
      <c r="AF64" s="517"/>
      <c r="AG64" s="517"/>
      <c r="AH64" s="517"/>
      <c r="AI64" s="517"/>
      <c r="AJ64" s="517"/>
      <c r="AK64" s="517"/>
      <c r="AL64" s="517"/>
      <c r="AM64" s="517"/>
      <c r="AN64" s="517"/>
      <c r="AO64" s="517"/>
      <c r="AP64" s="517"/>
      <c r="AQ64" s="517"/>
      <c r="AR64" s="517"/>
      <c r="AS64" s="517"/>
      <c r="AT64" s="517"/>
      <c r="AU64" s="517"/>
      <c r="AV64" s="517"/>
      <c r="AW64" s="517"/>
      <c r="AX64" s="517"/>
      <c r="AY64" s="517"/>
      <c r="AZ64" s="517"/>
      <c r="BA64" s="517"/>
      <c r="BB64" s="517"/>
      <c r="BC64" s="518"/>
    </row>
    <row r="65" spans="3:55" ht="9" customHeight="1">
      <c r="C65" s="480"/>
      <c r="D65" s="481"/>
      <c r="E65" s="482"/>
      <c r="F65" s="490"/>
      <c r="G65" s="491"/>
      <c r="H65" s="491"/>
      <c r="I65" s="504"/>
      <c r="J65" s="505"/>
      <c r="K65" s="505"/>
      <c r="L65" s="505"/>
      <c r="M65" s="505"/>
      <c r="N65" s="505"/>
      <c r="O65" s="505"/>
      <c r="P65" s="506"/>
      <c r="Q65" s="513"/>
      <c r="R65" s="514"/>
      <c r="S65" s="514"/>
      <c r="T65" s="514"/>
      <c r="U65" s="514"/>
      <c r="V65" s="514"/>
      <c r="W65" s="514"/>
      <c r="X65" s="514"/>
      <c r="Y65" s="514"/>
      <c r="Z65" s="514"/>
      <c r="AA65" s="514"/>
      <c r="AB65" s="514"/>
      <c r="AC65" s="514"/>
      <c r="AD65" s="514"/>
      <c r="AE65" s="514"/>
      <c r="AF65" s="514"/>
      <c r="AG65" s="514"/>
      <c r="AH65" s="514"/>
      <c r="AI65" s="514"/>
      <c r="AJ65" s="514"/>
      <c r="AK65" s="514"/>
      <c r="AL65" s="514"/>
      <c r="AM65" s="514"/>
      <c r="AN65" s="514"/>
      <c r="AO65" s="514"/>
      <c r="AP65" s="514"/>
      <c r="AQ65" s="514"/>
      <c r="AR65" s="514"/>
      <c r="AS65" s="514"/>
      <c r="AT65" s="514"/>
      <c r="AU65" s="514"/>
      <c r="AV65" s="514"/>
      <c r="AW65" s="514"/>
      <c r="AX65" s="514"/>
      <c r="AY65" s="514"/>
      <c r="AZ65" s="514"/>
      <c r="BA65" s="514"/>
      <c r="BB65" s="514"/>
      <c r="BC65" s="515"/>
    </row>
    <row r="66" spans="3:55" ht="9" customHeight="1">
      <c r="C66" s="480"/>
      <c r="D66" s="481"/>
      <c r="E66" s="482"/>
      <c r="F66" s="490"/>
      <c r="G66" s="491"/>
      <c r="H66" s="491"/>
      <c r="I66" s="494" t="s">
        <v>2325</v>
      </c>
      <c r="J66" s="495"/>
      <c r="K66" s="495"/>
      <c r="L66" s="495"/>
      <c r="M66" s="495"/>
      <c r="N66" s="495"/>
      <c r="O66" s="495"/>
      <c r="P66" s="519"/>
      <c r="Q66" s="510"/>
      <c r="R66" s="511"/>
      <c r="S66" s="511"/>
      <c r="T66" s="511"/>
      <c r="U66" s="511"/>
      <c r="V66" s="511"/>
      <c r="W66" s="511"/>
      <c r="X66" s="511"/>
      <c r="Y66" s="511"/>
      <c r="Z66" s="511"/>
      <c r="AA66" s="511"/>
      <c r="AB66" s="511"/>
      <c r="AC66" s="511"/>
      <c r="AD66" s="511"/>
      <c r="AE66" s="511"/>
      <c r="AF66" s="511"/>
      <c r="AG66" s="511"/>
      <c r="AH66" s="511"/>
      <c r="AI66" s="511"/>
      <c r="AJ66" s="511"/>
      <c r="AK66" s="511"/>
      <c r="AL66" s="511"/>
      <c r="AM66" s="511"/>
      <c r="AN66" s="511"/>
      <c r="AO66" s="511"/>
      <c r="AP66" s="511"/>
      <c r="AQ66" s="511"/>
      <c r="AR66" s="511"/>
      <c r="AS66" s="511"/>
      <c r="AT66" s="511"/>
      <c r="AU66" s="511"/>
      <c r="AV66" s="511"/>
      <c r="AW66" s="511"/>
      <c r="AX66" s="511"/>
      <c r="AY66" s="511"/>
      <c r="AZ66" s="511"/>
      <c r="BA66" s="511"/>
      <c r="BB66" s="511"/>
      <c r="BC66" s="512"/>
    </row>
    <row r="67" spans="3:55" ht="9" customHeight="1">
      <c r="C67" s="480"/>
      <c r="D67" s="481"/>
      <c r="E67" s="482"/>
      <c r="F67" s="490"/>
      <c r="G67" s="491"/>
      <c r="H67" s="491"/>
      <c r="I67" s="499"/>
      <c r="J67" s="500"/>
      <c r="K67" s="500"/>
      <c r="L67" s="500"/>
      <c r="M67" s="500"/>
      <c r="N67" s="500"/>
      <c r="O67" s="500"/>
      <c r="P67" s="503"/>
      <c r="Q67" s="516"/>
      <c r="R67" s="517"/>
      <c r="S67" s="517"/>
      <c r="T67" s="517"/>
      <c r="U67" s="517"/>
      <c r="V67" s="517"/>
      <c r="W67" s="517"/>
      <c r="X67" s="517"/>
      <c r="Y67" s="517"/>
      <c r="Z67" s="517"/>
      <c r="AA67" s="517"/>
      <c r="AB67" s="517"/>
      <c r="AC67" s="517"/>
      <c r="AD67" s="517"/>
      <c r="AE67" s="517"/>
      <c r="AF67" s="517"/>
      <c r="AG67" s="517"/>
      <c r="AH67" s="517"/>
      <c r="AI67" s="517"/>
      <c r="AJ67" s="517"/>
      <c r="AK67" s="517"/>
      <c r="AL67" s="517"/>
      <c r="AM67" s="517"/>
      <c r="AN67" s="517"/>
      <c r="AO67" s="517"/>
      <c r="AP67" s="517"/>
      <c r="AQ67" s="517"/>
      <c r="AR67" s="517"/>
      <c r="AS67" s="517"/>
      <c r="AT67" s="517"/>
      <c r="AU67" s="517"/>
      <c r="AV67" s="517"/>
      <c r="AW67" s="517"/>
      <c r="AX67" s="517"/>
      <c r="AY67" s="517"/>
      <c r="AZ67" s="517"/>
      <c r="BA67" s="517"/>
      <c r="BB67" s="517"/>
      <c r="BC67" s="518"/>
    </row>
    <row r="68" spans="3:55" ht="9" customHeight="1">
      <c r="C68" s="480"/>
      <c r="D68" s="481"/>
      <c r="E68" s="482"/>
      <c r="F68" s="490"/>
      <c r="G68" s="491"/>
      <c r="H68" s="491"/>
      <c r="I68" s="499"/>
      <c r="J68" s="500"/>
      <c r="K68" s="500"/>
      <c r="L68" s="500"/>
      <c r="M68" s="500"/>
      <c r="N68" s="500"/>
      <c r="O68" s="500"/>
      <c r="P68" s="503"/>
      <c r="Q68" s="513"/>
      <c r="R68" s="514"/>
      <c r="S68" s="514"/>
      <c r="T68" s="514"/>
      <c r="U68" s="514"/>
      <c r="V68" s="514"/>
      <c r="W68" s="514"/>
      <c r="X68" s="514"/>
      <c r="Y68" s="514"/>
      <c r="Z68" s="514"/>
      <c r="AA68" s="514"/>
      <c r="AB68" s="514"/>
      <c r="AC68" s="514"/>
      <c r="AD68" s="514"/>
      <c r="AE68" s="514"/>
      <c r="AF68" s="514"/>
      <c r="AG68" s="514"/>
      <c r="AH68" s="514"/>
      <c r="AI68" s="514"/>
      <c r="AJ68" s="514"/>
      <c r="AK68" s="514"/>
      <c r="AL68" s="514"/>
      <c r="AM68" s="514"/>
      <c r="AN68" s="514"/>
      <c r="AO68" s="514"/>
      <c r="AP68" s="514"/>
      <c r="AQ68" s="514"/>
      <c r="AR68" s="514"/>
      <c r="AS68" s="514"/>
      <c r="AT68" s="514"/>
      <c r="AU68" s="514"/>
      <c r="AV68" s="514"/>
      <c r="AW68" s="514"/>
      <c r="AX68" s="514"/>
      <c r="AY68" s="514"/>
      <c r="AZ68" s="514"/>
      <c r="BA68" s="514"/>
      <c r="BB68" s="514"/>
      <c r="BC68" s="515"/>
    </row>
    <row r="69" spans="3:55" ht="9" customHeight="1">
      <c r="C69" s="480"/>
      <c r="D69" s="481"/>
      <c r="E69" s="482"/>
      <c r="F69" s="490"/>
      <c r="G69" s="491"/>
      <c r="H69" s="491"/>
      <c r="I69" s="499"/>
      <c r="J69" s="500"/>
      <c r="K69" s="500"/>
      <c r="L69" s="500"/>
      <c r="M69" s="500"/>
      <c r="N69" s="500"/>
      <c r="O69" s="500"/>
      <c r="P69" s="503"/>
      <c r="Q69" s="523"/>
      <c r="R69" s="511"/>
      <c r="S69" s="511"/>
      <c r="T69" s="511"/>
      <c r="U69" s="511"/>
      <c r="V69" s="511"/>
      <c r="W69" s="511"/>
      <c r="X69" s="511"/>
      <c r="Y69" s="511"/>
      <c r="Z69" s="511"/>
      <c r="AA69" s="511"/>
      <c r="AB69" s="511"/>
      <c r="AC69" s="511"/>
      <c r="AD69" s="511"/>
      <c r="AE69" s="511"/>
      <c r="AF69" s="511"/>
      <c r="AG69" s="511"/>
      <c r="AH69" s="511"/>
      <c r="AI69" s="511"/>
      <c r="AJ69" s="511"/>
      <c r="AK69" s="511"/>
      <c r="AL69" s="511"/>
      <c r="AM69" s="511"/>
      <c r="AN69" s="511"/>
      <c r="AO69" s="511"/>
      <c r="AP69" s="511"/>
      <c r="AQ69" s="511"/>
      <c r="AR69" s="511"/>
      <c r="AS69" s="511"/>
      <c r="AT69" s="511"/>
      <c r="AU69" s="511"/>
      <c r="AV69" s="511"/>
      <c r="AW69" s="511"/>
      <c r="AX69" s="511"/>
      <c r="AY69" s="511"/>
      <c r="AZ69" s="511"/>
      <c r="BA69" s="511"/>
      <c r="BB69" s="511"/>
      <c r="BC69" s="512"/>
    </row>
    <row r="70" spans="3:55" ht="9" customHeight="1">
      <c r="C70" s="480"/>
      <c r="D70" s="481"/>
      <c r="E70" s="482"/>
      <c r="F70" s="490"/>
      <c r="G70" s="491"/>
      <c r="H70" s="491"/>
      <c r="I70" s="499"/>
      <c r="J70" s="500"/>
      <c r="K70" s="500"/>
      <c r="L70" s="500"/>
      <c r="M70" s="500"/>
      <c r="N70" s="500"/>
      <c r="O70" s="500"/>
      <c r="P70" s="503"/>
      <c r="Q70" s="524"/>
      <c r="R70" s="517"/>
      <c r="S70" s="517"/>
      <c r="T70" s="517"/>
      <c r="U70" s="517"/>
      <c r="V70" s="517"/>
      <c r="W70" s="517"/>
      <c r="X70" s="517"/>
      <c r="Y70" s="517"/>
      <c r="Z70" s="517"/>
      <c r="AA70" s="517"/>
      <c r="AB70" s="517"/>
      <c r="AC70" s="517"/>
      <c r="AD70" s="517"/>
      <c r="AE70" s="517"/>
      <c r="AF70" s="517"/>
      <c r="AG70" s="517"/>
      <c r="AH70" s="517"/>
      <c r="AI70" s="517"/>
      <c r="AJ70" s="517"/>
      <c r="AK70" s="517"/>
      <c r="AL70" s="517"/>
      <c r="AM70" s="517"/>
      <c r="AN70" s="517"/>
      <c r="AO70" s="517"/>
      <c r="AP70" s="517"/>
      <c r="AQ70" s="517"/>
      <c r="AR70" s="517"/>
      <c r="AS70" s="517"/>
      <c r="AT70" s="517"/>
      <c r="AU70" s="517"/>
      <c r="AV70" s="517"/>
      <c r="AW70" s="517"/>
      <c r="AX70" s="517"/>
      <c r="AY70" s="517"/>
      <c r="AZ70" s="517"/>
      <c r="BA70" s="517"/>
      <c r="BB70" s="517"/>
      <c r="BC70" s="518"/>
    </row>
    <row r="71" spans="3:55" ht="9" customHeight="1">
      <c r="C71" s="480"/>
      <c r="D71" s="481"/>
      <c r="E71" s="482"/>
      <c r="F71" s="490"/>
      <c r="G71" s="491"/>
      <c r="H71" s="491"/>
      <c r="I71" s="504"/>
      <c r="J71" s="505"/>
      <c r="K71" s="505"/>
      <c r="L71" s="505"/>
      <c r="M71" s="505"/>
      <c r="N71" s="505"/>
      <c r="O71" s="505"/>
      <c r="P71" s="506"/>
      <c r="Q71" s="525"/>
      <c r="R71" s="514"/>
      <c r="S71" s="514"/>
      <c r="T71" s="514"/>
      <c r="U71" s="514"/>
      <c r="V71" s="514"/>
      <c r="W71" s="514"/>
      <c r="X71" s="514"/>
      <c r="Y71" s="514"/>
      <c r="Z71" s="514"/>
      <c r="AA71" s="514"/>
      <c r="AB71" s="514"/>
      <c r="AC71" s="514"/>
      <c r="AD71" s="514"/>
      <c r="AE71" s="514"/>
      <c r="AF71" s="514"/>
      <c r="AG71" s="514"/>
      <c r="AH71" s="514"/>
      <c r="AI71" s="514"/>
      <c r="AJ71" s="514"/>
      <c r="AK71" s="514"/>
      <c r="AL71" s="514"/>
      <c r="AM71" s="514"/>
      <c r="AN71" s="514"/>
      <c r="AO71" s="514"/>
      <c r="AP71" s="514"/>
      <c r="AQ71" s="514"/>
      <c r="AR71" s="514"/>
      <c r="AS71" s="514"/>
      <c r="AT71" s="514"/>
      <c r="AU71" s="514"/>
      <c r="AV71" s="514"/>
      <c r="AW71" s="514"/>
      <c r="AX71" s="514"/>
      <c r="AY71" s="514"/>
      <c r="AZ71" s="514"/>
      <c r="BA71" s="514"/>
      <c r="BB71" s="514"/>
      <c r="BC71" s="515"/>
    </row>
    <row r="72" spans="3:55" ht="9" customHeight="1">
      <c r="C72" s="480"/>
      <c r="D72" s="481"/>
      <c r="E72" s="482"/>
      <c r="F72" s="490"/>
      <c r="G72" s="491"/>
      <c r="H72" s="491"/>
      <c r="I72" s="526" t="s">
        <v>2326</v>
      </c>
      <c r="J72" s="501"/>
      <c r="K72" s="501"/>
      <c r="L72" s="501"/>
      <c r="M72" s="501"/>
      <c r="N72" s="501"/>
      <c r="O72" s="501"/>
      <c r="P72" s="502"/>
      <c r="Q72" s="520"/>
      <c r="R72" s="521"/>
      <c r="S72" s="521"/>
      <c r="T72" s="521"/>
      <c r="U72" s="521"/>
      <c r="V72" s="521"/>
      <c r="W72" s="521"/>
      <c r="X72" s="521"/>
      <c r="Y72" s="521"/>
      <c r="Z72" s="521"/>
      <c r="AA72" s="521"/>
      <c r="AB72" s="521"/>
      <c r="AC72" s="521"/>
      <c r="AD72" s="521"/>
      <c r="AE72" s="521"/>
      <c r="AF72" s="521"/>
      <c r="AG72" s="521"/>
      <c r="AH72" s="521"/>
      <c r="AI72" s="521"/>
      <c r="AJ72" s="521"/>
      <c r="AK72" s="521"/>
      <c r="AL72" s="521"/>
      <c r="AM72" s="521"/>
      <c r="AN72" s="521"/>
      <c r="AO72" s="521"/>
      <c r="AP72" s="521"/>
      <c r="AQ72" s="521"/>
      <c r="AR72" s="521"/>
      <c r="AS72" s="521"/>
      <c r="AT72" s="521"/>
      <c r="AU72" s="521"/>
      <c r="AV72" s="521"/>
      <c r="AW72" s="521"/>
      <c r="AX72" s="521"/>
      <c r="AY72" s="521"/>
      <c r="AZ72" s="521"/>
      <c r="BA72" s="521"/>
      <c r="BB72" s="521"/>
      <c r="BC72" s="522"/>
    </row>
    <row r="73" spans="3:55" ht="9" customHeight="1">
      <c r="C73" s="480"/>
      <c r="D73" s="481"/>
      <c r="E73" s="482"/>
      <c r="F73" s="490"/>
      <c r="G73" s="491"/>
      <c r="H73" s="491"/>
      <c r="I73" s="499"/>
      <c r="J73" s="500"/>
      <c r="K73" s="500"/>
      <c r="L73" s="500"/>
      <c r="M73" s="500"/>
      <c r="N73" s="500"/>
      <c r="O73" s="500"/>
      <c r="P73" s="503"/>
      <c r="Q73" s="516"/>
      <c r="R73" s="517"/>
      <c r="S73" s="517"/>
      <c r="T73" s="517"/>
      <c r="U73" s="517"/>
      <c r="V73" s="517"/>
      <c r="W73" s="517"/>
      <c r="X73" s="517"/>
      <c r="Y73" s="517"/>
      <c r="Z73" s="517"/>
      <c r="AA73" s="517"/>
      <c r="AB73" s="517"/>
      <c r="AC73" s="517"/>
      <c r="AD73" s="517"/>
      <c r="AE73" s="517"/>
      <c r="AF73" s="517"/>
      <c r="AG73" s="517"/>
      <c r="AH73" s="517"/>
      <c r="AI73" s="517"/>
      <c r="AJ73" s="517"/>
      <c r="AK73" s="517"/>
      <c r="AL73" s="517"/>
      <c r="AM73" s="517"/>
      <c r="AN73" s="517"/>
      <c r="AO73" s="517"/>
      <c r="AP73" s="517"/>
      <c r="AQ73" s="517"/>
      <c r="AR73" s="517"/>
      <c r="AS73" s="517"/>
      <c r="AT73" s="517"/>
      <c r="AU73" s="517"/>
      <c r="AV73" s="517"/>
      <c r="AW73" s="517"/>
      <c r="AX73" s="517"/>
      <c r="AY73" s="517"/>
      <c r="AZ73" s="517"/>
      <c r="BA73" s="517"/>
      <c r="BB73" s="517"/>
      <c r="BC73" s="518"/>
    </row>
    <row r="74" spans="3:55" ht="9" customHeight="1">
      <c r="C74" s="480"/>
      <c r="D74" s="481"/>
      <c r="E74" s="482"/>
      <c r="F74" s="490"/>
      <c r="G74" s="491"/>
      <c r="H74" s="491"/>
      <c r="I74" s="499"/>
      <c r="J74" s="500"/>
      <c r="K74" s="500"/>
      <c r="L74" s="500"/>
      <c r="M74" s="500"/>
      <c r="N74" s="500"/>
      <c r="O74" s="500"/>
      <c r="P74" s="503"/>
      <c r="Q74" s="513"/>
      <c r="R74" s="514"/>
      <c r="S74" s="514"/>
      <c r="T74" s="514"/>
      <c r="U74" s="514"/>
      <c r="V74" s="514"/>
      <c r="W74" s="514"/>
      <c r="X74" s="514"/>
      <c r="Y74" s="514"/>
      <c r="Z74" s="514"/>
      <c r="AA74" s="514"/>
      <c r="AB74" s="514"/>
      <c r="AC74" s="514"/>
      <c r="AD74" s="514"/>
      <c r="AE74" s="514"/>
      <c r="AF74" s="514"/>
      <c r="AG74" s="514"/>
      <c r="AH74" s="514"/>
      <c r="AI74" s="514"/>
      <c r="AJ74" s="514"/>
      <c r="AK74" s="514"/>
      <c r="AL74" s="514"/>
      <c r="AM74" s="514"/>
      <c r="AN74" s="514"/>
      <c r="AO74" s="514"/>
      <c r="AP74" s="514"/>
      <c r="AQ74" s="514"/>
      <c r="AR74" s="514"/>
      <c r="AS74" s="514"/>
      <c r="AT74" s="514"/>
      <c r="AU74" s="514"/>
      <c r="AV74" s="514"/>
      <c r="AW74" s="514"/>
      <c r="AX74" s="514"/>
      <c r="AY74" s="514"/>
      <c r="AZ74" s="514"/>
      <c r="BA74" s="514"/>
      <c r="BB74" s="514"/>
      <c r="BC74" s="515"/>
    </row>
    <row r="75" spans="3:55" ht="9" customHeight="1">
      <c r="C75" s="480"/>
      <c r="D75" s="481"/>
      <c r="E75" s="482"/>
      <c r="F75" s="490"/>
      <c r="G75" s="491"/>
      <c r="H75" s="491"/>
      <c r="I75" s="499"/>
      <c r="J75" s="500"/>
      <c r="K75" s="500"/>
      <c r="L75" s="500"/>
      <c r="M75" s="500"/>
      <c r="N75" s="500"/>
      <c r="O75" s="500"/>
      <c r="P75" s="503"/>
      <c r="Q75" s="523"/>
      <c r="R75" s="511"/>
      <c r="S75" s="511"/>
      <c r="T75" s="511"/>
      <c r="U75" s="511"/>
      <c r="V75" s="511"/>
      <c r="W75" s="511"/>
      <c r="X75" s="511"/>
      <c r="Y75" s="511"/>
      <c r="Z75" s="511"/>
      <c r="AA75" s="511"/>
      <c r="AB75" s="511"/>
      <c r="AC75" s="511"/>
      <c r="AD75" s="511"/>
      <c r="AE75" s="511"/>
      <c r="AF75" s="511"/>
      <c r="AG75" s="511"/>
      <c r="AH75" s="511"/>
      <c r="AI75" s="511"/>
      <c r="AJ75" s="511"/>
      <c r="AK75" s="511"/>
      <c r="AL75" s="511"/>
      <c r="AM75" s="511"/>
      <c r="AN75" s="511"/>
      <c r="AO75" s="511"/>
      <c r="AP75" s="511"/>
      <c r="AQ75" s="511"/>
      <c r="AR75" s="511"/>
      <c r="AS75" s="511"/>
      <c r="AT75" s="511"/>
      <c r="AU75" s="511"/>
      <c r="AV75" s="511"/>
      <c r="AW75" s="511"/>
      <c r="AX75" s="511"/>
      <c r="AY75" s="511"/>
      <c r="AZ75" s="511"/>
      <c r="BA75" s="511"/>
      <c r="BB75" s="511"/>
      <c r="BC75" s="512"/>
    </row>
    <row r="76" spans="3:55" ht="9" customHeight="1">
      <c r="C76" s="480"/>
      <c r="D76" s="481"/>
      <c r="E76" s="482"/>
      <c r="F76" s="490"/>
      <c r="G76" s="491"/>
      <c r="H76" s="491"/>
      <c r="I76" s="499"/>
      <c r="J76" s="500"/>
      <c r="K76" s="500"/>
      <c r="L76" s="500"/>
      <c r="M76" s="500"/>
      <c r="N76" s="500"/>
      <c r="O76" s="500"/>
      <c r="P76" s="503"/>
      <c r="Q76" s="524"/>
      <c r="R76" s="517"/>
      <c r="S76" s="517"/>
      <c r="T76" s="517"/>
      <c r="U76" s="517"/>
      <c r="V76" s="517"/>
      <c r="W76" s="517"/>
      <c r="X76" s="517"/>
      <c r="Y76" s="517"/>
      <c r="Z76" s="517"/>
      <c r="AA76" s="517"/>
      <c r="AB76" s="517"/>
      <c r="AC76" s="517"/>
      <c r="AD76" s="517"/>
      <c r="AE76" s="517"/>
      <c r="AF76" s="517"/>
      <c r="AG76" s="517"/>
      <c r="AH76" s="517"/>
      <c r="AI76" s="517"/>
      <c r="AJ76" s="517"/>
      <c r="AK76" s="517"/>
      <c r="AL76" s="517"/>
      <c r="AM76" s="517"/>
      <c r="AN76" s="517"/>
      <c r="AO76" s="517"/>
      <c r="AP76" s="517"/>
      <c r="AQ76" s="517"/>
      <c r="AR76" s="517"/>
      <c r="AS76" s="517"/>
      <c r="AT76" s="517"/>
      <c r="AU76" s="517"/>
      <c r="AV76" s="517"/>
      <c r="AW76" s="517"/>
      <c r="AX76" s="517"/>
      <c r="AY76" s="517"/>
      <c r="AZ76" s="517"/>
      <c r="BA76" s="517"/>
      <c r="BB76" s="517"/>
      <c r="BC76" s="518"/>
    </row>
    <row r="77" spans="3:55" ht="9" customHeight="1">
      <c r="C77" s="483"/>
      <c r="D77" s="484"/>
      <c r="E77" s="485"/>
      <c r="F77" s="492"/>
      <c r="G77" s="493"/>
      <c r="H77" s="493"/>
      <c r="I77" s="504"/>
      <c r="J77" s="505"/>
      <c r="K77" s="505"/>
      <c r="L77" s="505"/>
      <c r="M77" s="505"/>
      <c r="N77" s="505"/>
      <c r="O77" s="505"/>
      <c r="P77" s="506"/>
      <c r="Q77" s="525"/>
      <c r="R77" s="514"/>
      <c r="S77" s="514"/>
      <c r="T77" s="514"/>
      <c r="U77" s="514"/>
      <c r="V77" s="514"/>
      <c r="W77" s="514"/>
      <c r="X77" s="514"/>
      <c r="Y77" s="514"/>
      <c r="Z77" s="514"/>
      <c r="AA77" s="514"/>
      <c r="AB77" s="514"/>
      <c r="AC77" s="514"/>
      <c r="AD77" s="514"/>
      <c r="AE77" s="514"/>
      <c r="AF77" s="514"/>
      <c r="AG77" s="514"/>
      <c r="AH77" s="514"/>
      <c r="AI77" s="514"/>
      <c r="AJ77" s="514"/>
      <c r="AK77" s="514"/>
      <c r="AL77" s="514"/>
      <c r="AM77" s="514"/>
      <c r="AN77" s="514"/>
      <c r="AO77" s="514"/>
      <c r="AP77" s="514"/>
      <c r="AQ77" s="514"/>
      <c r="AR77" s="514"/>
      <c r="AS77" s="514"/>
      <c r="AT77" s="514"/>
      <c r="AU77" s="514"/>
      <c r="AV77" s="514"/>
      <c r="AW77" s="514"/>
      <c r="AX77" s="514"/>
      <c r="AY77" s="514"/>
      <c r="AZ77" s="514"/>
      <c r="BA77" s="514"/>
      <c r="BB77" s="514"/>
      <c r="BC77" s="515"/>
    </row>
    <row r="78" spans="3:55" ht="9.75" customHeight="1">
      <c r="D78" s="476" t="s">
        <v>2327</v>
      </c>
      <c r="E78" s="476"/>
      <c r="F78" s="476"/>
      <c r="G78" s="476"/>
      <c r="H78" s="476"/>
      <c r="I78" s="476"/>
      <c r="J78" s="476"/>
      <c r="K78" s="476"/>
      <c r="L78" s="476"/>
      <c r="M78" s="476"/>
      <c r="N78" s="476"/>
      <c r="O78" s="476"/>
      <c r="P78" s="476"/>
      <c r="Q78" s="476"/>
    </row>
    <row r="79" spans="3:55" ht="9.75" customHeight="1"/>
    <row r="80" spans="3:55" ht="9.75" customHeight="1"/>
    <row r="81" s="7" customFormat="1" ht="9.75" customHeight="1"/>
    <row r="82" s="7" customFormat="1" ht="9.75" customHeight="1"/>
    <row r="83" s="7" customFormat="1" ht="9.75" customHeight="1"/>
    <row r="84" s="7" customFormat="1" ht="9.75" customHeight="1"/>
    <row r="85" s="7" customFormat="1" ht="9.75" customHeight="1"/>
    <row r="86" s="7" customFormat="1" ht="9.75" customHeight="1"/>
    <row r="87" s="7" customFormat="1" ht="9.75" customHeight="1"/>
    <row r="88" s="7" customFormat="1" ht="9.75" customHeight="1"/>
    <row r="89" s="7" customFormat="1" ht="9.75" customHeight="1"/>
    <row r="90" s="7" customFormat="1" ht="9.75" customHeight="1"/>
    <row r="91" s="7" customFormat="1" ht="9.75" customHeight="1"/>
    <row r="92" s="7" customFormat="1" ht="9.75" customHeight="1"/>
    <row r="93" s="7" customFormat="1" ht="9.75" customHeight="1"/>
    <row r="94" s="7" customFormat="1" ht="9.75" customHeight="1"/>
    <row r="95" s="7" customFormat="1" ht="9.75" customHeight="1"/>
    <row r="96" s="7" customFormat="1" ht="9.75" customHeight="1"/>
    <row r="97" s="7" customFormat="1" ht="9.75" customHeight="1"/>
    <row r="98" s="7" customFormat="1" ht="9.75" customHeight="1"/>
    <row r="99" s="7" customFormat="1" ht="9.75" customHeight="1"/>
    <row r="100" s="7" customFormat="1" ht="9.75" customHeight="1"/>
    <row r="101" s="7" customFormat="1" ht="9.75" customHeight="1"/>
    <row r="102" s="7" customFormat="1" ht="9.75" customHeight="1"/>
    <row r="103" s="7" customFormat="1" ht="9.75" customHeight="1"/>
    <row r="104" s="7" customFormat="1" ht="9.75" customHeight="1"/>
    <row r="105" s="7" customFormat="1" ht="9.75" customHeight="1"/>
    <row r="106" s="7" customFormat="1" ht="9.75" customHeight="1"/>
    <row r="107" s="7" customFormat="1" ht="9.75" customHeight="1"/>
    <row r="108" s="7" customFormat="1" ht="9.75" customHeight="1"/>
    <row r="109" s="7" customFormat="1" ht="9.75" customHeight="1"/>
    <row r="110" s="7" customFormat="1" ht="9.75" customHeight="1"/>
    <row r="111" s="7" customFormat="1" ht="9.75" customHeight="1"/>
    <row r="112" s="7" customFormat="1" ht="9.75" customHeight="1"/>
    <row r="113" s="7" customFormat="1" ht="9.75" customHeight="1"/>
    <row r="114" s="7" customFormat="1" ht="9.75" customHeight="1"/>
    <row r="115" s="7" customFormat="1" ht="9.75" customHeight="1"/>
    <row r="116" s="7" customFormat="1" ht="9.75" customHeight="1"/>
    <row r="117" s="7" customFormat="1" ht="9.75" customHeight="1"/>
    <row r="118" s="7" customFormat="1" ht="9.75" customHeight="1"/>
    <row r="119" s="7" customFormat="1" ht="9.75" customHeight="1"/>
    <row r="120" s="7" customFormat="1" ht="9.75" customHeight="1"/>
    <row r="121" s="7" customFormat="1" ht="9.75" customHeight="1"/>
    <row r="122" s="7" customFormat="1" ht="9.75" customHeight="1"/>
    <row r="123" s="7" customFormat="1" ht="9.75" customHeight="1"/>
    <row r="124" s="7" customFormat="1" ht="9.75" customHeight="1"/>
    <row r="125" s="7" customFormat="1" ht="9.75" customHeight="1"/>
    <row r="126" s="7" customFormat="1" ht="9.75" customHeight="1"/>
    <row r="127" s="7" customFormat="1" ht="9.75" customHeight="1"/>
    <row r="128" s="7" customFormat="1" ht="9.75" customHeight="1"/>
    <row r="129" s="7" customFormat="1" ht="9.75" customHeight="1"/>
    <row r="130" s="7" customFormat="1" ht="9.75" customHeight="1"/>
    <row r="131" s="7" customFormat="1" ht="9.75" customHeight="1"/>
    <row r="132" s="7" customFormat="1" ht="9.75" customHeight="1"/>
    <row r="133" s="7" customFormat="1" ht="9.75" customHeight="1"/>
    <row r="134" s="7" customFormat="1" ht="9.75" customHeight="1"/>
    <row r="135" s="7" customFormat="1" ht="9.75" customHeight="1"/>
    <row r="136" s="7" customFormat="1" ht="9.75" customHeight="1"/>
    <row r="137" s="7" customFormat="1" ht="9.75" customHeight="1"/>
    <row r="138" s="7" customFormat="1" ht="9.75" customHeight="1"/>
    <row r="139" s="7" customFormat="1" ht="9.75" customHeight="1"/>
    <row r="140" s="7" customFormat="1" ht="9.75" customHeight="1"/>
    <row r="141" s="7" customFormat="1" ht="9.75" customHeight="1"/>
    <row r="142" s="7" customFormat="1" ht="9.75" customHeight="1"/>
    <row r="143" s="7" customFormat="1" ht="9.75" customHeight="1"/>
    <row r="144" s="7" customFormat="1" ht="9.75" customHeight="1"/>
    <row r="145" s="7" customFormat="1" ht="9.75" customHeight="1"/>
    <row r="146" s="7" customFormat="1" ht="9.75" customHeight="1"/>
    <row r="147" s="7" customFormat="1" ht="9.75" customHeight="1"/>
    <row r="148" s="7" customFormat="1" ht="9.75" customHeight="1"/>
    <row r="149" s="7" customFormat="1" ht="9.75" customHeight="1"/>
    <row r="150" s="7" customFormat="1" ht="9.75" customHeight="1"/>
    <row r="151" s="7" customFormat="1" ht="9.75" customHeight="1"/>
    <row r="152" s="7" customFormat="1" ht="9.75" customHeight="1"/>
    <row r="153" s="7" customFormat="1" ht="9.75" customHeight="1"/>
    <row r="154" s="7" customFormat="1" ht="9.75" customHeight="1"/>
    <row r="155" s="7" customFormat="1" ht="9.75" customHeight="1"/>
    <row r="156" s="7" customFormat="1" ht="9.75" customHeight="1"/>
    <row r="157" s="7" customFormat="1" ht="9.75" customHeight="1"/>
    <row r="158" s="7" customFormat="1" ht="9.75" customHeight="1"/>
    <row r="159" s="7" customFormat="1" ht="9.75" customHeight="1"/>
    <row r="160" s="7" customFormat="1" ht="9.75" customHeight="1"/>
    <row r="161" s="7" customFormat="1" ht="9.75" customHeight="1"/>
    <row r="162" s="7" customFormat="1" ht="9.75" customHeight="1"/>
    <row r="163" s="7" customFormat="1" ht="9.75" customHeight="1"/>
    <row r="164" s="7" customFormat="1" ht="9.75" customHeight="1"/>
    <row r="165" s="7" customFormat="1" ht="9.75" customHeight="1"/>
    <row r="166" s="7" customFormat="1" ht="9.75" customHeight="1"/>
    <row r="167" s="7" customFormat="1" ht="9.75" customHeight="1"/>
    <row r="168" s="7" customFormat="1" ht="9.75" customHeight="1"/>
    <row r="169" s="7" customFormat="1" ht="9.75" customHeight="1"/>
    <row r="170" s="7" customFormat="1" ht="9.75" customHeight="1"/>
    <row r="171" s="7" customFormat="1" ht="9.75" customHeight="1"/>
    <row r="172" s="7" customFormat="1" ht="9.75" customHeight="1"/>
    <row r="173" s="7" customFormat="1" ht="9.75" customHeight="1"/>
    <row r="174" s="7" customFormat="1" ht="9.75" customHeight="1"/>
    <row r="175" s="7" customFormat="1" ht="9.75" customHeight="1"/>
    <row r="176" s="7" customFormat="1" ht="9.75" customHeight="1"/>
    <row r="177" s="7" customFormat="1" ht="9.75" customHeight="1"/>
    <row r="178" s="7" customFormat="1" ht="9.75" customHeight="1"/>
    <row r="179" s="7" customFormat="1" ht="9.75" customHeight="1"/>
    <row r="180" s="7" customFormat="1" ht="9.75" customHeight="1"/>
    <row r="181" s="7" customFormat="1" ht="9.75" customHeight="1"/>
    <row r="182" s="7" customFormat="1" ht="9.75" customHeight="1"/>
    <row r="183" s="7" customFormat="1" ht="9.75" customHeight="1"/>
    <row r="184" s="7" customFormat="1" ht="9.75" customHeight="1"/>
    <row r="185" s="7" customFormat="1" ht="9.75" customHeight="1"/>
    <row r="186" s="7" customFormat="1" ht="9.75" customHeight="1"/>
    <row r="187" s="7" customFormat="1" ht="9.75" customHeight="1"/>
    <row r="188" s="7" customFormat="1" ht="9.75" customHeight="1"/>
    <row r="189" s="7" customFormat="1" ht="9.75" customHeight="1"/>
    <row r="190" s="7" customFormat="1" ht="9.75" customHeight="1"/>
    <row r="191" s="7" customFormat="1" ht="9.75" customHeight="1"/>
    <row r="192" s="7" customFormat="1" ht="9.75" customHeight="1"/>
    <row r="193" s="7" customFormat="1" ht="9.75" customHeight="1"/>
    <row r="194" s="7" customFormat="1" ht="9.75" customHeight="1"/>
    <row r="195" s="7" customFormat="1" ht="9.75" customHeight="1"/>
    <row r="196" s="7" customFormat="1" ht="9.75" customHeight="1"/>
    <row r="197" s="7" customFormat="1" ht="9.75" customHeight="1"/>
    <row r="198" s="7" customFormat="1" ht="9.75" customHeight="1"/>
    <row r="199" s="7" customFormat="1" ht="9.75" customHeight="1"/>
    <row r="200" s="7" customFormat="1" ht="9.75" customHeight="1"/>
    <row r="201" s="7" customFormat="1" ht="9.75" customHeight="1"/>
    <row r="202" s="7" customFormat="1" ht="9.75" customHeight="1"/>
    <row r="203" s="7" customFormat="1" ht="9.75" customHeight="1"/>
    <row r="204" s="7" customFormat="1" ht="9.75" customHeight="1"/>
    <row r="205" s="7" customFormat="1" ht="9.75" customHeight="1"/>
    <row r="206" s="7" customFormat="1" ht="9.75" customHeight="1"/>
    <row r="207" s="7" customFormat="1" ht="9.75" customHeight="1"/>
    <row r="208" s="7" customFormat="1" ht="9.75" customHeight="1"/>
    <row r="209" s="7" customFormat="1" ht="9.75" customHeight="1"/>
    <row r="210" s="7" customFormat="1" ht="9.75" customHeight="1"/>
    <row r="211" s="7" customFormat="1" ht="9.75" customHeight="1"/>
    <row r="212" s="7" customFormat="1" ht="9.75" customHeight="1"/>
    <row r="213" s="7" customFormat="1" ht="9.75" customHeight="1"/>
    <row r="214" s="7" customFormat="1" ht="9.75" customHeight="1"/>
    <row r="215" s="7" customFormat="1" ht="9.75" customHeight="1"/>
    <row r="216" s="7" customFormat="1" ht="9.75" customHeight="1"/>
    <row r="217" s="7" customFormat="1" ht="9.75" customHeight="1"/>
    <row r="218" s="7" customFormat="1" ht="9.75" customHeight="1"/>
    <row r="219" s="7" customFormat="1" ht="9.75" customHeight="1"/>
    <row r="220" s="7" customFormat="1" ht="9.75" customHeight="1"/>
    <row r="221" s="7" customFormat="1" ht="9.75" customHeight="1"/>
    <row r="222" s="7" customFormat="1" ht="9.75" customHeight="1"/>
    <row r="223" s="7" customFormat="1" ht="9.75" customHeight="1"/>
    <row r="224" s="7" customFormat="1" ht="9.75" customHeight="1"/>
    <row r="225" s="7" customFormat="1" ht="9.75" customHeight="1"/>
    <row r="226" s="7" customFormat="1" ht="9.75" customHeight="1"/>
    <row r="227" s="7" customFormat="1" ht="9.75" customHeight="1"/>
    <row r="228" s="7" customFormat="1" ht="9.75" customHeight="1"/>
    <row r="229" s="7" customFormat="1" ht="9.75" customHeight="1"/>
    <row r="230" s="7" customFormat="1" ht="9.75" customHeight="1"/>
    <row r="231" s="7" customFormat="1" ht="9.75" customHeight="1"/>
    <row r="232" s="7" customFormat="1" ht="9.75" customHeight="1"/>
    <row r="233" s="7" customFormat="1" ht="9.75" customHeight="1"/>
    <row r="234" s="7" customFormat="1" ht="9.75" customHeight="1"/>
    <row r="235" s="7" customFormat="1" ht="9.75" customHeight="1"/>
    <row r="236" s="7" customFormat="1" ht="9.75" customHeight="1"/>
    <row r="237" s="7" customFormat="1" ht="9.75" customHeight="1"/>
    <row r="238" s="7" customFormat="1" ht="9.75" customHeight="1"/>
    <row r="239" s="7" customFormat="1" ht="9.75" customHeight="1"/>
    <row r="240" s="7" customFormat="1" ht="9.75" customHeight="1"/>
    <row r="241" s="7" customFormat="1" ht="9.75" customHeight="1"/>
    <row r="242" s="7" customFormat="1" ht="9.75" customHeight="1"/>
    <row r="243" s="7" customFormat="1" ht="9.75" customHeight="1"/>
    <row r="244" s="7" customFormat="1" ht="9.75" customHeight="1"/>
    <row r="245" s="7" customFormat="1" ht="9.75" customHeight="1"/>
    <row r="246" s="7" customFormat="1" ht="9.75" customHeight="1"/>
    <row r="247" s="7" customFormat="1" ht="9.75" customHeight="1"/>
    <row r="248" s="7" customFormat="1" ht="9.75" customHeight="1"/>
    <row r="249" s="7" customFormat="1" ht="9.75" customHeight="1"/>
    <row r="250" s="7" customFormat="1" ht="9.75" customHeight="1"/>
    <row r="251" s="7" customFormat="1" ht="9.75" customHeight="1"/>
    <row r="252" s="7" customFormat="1" ht="9.75" customHeight="1"/>
    <row r="253" s="7" customFormat="1" ht="9.75" customHeight="1"/>
    <row r="254" s="7" customFormat="1" ht="9.75" customHeight="1"/>
    <row r="255" s="7" customFormat="1" ht="9.75" customHeight="1"/>
    <row r="256" s="7" customFormat="1" ht="9.75" customHeight="1"/>
    <row r="257" s="7" customFormat="1" ht="9.75" customHeight="1"/>
    <row r="258" s="7" customFormat="1" ht="9.75" customHeight="1"/>
    <row r="259" s="7" customFormat="1" ht="9.75" customHeight="1"/>
    <row r="260" s="7" customFormat="1" ht="9.75" customHeight="1"/>
    <row r="261" s="7" customFormat="1" ht="9.75" customHeight="1"/>
    <row r="262" s="7" customFormat="1" ht="9.75" customHeight="1"/>
    <row r="263" s="7" customFormat="1" ht="9.75" customHeight="1"/>
    <row r="264" s="7" customFormat="1" ht="9.75" customHeight="1"/>
    <row r="265" s="7" customFormat="1" ht="9.75" customHeight="1"/>
    <row r="266" s="7" customFormat="1" ht="9.75" customHeight="1"/>
    <row r="267" s="7" customFormat="1" ht="9.75" customHeight="1"/>
    <row r="268" s="7" customFormat="1" ht="9.75" customHeight="1"/>
    <row r="269" s="7" customFormat="1" ht="9.75" customHeight="1"/>
    <row r="270" s="7" customFormat="1" ht="9.75" customHeight="1"/>
    <row r="271" s="7" customFormat="1" ht="9.75" customHeight="1"/>
    <row r="272" s="7" customFormat="1" ht="9.75" customHeight="1"/>
    <row r="273" s="7" customFormat="1" ht="9.75" customHeight="1"/>
    <row r="274" s="7" customFormat="1" ht="9.75" customHeight="1"/>
    <row r="275" s="7" customFormat="1" ht="9.75" customHeight="1"/>
    <row r="276" s="7" customFormat="1" ht="9.75" customHeight="1"/>
    <row r="277" s="7" customFormat="1" ht="9.75" customHeight="1"/>
    <row r="278" s="7" customFormat="1" ht="9.75" customHeight="1"/>
    <row r="279" s="7" customFormat="1" ht="9.75" customHeight="1"/>
    <row r="280" s="7" customFormat="1" ht="9.75" customHeight="1"/>
    <row r="281" s="7" customFormat="1" ht="9.75" customHeight="1"/>
    <row r="282" s="7" customFormat="1" ht="9.75" customHeight="1"/>
    <row r="283" s="7" customFormat="1" ht="9.75" customHeight="1"/>
    <row r="284" s="7" customFormat="1" ht="9.75" customHeight="1"/>
    <row r="285" s="7" customFormat="1" ht="9.75" customHeight="1"/>
    <row r="286" s="7" customFormat="1" ht="9.75" customHeight="1"/>
    <row r="287" s="7" customFormat="1" ht="9.75" customHeight="1"/>
    <row r="288" s="7" customFormat="1" ht="9.75" customHeight="1"/>
    <row r="289" s="7" customFormat="1" ht="9.75" customHeight="1"/>
    <row r="290" s="7" customFormat="1" ht="9.75" customHeight="1"/>
    <row r="291" s="7" customFormat="1" ht="9.75" customHeight="1"/>
    <row r="292" s="7" customFormat="1" ht="9.75" customHeight="1"/>
    <row r="293" s="7" customFormat="1" ht="9.75" customHeight="1"/>
    <row r="294" s="7" customFormat="1" ht="9.75" customHeight="1"/>
    <row r="295" s="7" customFormat="1" ht="9.75" customHeight="1"/>
    <row r="296" s="7" customFormat="1" ht="9.75" customHeight="1"/>
    <row r="297" s="7" customFormat="1" ht="9.75" customHeight="1"/>
    <row r="298" s="7" customFormat="1" ht="9.75" customHeight="1"/>
    <row r="299" s="7" customFormat="1" ht="9.75" customHeight="1"/>
    <row r="300" s="7" customFormat="1" ht="9.75" customHeight="1"/>
    <row r="301" s="7" customFormat="1" ht="9.75" customHeight="1"/>
    <row r="302" s="7" customFormat="1" ht="9.75" customHeight="1"/>
    <row r="303" s="7" customFormat="1" ht="9.75" customHeight="1"/>
    <row r="304" s="7" customFormat="1" ht="9.75" customHeight="1"/>
    <row r="305" s="7" customFormat="1" ht="9.75" customHeight="1"/>
    <row r="306" s="7" customFormat="1" ht="9.75" customHeight="1"/>
    <row r="307" s="7" customFormat="1" ht="9.75" customHeight="1"/>
    <row r="308" s="7" customFormat="1" ht="9.75" customHeight="1"/>
    <row r="309" s="7" customFormat="1" ht="9.75" customHeight="1"/>
    <row r="310" s="7" customFormat="1" ht="9.75" customHeight="1"/>
    <row r="311" s="7" customFormat="1" ht="9.75" customHeight="1"/>
    <row r="312" s="7" customFormat="1" ht="9.75" customHeight="1"/>
    <row r="313" s="7" customFormat="1" ht="9.75" customHeight="1"/>
    <row r="314" s="7" customFormat="1" ht="9.75" customHeight="1"/>
    <row r="315" s="7" customFormat="1" ht="9.75" customHeight="1"/>
    <row r="316" s="7" customFormat="1" ht="9.75" customHeight="1"/>
    <row r="317" s="7" customFormat="1" ht="9.75" customHeight="1"/>
    <row r="318" s="7" customFormat="1" ht="9.75" customHeight="1"/>
    <row r="319" s="7" customFormat="1" ht="9.75" customHeight="1"/>
    <row r="320" s="7" customFormat="1" ht="9.75" customHeight="1"/>
    <row r="321" s="7" customFormat="1" ht="9.75" customHeight="1"/>
    <row r="322" s="7" customFormat="1" ht="9.75" customHeight="1"/>
    <row r="323" s="7" customFormat="1" ht="9.75" customHeight="1"/>
    <row r="324" s="7" customFormat="1" ht="9.75" customHeight="1"/>
    <row r="325" s="7" customFormat="1" ht="9.75" customHeight="1"/>
    <row r="326" s="7" customFormat="1" ht="9.75" customHeight="1"/>
    <row r="327" s="7" customFormat="1" ht="9.75" customHeight="1"/>
    <row r="328" s="7" customFormat="1" ht="9.75" customHeight="1"/>
    <row r="329" s="7" customFormat="1" ht="9.75" customHeight="1"/>
    <row r="330" s="7" customFormat="1" ht="9.75" customHeight="1"/>
    <row r="331" s="7" customFormat="1" ht="9.75" customHeight="1"/>
    <row r="332" s="7" customFormat="1" ht="9.75" customHeight="1"/>
    <row r="333" s="7" customFormat="1" ht="9.75" customHeight="1"/>
    <row r="334" s="7" customFormat="1" ht="9.75" customHeight="1"/>
    <row r="335" s="7" customFormat="1" ht="9.75" customHeight="1"/>
    <row r="336" s="7" customFormat="1" ht="9.75" customHeight="1"/>
    <row r="337" s="7" customFormat="1" ht="9.75" customHeight="1"/>
    <row r="338" s="7" customFormat="1" ht="9.75" customHeight="1"/>
    <row r="339" s="7" customFormat="1" ht="9.75" customHeight="1"/>
    <row r="340" s="7" customFormat="1" ht="9.75" customHeight="1"/>
    <row r="341" s="7" customFormat="1" ht="9.75" customHeight="1"/>
    <row r="342" s="7" customFormat="1" ht="9.75" customHeight="1"/>
    <row r="343" s="7" customFormat="1" ht="9.75" customHeight="1"/>
    <row r="344" s="7" customFormat="1" ht="9.75" customHeight="1"/>
    <row r="345" s="7" customFormat="1" ht="9.75" customHeight="1"/>
    <row r="346" s="7" customFormat="1" ht="9.75" customHeight="1"/>
    <row r="347" s="7" customFormat="1" ht="9.75" customHeight="1"/>
    <row r="348" s="7" customFormat="1" ht="9.75" customHeight="1"/>
    <row r="349" s="7" customFormat="1" ht="9.75" customHeight="1"/>
    <row r="350" s="7" customFormat="1" ht="9.75" customHeight="1"/>
    <row r="351" s="7" customFormat="1" ht="9.75" customHeight="1"/>
    <row r="352" s="7" customFormat="1" ht="9.75" customHeight="1"/>
    <row r="353" s="7" customFormat="1" ht="9.75" customHeight="1"/>
    <row r="354" s="7" customFormat="1" ht="9.75" customHeight="1"/>
    <row r="355" s="7" customFormat="1" ht="9.75" customHeight="1"/>
    <row r="356" s="7" customFormat="1" ht="9.75" customHeight="1"/>
    <row r="357" s="7" customFormat="1" ht="9.75" customHeight="1"/>
    <row r="358" s="7" customFormat="1" ht="9.75" customHeight="1"/>
    <row r="359" s="7" customFormat="1" ht="9.75" customHeight="1"/>
    <row r="360" s="7" customFormat="1" ht="9.75" customHeight="1"/>
    <row r="361" s="7" customFormat="1" ht="9.75" customHeight="1"/>
    <row r="362" s="7" customFormat="1" ht="9.75" customHeight="1"/>
    <row r="363" s="7" customFormat="1" ht="9.75" customHeight="1"/>
    <row r="364" s="7" customFormat="1" ht="9.75" customHeight="1"/>
    <row r="365" s="7" customFormat="1" ht="9.75" customHeight="1"/>
    <row r="366" s="7" customFormat="1" ht="9.75" customHeight="1"/>
    <row r="367" s="7" customFormat="1" ht="9.75" customHeight="1"/>
    <row r="368" s="7" customFormat="1" ht="9.75" customHeight="1"/>
    <row r="369" s="7" customFormat="1" ht="9.75" customHeight="1"/>
    <row r="370" s="7" customFormat="1" ht="9.75" customHeight="1"/>
    <row r="371" s="7" customFormat="1" ht="9.75" customHeight="1"/>
    <row r="372" s="7" customFormat="1" ht="9.75" customHeight="1"/>
    <row r="373" s="7" customFormat="1" ht="9.75" customHeight="1"/>
    <row r="374" s="7" customFormat="1" ht="9.75" customHeight="1"/>
    <row r="375" s="7" customFormat="1" ht="9.75" customHeight="1"/>
    <row r="376" s="7" customFormat="1" ht="9.75" customHeight="1"/>
    <row r="377" s="7" customFormat="1" ht="9.75" customHeight="1"/>
    <row r="378" s="7" customFormat="1" ht="9.75" customHeight="1"/>
    <row r="379" s="7" customFormat="1" ht="9.75" customHeight="1"/>
    <row r="380" s="7" customFormat="1" ht="9.75" customHeight="1"/>
    <row r="381" s="7" customFormat="1" ht="9.75" customHeight="1"/>
    <row r="382" s="7" customFormat="1" ht="9.75" customHeight="1"/>
    <row r="383" s="7" customFormat="1" ht="9.75" customHeight="1"/>
    <row r="384" s="7" customFormat="1" ht="9.75" customHeight="1"/>
    <row r="385" s="7" customFormat="1" ht="9.75" customHeight="1"/>
    <row r="386" s="7" customFormat="1" ht="9.75" customHeight="1"/>
    <row r="387" s="7" customFormat="1" ht="9.75" customHeight="1"/>
    <row r="388" s="7" customFormat="1" ht="9.75" customHeight="1"/>
    <row r="389" s="7" customFormat="1" ht="9.75" customHeight="1"/>
    <row r="390" s="7" customFormat="1" ht="9.75" customHeight="1"/>
    <row r="391" s="7" customFormat="1" ht="9.75" customHeight="1"/>
    <row r="392" s="7" customFormat="1" ht="9.75" customHeight="1"/>
    <row r="393" s="7" customFormat="1" ht="9.75" customHeight="1"/>
    <row r="394" s="7" customFormat="1" ht="9.75" customHeight="1"/>
    <row r="395" s="7" customFormat="1" ht="9.75" customHeight="1"/>
    <row r="396" s="7" customFormat="1" ht="9.75" customHeight="1"/>
    <row r="397" s="7" customFormat="1" ht="9.75" customHeight="1"/>
    <row r="398" s="7" customFormat="1" ht="9.75" customHeight="1"/>
    <row r="399" s="7" customFormat="1" ht="9.75" customHeight="1"/>
    <row r="400" s="7" customFormat="1" ht="9.75" customHeight="1"/>
    <row r="401" s="7" customFormat="1" ht="9.75" customHeight="1"/>
    <row r="402" s="7" customFormat="1" ht="9.75" customHeight="1"/>
    <row r="403" s="7" customFormat="1" ht="9.75" customHeight="1"/>
    <row r="404" s="7" customFormat="1" ht="9.75" customHeight="1"/>
    <row r="405" s="7" customFormat="1" ht="9.75" customHeight="1"/>
    <row r="406" s="7" customFormat="1" ht="9.75" customHeight="1"/>
    <row r="407" s="7" customFormat="1" ht="9.75" customHeight="1"/>
    <row r="408" s="7" customFormat="1" ht="9.75" customHeight="1"/>
    <row r="409" s="7" customFormat="1" ht="9.75" customHeight="1"/>
    <row r="410" s="7" customFormat="1" ht="9.75" customHeight="1"/>
    <row r="411" s="7" customFormat="1" ht="9.75" customHeight="1"/>
    <row r="412" s="7" customFormat="1" ht="9.75" customHeight="1"/>
    <row r="413" s="7" customFormat="1" ht="9.75" customHeight="1"/>
    <row r="414" s="7" customFormat="1" ht="9.75" customHeight="1"/>
    <row r="415" s="7" customFormat="1" ht="9.75" customHeight="1"/>
    <row r="416" s="7" customFormat="1" ht="9.75" customHeight="1"/>
    <row r="417" s="7" customFormat="1" ht="9.75" customHeight="1"/>
  </sheetData>
  <mergeCells count="105">
    <mergeCell ref="N58:AC58"/>
    <mergeCell ref="AD58:AM58"/>
    <mergeCell ref="AN58:BC58"/>
    <mergeCell ref="C57:M57"/>
    <mergeCell ref="C58:M58"/>
    <mergeCell ref="N57:AC57"/>
    <mergeCell ref="AN56:BC56"/>
    <mergeCell ref="AN57:BC57"/>
    <mergeCell ref="AD56:AM56"/>
    <mergeCell ref="AD57:AM57"/>
    <mergeCell ref="O40:AA42"/>
    <mergeCell ref="AB40:AE42"/>
    <mergeCell ref="AM52:BC54"/>
    <mergeCell ref="AT49:BC51"/>
    <mergeCell ref="C49:M51"/>
    <mergeCell ref="N49:N51"/>
    <mergeCell ref="O49:U51"/>
    <mergeCell ref="V49:AO51"/>
    <mergeCell ref="AP49:AS51"/>
    <mergeCell ref="AP40:AS42"/>
    <mergeCell ref="AT40:BC42"/>
    <mergeCell ref="C40:M42"/>
    <mergeCell ref="N40:N42"/>
    <mergeCell ref="AG40:AO42"/>
    <mergeCell ref="D78:Q78"/>
    <mergeCell ref="C59:E77"/>
    <mergeCell ref="F59:P59"/>
    <mergeCell ref="Q59:BC59"/>
    <mergeCell ref="F60:H77"/>
    <mergeCell ref="I60:P65"/>
    <mergeCell ref="Q60:BC62"/>
    <mergeCell ref="Q63:BC65"/>
    <mergeCell ref="I66:P71"/>
    <mergeCell ref="Q66:BC68"/>
    <mergeCell ref="Q72:BC74"/>
    <mergeCell ref="Q75:BC77"/>
    <mergeCell ref="Q69:BC71"/>
    <mergeCell ref="I72:P77"/>
    <mergeCell ref="C55:BC55"/>
    <mergeCell ref="C43:M45"/>
    <mergeCell ref="N43:BC45"/>
    <mergeCell ref="C46:M48"/>
    <mergeCell ref="N46:BC48"/>
    <mergeCell ref="C52:M54"/>
    <mergeCell ref="O52:AE54"/>
    <mergeCell ref="AF52:AL54"/>
    <mergeCell ref="N56:AC56"/>
    <mergeCell ref="C56:M56"/>
    <mergeCell ref="C34:M36"/>
    <mergeCell ref="N34:N36"/>
    <mergeCell ref="O34:BC36"/>
    <mergeCell ref="C37:M39"/>
    <mergeCell ref="N37:N39"/>
    <mergeCell ref="O37:U39"/>
    <mergeCell ref="V37:V39"/>
    <mergeCell ref="W37:AD39"/>
    <mergeCell ref="AE37:BC37"/>
    <mergeCell ref="AE38:BC38"/>
    <mergeCell ref="AE39:BC39"/>
    <mergeCell ref="C28:M30"/>
    <mergeCell ref="N28:N30"/>
    <mergeCell ref="O28:AO30"/>
    <mergeCell ref="AP28:AS30"/>
    <mergeCell ref="AT28:BC30"/>
    <mergeCell ref="C31:M33"/>
    <mergeCell ref="N31:N33"/>
    <mergeCell ref="O31:AM33"/>
    <mergeCell ref="AN31:AT33"/>
    <mergeCell ref="AU31:BC33"/>
    <mergeCell ref="C22:M24"/>
    <mergeCell ref="N22:N24"/>
    <mergeCell ref="O22:BC24"/>
    <mergeCell ref="C25:M27"/>
    <mergeCell ref="N25:N27"/>
    <mergeCell ref="O25:AI27"/>
    <mergeCell ref="AJ25:AP27"/>
    <mergeCell ref="AQ25:BC27"/>
    <mergeCell ref="AM20:BC21"/>
    <mergeCell ref="C18:M19"/>
    <mergeCell ref="N18:T19"/>
    <mergeCell ref="U18:X19"/>
    <mergeCell ref="Y18:AD19"/>
    <mergeCell ref="AE18:AL19"/>
    <mergeCell ref="AM18:BC19"/>
    <mergeCell ref="C20:M21"/>
    <mergeCell ref="N20:T21"/>
    <mergeCell ref="U20:X21"/>
    <mergeCell ref="Y20:AD21"/>
    <mergeCell ref="AE20:AL21"/>
    <mergeCell ref="C9:I9"/>
    <mergeCell ref="O3:AM5"/>
    <mergeCell ref="AM16:BC17"/>
    <mergeCell ref="C10:BC10"/>
    <mergeCell ref="C11:M13"/>
    <mergeCell ref="N11:N13"/>
    <mergeCell ref="O11:BC13"/>
    <mergeCell ref="C14:M15"/>
    <mergeCell ref="O14:X15"/>
    <mergeCell ref="Y14:BC15"/>
    <mergeCell ref="C16:M17"/>
    <mergeCell ref="N16:T17"/>
    <mergeCell ref="U16:X17"/>
    <mergeCell ref="Y16:AD17"/>
    <mergeCell ref="AE16:AL17"/>
    <mergeCell ref="AY4:BD4"/>
  </mergeCells>
  <phoneticPr fontId="1"/>
  <conditionalFormatting sqref="W37:AD39">
    <cfRule type="cellIs" dxfId="36" priority="1" operator="lessThan">
      <formula>$O$37</formula>
    </cfRule>
  </conditionalFormatting>
  <pageMargins left="0.51181102362204722" right="3.937007874015748E-2" top="0.47244094488188981" bottom="0.27559055118110237" header="0.35433070866141736" footer="7.874015748031496E-2"/>
  <pageSetup paperSize="9" orientation="portrait" r:id="rId1"/>
  <drawing r:id="rId2"/>
  <legacyDrawing r:id="rId3"/>
  <controls>
    <mc:AlternateContent xmlns:mc="http://schemas.openxmlformats.org/markup-compatibility/2006">
      <mc:Choice Requires="x14">
        <control shapeId="11266" r:id="rId4" name="CommandButton1">
          <controlPr defaultSize="0" print="0" autoLine="0" r:id="rId5">
            <anchor moveWithCells="1">
              <from>
                <xdr:col>40</xdr:col>
                <xdr:colOff>114300</xdr:colOff>
                <xdr:row>4</xdr:row>
                <xdr:rowOff>0</xdr:rowOff>
              </from>
              <to>
                <xdr:col>49</xdr:col>
                <xdr:colOff>57150</xdr:colOff>
                <xdr:row>6</xdr:row>
                <xdr:rowOff>104775</xdr:rowOff>
              </to>
            </anchor>
          </controlPr>
        </control>
      </mc:Choice>
      <mc:Fallback>
        <control shapeId="11266" r:id="rId4"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FF36F-193F-4828-8C32-8B490F6D4C0B}">
  <sheetPr codeName="Hoja10"/>
  <dimension ref="A1:R107"/>
  <sheetViews>
    <sheetView workbookViewId="0"/>
  </sheetViews>
  <sheetFormatPr baseColWidth="10" defaultColWidth="9.125" defaultRowHeight="13.5"/>
  <cols>
    <col min="4" max="4" width="9.125" customWidth="1"/>
    <col min="5" max="5" width="12.625" style="51" bestFit="1" customWidth="1"/>
    <col min="6" max="7" width="9.125" customWidth="1"/>
    <col min="8" max="8" width="21.375" style="95" bestFit="1" customWidth="1"/>
    <col min="9" max="9" width="21.375" style="95" customWidth="1"/>
    <col min="10" max="10" width="5.875" customWidth="1"/>
    <col min="11" max="11" width="34.125" customWidth="1"/>
    <col min="12" max="12" width="6.25" customWidth="1"/>
    <col min="13" max="13" width="10.375" bestFit="1" customWidth="1"/>
    <col min="14" max="14" width="15.125" bestFit="1" customWidth="1"/>
    <col min="15" max="15" width="9.625" customWidth="1"/>
    <col min="16" max="16" width="12.875" customWidth="1"/>
    <col min="17" max="17" width="19.75" customWidth="1"/>
    <col min="18" max="18" width="38.75" bestFit="1" customWidth="1"/>
  </cols>
  <sheetData>
    <row r="1" spans="1:18" ht="18">
      <c r="K1" s="2" t="s">
        <v>15</v>
      </c>
      <c r="L1" s="2"/>
      <c r="M1" s="2"/>
      <c r="N1" s="2"/>
      <c r="O1" s="2"/>
      <c r="Q1" s="2" t="s">
        <v>16</v>
      </c>
      <c r="R1" s="2"/>
    </row>
    <row r="2" spans="1:18" ht="18">
      <c r="K2" s="358" t="str">
        <f>個別契約書X!I4&amp;" "&amp;個別契約書X!J7</f>
        <v xml:space="preserve">高雄工業株式会社 </v>
      </c>
      <c r="L2" s="358"/>
      <c r="M2" s="358"/>
      <c r="N2" s="39" t="s">
        <v>861</v>
      </c>
      <c r="O2" s="2"/>
      <c r="P2" s="2"/>
      <c r="Q2" s="2"/>
      <c r="R2" s="2"/>
    </row>
    <row r="3" spans="1:18" ht="18">
      <c r="K3" s="53">
        <f>koku</f>
        <v>0</v>
      </c>
      <c r="L3" s="1"/>
      <c r="M3" s="1"/>
      <c r="N3" s="1"/>
      <c r="O3" s="1"/>
      <c r="P3" s="1"/>
      <c r="Q3" s="1"/>
      <c r="R3" s="1"/>
    </row>
    <row r="4" spans="1:18" ht="18">
      <c r="K4" s="1"/>
      <c r="L4" s="1"/>
      <c r="M4" s="1"/>
      <c r="N4" s="1"/>
      <c r="O4" s="1"/>
      <c r="P4" s="1"/>
      <c r="Q4" s="1"/>
      <c r="R4" s="1"/>
    </row>
    <row r="5" spans="1:18" ht="18">
      <c r="E5"/>
      <c r="K5" s="2"/>
      <c r="L5" s="2"/>
      <c r="M5" s="2"/>
      <c r="N5" s="2"/>
      <c r="Q5" s="2" t="s">
        <v>13</v>
      </c>
      <c r="R5" s="1"/>
    </row>
    <row r="6" spans="1:18" ht="18">
      <c r="K6" s="2"/>
      <c r="L6" s="2"/>
      <c r="M6" s="2"/>
      <c r="N6" s="2"/>
      <c r="Q6" s="2"/>
      <c r="R6" s="2" t="s">
        <v>14</v>
      </c>
    </row>
    <row r="7" spans="1:18" ht="18">
      <c r="K7" s="2" t="s">
        <v>19</v>
      </c>
      <c r="L7" s="2"/>
      <c r="M7" s="2"/>
      <c r="N7" s="2"/>
      <c r="O7" s="2"/>
      <c r="P7" s="2"/>
      <c r="Q7" s="2"/>
      <c r="R7" s="2"/>
    </row>
    <row r="8" spans="1:18" ht="18">
      <c r="B8" t="s">
        <v>665</v>
      </c>
      <c r="C8" t="s">
        <v>21</v>
      </c>
      <c r="D8" t="s">
        <v>20</v>
      </c>
      <c r="E8" s="51" t="s">
        <v>29</v>
      </c>
      <c r="F8" t="s">
        <v>914</v>
      </c>
      <c r="J8" s="75" t="s">
        <v>5</v>
      </c>
      <c r="K8" s="76" t="s">
        <v>6</v>
      </c>
      <c r="L8" s="76" t="s">
        <v>7</v>
      </c>
      <c r="M8" s="76" t="s">
        <v>8</v>
      </c>
      <c r="N8" s="76" t="s">
        <v>9</v>
      </c>
      <c r="O8" s="76" t="s">
        <v>10</v>
      </c>
      <c r="P8" s="76" t="s">
        <v>11</v>
      </c>
      <c r="Q8" s="76" t="s">
        <v>12</v>
      </c>
      <c r="R8" s="77" t="s">
        <v>913</v>
      </c>
    </row>
    <row r="9" spans="1:18" ht="18">
      <c r="A9">
        <f>SUBTOTAL(103,$K$9:K9)</f>
        <v>1</v>
      </c>
      <c r="B9">
        <v>1</v>
      </c>
      <c r="C9" t="str">
        <f>_xlfn.XLOOKUP(koku&amp;B9,Filtro!A:A,Filtro!D:D,"",0,1)</f>
        <v/>
      </c>
      <c r="D9" t="str">
        <f>_xlfn.XLOOKUP(C9,DBGenzai[社員№],DBGenzai[現在],"",0,1)</f>
        <v/>
      </c>
      <c r="E9" s="51" t="str">
        <f>_xlfn.XLOOKUP($C9,DBGenzai[社員№],DBGenzai[生年月日],"",0,1)</f>
        <v/>
      </c>
      <c r="F9" t="str">
        <f ca="1">IF(E9="","",DATEDIF(E9,TODAY(),"Y"))</f>
        <v/>
      </c>
      <c r="G9" t="str">
        <f>_xlfn.XLOOKUP(C9,DBGenzai[社員№],DBGenzai[請求単価],"",0,1)</f>
        <v/>
      </c>
      <c r="H9" s="95" t="str">
        <f>_xlfn.XLOOKUP($C9,DBGenzai[社員№],DBGenzai[入社日],"",0,1)</f>
        <v/>
      </c>
      <c r="I9" s="95" t="str">
        <f>IF(D9="退社",_xlfn.XLOOKUP($C9,DBGenzai[社員№],DBGenzai[退社日],"",0,1),"")</f>
        <v/>
      </c>
      <c r="J9" s="73" t="str">
        <f>IF(K9="","",1)</f>
        <v/>
      </c>
      <c r="K9" s="50" t="str">
        <f>_xlfn.XLOOKUP($C9,DBGenzai[社員№],DBGenzai[カナ],"",0,1)</f>
        <v/>
      </c>
      <c r="L9" s="3" t="str">
        <f>_xlfn.XLOOKUP($C9,DBGenzai[社員№],DBGenzai[性別],"",0,1)</f>
        <v/>
      </c>
      <c r="M9" s="3" t="str">
        <f ca="1">IF(F9="","",IF(F9&lt;=18,"18未満(     )歳",IF(F9&lt;=60,"60歳未満","60歳以上")))</f>
        <v/>
      </c>
      <c r="N9" s="3" t="str">
        <f>IF($K9="","","加入")</f>
        <v/>
      </c>
      <c r="O9" s="3" t="str">
        <f t="shared" ref="O9:P24" si="0">IF($K9="","","加入")</f>
        <v/>
      </c>
      <c r="P9" s="3" t="str">
        <f t="shared" si="0"/>
        <v/>
      </c>
      <c r="Q9" s="3" t="str">
        <f>IF($K9="","","有期雇用（3ヵ月）")</f>
        <v/>
      </c>
      <c r="R9" s="74" t="str">
        <f>IF($K9="","","協定対象派遣労働者(労使協定式方式)")</f>
        <v/>
      </c>
    </row>
    <row r="10" spans="1:18" ht="18">
      <c r="A10">
        <f>SUBTOTAL(103,$K$9:K10)</f>
        <v>2</v>
      </c>
      <c r="B10">
        <v>2</v>
      </c>
      <c r="C10">
        <f>_xlfn.XLOOKUP($K$3&amp;B10,Filtro!A:A,Filtro!D:D,"",0,1)</f>
        <v>220118</v>
      </c>
      <c r="D10" t="str">
        <f>_xlfn.XLOOKUP(C10,DBGenzai[社員№],DBGenzai[現在],"",0,1)</f>
        <v>退社</v>
      </c>
      <c r="E10" s="51">
        <f>_xlfn.XLOOKUP($C10,DBGenzai[社員№],DBGenzai[生年月日],"",0,1)</f>
        <v>34418</v>
      </c>
      <c r="F10">
        <f t="shared" ref="F10:F73" ca="1" si="1">IF(E10="","",DATEDIF(E10,TODAY(),"Y"))</f>
        <v>29</v>
      </c>
      <c r="G10">
        <f>_xlfn.XLOOKUP(C10,DBGenzai[社員№],DBGenzai[請求単価],"",0,1)</f>
        <v>1800</v>
      </c>
      <c r="H10" s="95">
        <f>_xlfn.XLOOKUP($C10,DBGenzai[社員№],DBGenzai[入社日],"",0,1)</f>
        <v>44578</v>
      </c>
      <c r="I10" s="95">
        <f>IF(D10="退社",_xlfn.XLOOKUP($C10,DBGenzai[社員№],DBGenzai[退社日],"",0,1),"")</f>
        <v>44845</v>
      </c>
      <c r="J10" s="73" t="e">
        <f>IF(K10="","",J9+1)</f>
        <v>#VALUE!</v>
      </c>
      <c r="K10" s="50" t="str">
        <f>_xlfn.XLOOKUP($C10,DBGenzai[社員№],DBGenzai[カナ],"",0,1)</f>
        <v>グエン　チ　リン</v>
      </c>
      <c r="L10" s="3" t="str">
        <f>_xlfn.XLOOKUP($C10,DBGenzai[社員№],DBGenzai[性別],"",0,1)</f>
        <v>男</v>
      </c>
      <c r="M10" s="3" t="str">
        <f t="shared" ref="M10:M73" ca="1" si="2">IF(F10="","",IF(F10&lt;=18,"18未満(     )歳",IF(F10&lt;=60,"60歳未満","60歳以上")))</f>
        <v>60歳未満</v>
      </c>
      <c r="N10" s="3" t="str">
        <f t="shared" ref="N10:P41" si="3">IF($K10="","","加入")</f>
        <v>加入</v>
      </c>
      <c r="O10" s="3" t="str">
        <f t="shared" si="0"/>
        <v>加入</v>
      </c>
      <c r="P10" s="3" t="str">
        <f t="shared" si="0"/>
        <v>加入</v>
      </c>
      <c r="Q10" s="3" t="str">
        <f t="shared" ref="Q10:Q73" si="4">IF($K10="","","有期雇用（3ヵ月）")</f>
        <v>有期雇用（3ヵ月）</v>
      </c>
      <c r="R10" s="74" t="str">
        <f t="shared" ref="R10:R73" si="5">IF($K10="","","協定対象派遣労働者(労使協定式方式)")</f>
        <v>協定対象派遣労働者(労使協定式方式)</v>
      </c>
    </row>
    <row r="11" spans="1:18" ht="18">
      <c r="A11">
        <f>SUBTOTAL(103,$K$9:K11)</f>
        <v>3</v>
      </c>
      <c r="B11">
        <v>3</v>
      </c>
      <c r="C11">
        <f>_xlfn.XLOOKUP($K$3&amp;B11,Filtro!A:A,Filtro!D:D,"",0,1)</f>
        <v>220307</v>
      </c>
      <c r="D11" t="str">
        <f>_xlfn.XLOOKUP(C11,DBGenzai[社員№],DBGenzai[現在],"",0,1)</f>
        <v>退社</v>
      </c>
      <c r="E11" s="51">
        <f>_xlfn.XLOOKUP($C11,DBGenzai[社員№],DBGenzai[生年月日],"",0,1)</f>
        <v>34917</v>
      </c>
      <c r="F11">
        <f t="shared" ca="1" si="1"/>
        <v>28</v>
      </c>
      <c r="G11">
        <f>_xlfn.XLOOKUP(C11,DBGenzai[社員№],DBGenzai[請求単価],"",0,1)</f>
        <v>1750</v>
      </c>
      <c r="H11" s="95">
        <f>_xlfn.XLOOKUP($C11,DBGenzai[社員№],DBGenzai[入社日],"",0,1)</f>
        <v>44664</v>
      </c>
      <c r="I11" s="95">
        <f>IF(D11="退社",_xlfn.XLOOKUP($C11,DBGenzai[社員№],DBGenzai[退社日],"",0,1),"")</f>
        <v>45044</v>
      </c>
      <c r="J11" s="73" t="e">
        <f t="shared" ref="J11:J57" si="6">IF(K11="","",J10+1)</f>
        <v>#VALUE!</v>
      </c>
      <c r="K11" s="50" t="str">
        <f>_xlfn.XLOOKUP($C11,DBGenzai[社員№],DBGenzai[カナ],"",0,1)</f>
        <v>ダン　チョン　ヒエウ</v>
      </c>
      <c r="L11" s="3" t="str">
        <f>_xlfn.XLOOKUP($C11,DBGenzai[社員№],DBGenzai[性別],"",0,1)</f>
        <v>男</v>
      </c>
      <c r="M11" s="3" t="str">
        <f t="shared" ca="1" si="2"/>
        <v>60歳未満</v>
      </c>
      <c r="N11" s="3" t="str">
        <f t="shared" si="3"/>
        <v>加入</v>
      </c>
      <c r="O11" s="3" t="str">
        <f t="shared" si="0"/>
        <v>加入</v>
      </c>
      <c r="P11" s="3" t="str">
        <f t="shared" si="0"/>
        <v>加入</v>
      </c>
      <c r="Q11" s="3" t="str">
        <f t="shared" si="4"/>
        <v>有期雇用（3ヵ月）</v>
      </c>
      <c r="R11" s="74" t="str">
        <f t="shared" si="5"/>
        <v>協定対象派遣労働者(労使協定式方式)</v>
      </c>
    </row>
    <row r="12" spans="1:18" ht="18">
      <c r="A12">
        <f>SUBTOTAL(103,$K$9:K12)</f>
        <v>4</v>
      </c>
      <c r="B12">
        <v>4</v>
      </c>
      <c r="C12">
        <f>_xlfn.XLOOKUP($K$3&amp;B12,Filtro!A:A,Filtro!D:D,"",0,1)</f>
        <v>210901</v>
      </c>
      <c r="D12" t="str">
        <f>_xlfn.XLOOKUP(C12,DBGenzai[社員№],DBGenzai[現在],"",0,1)</f>
        <v>退社</v>
      </c>
      <c r="E12" s="51">
        <f>_xlfn.XLOOKUP($C12,DBGenzai[社員№],DBGenzai[生年月日],"",0,1)</f>
        <v>34523</v>
      </c>
      <c r="F12">
        <f t="shared" ca="1" si="1"/>
        <v>29</v>
      </c>
      <c r="G12">
        <f>_xlfn.XLOOKUP(C12,DBGenzai[社員№],DBGenzai[請求単価],"",0,1)</f>
        <v>1750</v>
      </c>
      <c r="H12" s="95">
        <f>_xlfn.XLOOKUP($C12,DBGenzai[社員№],DBGenzai[入社日],"",0,1)</f>
        <v>44441</v>
      </c>
      <c r="I12" s="95">
        <f>IF(D12="退社",_xlfn.XLOOKUP($C12,DBGenzai[社員№],DBGenzai[退社日],"",0,1),"")</f>
        <v>44970</v>
      </c>
      <c r="J12" s="73" t="e">
        <f t="shared" si="6"/>
        <v>#VALUE!</v>
      </c>
      <c r="K12" s="50" t="str">
        <f>_xlfn.XLOOKUP($C12,DBGenzai[社員№],DBGenzai[カナ],"",0,1)</f>
        <v>ファム　フイ　ホアン</v>
      </c>
      <c r="L12" s="3" t="str">
        <f>_xlfn.XLOOKUP($C12,DBGenzai[社員№],DBGenzai[性別],"",0,1)</f>
        <v>男</v>
      </c>
      <c r="M12" s="3" t="str">
        <f t="shared" ca="1" si="2"/>
        <v>60歳未満</v>
      </c>
      <c r="N12" s="3" t="str">
        <f t="shared" si="3"/>
        <v>加入</v>
      </c>
      <c r="O12" s="3" t="str">
        <f t="shared" si="0"/>
        <v>加入</v>
      </c>
      <c r="P12" s="3" t="str">
        <f t="shared" si="0"/>
        <v>加入</v>
      </c>
      <c r="Q12" s="3" t="str">
        <f t="shared" si="4"/>
        <v>有期雇用（3ヵ月）</v>
      </c>
      <c r="R12" s="74" t="str">
        <f t="shared" si="5"/>
        <v>協定対象派遣労働者(労使協定式方式)</v>
      </c>
    </row>
    <row r="13" spans="1:18" ht="18">
      <c r="A13">
        <f>SUBTOTAL(103,$K$9:K13)</f>
        <v>5</v>
      </c>
      <c r="B13">
        <v>5</v>
      </c>
      <c r="C13">
        <f>_xlfn.XLOOKUP($K$3&amp;B13,Filtro!A:A,Filtro!D:D,"",0,1)</f>
        <v>201001</v>
      </c>
      <c r="D13" t="str">
        <f>_xlfn.XLOOKUP(C13,DBGenzai[社員№],DBGenzai[現在],"",0,1)</f>
        <v>退社</v>
      </c>
      <c r="E13" s="51">
        <f>_xlfn.XLOOKUP($C13,DBGenzai[社員№],DBGenzai[生年月日],"",0,1)</f>
        <v>33380</v>
      </c>
      <c r="F13">
        <f t="shared" ca="1" si="1"/>
        <v>32</v>
      </c>
      <c r="G13">
        <f>_xlfn.XLOOKUP(C13,DBGenzai[社員№],DBGenzai[請求単価],"",0,1)</f>
        <v>1750</v>
      </c>
      <c r="H13" s="95">
        <f>_xlfn.XLOOKUP($C13,DBGenzai[社員№],DBGenzai[入社日],"",0,1)</f>
        <v>44130</v>
      </c>
      <c r="I13" s="95">
        <f>IF(D13="退社",_xlfn.XLOOKUP($C13,DBGenzai[社員№],DBGenzai[退社日],"",0,1),"")</f>
        <v>45226</v>
      </c>
      <c r="J13" s="73" t="e">
        <f t="shared" si="6"/>
        <v>#VALUE!</v>
      </c>
      <c r="K13" s="50" t="str">
        <f>_xlfn.XLOOKUP($C13,DBGenzai[社員№],DBGenzai[カナ],"",0,1)</f>
        <v>ファン　バ　バック</v>
      </c>
      <c r="L13" s="3" t="str">
        <f>_xlfn.XLOOKUP($C13,DBGenzai[社員№],DBGenzai[性別],"",0,1)</f>
        <v>男</v>
      </c>
      <c r="M13" s="3" t="str">
        <f t="shared" ca="1" si="2"/>
        <v>60歳未満</v>
      </c>
      <c r="N13" s="3" t="str">
        <f t="shared" si="3"/>
        <v>加入</v>
      </c>
      <c r="O13" s="3" t="str">
        <f t="shared" si="0"/>
        <v>加入</v>
      </c>
      <c r="P13" s="3" t="str">
        <f t="shared" si="0"/>
        <v>加入</v>
      </c>
      <c r="Q13" s="3" t="str">
        <f t="shared" si="4"/>
        <v>有期雇用（3ヵ月）</v>
      </c>
      <c r="R13" s="74" t="str">
        <f t="shared" si="5"/>
        <v>協定対象派遣労働者(労使協定式方式)</v>
      </c>
    </row>
    <row r="14" spans="1:18" ht="18">
      <c r="A14">
        <f>SUBTOTAL(103,$K$9:K14)</f>
        <v>6</v>
      </c>
      <c r="B14">
        <v>6</v>
      </c>
      <c r="C14">
        <f>_xlfn.XLOOKUP($K$3&amp;B14,Filtro!A:A,Filtro!D:D,"",0,1)</f>
        <v>211017</v>
      </c>
      <c r="D14" t="str">
        <f>_xlfn.XLOOKUP(C14,DBGenzai[社員№],DBGenzai[現在],"",0,1)</f>
        <v>退社</v>
      </c>
      <c r="E14" s="51">
        <f>_xlfn.XLOOKUP($C14,DBGenzai[社員№],DBGenzai[生年月日],"",0,1)</f>
        <v>32906</v>
      </c>
      <c r="F14">
        <f t="shared" ca="1" si="1"/>
        <v>33</v>
      </c>
      <c r="G14">
        <f>_xlfn.XLOOKUP(C14,DBGenzai[社員№],DBGenzai[請求単価],"",0,1)</f>
        <v>2000</v>
      </c>
      <c r="H14" s="95">
        <f>_xlfn.XLOOKUP($C14,DBGenzai[社員№],DBGenzai[入社日],"",0,1)</f>
        <v>44481</v>
      </c>
      <c r="I14" s="95">
        <f>IF(D14="退社",_xlfn.XLOOKUP($C14,DBGenzai[社員№],DBGenzai[退社日],"",0,1),"")</f>
        <v>44923</v>
      </c>
      <c r="J14" s="73" t="e">
        <f t="shared" si="6"/>
        <v>#VALUE!</v>
      </c>
      <c r="K14" s="50" t="str">
        <f>_xlfn.XLOOKUP($C14,DBGenzai[社員№],DBGenzai[カナ],"",0,1)</f>
        <v>チャン　ホン　フォン</v>
      </c>
      <c r="L14" s="3" t="str">
        <f>_xlfn.XLOOKUP($C14,DBGenzai[社員№],DBGenzai[性別],"",0,1)</f>
        <v>男</v>
      </c>
      <c r="M14" s="3" t="str">
        <f t="shared" ca="1" si="2"/>
        <v>60歳未満</v>
      </c>
      <c r="N14" s="3" t="str">
        <f t="shared" si="3"/>
        <v>加入</v>
      </c>
      <c r="O14" s="3" t="str">
        <f t="shared" si="0"/>
        <v>加入</v>
      </c>
      <c r="P14" s="3" t="str">
        <f t="shared" si="0"/>
        <v>加入</v>
      </c>
      <c r="Q14" s="3" t="str">
        <f t="shared" si="4"/>
        <v>有期雇用（3ヵ月）</v>
      </c>
      <c r="R14" s="74" t="str">
        <f t="shared" si="5"/>
        <v>協定対象派遣労働者(労使協定式方式)</v>
      </c>
    </row>
    <row r="15" spans="1:18" ht="18">
      <c r="A15">
        <f>SUBTOTAL(103,$K$9:K15)</f>
        <v>7</v>
      </c>
      <c r="B15">
        <v>7</v>
      </c>
      <c r="C15">
        <f>_xlfn.XLOOKUP($K$3&amp;B15,Filtro!A:A,Filtro!D:D,"",0,1)</f>
        <v>211016</v>
      </c>
      <c r="D15" t="str">
        <f>_xlfn.XLOOKUP(C15,DBGenzai[社員№],DBGenzai[現在],"",0,1)</f>
        <v>在職中</v>
      </c>
      <c r="E15" s="51">
        <f>_xlfn.XLOOKUP($C15,DBGenzai[社員№],DBGenzai[生年月日],"",0,1)</f>
        <v>34043</v>
      </c>
      <c r="F15">
        <f t="shared" ca="1" si="1"/>
        <v>30</v>
      </c>
      <c r="G15">
        <f>_xlfn.XLOOKUP(C15,DBGenzai[社員№],DBGenzai[請求単価],"",0,1)</f>
        <v>2000</v>
      </c>
      <c r="H15" s="95">
        <f>_xlfn.XLOOKUP($C15,DBGenzai[社員№],DBGenzai[入社日],"",0,1)</f>
        <v>44481</v>
      </c>
      <c r="I15" s="95" t="str">
        <f>IF(D15="退社",_xlfn.XLOOKUP($C15,DBGenzai[社員№],DBGenzai[退社日],"",0,1),"")</f>
        <v/>
      </c>
      <c r="J15" s="73" t="e">
        <f t="shared" si="6"/>
        <v>#VALUE!</v>
      </c>
      <c r="K15" s="50" t="str">
        <f>_xlfn.XLOOKUP($C15,DBGenzai[社員№],DBGenzai[カナ],"",0,1)</f>
        <v>ホアン　ゴック　ビン</v>
      </c>
      <c r="L15" s="3" t="str">
        <f>_xlfn.XLOOKUP($C15,DBGenzai[社員№],DBGenzai[性別],"",0,1)</f>
        <v>男</v>
      </c>
      <c r="M15" s="3" t="str">
        <f t="shared" ca="1" si="2"/>
        <v>60歳未満</v>
      </c>
      <c r="N15" s="3" t="str">
        <f t="shared" si="3"/>
        <v>加入</v>
      </c>
      <c r="O15" s="3" t="str">
        <f t="shared" si="0"/>
        <v>加入</v>
      </c>
      <c r="P15" s="3" t="str">
        <f t="shared" si="0"/>
        <v>加入</v>
      </c>
      <c r="Q15" s="3" t="str">
        <f t="shared" si="4"/>
        <v>有期雇用（3ヵ月）</v>
      </c>
      <c r="R15" s="74" t="str">
        <f t="shared" si="5"/>
        <v>協定対象派遣労働者(労使協定式方式)</v>
      </c>
    </row>
    <row r="16" spans="1:18" ht="18">
      <c r="A16">
        <f>SUBTOTAL(103,$K$9:K16)</f>
        <v>8</v>
      </c>
      <c r="B16">
        <v>8</v>
      </c>
      <c r="C16">
        <f>_xlfn.XLOOKUP($K$3&amp;B16,Filtro!A:A,Filtro!D:D,"",0,1)</f>
        <v>211018</v>
      </c>
      <c r="D16" t="str">
        <f>_xlfn.XLOOKUP(C16,DBGenzai[社員№],DBGenzai[現在],"",0,1)</f>
        <v>退社</v>
      </c>
      <c r="E16" s="51">
        <f>_xlfn.XLOOKUP($C16,DBGenzai[社員№],DBGenzai[生年月日],"",0,1)</f>
        <v>35330</v>
      </c>
      <c r="F16">
        <f t="shared" ca="1" si="1"/>
        <v>27</v>
      </c>
      <c r="G16">
        <f>_xlfn.XLOOKUP(C16,DBGenzai[社員№],DBGenzai[請求単価],"",0,1)</f>
        <v>2000</v>
      </c>
      <c r="H16" s="95">
        <f>_xlfn.XLOOKUP($C16,DBGenzai[社員№],DBGenzai[入社日],"",0,1)</f>
        <v>44481</v>
      </c>
      <c r="I16" s="95">
        <f>IF(D16="退社",_xlfn.XLOOKUP($C16,DBGenzai[社員№],DBGenzai[退社日],"",0,1),"")</f>
        <v>45057</v>
      </c>
      <c r="J16" s="73" t="e">
        <f t="shared" si="6"/>
        <v>#VALUE!</v>
      </c>
      <c r="K16" s="50" t="str">
        <f>_xlfn.XLOOKUP($C16,DBGenzai[社員№],DBGenzai[カナ],"",0,1)</f>
        <v>グエン　クアン　トウエン</v>
      </c>
      <c r="L16" s="3" t="str">
        <f>_xlfn.XLOOKUP($C16,DBGenzai[社員№],DBGenzai[性別],"",0,1)</f>
        <v>男</v>
      </c>
      <c r="M16" s="3" t="str">
        <f t="shared" ca="1" si="2"/>
        <v>60歳未満</v>
      </c>
      <c r="N16" s="3" t="str">
        <f t="shared" si="3"/>
        <v>加入</v>
      </c>
      <c r="O16" s="3" t="str">
        <f t="shared" si="0"/>
        <v>加入</v>
      </c>
      <c r="P16" s="3" t="str">
        <f t="shared" si="0"/>
        <v>加入</v>
      </c>
      <c r="Q16" s="3" t="str">
        <f t="shared" si="4"/>
        <v>有期雇用（3ヵ月）</v>
      </c>
      <c r="R16" s="74" t="str">
        <f t="shared" si="5"/>
        <v>協定対象派遣労働者(労使協定式方式)</v>
      </c>
    </row>
    <row r="17" spans="1:18" ht="18">
      <c r="A17">
        <f>SUBTOTAL(103,$K$9:K17)</f>
        <v>9</v>
      </c>
      <c r="B17">
        <v>9</v>
      </c>
      <c r="C17">
        <f>_xlfn.XLOOKUP($K$3&amp;B17,Filtro!A:A,Filtro!D:D,"",0,1)</f>
        <v>211024</v>
      </c>
      <c r="D17" t="str">
        <f>_xlfn.XLOOKUP(C17,DBGenzai[社員№],DBGenzai[現在],"",0,1)</f>
        <v>退社</v>
      </c>
      <c r="E17" s="51">
        <f>_xlfn.XLOOKUP($C17,DBGenzai[社員№],DBGenzai[生年月日],"",0,1)</f>
        <v>33705</v>
      </c>
      <c r="F17">
        <f t="shared" ca="1" si="1"/>
        <v>31</v>
      </c>
      <c r="G17">
        <f>_xlfn.XLOOKUP(C17,DBGenzai[社員№],DBGenzai[請求単価],"",0,1)</f>
        <v>2000</v>
      </c>
      <c r="H17" s="95">
        <f>_xlfn.XLOOKUP($C17,DBGenzai[社員№],DBGenzai[入社日],"",0,1)</f>
        <v>44487</v>
      </c>
      <c r="I17" s="95">
        <f>IF(D17="退社",_xlfn.XLOOKUP($C17,DBGenzai[社員№],DBGenzai[退社日],"",0,1),"")</f>
        <v>45163</v>
      </c>
      <c r="J17" s="73" t="e">
        <f t="shared" si="6"/>
        <v>#VALUE!</v>
      </c>
      <c r="K17" s="50" t="str">
        <f>_xlfn.XLOOKUP($C17,DBGenzai[社員№],DBGenzai[カナ],"",0,1)</f>
        <v>ノン　タイン　トゥン</v>
      </c>
      <c r="L17" s="3" t="str">
        <f>_xlfn.XLOOKUP($C17,DBGenzai[社員№],DBGenzai[性別],"",0,1)</f>
        <v>男</v>
      </c>
      <c r="M17" s="3" t="str">
        <f t="shared" ca="1" si="2"/>
        <v>60歳未満</v>
      </c>
      <c r="N17" s="3" t="str">
        <f t="shared" si="3"/>
        <v>加入</v>
      </c>
      <c r="O17" s="3" t="str">
        <f t="shared" si="0"/>
        <v>加入</v>
      </c>
      <c r="P17" s="3" t="str">
        <f t="shared" si="0"/>
        <v>加入</v>
      </c>
      <c r="Q17" s="3" t="str">
        <f t="shared" si="4"/>
        <v>有期雇用（3ヵ月）</v>
      </c>
      <c r="R17" s="74" t="str">
        <f t="shared" si="5"/>
        <v>協定対象派遣労働者(労使協定式方式)</v>
      </c>
    </row>
    <row r="18" spans="1:18" ht="18">
      <c r="A18">
        <f>SUBTOTAL(103,$K$9:K18)</f>
        <v>10</v>
      </c>
      <c r="B18">
        <v>10</v>
      </c>
      <c r="C18">
        <f>_xlfn.XLOOKUP($K$3&amp;B18,Filtro!A:A,Filtro!D:D,"",0,1)</f>
        <v>211023</v>
      </c>
      <c r="D18" t="str">
        <f>_xlfn.XLOOKUP(C18,DBGenzai[社員№],DBGenzai[現在],"",0,1)</f>
        <v>退社</v>
      </c>
      <c r="E18" s="51">
        <f>_xlfn.XLOOKUP($C18,DBGenzai[社員№],DBGenzai[生年月日],"",0,1)</f>
        <v>34262</v>
      </c>
      <c r="F18">
        <f t="shared" ca="1" si="1"/>
        <v>30</v>
      </c>
      <c r="G18">
        <f>_xlfn.XLOOKUP(C18,DBGenzai[社員№],DBGenzai[請求単価],"",0,1)</f>
        <v>2000</v>
      </c>
      <c r="H18" s="95">
        <f>_xlfn.XLOOKUP($C18,DBGenzai[社員№],DBGenzai[入社日],"",0,1)</f>
        <v>44487</v>
      </c>
      <c r="I18" s="95">
        <f>IF(D18="退社",_xlfn.XLOOKUP($C18,DBGenzai[社員№],DBGenzai[退社日],"",0,1),"")</f>
        <v>45106</v>
      </c>
      <c r="J18" s="73" t="e">
        <f t="shared" si="6"/>
        <v>#VALUE!</v>
      </c>
      <c r="K18" s="50" t="str">
        <f>_xlfn.XLOOKUP($C18,DBGenzai[社員№],DBGenzai[カナ],"",0,1)</f>
        <v>ファム　タイン　ビン</v>
      </c>
      <c r="L18" s="3" t="str">
        <f>_xlfn.XLOOKUP($C18,DBGenzai[社員№],DBGenzai[性別],"",0,1)</f>
        <v>男</v>
      </c>
      <c r="M18" s="3" t="str">
        <f t="shared" ca="1" si="2"/>
        <v>60歳未満</v>
      </c>
      <c r="N18" s="3" t="str">
        <f t="shared" si="3"/>
        <v>加入</v>
      </c>
      <c r="O18" s="3" t="str">
        <f t="shared" si="0"/>
        <v>加入</v>
      </c>
      <c r="P18" s="3" t="str">
        <f t="shared" si="0"/>
        <v>加入</v>
      </c>
      <c r="Q18" s="3" t="str">
        <f t="shared" si="4"/>
        <v>有期雇用（3ヵ月）</v>
      </c>
      <c r="R18" s="74" t="str">
        <f t="shared" si="5"/>
        <v>協定対象派遣労働者(労使協定式方式)</v>
      </c>
    </row>
    <row r="19" spans="1:18" ht="18">
      <c r="A19">
        <f>SUBTOTAL(103,$K$9:K19)</f>
        <v>11</v>
      </c>
      <c r="B19">
        <v>11</v>
      </c>
      <c r="C19">
        <f>_xlfn.XLOOKUP($K$3&amp;B19,Filtro!A:A,Filtro!D:D,"",0,1)</f>
        <v>211022</v>
      </c>
      <c r="D19" t="str">
        <f>_xlfn.XLOOKUP(C19,DBGenzai[社員№],DBGenzai[現在],"",0,1)</f>
        <v>在職中</v>
      </c>
      <c r="E19" s="51">
        <f>_xlfn.XLOOKUP($C19,DBGenzai[社員№],DBGenzai[生年月日],"",0,1)</f>
        <v>33773</v>
      </c>
      <c r="F19">
        <f t="shared" ca="1" si="1"/>
        <v>31</v>
      </c>
      <c r="G19">
        <f>_xlfn.XLOOKUP(C19,DBGenzai[社員№],DBGenzai[請求単価],"",0,1)</f>
        <v>2000</v>
      </c>
      <c r="H19" s="95">
        <f>_xlfn.XLOOKUP($C19,DBGenzai[社員№],DBGenzai[入社日],"",0,1)</f>
        <v>44487</v>
      </c>
      <c r="I19" s="95" t="str">
        <f>IF(D19="退社",_xlfn.XLOOKUP($C19,DBGenzai[社員№],DBGenzai[退社日],"",0,1),"")</f>
        <v/>
      </c>
      <c r="J19" s="73" t="e">
        <f t="shared" si="6"/>
        <v>#VALUE!</v>
      </c>
      <c r="K19" s="50" t="str">
        <f>_xlfn.XLOOKUP($C19,DBGenzai[社員№],DBGenzai[カナ],"",0,1)</f>
        <v>ノン　ヴァン　ソン</v>
      </c>
      <c r="L19" s="3" t="str">
        <f>_xlfn.XLOOKUP($C19,DBGenzai[社員№],DBGenzai[性別],"",0,1)</f>
        <v>男</v>
      </c>
      <c r="M19" s="3" t="str">
        <f t="shared" ca="1" si="2"/>
        <v>60歳未満</v>
      </c>
      <c r="N19" s="3" t="str">
        <f t="shared" si="3"/>
        <v>加入</v>
      </c>
      <c r="O19" s="3" t="str">
        <f t="shared" si="0"/>
        <v>加入</v>
      </c>
      <c r="P19" s="3" t="str">
        <f t="shared" si="0"/>
        <v>加入</v>
      </c>
      <c r="Q19" s="3" t="str">
        <f t="shared" si="4"/>
        <v>有期雇用（3ヵ月）</v>
      </c>
      <c r="R19" s="74" t="str">
        <f t="shared" si="5"/>
        <v>協定対象派遣労働者(労使協定式方式)</v>
      </c>
    </row>
    <row r="20" spans="1:18" ht="18">
      <c r="A20">
        <f>SUBTOTAL(103,$K$9:K20)</f>
        <v>12</v>
      </c>
      <c r="B20">
        <v>12</v>
      </c>
      <c r="C20">
        <f>_xlfn.XLOOKUP($K$3&amp;B20,Filtro!A:A,Filtro!D:D,"",0,1)</f>
        <v>220102</v>
      </c>
      <c r="D20" t="str">
        <f>_xlfn.XLOOKUP(C20,DBGenzai[社員№],DBGenzai[現在],"",0,1)</f>
        <v>在職中</v>
      </c>
      <c r="E20" s="51">
        <f>_xlfn.XLOOKUP($C20,DBGenzai[社員№],DBGenzai[生年月日],"",0,1)</f>
        <v>33728</v>
      </c>
      <c r="F20">
        <f t="shared" ca="1" si="1"/>
        <v>31</v>
      </c>
      <c r="G20">
        <f>_xlfn.XLOOKUP(C20,DBGenzai[社員№],DBGenzai[請求単価],"",0,1)</f>
        <v>2000</v>
      </c>
      <c r="H20" s="95">
        <f>_xlfn.XLOOKUP($C20,DBGenzai[社員№],DBGenzai[入社日],"",0,1)</f>
        <v>44566</v>
      </c>
      <c r="I20" s="95" t="str">
        <f>IF(D20="退社",_xlfn.XLOOKUP($C20,DBGenzai[社員№],DBGenzai[退社日],"",0,1),"")</f>
        <v/>
      </c>
      <c r="J20" s="73" t="e">
        <f t="shared" si="6"/>
        <v>#VALUE!</v>
      </c>
      <c r="K20" s="50" t="str">
        <f>_xlfn.XLOOKUP($C20,DBGenzai[社員№],DBGenzai[カナ],"",0,1)</f>
        <v>グエン　カン　ユイ</v>
      </c>
      <c r="L20" s="3" t="str">
        <f>_xlfn.XLOOKUP($C20,DBGenzai[社員№],DBGenzai[性別],"",0,1)</f>
        <v>男</v>
      </c>
      <c r="M20" s="3" t="str">
        <f t="shared" ca="1" si="2"/>
        <v>60歳未満</v>
      </c>
      <c r="N20" s="3" t="str">
        <f t="shared" si="3"/>
        <v>加入</v>
      </c>
      <c r="O20" s="3" t="str">
        <f t="shared" si="0"/>
        <v>加入</v>
      </c>
      <c r="P20" s="3" t="str">
        <f t="shared" si="0"/>
        <v>加入</v>
      </c>
      <c r="Q20" s="3" t="str">
        <f t="shared" si="4"/>
        <v>有期雇用（3ヵ月）</v>
      </c>
      <c r="R20" s="74" t="str">
        <f t="shared" si="5"/>
        <v>協定対象派遣労働者(労使協定式方式)</v>
      </c>
    </row>
    <row r="21" spans="1:18" ht="18">
      <c r="A21">
        <f>SUBTOTAL(103,$K$9:K21)</f>
        <v>13</v>
      </c>
      <c r="B21">
        <v>13</v>
      </c>
      <c r="C21">
        <f>_xlfn.XLOOKUP($K$3&amp;B21,Filtro!A:A,Filtro!D:D,"",0,1)</f>
        <v>220122</v>
      </c>
      <c r="D21" t="str">
        <f>_xlfn.XLOOKUP(C21,DBGenzai[社員№],DBGenzai[現在],"",0,1)</f>
        <v>退社</v>
      </c>
      <c r="E21" s="51">
        <f>_xlfn.XLOOKUP($C21,DBGenzai[社員№],DBGenzai[生年月日],"",0,1)</f>
        <v>34656</v>
      </c>
      <c r="F21">
        <f t="shared" ca="1" si="1"/>
        <v>29</v>
      </c>
      <c r="G21">
        <f>_xlfn.XLOOKUP(C21,DBGenzai[社員№],DBGenzai[請求単価],"",0,1)</f>
        <v>2000</v>
      </c>
      <c r="H21" s="95">
        <f>_xlfn.XLOOKUP($C21,DBGenzai[社員№],DBGenzai[入社日],"",0,1)</f>
        <v>44579</v>
      </c>
      <c r="I21" s="95">
        <f>IF(D21="退社",_xlfn.XLOOKUP($C21,DBGenzai[社員№],DBGenzai[退社日],"",0,1),"")</f>
        <v>44802</v>
      </c>
      <c r="J21" s="73" t="e">
        <f t="shared" si="6"/>
        <v>#VALUE!</v>
      </c>
      <c r="K21" s="50" t="str">
        <f>_xlfn.XLOOKUP($C21,DBGenzai[社員№],DBGenzai[カナ],"",0,1)</f>
        <v>チャン　チョン　トゥ</v>
      </c>
      <c r="L21" s="3" t="str">
        <f>_xlfn.XLOOKUP($C21,DBGenzai[社員№],DBGenzai[性別],"",0,1)</f>
        <v>男</v>
      </c>
      <c r="M21" s="3" t="str">
        <f t="shared" ca="1" si="2"/>
        <v>60歳未満</v>
      </c>
      <c r="N21" s="3" t="str">
        <f t="shared" si="3"/>
        <v>加入</v>
      </c>
      <c r="O21" s="3" t="str">
        <f t="shared" si="0"/>
        <v>加入</v>
      </c>
      <c r="P21" s="3" t="str">
        <f t="shared" si="0"/>
        <v>加入</v>
      </c>
      <c r="Q21" s="3" t="str">
        <f t="shared" si="4"/>
        <v>有期雇用（3ヵ月）</v>
      </c>
      <c r="R21" s="74" t="str">
        <f t="shared" si="5"/>
        <v>協定対象派遣労働者(労使協定式方式)</v>
      </c>
    </row>
    <row r="22" spans="1:18" ht="18">
      <c r="A22">
        <f>SUBTOTAL(103,$K$9:K22)</f>
        <v>14</v>
      </c>
      <c r="B22">
        <v>14</v>
      </c>
      <c r="C22">
        <f>_xlfn.XLOOKUP($K$3&amp;B22,Filtro!A:A,Filtro!D:D,"",0,1)</f>
        <v>220215</v>
      </c>
      <c r="D22" t="str">
        <f>_xlfn.XLOOKUP(C22,DBGenzai[社員№],DBGenzai[現在],"",0,1)</f>
        <v>退社</v>
      </c>
      <c r="E22" s="51">
        <f>_xlfn.XLOOKUP($C22,DBGenzai[社員№],DBGenzai[生年月日],"",0,1)</f>
        <v>33924</v>
      </c>
      <c r="F22">
        <f t="shared" ca="1" si="1"/>
        <v>31</v>
      </c>
      <c r="G22">
        <f>_xlfn.XLOOKUP(C22,DBGenzai[社員№],DBGenzai[請求単価],"",0,1)</f>
        <v>2200</v>
      </c>
      <c r="H22" s="95">
        <f>_xlfn.XLOOKUP($C22,DBGenzai[社員№],DBGenzai[入社日],"",0,1)</f>
        <v>44608</v>
      </c>
      <c r="I22" s="95">
        <f>IF(D22="退社",_xlfn.XLOOKUP($C22,DBGenzai[社員№],DBGenzai[退社日],"",0,1),"")</f>
        <v>44875</v>
      </c>
      <c r="J22" s="73" t="e">
        <f t="shared" si="6"/>
        <v>#VALUE!</v>
      </c>
      <c r="K22" s="50" t="str">
        <f>_xlfn.XLOOKUP($C22,DBGenzai[社員№],DBGenzai[カナ],"",0,1)</f>
        <v>ルイエン　フィ　トゥアン</v>
      </c>
      <c r="L22" s="3" t="str">
        <f>_xlfn.XLOOKUP($C22,DBGenzai[社員№],DBGenzai[性別],"",0,1)</f>
        <v>男</v>
      </c>
      <c r="M22" s="3" t="str">
        <f t="shared" ca="1" si="2"/>
        <v>60歳未満</v>
      </c>
      <c r="N22" s="3" t="str">
        <f t="shared" si="3"/>
        <v>加入</v>
      </c>
      <c r="O22" s="3" t="str">
        <f t="shared" si="0"/>
        <v>加入</v>
      </c>
      <c r="P22" s="3" t="str">
        <f t="shared" si="0"/>
        <v>加入</v>
      </c>
      <c r="Q22" s="3" t="str">
        <f t="shared" si="4"/>
        <v>有期雇用（3ヵ月）</v>
      </c>
      <c r="R22" s="74" t="str">
        <f t="shared" si="5"/>
        <v>協定対象派遣労働者(労使協定式方式)</v>
      </c>
    </row>
    <row r="23" spans="1:18" ht="18">
      <c r="A23">
        <f>SUBTOTAL(103,$K$9:K23)</f>
        <v>15</v>
      </c>
      <c r="B23">
        <v>15</v>
      </c>
      <c r="C23">
        <f>_xlfn.XLOOKUP($K$3&amp;B23,Filtro!A:A,Filtro!D:D,"",0,1)</f>
        <v>220220</v>
      </c>
      <c r="D23" t="str">
        <f>_xlfn.XLOOKUP(C23,DBGenzai[社員№],DBGenzai[現在],"",0,1)</f>
        <v>在職中</v>
      </c>
      <c r="E23" s="51">
        <f>_xlfn.XLOOKUP($C23,DBGenzai[社員№],DBGenzai[生年月日],"",0,1)</f>
        <v>35079</v>
      </c>
      <c r="F23">
        <f t="shared" ca="1" si="1"/>
        <v>27</v>
      </c>
      <c r="G23">
        <f>_xlfn.XLOOKUP(C23,DBGenzai[社員№],DBGenzai[請求単価],"",0,1)</f>
        <v>2200</v>
      </c>
      <c r="H23" s="95">
        <f>_xlfn.XLOOKUP($C23,DBGenzai[社員№],DBGenzai[入社日],"",0,1)</f>
        <v>44614</v>
      </c>
      <c r="I23" s="95" t="str">
        <f>IF(D23="退社",_xlfn.XLOOKUP($C23,DBGenzai[社員№],DBGenzai[退社日],"",0,1),"")</f>
        <v/>
      </c>
      <c r="J23" s="73" t="e">
        <f t="shared" si="6"/>
        <v>#VALUE!</v>
      </c>
      <c r="K23" s="50" t="str">
        <f>_xlfn.XLOOKUP($C23,DBGenzai[社員№],DBGenzai[カナ],"",0,1)</f>
        <v>ホアン　スアン　クオック</v>
      </c>
      <c r="L23" s="3" t="str">
        <f>_xlfn.XLOOKUP($C23,DBGenzai[社員№],DBGenzai[性別],"",0,1)</f>
        <v>男</v>
      </c>
      <c r="M23" s="3" t="str">
        <f t="shared" ca="1" si="2"/>
        <v>60歳未満</v>
      </c>
      <c r="N23" s="3" t="str">
        <f t="shared" si="3"/>
        <v>加入</v>
      </c>
      <c r="O23" s="3" t="str">
        <f t="shared" si="0"/>
        <v>加入</v>
      </c>
      <c r="P23" s="3" t="str">
        <f t="shared" si="0"/>
        <v>加入</v>
      </c>
      <c r="Q23" s="3" t="str">
        <f t="shared" si="4"/>
        <v>有期雇用（3ヵ月）</v>
      </c>
      <c r="R23" s="74" t="str">
        <f t="shared" si="5"/>
        <v>協定対象派遣労働者(労使協定式方式)</v>
      </c>
    </row>
    <row r="24" spans="1:18" ht="18">
      <c r="A24">
        <f>SUBTOTAL(103,$K$9:K24)</f>
        <v>16</v>
      </c>
      <c r="B24">
        <v>16</v>
      </c>
      <c r="C24">
        <f>_xlfn.XLOOKUP($K$3&amp;B24,Filtro!A:A,Filtro!D:D,"",0,1)</f>
        <v>220316</v>
      </c>
      <c r="D24" t="str">
        <f>_xlfn.XLOOKUP(C24,DBGenzai[社員№],DBGenzai[現在],"",0,1)</f>
        <v>在職中</v>
      </c>
      <c r="E24" s="51">
        <f>_xlfn.XLOOKUP($C24,DBGenzai[社員№],DBGenzai[生年月日],"",0,1)</f>
        <v>35348</v>
      </c>
      <c r="F24">
        <f t="shared" ca="1" si="1"/>
        <v>27</v>
      </c>
      <c r="G24">
        <f>_xlfn.XLOOKUP(C24,DBGenzai[社員№],DBGenzai[請求単価],"",0,1)</f>
        <v>2000</v>
      </c>
      <c r="H24" s="95">
        <f>_xlfn.XLOOKUP($C24,DBGenzai[社員№],DBGenzai[入社日],"",0,1)</f>
        <v>44637</v>
      </c>
      <c r="I24" s="95" t="str">
        <f>IF(D24="退社",_xlfn.XLOOKUP($C24,DBGenzai[社員№],DBGenzai[退社日],"",0,1),"")</f>
        <v/>
      </c>
      <c r="J24" s="73" t="e">
        <f t="shared" si="6"/>
        <v>#VALUE!</v>
      </c>
      <c r="K24" s="50" t="str">
        <f>_xlfn.XLOOKUP($C24,DBGenzai[社員№],DBGenzai[カナ],"",0,1)</f>
        <v>レー　バン　ミン</v>
      </c>
      <c r="L24" s="3" t="str">
        <f>_xlfn.XLOOKUP($C24,DBGenzai[社員№],DBGenzai[性別],"",0,1)</f>
        <v>男</v>
      </c>
      <c r="M24" s="3" t="str">
        <f t="shared" ca="1" si="2"/>
        <v>60歳未満</v>
      </c>
      <c r="N24" s="3" t="str">
        <f t="shared" si="3"/>
        <v>加入</v>
      </c>
      <c r="O24" s="3" t="str">
        <f t="shared" si="0"/>
        <v>加入</v>
      </c>
      <c r="P24" s="3" t="str">
        <f t="shared" si="0"/>
        <v>加入</v>
      </c>
      <c r="Q24" s="3" t="str">
        <f t="shared" si="4"/>
        <v>有期雇用（3ヵ月）</v>
      </c>
      <c r="R24" s="74" t="str">
        <f t="shared" si="5"/>
        <v>協定対象派遣労働者(労使協定式方式)</v>
      </c>
    </row>
    <row r="25" spans="1:18" ht="18">
      <c r="A25">
        <f>SUBTOTAL(103,$K$9:K25)</f>
        <v>17</v>
      </c>
      <c r="B25">
        <v>17</v>
      </c>
      <c r="C25">
        <f>_xlfn.XLOOKUP($K$3&amp;B25,Filtro!A:A,Filtro!D:D,"",0,1)</f>
        <v>220323</v>
      </c>
      <c r="D25" t="str">
        <f>_xlfn.XLOOKUP(C25,DBGenzai[社員№],DBGenzai[現在],"",0,1)</f>
        <v>退社</v>
      </c>
      <c r="E25" s="51">
        <f>_xlfn.XLOOKUP($C25,DBGenzai[社員№],DBGenzai[生年月日],"",0,1)</f>
        <v>33826</v>
      </c>
      <c r="F25">
        <f t="shared" ca="1" si="1"/>
        <v>31</v>
      </c>
      <c r="G25">
        <f>_xlfn.XLOOKUP(C25,DBGenzai[社員№],DBGenzai[請求単価],"",0,1)</f>
        <v>2200</v>
      </c>
      <c r="H25" s="95">
        <f>_xlfn.XLOOKUP($C25,DBGenzai[社員№],DBGenzai[入社日],"",0,1)</f>
        <v>44645</v>
      </c>
      <c r="I25" s="95">
        <f>IF(D25="退社",_xlfn.XLOOKUP($C25,DBGenzai[社員№],DBGenzai[退社日],"",0,1),"")</f>
        <v>44854</v>
      </c>
      <c r="J25" s="73" t="e">
        <f t="shared" si="6"/>
        <v>#VALUE!</v>
      </c>
      <c r="K25" s="50" t="str">
        <f>_xlfn.XLOOKUP($C25,DBGenzai[社員№],DBGenzai[カナ],"",0,1)</f>
        <v>ドー　バン　ミン</v>
      </c>
      <c r="L25" s="3" t="str">
        <f>_xlfn.XLOOKUP($C25,DBGenzai[社員№],DBGenzai[性別],"",0,1)</f>
        <v>男</v>
      </c>
      <c r="M25" s="3" t="str">
        <f t="shared" ca="1" si="2"/>
        <v>60歳未満</v>
      </c>
      <c r="N25" s="3" t="str">
        <f t="shared" si="3"/>
        <v>加入</v>
      </c>
      <c r="O25" s="3" t="str">
        <f t="shared" si="3"/>
        <v>加入</v>
      </c>
      <c r="P25" s="3" t="str">
        <f t="shared" si="3"/>
        <v>加入</v>
      </c>
      <c r="Q25" s="3" t="str">
        <f t="shared" si="4"/>
        <v>有期雇用（3ヵ月）</v>
      </c>
      <c r="R25" s="74" t="str">
        <f t="shared" si="5"/>
        <v>協定対象派遣労働者(労使協定式方式)</v>
      </c>
    </row>
    <row r="26" spans="1:18" ht="18">
      <c r="A26">
        <f>SUBTOTAL(103,$K$9:K26)</f>
        <v>18</v>
      </c>
      <c r="B26">
        <v>18</v>
      </c>
      <c r="C26">
        <f>_xlfn.XLOOKUP($K$3&amp;B26,Filtro!A:A,Filtro!D:D,"",0,1)</f>
        <v>220612</v>
      </c>
      <c r="D26" t="str">
        <f>_xlfn.XLOOKUP(C26,DBGenzai[社員№],DBGenzai[現在],"",0,1)</f>
        <v>退社</v>
      </c>
      <c r="E26" s="51">
        <f>_xlfn.XLOOKUP($C26,DBGenzai[社員№],DBGenzai[生年月日],"",0,1)</f>
        <v>32574</v>
      </c>
      <c r="F26">
        <f t="shared" ca="1" si="1"/>
        <v>34</v>
      </c>
      <c r="G26">
        <f>_xlfn.XLOOKUP(C26,DBGenzai[社員№],DBGenzai[請求単価],"",0,1)</f>
        <v>2000</v>
      </c>
      <c r="H26" s="95">
        <f>_xlfn.XLOOKUP($C26,DBGenzai[社員№],DBGenzai[入社日],"",0,1)</f>
        <v>44726</v>
      </c>
      <c r="I26" s="95">
        <f>IF(D26="退社",_xlfn.XLOOKUP($C26,DBGenzai[社員№],DBGenzai[退社日],"",0,1),"")</f>
        <v>44856</v>
      </c>
      <c r="J26" s="73" t="e">
        <f t="shared" si="6"/>
        <v>#VALUE!</v>
      </c>
      <c r="K26" s="50" t="str">
        <f>_xlfn.XLOOKUP($C26,DBGenzai[社員№],DBGenzai[カナ],"",0,1)</f>
        <v>グエン　ゴック　チエン</v>
      </c>
      <c r="L26" s="3" t="str">
        <f>_xlfn.XLOOKUP($C26,DBGenzai[社員№],DBGenzai[性別],"",0,1)</f>
        <v>男</v>
      </c>
      <c r="M26" s="3" t="str">
        <f t="shared" ca="1" si="2"/>
        <v>60歳未満</v>
      </c>
      <c r="N26" s="3" t="str">
        <f t="shared" si="3"/>
        <v>加入</v>
      </c>
      <c r="O26" s="3" t="str">
        <f t="shared" si="3"/>
        <v>加入</v>
      </c>
      <c r="P26" s="3" t="str">
        <f t="shared" si="3"/>
        <v>加入</v>
      </c>
      <c r="Q26" s="3" t="str">
        <f t="shared" si="4"/>
        <v>有期雇用（3ヵ月）</v>
      </c>
      <c r="R26" s="74" t="str">
        <f t="shared" si="5"/>
        <v>協定対象派遣労働者(労使協定式方式)</v>
      </c>
    </row>
    <row r="27" spans="1:18" ht="18">
      <c r="A27">
        <f>SUBTOTAL(103,$K$9:K27)</f>
        <v>19</v>
      </c>
      <c r="B27">
        <v>19</v>
      </c>
      <c r="C27">
        <f>_xlfn.XLOOKUP($K$3&amp;B27,Filtro!A:A,Filtro!D:D,"",0,1)</f>
        <v>210304</v>
      </c>
      <c r="D27" t="str">
        <f>_xlfn.XLOOKUP(C27,DBGenzai[社員№],DBGenzai[現在],"",0,1)</f>
        <v>在職中</v>
      </c>
      <c r="E27" s="51">
        <f>_xlfn.XLOOKUP($C27,DBGenzai[社員№],DBGenzai[生年月日],"",0,1)</f>
        <v>32862</v>
      </c>
      <c r="F27">
        <f t="shared" ca="1" si="1"/>
        <v>33</v>
      </c>
      <c r="G27">
        <f>_xlfn.XLOOKUP(C27,DBGenzai[社員№],DBGenzai[請求単価],"",0,1)</f>
        <v>1850</v>
      </c>
      <c r="H27" s="95">
        <f>_xlfn.XLOOKUP($C27,DBGenzai[社員№],DBGenzai[入社日],"",0,1)</f>
        <v>44258</v>
      </c>
      <c r="I27" s="95" t="str">
        <f>IF(D27="退社",_xlfn.XLOOKUP($C27,DBGenzai[社員№],DBGenzai[退社日],"",0,1),"")</f>
        <v/>
      </c>
      <c r="J27" s="73" t="e">
        <f t="shared" si="6"/>
        <v>#VALUE!</v>
      </c>
      <c r="K27" s="50" t="str">
        <f>_xlfn.XLOOKUP($C27,DBGenzai[社員№],DBGenzai[カナ],"",0,1)</f>
        <v>ファム　バン　チョン</v>
      </c>
      <c r="L27" s="3" t="str">
        <f>_xlfn.XLOOKUP($C27,DBGenzai[社員№],DBGenzai[性別],"",0,1)</f>
        <v>男</v>
      </c>
      <c r="M27" s="3" t="str">
        <f t="shared" ca="1" si="2"/>
        <v>60歳未満</v>
      </c>
      <c r="N27" s="3" t="str">
        <f t="shared" si="3"/>
        <v>加入</v>
      </c>
      <c r="O27" s="3" t="str">
        <f t="shared" si="3"/>
        <v>加入</v>
      </c>
      <c r="P27" s="3" t="str">
        <f t="shared" si="3"/>
        <v>加入</v>
      </c>
      <c r="Q27" s="3" t="str">
        <f t="shared" si="4"/>
        <v>有期雇用（3ヵ月）</v>
      </c>
      <c r="R27" s="74" t="str">
        <f t="shared" si="5"/>
        <v>協定対象派遣労働者(労使協定式方式)</v>
      </c>
    </row>
    <row r="28" spans="1:18" ht="18">
      <c r="A28">
        <f>SUBTOTAL(103,$K$9:K28)</f>
        <v>20</v>
      </c>
      <c r="B28">
        <v>20</v>
      </c>
      <c r="C28">
        <f>_xlfn.XLOOKUP($K$3&amp;B28,Filtro!A:A,Filtro!D:D,"",0,1)</f>
        <v>210312</v>
      </c>
      <c r="D28" t="str">
        <f>_xlfn.XLOOKUP(C28,DBGenzai[社員№],DBGenzai[現在],"",0,1)</f>
        <v>退社</v>
      </c>
      <c r="E28" s="51">
        <f>_xlfn.XLOOKUP($C28,DBGenzai[社員№],DBGenzai[生年月日],"",0,1)</f>
        <v>33491</v>
      </c>
      <c r="F28">
        <f t="shared" ca="1" si="1"/>
        <v>32</v>
      </c>
      <c r="G28">
        <f>_xlfn.XLOOKUP(C28,DBGenzai[社員№],DBGenzai[請求単価],"",0,1)</f>
        <v>2300</v>
      </c>
      <c r="H28" s="95">
        <f>_xlfn.XLOOKUP($C28,DBGenzai[社員№],DBGenzai[入社日],"",0,1)</f>
        <v>44272</v>
      </c>
      <c r="I28" s="95">
        <f>IF(D28="退社",_xlfn.XLOOKUP($C28,DBGenzai[社員№],DBGenzai[退社日],"",0,1),"")</f>
        <v>44984</v>
      </c>
      <c r="J28" s="73" t="e">
        <f t="shared" si="6"/>
        <v>#VALUE!</v>
      </c>
      <c r="K28" s="50" t="str">
        <f>_xlfn.XLOOKUP($C28,DBGenzai[社員№],DBGenzai[カナ],"",0,1)</f>
        <v>ヴー　ディン　ヒエップ</v>
      </c>
      <c r="L28" s="3" t="str">
        <f>_xlfn.XLOOKUP($C28,DBGenzai[社員№],DBGenzai[性別],"",0,1)</f>
        <v>男</v>
      </c>
      <c r="M28" s="3" t="str">
        <f t="shared" ca="1" si="2"/>
        <v>60歳未満</v>
      </c>
      <c r="N28" s="3" t="str">
        <f t="shared" si="3"/>
        <v>加入</v>
      </c>
      <c r="O28" s="3" t="str">
        <f t="shared" si="3"/>
        <v>加入</v>
      </c>
      <c r="P28" s="3" t="str">
        <f t="shared" si="3"/>
        <v>加入</v>
      </c>
      <c r="Q28" s="3" t="str">
        <f t="shared" si="4"/>
        <v>有期雇用（3ヵ月）</v>
      </c>
      <c r="R28" s="74" t="str">
        <f t="shared" si="5"/>
        <v>協定対象派遣労働者(労使協定式方式)</v>
      </c>
    </row>
    <row r="29" spans="1:18" ht="18">
      <c r="A29">
        <f>SUBTOTAL(103,$K$9:K29)</f>
        <v>21</v>
      </c>
      <c r="B29">
        <v>21</v>
      </c>
      <c r="C29">
        <f>_xlfn.XLOOKUP($K$3&amp;B29,Filtro!A:A,Filtro!D:D,"",0,1)</f>
        <v>210313</v>
      </c>
      <c r="D29" t="str">
        <f>_xlfn.XLOOKUP(C29,DBGenzai[社員№],DBGenzai[現在],"",0,1)</f>
        <v>退社</v>
      </c>
      <c r="E29" s="51">
        <f>_xlfn.XLOOKUP($C29,DBGenzai[社員№],DBGenzai[生年月日],"",0,1)</f>
        <v>33608</v>
      </c>
      <c r="F29">
        <f t="shared" ca="1" si="1"/>
        <v>31</v>
      </c>
      <c r="G29">
        <f>_xlfn.XLOOKUP(C29,DBGenzai[社員№],DBGenzai[請求単価],"",0,1)</f>
        <v>2300</v>
      </c>
      <c r="H29" s="95">
        <f>_xlfn.XLOOKUP($C29,DBGenzai[社員№],DBGenzai[入社日],"",0,1)</f>
        <v>44272</v>
      </c>
      <c r="I29" s="95">
        <f>IF(D29="退社",_xlfn.XLOOKUP($C29,DBGenzai[社員№],DBGenzai[退社日],"",0,1),"")</f>
        <v>45015</v>
      </c>
      <c r="J29" s="73" t="e">
        <f t="shared" si="6"/>
        <v>#VALUE!</v>
      </c>
      <c r="K29" s="50" t="str">
        <f>_xlfn.XLOOKUP($C29,DBGenzai[社員№],DBGenzai[カナ],"",0,1)</f>
        <v>ルオン　スアン　ゴック</v>
      </c>
      <c r="L29" s="3" t="str">
        <f>_xlfn.XLOOKUP($C29,DBGenzai[社員№],DBGenzai[性別],"",0,1)</f>
        <v>男</v>
      </c>
      <c r="M29" s="3" t="str">
        <f t="shared" ca="1" si="2"/>
        <v>60歳未満</v>
      </c>
      <c r="N29" s="3" t="str">
        <f t="shared" si="3"/>
        <v>加入</v>
      </c>
      <c r="O29" s="3" t="str">
        <f t="shared" si="3"/>
        <v>加入</v>
      </c>
      <c r="P29" s="3" t="str">
        <f t="shared" si="3"/>
        <v>加入</v>
      </c>
      <c r="Q29" s="3" t="str">
        <f t="shared" si="4"/>
        <v>有期雇用（3ヵ月）</v>
      </c>
      <c r="R29" s="74" t="str">
        <f t="shared" si="5"/>
        <v>協定対象派遣労働者(労使協定式方式)</v>
      </c>
    </row>
    <row r="30" spans="1:18" ht="18">
      <c r="A30">
        <f>SUBTOTAL(103,$K$9:K30)</f>
        <v>22</v>
      </c>
      <c r="B30">
        <v>22</v>
      </c>
      <c r="C30">
        <f>_xlfn.XLOOKUP($K$3&amp;B30,Filtro!A:A,Filtro!D:D,"",0,1)</f>
        <v>210417</v>
      </c>
      <c r="D30" t="str">
        <f>_xlfn.XLOOKUP(C30,DBGenzai[社員№],DBGenzai[現在],"",0,1)</f>
        <v>退社</v>
      </c>
      <c r="E30" s="51">
        <f>_xlfn.XLOOKUP($C30,DBGenzai[社員№],DBGenzai[生年月日],"",0,1)</f>
        <v>33593</v>
      </c>
      <c r="F30">
        <f t="shared" ca="1" si="1"/>
        <v>31</v>
      </c>
      <c r="G30">
        <f>_xlfn.XLOOKUP(C30,DBGenzai[社員№],DBGenzai[請求単価],"",0,1)</f>
        <v>2300</v>
      </c>
      <c r="H30" s="95">
        <f>_xlfn.XLOOKUP($C30,DBGenzai[社員№],DBGenzai[入社日],"",0,1)</f>
        <v>44306</v>
      </c>
      <c r="I30" s="95">
        <f>IF(D30="退社",_xlfn.XLOOKUP($C30,DBGenzai[社員№],DBGenzai[退社日],"",0,1),"")</f>
        <v>45015</v>
      </c>
      <c r="J30" s="73" t="e">
        <f t="shared" si="6"/>
        <v>#VALUE!</v>
      </c>
      <c r="K30" s="50" t="str">
        <f>_xlfn.XLOOKUP($C30,DBGenzai[社員№],DBGenzai[カナ],"",0,1)</f>
        <v>レー　スアン　クー</v>
      </c>
      <c r="L30" s="3" t="str">
        <f>_xlfn.XLOOKUP($C30,DBGenzai[社員№],DBGenzai[性別],"",0,1)</f>
        <v>男</v>
      </c>
      <c r="M30" s="3" t="str">
        <f t="shared" ca="1" si="2"/>
        <v>60歳未満</v>
      </c>
      <c r="N30" s="3" t="str">
        <f t="shared" si="3"/>
        <v>加入</v>
      </c>
      <c r="O30" s="3" t="str">
        <f t="shared" si="3"/>
        <v>加入</v>
      </c>
      <c r="P30" s="3" t="str">
        <f t="shared" si="3"/>
        <v>加入</v>
      </c>
      <c r="Q30" s="3" t="str">
        <f t="shared" si="4"/>
        <v>有期雇用（3ヵ月）</v>
      </c>
      <c r="R30" s="74" t="str">
        <f t="shared" si="5"/>
        <v>協定対象派遣労働者(労使協定式方式)</v>
      </c>
    </row>
    <row r="31" spans="1:18" ht="18">
      <c r="A31">
        <f>SUBTOTAL(103,$K$9:K31)</f>
        <v>23</v>
      </c>
      <c r="B31">
        <v>23</v>
      </c>
      <c r="C31">
        <f>_xlfn.XLOOKUP($K$3&amp;B31,Filtro!A:A,Filtro!D:D,"",0,1)</f>
        <v>210603</v>
      </c>
      <c r="D31" t="str">
        <f>_xlfn.XLOOKUP(C31,DBGenzai[社員№],DBGenzai[現在],"",0,1)</f>
        <v>退社</v>
      </c>
      <c r="E31" s="51">
        <f>_xlfn.XLOOKUP($C31,DBGenzai[社員№],DBGenzai[生年月日],"",0,1)</f>
        <v>33531</v>
      </c>
      <c r="F31">
        <f t="shared" ca="1" si="1"/>
        <v>32</v>
      </c>
      <c r="G31">
        <f>_xlfn.XLOOKUP(C31,DBGenzai[社員№],DBGenzai[請求単価],"",0,1)</f>
        <v>2300</v>
      </c>
      <c r="H31" s="95">
        <f>_xlfn.XLOOKUP($C31,DBGenzai[社員№],DBGenzai[入社日],"",0,1)</f>
        <v>44350</v>
      </c>
      <c r="I31" s="95">
        <f>IF(D31="退社",_xlfn.XLOOKUP($C31,DBGenzai[社員№],DBGenzai[退社日],"",0,1),"")</f>
        <v>45015</v>
      </c>
      <c r="J31" s="73" t="e">
        <f t="shared" si="6"/>
        <v>#VALUE!</v>
      </c>
      <c r="K31" s="50" t="str">
        <f>_xlfn.XLOOKUP($C31,DBGenzai[社員№],DBGenzai[カナ],"",0,1)</f>
        <v>マック　ヴァン　フン</v>
      </c>
      <c r="L31" s="3" t="str">
        <f>_xlfn.XLOOKUP($C31,DBGenzai[社員№],DBGenzai[性別],"",0,1)</f>
        <v>男</v>
      </c>
      <c r="M31" s="3" t="str">
        <f t="shared" ca="1" si="2"/>
        <v>60歳未満</v>
      </c>
      <c r="N31" s="3" t="str">
        <f t="shared" si="3"/>
        <v>加入</v>
      </c>
      <c r="O31" s="3" t="str">
        <f t="shared" si="3"/>
        <v>加入</v>
      </c>
      <c r="P31" s="3" t="str">
        <f t="shared" si="3"/>
        <v>加入</v>
      </c>
      <c r="Q31" s="3" t="str">
        <f t="shared" si="4"/>
        <v>有期雇用（3ヵ月）</v>
      </c>
      <c r="R31" s="74" t="str">
        <f t="shared" si="5"/>
        <v>協定対象派遣労働者(労使協定式方式)</v>
      </c>
    </row>
    <row r="32" spans="1:18" ht="18">
      <c r="A32">
        <f>SUBTOTAL(103,$K$9:K32)</f>
        <v>24</v>
      </c>
      <c r="B32">
        <v>24</v>
      </c>
      <c r="C32">
        <f>_xlfn.XLOOKUP($K$3&amp;B32,Filtro!A:A,Filtro!D:D,"",0,1)</f>
        <v>210801</v>
      </c>
      <c r="D32" t="str">
        <f>_xlfn.XLOOKUP(C32,DBGenzai[社員№],DBGenzai[現在],"",0,1)</f>
        <v>退社</v>
      </c>
      <c r="E32" s="51">
        <f>_xlfn.XLOOKUP($C32,DBGenzai[社員№],DBGenzai[生年月日],"",0,1)</f>
        <v>34643</v>
      </c>
      <c r="F32">
        <f t="shared" ca="1" si="1"/>
        <v>29</v>
      </c>
      <c r="G32">
        <f>_xlfn.XLOOKUP(C32,DBGenzai[社員№],DBGenzai[請求単価],"",0,1)</f>
        <v>2300</v>
      </c>
      <c r="H32" s="95">
        <f>_xlfn.XLOOKUP($C32,DBGenzai[社員№],DBGenzai[入社日],"",0,1)</f>
        <v>44418</v>
      </c>
      <c r="I32" s="95">
        <f>IF(D32="退社",_xlfn.XLOOKUP($C32,DBGenzai[社員№],DBGenzai[退社日],"",0,1),"")</f>
        <v>45015</v>
      </c>
      <c r="J32" s="73" t="e">
        <f t="shared" si="6"/>
        <v>#VALUE!</v>
      </c>
      <c r="K32" s="50" t="str">
        <f>_xlfn.XLOOKUP($C32,DBGenzai[社員№],DBGenzai[カナ],"",0,1)</f>
        <v>チャン　スアン　フン</v>
      </c>
      <c r="L32" s="3" t="str">
        <f>_xlfn.XLOOKUP($C32,DBGenzai[社員№],DBGenzai[性別],"",0,1)</f>
        <v>男</v>
      </c>
      <c r="M32" s="3" t="str">
        <f t="shared" ca="1" si="2"/>
        <v>60歳未満</v>
      </c>
      <c r="N32" s="3" t="str">
        <f t="shared" si="3"/>
        <v>加入</v>
      </c>
      <c r="O32" s="3" t="str">
        <f t="shared" si="3"/>
        <v>加入</v>
      </c>
      <c r="P32" s="3" t="str">
        <f t="shared" si="3"/>
        <v>加入</v>
      </c>
      <c r="Q32" s="3" t="str">
        <f t="shared" si="4"/>
        <v>有期雇用（3ヵ月）</v>
      </c>
      <c r="R32" s="74" t="str">
        <f t="shared" si="5"/>
        <v>協定対象派遣労働者(労使協定式方式)</v>
      </c>
    </row>
    <row r="33" spans="1:18" ht="18">
      <c r="A33">
        <f>SUBTOTAL(103,$K$9:K33)</f>
        <v>25</v>
      </c>
      <c r="B33">
        <v>25</v>
      </c>
      <c r="C33">
        <f>_xlfn.XLOOKUP($K$3&amp;B33,Filtro!A:A,Filtro!D:D,"",0,1)</f>
        <v>210802</v>
      </c>
      <c r="D33" t="str">
        <f>_xlfn.XLOOKUP(C33,DBGenzai[社員№],DBGenzai[現在],"",0,1)</f>
        <v>在職中</v>
      </c>
      <c r="E33" s="51">
        <f>_xlfn.XLOOKUP($C33,DBGenzai[社員№],DBGenzai[生年月日],"",0,1)</f>
        <v>34498</v>
      </c>
      <c r="F33">
        <f t="shared" ca="1" si="1"/>
        <v>29</v>
      </c>
      <c r="G33">
        <f>_xlfn.XLOOKUP(C33,DBGenzai[社員№],DBGenzai[請求単価],"",0,1)</f>
        <v>1850</v>
      </c>
      <c r="H33" s="95">
        <f>_xlfn.XLOOKUP($C33,DBGenzai[社員№],DBGenzai[入社日],"",0,1)</f>
        <v>44418</v>
      </c>
      <c r="I33" s="95" t="str">
        <f>IF(D33="退社",_xlfn.XLOOKUP($C33,DBGenzai[社員№],DBGenzai[退社日],"",0,1),"")</f>
        <v/>
      </c>
      <c r="J33" s="73" t="e">
        <f t="shared" si="6"/>
        <v>#VALUE!</v>
      </c>
      <c r="K33" s="50" t="str">
        <f>_xlfn.XLOOKUP($C33,DBGenzai[社員№],DBGenzai[カナ],"",0,1)</f>
        <v>ダン　ヴァン　カン</v>
      </c>
      <c r="L33" s="3" t="str">
        <f>_xlfn.XLOOKUP($C33,DBGenzai[社員№],DBGenzai[性別],"",0,1)</f>
        <v>男</v>
      </c>
      <c r="M33" s="3" t="str">
        <f t="shared" ca="1" si="2"/>
        <v>60歳未満</v>
      </c>
      <c r="N33" s="3" t="str">
        <f t="shared" si="3"/>
        <v>加入</v>
      </c>
      <c r="O33" s="3" t="str">
        <f t="shared" si="3"/>
        <v>加入</v>
      </c>
      <c r="P33" s="3" t="str">
        <f t="shared" si="3"/>
        <v>加入</v>
      </c>
      <c r="Q33" s="3" t="str">
        <f t="shared" si="4"/>
        <v>有期雇用（3ヵ月）</v>
      </c>
      <c r="R33" s="74" t="str">
        <f t="shared" si="5"/>
        <v>協定対象派遣労働者(労使協定式方式)</v>
      </c>
    </row>
    <row r="34" spans="1:18" ht="18">
      <c r="A34">
        <f>SUBTOTAL(103,$K$9:K34)</f>
        <v>26</v>
      </c>
      <c r="B34">
        <v>26</v>
      </c>
      <c r="C34">
        <f>_xlfn.XLOOKUP($K$3&amp;B34,Filtro!A:A,Filtro!D:D,"",0,1)</f>
        <v>210805</v>
      </c>
      <c r="D34" t="str">
        <f>_xlfn.XLOOKUP(C34,DBGenzai[社員№],DBGenzai[現在],"",0,1)</f>
        <v>在職中</v>
      </c>
      <c r="E34" s="51">
        <f>_xlfn.XLOOKUP($C34,DBGenzai[社員№],DBGenzai[生年月日],"",0,1)</f>
        <v>32818</v>
      </c>
      <c r="F34">
        <f t="shared" ca="1" si="1"/>
        <v>34</v>
      </c>
      <c r="G34">
        <f>_xlfn.XLOOKUP(C34,DBGenzai[社員№],DBGenzai[請求単価],"",0,1)</f>
        <v>1850</v>
      </c>
      <c r="H34" s="95">
        <f>_xlfn.XLOOKUP($C34,DBGenzai[社員№],DBGenzai[入社日],"",0,1)</f>
        <v>44424</v>
      </c>
      <c r="I34" s="95" t="str">
        <f>IF(D34="退社",_xlfn.XLOOKUP($C34,DBGenzai[社員№],DBGenzai[退社日],"",0,1),"")</f>
        <v/>
      </c>
      <c r="J34" s="73" t="e">
        <f t="shared" si="6"/>
        <v>#VALUE!</v>
      </c>
      <c r="K34" s="50" t="str">
        <f>_xlfn.XLOOKUP($C34,DBGenzai[社員№],DBGenzai[カナ],"",0,1)</f>
        <v>レー　ヴァン　ニャン</v>
      </c>
      <c r="L34" s="3" t="str">
        <f>_xlfn.XLOOKUP($C34,DBGenzai[社員№],DBGenzai[性別],"",0,1)</f>
        <v>男</v>
      </c>
      <c r="M34" s="3" t="str">
        <f t="shared" ca="1" si="2"/>
        <v>60歳未満</v>
      </c>
      <c r="N34" s="3" t="str">
        <f t="shared" si="3"/>
        <v>加入</v>
      </c>
      <c r="O34" s="3" t="str">
        <f t="shared" si="3"/>
        <v>加入</v>
      </c>
      <c r="P34" s="3" t="str">
        <f t="shared" si="3"/>
        <v>加入</v>
      </c>
      <c r="Q34" s="3" t="str">
        <f t="shared" si="4"/>
        <v>有期雇用（3ヵ月）</v>
      </c>
      <c r="R34" s="74" t="str">
        <f t="shared" si="5"/>
        <v>協定対象派遣労働者(労使協定式方式)</v>
      </c>
    </row>
    <row r="35" spans="1:18" ht="18">
      <c r="A35">
        <f>SUBTOTAL(103,$K$9:K35)</f>
        <v>27</v>
      </c>
      <c r="B35">
        <v>27</v>
      </c>
      <c r="C35">
        <f>_xlfn.XLOOKUP($K$3&amp;B35,Filtro!A:A,Filtro!D:D,"",0,1)</f>
        <v>210806</v>
      </c>
      <c r="D35" t="str">
        <f>_xlfn.XLOOKUP(C35,DBGenzai[社員№],DBGenzai[現在],"",0,1)</f>
        <v>退社</v>
      </c>
      <c r="E35" s="51">
        <f>_xlfn.XLOOKUP($C35,DBGenzai[社員№],DBGenzai[生年月日],"",0,1)</f>
        <v>33996</v>
      </c>
      <c r="F35">
        <f t="shared" ca="1" si="1"/>
        <v>30</v>
      </c>
      <c r="G35">
        <f>_xlfn.XLOOKUP(C35,DBGenzai[社員№],DBGenzai[請求単価],"",0,1)</f>
        <v>2300</v>
      </c>
      <c r="H35" s="95">
        <f>_xlfn.XLOOKUP($C35,DBGenzai[社員№],DBGenzai[入社日],"",0,1)</f>
        <v>44424</v>
      </c>
      <c r="I35" s="95">
        <f>IF(D35="退社",_xlfn.XLOOKUP($C35,DBGenzai[社員№],DBGenzai[退社日],"",0,1),"")</f>
        <v>45028</v>
      </c>
      <c r="J35" s="73" t="e">
        <f t="shared" si="6"/>
        <v>#VALUE!</v>
      </c>
      <c r="K35" s="50" t="str">
        <f>_xlfn.XLOOKUP($C35,DBGenzai[社員№],DBGenzai[カナ],"",0,1)</f>
        <v>ファン　ミン　チ</v>
      </c>
      <c r="L35" s="3" t="str">
        <f>_xlfn.XLOOKUP($C35,DBGenzai[社員№],DBGenzai[性別],"",0,1)</f>
        <v>男</v>
      </c>
      <c r="M35" s="3" t="str">
        <f t="shared" ca="1" si="2"/>
        <v>60歳未満</v>
      </c>
      <c r="N35" s="3" t="str">
        <f t="shared" si="3"/>
        <v>加入</v>
      </c>
      <c r="O35" s="3" t="str">
        <f t="shared" si="3"/>
        <v>加入</v>
      </c>
      <c r="P35" s="3" t="str">
        <f t="shared" si="3"/>
        <v>加入</v>
      </c>
      <c r="Q35" s="3" t="str">
        <f t="shared" si="4"/>
        <v>有期雇用（3ヵ月）</v>
      </c>
      <c r="R35" s="74" t="str">
        <f t="shared" si="5"/>
        <v>協定対象派遣労働者(労使協定式方式)</v>
      </c>
    </row>
    <row r="36" spans="1:18" ht="18">
      <c r="A36">
        <f>SUBTOTAL(103,$K$9:K36)</f>
        <v>28</v>
      </c>
      <c r="B36">
        <v>28</v>
      </c>
      <c r="C36">
        <f>_xlfn.XLOOKUP($K$3&amp;B36,Filtro!A:A,Filtro!D:D,"",0,1)</f>
        <v>210803</v>
      </c>
      <c r="D36" t="str">
        <f>_xlfn.XLOOKUP(C36,DBGenzai[社員№],DBGenzai[現在],"",0,1)</f>
        <v>退社</v>
      </c>
      <c r="E36" s="51">
        <f>_xlfn.XLOOKUP($C36,DBGenzai[社員№],DBGenzai[生年月日],"",0,1)</f>
        <v>32950</v>
      </c>
      <c r="F36">
        <f t="shared" ca="1" si="1"/>
        <v>33</v>
      </c>
      <c r="G36">
        <f>_xlfn.XLOOKUP(C36,DBGenzai[社員№],DBGenzai[請求単価],"",0,1)</f>
        <v>2300</v>
      </c>
      <c r="H36" s="95">
        <f>_xlfn.XLOOKUP($C36,DBGenzai[社員№],DBGenzai[入社日],"",0,1)</f>
        <v>44424</v>
      </c>
      <c r="I36" s="95">
        <f>IF(D36="退社",_xlfn.XLOOKUP($C36,DBGenzai[社員№],DBGenzai[退社日],"",0,1),"")</f>
        <v>45015</v>
      </c>
      <c r="J36" s="73" t="e">
        <f t="shared" si="6"/>
        <v>#VALUE!</v>
      </c>
      <c r="K36" s="50" t="str">
        <f>_xlfn.XLOOKUP($C36,DBGenzai[社員№],DBGenzai[カナ],"",0,1)</f>
        <v>チャン　ヴァン　トゥアン</v>
      </c>
      <c r="L36" s="3" t="str">
        <f>_xlfn.XLOOKUP($C36,DBGenzai[社員№],DBGenzai[性別],"",0,1)</f>
        <v>男</v>
      </c>
      <c r="M36" s="3" t="str">
        <f t="shared" ca="1" si="2"/>
        <v>60歳未満</v>
      </c>
      <c r="N36" s="3" t="str">
        <f t="shared" si="3"/>
        <v>加入</v>
      </c>
      <c r="O36" s="3" t="str">
        <f t="shared" si="3"/>
        <v>加入</v>
      </c>
      <c r="P36" s="3" t="str">
        <f t="shared" si="3"/>
        <v>加入</v>
      </c>
      <c r="Q36" s="3" t="str">
        <f t="shared" si="4"/>
        <v>有期雇用（3ヵ月）</v>
      </c>
      <c r="R36" s="74" t="str">
        <f t="shared" si="5"/>
        <v>協定対象派遣労働者(労使協定式方式)</v>
      </c>
    </row>
    <row r="37" spans="1:18" ht="18">
      <c r="A37">
        <f>SUBTOTAL(103,$K$9:K37)</f>
        <v>29</v>
      </c>
      <c r="B37">
        <v>29</v>
      </c>
      <c r="C37">
        <f>_xlfn.XLOOKUP($K$3&amp;B37,Filtro!A:A,Filtro!D:D,"",0,1)</f>
        <v>210812</v>
      </c>
      <c r="D37" t="str">
        <f>_xlfn.XLOOKUP(C37,DBGenzai[社員№],DBGenzai[現在],"",0,1)</f>
        <v>退社</v>
      </c>
      <c r="E37" s="51">
        <f>_xlfn.XLOOKUP($C37,DBGenzai[社員№],DBGenzai[生年月日],"",0,1)</f>
        <v>33805</v>
      </c>
      <c r="F37">
        <f t="shared" ca="1" si="1"/>
        <v>31</v>
      </c>
      <c r="G37">
        <f>_xlfn.XLOOKUP(C37,DBGenzai[社員№],DBGenzai[請求単価],"",0,1)</f>
        <v>2300</v>
      </c>
      <c r="H37" s="95">
        <f>_xlfn.XLOOKUP($C37,DBGenzai[社員№],DBGenzai[入社日],"",0,1)</f>
        <v>44424</v>
      </c>
      <c r="I37" s="95">
        <f>IF(D37="退社",_xlfn.XLOOKUP($C37,DBGenzai[社員№],DBGenzai[退社日],"",0,1),"")</f>
        <v>45015</v>
      </c>
      <c r="J37" s="73" t="e">
        <f t="shared" si="6"/>
        <v>#VALUE!</v>
      </c>
      <c r="K37" s="50" t="str">
        <f>_xlfn.XLOOKUP($C37,DBGenzai[社員№],DBGenzai[カナ],"",0,1)</f>
        <v>ゴー　ナット　クエン</v>
      </c>
      <c r="L37" s="3" t="str">
        <f>_xlfn.XLOOKUP($C37,DBGenzai[社員№],DBGenzai[性別],"",0,1)</f>
        <v>男</v>
      </c>
      <c r="M37" s="3" t="str">
        <f t="shared" ca="1" si="2"/>
        <v>60歳未満</v>
      </c>
      <c r="N37" s="3" t="str">
        <f t="shared" si="3"/>
        <v>加入</v>
      </c>
      <c r="O37" s="3" t="str">
        <f t="shared" si="3"/>
        <v>加入</v>
      </c>
      <c r="P37" s="3" t="str">
        <f t="shared" si="3"/>
        <v>加入</v>
      </c>
      <c r="Q37" s="3" t="str">
        <f t="shared" si="4"/>
        <v>有期雇用（3ヵ月）</v>
      </c>
      <c r="R37" s="74" t="str">
        <f t="shared" si="5"/>
        <v>協定対象派遣労働者(労使協定式方式)</v>
      </c>
    </row>
    <row r="38" spans="1:18" ht="18">
      <c r="A38">
        <f>SUBTOTAL(103,$K$9:K38)</f>
        <v>30</v>
      </c>
      <c r="B38">
        <v>30</v>
      </c>
      <c r="C38">
        <f>_xlfn.XLOOKUP($K$3&amp;B38,Filtro!A:A,Filtro!D:D,"",0,1)</f>
        <v>210820</v>
      </c>
      <c r="D38" t="str">
        <f>_xlfn.XLOOKUP(C38,DBGenzai[社員№],DBGenzai[現在],"",0,1)</f>
        <v>退社</v>
      </c>
      <c r="E38" s="51">
        <f>_xlfn.XLOOKUP($C38,DBGenzai[社員№],DBGenzai[生年月日],"",0,1)</f>
        <v>31605</v>
      </c>
      <c r="F38">
        <f t="shared" ca="1" si="1"/>
        <v>37</v>
      </c>
      <c r="G38">
        <f>_xlfn.XLOOKUP(C38,DBGenzai[社員№],DBGenzai[請求単価],"",0,1)</f>
        <v>2300</v>
      </c>
      <c r="H38" s="95">
        <f>_xlfn.XLOOKUP($C38,DBGenzai[社員№],DBGenzai[入社日],"",0,1)</f>
        <v>44434</v>
      </c>
      <c r="I38" s="95">
        <f>IF(D38="退社",_xlfn.XLOOKUP($C38,DBGenzai[社員№],DBGenzai[退社日],"",0,1),"")</f>
        <v>45015</v>
      </c>
      <c r="J38" s="73" t="e">
        <f t="shared" si="6"/>
        <v>#VALUE!</v>
      </c>
      <c r="K38" s="50" t="str">
        <f>_xlfn.XLOOKUP($C38,DBGenzai[社員№],DBGenzai[カナ],"",0,1)</f>
        <v>グエン　ディン　ダン</v>
      </c>
      <c r="L38" s="3" t="str">
        <f>_xlfn.XLOOKUP($C38,DBGenzai[社員№],DBGenzai[性別],"",0,1)</f>
        <v>男</v>
      </c>
      <c r="M38" s="3" t="str">
        <f t="shared" ca="1" si="2"/>
        <v>60歳未満</v>
      </c>
      <c r="N38" s="3" t="str">
        <f t="shared" si="3"/>
        <v>加入</v>
      </c>
      <c r="O38" s="3" t="str">
        <f t="shared" si="3"/>
        <v>加入</v>
      </c>
      <c r="P38" s="3" t="str">
        <f t="shared" si="3"/>
        <v>加入</v>
      </c>
      <c r="Q38" s="3" t="str">
        <f t="shared" si="4"/>
        <v>有期雇用（3ヵ月）</v>
      </c>
      <c r="R38" s="74" t="str">
        <f t="shared" si="5"/>
        <v>協定対象派遣労働者(労使協定式方式)</v>
      </c>
    </row>
    <row r="39" spans="1:18" ht="18">
      <c r="A39">
        <f>SUBTOTAL(103,$K$9:K39)</f>
        <v>31</v>
      </c>
      <c r="B39">
        <v>31</v>
      </c>
      <c r="C39">
        <f>_xlfn.XLOOKUP($K$3&amp;B39,Filtro!A:A,Filtro!D:D,"",0,1)</f>
        <v>210902</v>
      </c>
      <c r="D39" t="str">
        <f>_xlfn.XLOOKUP(C39,DBGenzai[社員№],DBGenzai[現在],"",0,1)</f>
        <v>退社</v>
      </c>
      <c r="E39" s="51">
        <f>_xlfn.XLOOKUP($C39,DBGenzai[社員№],DBGenzai[生年月日],"",0,1)</f>
        <v>32964</v>
      </c>
      <c r="F39">
        <f t="shared" ca="1" si="1"/>
        <v>33</v>
      </c>
      <c r="G39">
        <f>_xlfn.XLOOKUP(C39,DBGenzai[社員№],DBGenzai[請求単価],"",0,1)</f>
        <v>2300</v>
      </c>
      <c r="H39" s="95">
        <f>_xlfn.XLOOKUP($C39,DBGenzai[社員№],DBGenzai[入社日],"",0,1)</f>
        <v>44445</v>
      </c>
      <c r="I39" s="95">
        <f>IF(D39="退社",_xlfn.XLOOKUP($C39,DBGenzai[社員№],DBGenzai[退社日],"",0,1),"")</f>
        <v>45015</v>
      </c>
      <c r="J39" s="73" t="e">
        <f t="shared" si="6"/>
        <v>#VALUE!</v>
      </c>
      <c r="K39" s="50" t="str">
        <f>_xlfn.XLOOKUP($C39,DBGenzai[社員№],DBGenzai[カナ],"",0,1)</f>
        <v>レ　ヴィエット　チュン</v>
      </c>
      <c r="L39" s="3" t="str">
        <f>_xlfn.XLOOKUP($C39,DBGenzai[社員№],DBGenzai[性別],"",0,1)</f>
        <v>男</v>
      </c>
      <c r="M39" s="3" t="str">
        <f t="shared" ca="1" si="2"/>
        <v>60歳未満</v>
      </c>
      <c r="N39" s="3" t="str">
        <f t="shared" si="3"/>
        <v>加入</v>
      </c>
      <c r="O39" s="3" t="str">
        <f t="shared" si="3"/>
        <v>加入</v>
      </c>
      <c r="P39" s="3" t="str">
        <f t="shared" si="3"/>
        <v>加入</v>
      </c>
      <c r="Q39" s="3" t="str">
        <f t="shared" si="4"/>
        <v>有期雇用（3ヵ月）</v>
      </c>
      <c r="R39" s="74" t="str">
        <f t="shared" si="5"/>
        <v>協定対象派遣労働者(労使協定式方式)</v>
      </c>
    </row>
    <row r="40" spans="1:18" ht="18">
      <c r="A40">
        <f>SUBTOTAL(103,$K$9:K40)</f>
        <v>32</v>
      </c>
      <c r="B40">
        <v>32</v>
      </c>
      <c r="C40">
        <f>_xlfn.XLOOKUP($K$3&amp;B40,Filtro!A:A,Filtro!D:D,"",0,1)</f>
        <v>210909</v>
      </c>
      <c r="D40" t="str">
        <f>_xlfn.XLOOKUP(C40,DBGenzai[社員№],DBGenzai[現在],"",0,1)</f>
        <v>退社</v>
      </c>
      <c r="E40" s="51">
        <f>_xlfn.XLOOKUP($C40,DBGenzai[社員№],DBGenzai[生年月日],"",0,1)</f>
        <v>33600</v>
      </c>
      <c r="F40">
        <f t="shared" ca="1" si="1"/>
        <v>31</v>
      </c>
      <c r="G40">
        <f>_xlfn.XLOOKUP(C40,DBGenzai[社員№],DBGenzai[請求単価],"",0,1)</f>
        <v>2300</v>
      </c>
      <c r="H40" s="95">
        <f>_xlfn.XLOOKUP($C40,DBGenzai[社員№],DBGenzai[入社日],"",0,1)</f>
        <v>44460</v>
      </c>
      <c r="I40" s="95">
        <f>IF(D40="退社",_xlfn.XLOOKUP($C40,DBGenzai[社員№],DBGenzai[退社日],"",0,1),"")</f>
        <v>44915</v>
      </c>
      <c r="J40" s="73" t="e">
        <f t="shared" si="6"/>
        <v>#VALUE!</v>
      </c>
      <c r="K40" s="50" t="str">
        <f>_xlfn.XLOOKUP($C40,DBGenzai[社員№],DBGenzai[カナ],"",0,1)</f>
        <v>マイ　ジャン　フォン</v>
      </c>
      <c r="L40" s="3" t="str">
        <f>_xlfn.XLOOKUP($C40,DBGenzai[社員№],DBGenzai[性別],"",0,1)</f>
        <v>男</v>
      </c>
      <c r="M40" s="3" t="str">
        <f t="shared" ca="1" si="2"/>
        <v>60歳未満</v>
      </c>
      <c r="N40" s="3" t="str">
        <f t="shared" si="3"/>
        <v>加入</v>
      </c>
      <c r="O40" s="3" t="str">
        <f t="shared" si="3"/>
        <v>加入</v>
      </c>
      <c r="P40" s="3" t="str">
        <f t="shared" si="3"/>
        <v>加入</v>
      </c>
      <c r="Q40" s="3" t="str">
        <f t="shared" si="4"/>
        <v>有期雇用（3ヵ月）</v>
      </c>
      <c r="R40" s="74" t="str">
        <f t="shared" si="5"/>
        <v>協定対象派遣労働者(労使協定式方式)</v>
      </c>
    </row>
    <row r="41" spans="1:18" ht="18">
      <c r="A41">
        <f>SUBTOTAL(103,$K$9:K41)</f>
        <v>33</v>
      </c>
      <c r="B41">
        <v>33</v>
      </c>
      <c r="C41">
        <f>_xlfn.XLOOKUP($K$3&amp;B41,Filtro!A:A,Filtro!D:D,"",0,1)</f>
        <v>211027</v>
      </c>
      <c r="D41" t="str">
        <f>_xlfn.XLOOKUP(C41,DBGenzai[社員№],DBGenzai[現在],"",0,1)</f>
        <v>退社</v>
      </c>
      <c r="E41" s="51">
        <f>_xlfn.XLOOKUP($C41,DBGenzai[社員№],DBGenzai[生年月日],"",0,1)</f>
        <v>35548</v>
      </c>
      <c r="F41">
        <f t="shared" ca="1" si="1"/>
        <v>26</v>
      </c>
      <c r="G41">
        <f>_xlfn.XLOOKUP(C41,DBGenzai[社員№],DBGenzai[請求単価],"",0,1)</f>
        <v>1850</v>
      </c>
      <c r="H41" s="95">
        <f>_xlfn.XLOOKUP($C41,DBGenzai[社員№],DBGenzai[入社日],"",0,1)</f>
        <v>44494</v>
      </c>
      <c r="I41" s="95">
        <f>IF(D41="退社",_xlfn.XLOOKUP($C41,DBGenzai[社員№],DBGenzai[退社日],"",0,1),"")</f>
        <v>45215</v>
      </c>
      <c r="J41" s="73" t="e">
        <f t="shared" si="6"/>
        <v>#VALUE!</v>
      </c>
      <c r="K41" s="50" t="str">
        <f>_xlfn.XLOOKUP($C41,DBGenzai[社員№],DBGenzai[カナ],"",0,1)</f>
        <v>グエン　ホン　ソン</v>
      </c>
      <c r="L41" s="3" t="str">
        <f>_xlfn.XLOOKUP($C41,DBGenzai[社員№],DBGenzai[性別],"",0,1)</f>
        <v>男</v>
      </c>
      <c r="M41" s="3" t="str">
        <f t="shared" ca="1" si="2"/>
        <v>60歳未満</v>
      </c>
      <c r="N41" s="3" t="str">
        <f t="shared" si="3"/>
        <v>加入</v>
      </c>
      <c r="O41" s="3" t="str">
        <f t="shared" si="3"/>
        <v>加入</v>
      </c>
      <c r="P41" s="3" t="str">
        <f t="shared" si="3"/>
        <v>加入</v>
      </c>
      <c r="Q41" s="3" t="str">
        <f t="shared" si="4"/>
        <v>有期雇用（3ヵ月）</v>
      </c>
      <c r="R41" s="74" t="str">
        <f t="shared" si="5"/>
        <v>協定対象派遣労働者(労使協定式方式)</v>
      </c>
    </row>
    <row r="42" spans="1:18" ht="18">
      <c r="A42">
        <f>SUBTOTAL(103,$K$9:K42)</f>
        <v>34</v>
      </c>
      <c r="B42">
        <v>34</v>
      </c>
      <c r="C42">
        <f>_xlfn.XLOOKUP($K$3&amp;B42,Filtro!A:A,Filtro!D:D,"",0,1)</f>
        <v>200801</v>
      </c>
      <c r="D42" t="str">
        <f>_xlfn.XLOOKUP(C42,DBGenzai[社員№],DBGenzai[現在],"",0,1)</f>
        <v>在職中</v>
      </c>
      <c r="E42" s="51">
        <f>_xlfn.XLOOKUP($C42,DBGenzai[社員№],DBGenzai[生年月日],"",0,1)</f>
        <v>32431</v>
      </c>
      <c r="F42">
        <f t="shared" ca="1" si="1"/>
        <v>35</v>
      </c>
      <c r="G42">
        <f>_xlfn.XLOOKUP(C42,DBGenzai[社員№],DBGenzai[請求単価],"",0,1)</f>
        <v>2300</v>
      </c>
      <c r="H42" s="95">
        <f>_xlfn.XLOOKUP($C42,DBGenzai[社員№],DBGenzai[入社日],"",0,1)</f>
        <v>44573</v>
      </c>
      <c r="I42" s="95" t="str">
        <f>IF(D42="退社",_xlfn.XLOOKUP($C42,DBGenzai[社員№],DBGenzai[退社日],"",0,1),"")</f>
        <v/>
      </c>
      <c r="J42" s="73" t="e">
        <f t="shared" si="6"/>
        <v>#VALUE!</v>
      </c>
      <c r="K42" s="50" t="str">
        <f>_xlfn.XLOOKUP($C42,DBGenzai[社員№],DBGenzai[カナ],"",0,1)</f>
        <v>グエン　クアン　タン</v>
      </c>
      <c r="L42" s="3" t="str">
        <f>_xlfn.XLOOKUP($C42,DBGenzai[社員№],DBGenzai[性別],"",0,1)</f>
        <v>男</v>
      </c>
      <c r="M42" s="3" t="str">
        <f t="shared" ca="1" si="2"/>
        <v>60歳未満</v>
      </c>
      <c r="N42" s="3" t="str">
        <f t="shared" ref="N42:P73" si="7">IF($K42="","","加入")</f>
        <v>加入</v>
      </c>
      <c r="O42" s="3" t="str">
        <f t="shared" si="7"/>
        <v>加入</v>
      </c>
      <c r="P42" s="3" t="str">
        <f t="shared" si="7"/>
        <v>加入</v>
      </c>
      <c r="Q42" s="3" t="str">
        <f t="shared" si="4"/>
        <v>有期雇用（3ヵ月）</v>
      </c>
      <c r="R42" s="74" t="str">
        <f t="shared" si="5"/>
        <v>協定対象派遣労働者(労使協定式方式)</v>
      </c>
    </row>
    <row r="43" spans="1:18" ht="18">
      <c r="A43">
        <f>SUBTOTAL(103,$K$9:K43)</f>
        <v>35</v>
      </c>
      <c r="B43">
        <v>35</v>
      </c>
      <c r="C43">
        <f>_xlfn.XLOOKUP($K$3&amp;B43,Filtro!A:A,Filtro!D:D,"",0,1)</f>
        <v>220129</v>
      </c>
      <c r="D43" t="str">
        <f>_xlfn.XLOOKUP(C43,DBGenzai[社員№],DBGenzai[現在],"",0,1)</f>
        <v>退社</v>
      </c>
      <c r="E43" s="51">
        <f>_xlfn.XLOOKUP($C43,DBGenzai[社員№],DBGenzai[生年月日],"",0,1)</f>
        <v>33462</v>
      </c>
      <c r="F43">
        <f t="shared" ca="1" si="1"/>
        <v>32</v>
      </c>
      <c r="G43">
        <f>_xlfn.XLOOKUP(C43,DBGenzai[社員№],DBGenzai[請求単価],"",0,1)</f>
        <v>2300</v>
      </c>
      <c r="H43" s="95">
        <f>_xlfn.XLOOKUP($C43,DBGenzai[社員№],DBGenzai[入社日],"",0,1)</f>
        <v>44585</v>
      </c>
      <c r="I43" s="95">
        <f>IF(D43="退社",_xlfn.XLOOKUP($C43,DBGenzai[社員№],DBGenzai[退社日],"",0,1),"")</f>
        <v>44946</v>
      </c>
      <c r="J43" s="73" t="e">
        <f t="shared" si="6"/>
        <v>#VALUE!</v>
      </c>
      <c r="K43" s="50" t="str">
        <f>_xlfn.XLOOKUP($C43,DBGenzai[社員№],DBGenzai[カナ],"",0,1)</f>
        <v>ホー　タン　バオ　チュン</v>
      </c>
      <c r="L43" s="3" t="str">
        <f>_xlfn.XLOOKUP($C43,DBGenzai[社員№],DBGenzai[性別],"",0,1)</f>
        <v>男</v>
      </c>
      <c r="M43" s="3" t="str">
        <f t="shared" ca="1" si="2"/>
        <v>60歳未満</v>
      </c>
      <c r="N43" s="3" t="str">
        <f t="shared" si="7"/>
        <v>加入</v>
      </c>
      <c r="O43" s="3" t="str">
        <f t="shared" si="7"/>
        <v>加入</v>
      </c>
      <c r="P43" s="3" t="str">
        <f t="shared" si="7"/>
        <v>加入</v>
      </c>
      <c r="Q43" s="3" t="str">
        <f t="shared" si="4"/>
        <v>有期雇用（3ヵ月）</v>
      </c>
      <c r="R43" s="74" t="str">
        <f t="shared" si="5"/>
        <v>協定対象派遣労働者(労使協定式方式)</v>
      </c>
    </row>
    <row r="44" spans="1:18" ht="18">
      <c r="A44">
        <f>SUBTOTAL(103,$K$9:K44)</f>
        <v>36</v>
      </c>
      <c r="B44">
        <v>36</v>
      </c>
      <c r="C44">
        <f>_xlfn.XLOOKUP($K$3&amp;B44,Filtro!A:A,Filtro!D:D,"",0,1)</f>
        <v>211029</v>
      </c>
      <c r="D44" t="str">
        <f>_xlfn.XLOOKUP(C44,DBGenzai[社員№],DBGenzai[現在],"",0,1)</f>
        <v>退社</v>
      </c>
      <c r="E44" s="51">
        <f>_xlfn.XLOOKUP($C44,DBGenzai[社員№],DBGenzai[生年月日],"",0,1)</f>
        <v>35306</v>
      </c>
      <c r="F44">
        <f t="shared" ca="1" si="1"/>
        <v>27</v>
      </c>
      <c r="G44">
        <f>_xlfn.XLOOKUP(C44,DBGenzai[社員№],DBGenzai[請求単価],"",0,1)</f>
        <v>1770</v>
      </c>
      <c r="H44" s="95">
        <f>_xlfn.XLOOKUP($C44,DBGenzai[社員№],DBGenzai[入社日],"",0,1)</f>
        <v>44496</v>
      </c>
      <c r="I44" s="95">
        <f>IF(D44="退社",_xlfn.XLOOKUP($C44,DBGenzai[社員№],DBGenzai[退社日],"",0,1),"")</f>
        <v>44844</v>
      </c>
      <c r="J44" s="73" t="e">
        <f t="shared" si="6"/>
        <v>#VALUE!</v>
      </c>
      <c r="K44" s="50" t="str">
        <f>_xlfn.XLOOKUP($C44,DBGenzai[社員№],DBGenzai[カナ],"",0,1)</f>
        <v>ヴォン　フック　ハ</v>
      </c>
      <c r="L44" s="3" t="str">
        <f>_xlfn.XLOOKUP($C44,DBGenzai[社員№],DBGenzai[性別],"",0,1)</f>
        <v>男</v>
      </c>
      <c r="M44" s="3" t="str">
        <f t="shared" ca="1" si="2"/>
        <v>60歳未満</v>
      </c>
      <c r="N44" s="3" t="str">
        <f t="shared" si="7"/>
        <v>加入</v>
      </c>
      <c r="O44" s="3" t="str">
        <f t="shared" si="7"/>
        <v>加入</v>
      </c>
      <c r="P44" s="3" t="str">
        <f t="shared" si="7"/>
        <v>加入</v>
      </c>
      <c r="Q44" s="3" t="str">
        <f t="shared" si="4"/>
        <v>有期雇用（3ヵ月）</v>
      </c>
      <c r="R44" s="74" t="str">
        <f t="shared" si="5"/>
        <v>協定対象派遣労働者(労使協定式方式)</v>
      </c>
    </row>
    <row r="45" spans="1:18" ht="18">
      <c r="A45">
        <f>SUBTOTAL(103,$K$9:K45)</f>
        <v>37</v>
      </c>
      <c r="B45">
        <v>37</v>
      </c>
      <c r="C45">
        <f>_xlfn.XLOOKUP($K$3&amp;B45,Filtro!A:A,Filtro!D:D,"",0,1)</f>
        <v>220207</v>
      </c>
      <c r="D45" t="str">
        <f>_xlfn.XLOOKUP(C45,DBGenzai[社員№],DBGenzai[現在],"",0,1)</f>
        <v>退社</v>
      </c>
      <c r="E45" s="51">
        <f>_xlfn.XLOOKUP($C45,DBGenzai[社員№],DBGenzai[生年月日],"",0,1)</f>
        <v>35681</v>
      </c>
      <c r="F45">
        <f t="shared" ca="1" si="1"/>
        <v>26</v>
      </c>
      <c r="G45">
        <f>_xlfn.XLOOKUP(C45,DBGenzai[社員№],DBGenzai[請求単価],"",0,1)</f>
        <v>1760</v>
      </c>
      <c r="H45" s="95">
        <f>_xlfn.XLOOKUP($C45,DBGenzai[社員№],DBGenzai[入社日],"",0,1)</f>
        <v>44599</v>
      </c>
      <c r="I45" s="95">
        <f>IF(D45="退社",_xlfn.XLOOKUP($C45,DBGenzai[社員№],DBGenzai[退社日],"",0,1),"")</f>
        <v>44709</v>
      </c>
      <c r="J45" s="73" t="e">
        <f t="shared" si="6"/>
        <v>#VALUE!</v>
      </c>
      <c r="K45" s="50" t="str">
        <f>_xlfn.XLOOKUP($C45,DBGenzai[社員№],DBGenzai[カナ],"",0,1)</f>
        <v>チン　ホアン　アイン</v>
      </c>
      <c r="L45" s="3" t="str">
        <f>_xlfn.XLOOKUP($C45,DBGenzai[社員№],DBGenzai[性別],"",0,1)</f>
        <v>男</v>
      </c>
      <c r="M45" s="3" t="str">
        <f t="shared" ca="1" si="2"/>
        <v>60歳未満</v>
      </c>
      <c r="N45" s="3" t="str">
        <f t="shared" si="7"/>
        <v>加入</v>
      </c>
      <c r="O45" s="3" t="str">
        <f t="shared" si="7"/>
        <v>加入</v>
      </c>
      <c r="P45" s="3" t="str">
        <f t="shared" si="7"/>
        <v>加入</v>
      </c>
      <c r="Q45" s="3" t="str">
        <f t="shared" si="4"/>
        <v>有期雇用（3ヵ月）</v>
      </c>
      <c r="R45" s="74" t="str">
        <f t="shared" si="5"/>
        <v>協定対象派遣労働者(労使協定式方式)</v>
      </c>
    </row>
    <row r="46" spans="1:18" ht="18">
      <c r="A46">
        <f>SUBTOTAL(103,$K$9:K46)</f>
        <v>38</v>
      </c>
      <c r="B46">
        <v>38</v>
      </c>
      <c r="C46">
        <f>_xlfn.XLOOKUP($K$3&amp;B46,Filtro!A:A,Filtro!D:D,"",0,1)</f>
        <v>220202</v>
      </c>
      <c r="D46" t="str">
        <f>_xlfn.XLOOKUP(C46,DBGenzai[社員№],DBGenzai[現在],"",0,1)</f>
        <v>退社</v>
      </c>
      <c r="E46" s="51">
        <f>_xlfn.XLOOKUP($C46,DBGenzai[社員№],DBGenzai[生年月日],"",0,1)</f>
        <v>34386</v>
      </c>
      <c r="F46">
        <f t="shared" ca="1" si="1"/>
        <v>29</v>
      </c>
      <c r="G46">
        <f>_xlfn.XLOOKUP(C46,DBGenzai[社員№],DBGenzai[請求単価],"",0,1)</f>
        <v>1760</v>
      </c>
      <c r="H46" s="95">
        <f>_xlfn.XLOOKUP($C46,DBGenzai[社員№],DBGenzai[入社日],"",0,1)</f>
        <v>44594</v>
      </c>
      <c r="I46" s="95">
        <f>IF(D46="退社",_xlfn.XLOOKUP($C46,DBGenzai[社員№],DBGenzai[退社日],"",0,1),"")</f>
        <v>44719</v>
      </c>
      <c r="J46" s="73" t="e">
        <f t="shared" si="6"/>
        <v>#VALUE!</v>
      </c>
      <c r="K46" s="50" t="str">
        <f>_xlfn.XLOOKUP($C46,DBGenzai[社員№],DBGenzai[カナ],"",0,1)</f>
        <v>ダオ　スアン　チン</v>
      </c>
      <c r="L46" s="3" t="str">
        <f>_xlfn.XLOOKUP($C46,DBGenzai[社員№],DBGenzai[性別],"",0,1)</f>
        <v>男</v>
      </c>
      <c r="M46" s="3" t="str">
        <f t="shared" ca="1" si="2"/>
        <v>60歳未満</v>
      </c>
      <c r="N46" s="3" t="str">
        <f t="shared" si="7"/>
        <v>加入</v>
      </c>
      <c r="O46" s="3" t="str">
        <f t="shared" si="7"/>
        <v>加入</v>
      </c>
      <c r="P46" s="3" t="str">
        <f t="shared" si="7"/>
        <v>加入</v>
      </c>
      <c r="Q46" s="3" t="str">
        <f t="shared" si="4"/>
        <v>有期雇用（3ヵ月）</v>
      </c>
      <c r="R46" s="74" t="str">
        <f t="shared" si="5"/>
        <v>協定対象派遣労働者(労使協定式方式)</v>
      </c>
    </row>
    <row r="47" spans="1:18" ht="18">
      <c r="A47">
        <f>SUBTOTAL(103,$K$9:K47)</f>
        <v>39</v>
      </c>
      <c r="B47">
        <v>39</v>
      </c>
      <c r="C47">
        <f>_xlfn.XLOOKUP($K$3&amp;B47,Filtro!A:A,Filtro!D:D,"",0,1)</f>
        <v>230706</v>
      </c>
      <c r="D47" t="str">
        <f>_xlfn.XLOOKUP(C47,DBGenzai[社員№],DBGenzai[現在],"",0,1)</f>
        <v>在職中</v>
      </c>
      <c r="E47" s="51">
        <f>_xlfn.XLOOKUP($C47,DBGenzai[社員№],DBGenzai[生年月日],"",0,1)</f>
        <v>33757</v>
      </c>
      <c r="F47">
        <f t="shared" ca="1" si="1"/>
        <v>31</v>
      </c>
      <c r="G47">
        <f>_xlfn.XLOOKUP(C47,DBGenzai[社員№],DBGenzai[請求単価],"",0,1)</f>
        <v>1600</v>
      </c>
      <c r="H47" s="95">
        <f>_xlfn.XLOOKUP($C47,DBGenzai[社員№],DBGenzai[入社日],"",0,1)</f>
        <v>45117</v>
      </c>
      <c r="I47" s="95" t="str">
        <f>IF(D47="退社",_xlfn.XLOOKUP($C47,DBGenzai[社員№],DBGenzai[退社日],"",0,1),"")</f>
        <v/>
      </c>
      <c r="J47" s="73" t="e">
        <f t="shared" si="6"/>
        <v>#VALUE!</v>
      </c>
      <c r="K47" s="50" t="str">
        <f>_xlfn.XLOOKUP($C47,DBGenzai[社員№],DBGenzai[カナ],"",0,1)</f>
        <v>ホー　ティ　ニュン</v>
      </c>
      <c r="L47" s="3" t="str">
        <f>_xlfn.XLOOKUP($C47,DBGenzai[社員№],DBGenzai[性別],"",0,1)</f>
        <v>女</v>
      </c>
      <c r="M47" s="3" t="str">
        <f t="shared" ca="1" si="2"/>
        <v>60歳未満</v>
      </c>
      <c r="N47" s="3" t="str">
        <f t="shared" si="7"/>
        <v>加入</v>
      </c>
      <c r="O47" s="3" t="str">
        <f t="shared" si="7"/>
        <v>加入</v>
      </c>
      <c r="P47" s="3" t="str">
        <f t="shared" si="7"/>
        <v>加入</v>
      </c>
      <c r="Q47" s="3" t="str">
        <f t="shared" si="4"/>
        <v>有期雇用（3ヵ月）</v>
      </c>
      <c r="R47" s="74" t="str">
        <f t="shared" si="5"/>
        <v>協定対象派遣労働者(労使協定式方式)</v>
      </c>
    </row>
    <row r="48" spans="1:18" ht="18">
      <c r="A48">
        <f>SUBTOTAL(103,$K$9:K48)</f>
        <v>40</v>
      </c>
      <c r="B48">
        <v>40</v>
      </c>
      <c r="C48">
        <f>_xlfn.XLOOKUP($K$3&amp;B48,Filtro!A:A,Filtro!D:D,"",0,1)</f>
        <v>210114</v>
      </c>
      <c r="D48" t="str">
        <f>_xlfn.XLOOKUP(C48,DBGenzai[社員№],DBGenzai[現在],"",0,1)</f>
        <v>退社</v>
      </c>
      <c r="E48" s="51">
        <f>_xlfn.XLOOKUP($C48,DBGenzai[社員№],DBGenzai[生年月日],"",0,1)</f>
        <v>35489</v>
      </c>
      <c r="F48">
        <f t="shared" ca="1" si="1"/>
        <v>26</v>
      </c>
      <c r="G48">
        <f>_xlfn.XLOOKUP(C48,DBGenzai[社員№],DBGenzai[請求単価],"",0,1)</f>
        <v>1770</v>
      </c>
      <c r="H48" s="95">
        <f>_xlfn.XLOOKUP($C48,DBGenzai[社員№],DBGenzai[入社日],"",0,1)</f>
        <v>44207</v>
      </c>
      <c r="I48" s="95">
        <f>IF(D48="退社",_xlfn.XLOOKUP($C48,DBGenzai[社員№],DBGenzai[退社日],"",0,1),"")</f>
        <v>44854</v>
      </c>
      <c r="J48" s="73" t="e">
        <f t="shared" si="6"/>
        <v>#VALUE!</v>
      </c>
      <c r="K48" s="50" t="str">
        <f>_xlfn.XLOOKUP($C48,DBGenzai[社員№],DBGenzai[カナ],"",0,1)</f>
        <v>チャン　ヴァン　トゥン</v>
      </c>
      <c r="L48" s="3" t="str">
        <f>_xlfn.XLOOKUP($C48,DBGenzai[社員№],DBGenzai[性別],"",0,1)</f>
        <v>男</v>
      </c>
      <c r="M48" s="3" t="str">
        <f t="shared" ca="1" si="2"/>
        <v>60歳未満</v>
      </c>
      <c r="N48" s="3" t="str">
        <f t="shared" si="7"/>
        <v>加入</v>
      </c>
      <c r="O48" s="3" t="str">
        <f t="shared" si="7"/>
        <v>加入</v>
      </c>
      <c r="P48" s="3" t="str">
        <f t="shared" si="7"/>
        <v>加入</v>
      </c>
      <c r="Q48" s="3" t="str">
        <f t="shared" si="4"/>
        <v>有期雇用（3ヵ月）</v>
      </c>
      <c r="R48" s="74" t="str">
        <f t="shared" si="5"/>
        <v>協定対象派遣労働者(労使協定式方式)</v>
      </c>
    </row>
    <row r="49" spans="1:18" ht="18">
      <c r="A49">
        <f>SUBTOTAL(103,$K$9:K49)</f>
        <v>41</v>
      </c>
      <c r="B49">
        <v>41</v>
      </c>
      <c r="C49">
        <f>_xlfn.XLOOKUP($K$3&amp;B49,Filtro!A:A,Filtro!D:D,"",0,1)</f>
        <v>210113</v>
      </c>
      <c r="D49" t="str">
        <f>_xlfn.XLOOKUP(C49,DBGenzai[社員№],DBGenzai[現在],"",0,1)</f>
        <v>退社</v>
      </c>
      <c r="E49" s="51">
        <f>_xlfn.XLOOKUP($C49,DBGenzai[社員№],DBGenzai[生年月日],"",0,1)</f>
        <v>35776</v>
      </c>
      <c r="F49">
        <f t="shared" ca="1" si="1"/>
        <v>25</v>
      </c>
      <c r="G49">
        <f>_xlfn.XLOOKUP(C49,DBGenzai[社員№],DBGenzai[請求単価],"",0,1)</f>
        <v>1770</v>
      </c>
      <c r="H49" s="95">
        <f>_xlfn.XLOOKUP($C49,DBGenzai[社員№],DBGenzai[入社日],"",0,1)</f>
        <v>44207</v>
      </c>
      <c r="I49" s="95">
        <f>IF(D49="退社",_xlfn.XLOOKUP($C49,DBGenzai[社員№],DBGenzai[退社日],"",0,1),"")</f>
        <v>44783</v>
      </c>
      <c r="J49" s="73" t="e">
        <f t="shared" si="6"/>
        <v>#VALUE!</v>
      </c>
      <c r="K49" s="50" t="str">
        <f>_xlfn.XLOOKUP($C49,DBGenzai[社員№],DBGenzai[カナ],"",0,1)</f>
        <v>ファン　ミン　カン</v>
      </c>
      <c r="L49" s="3" t="str">
        <f>_xlfn.XLOOKUP($C49,DBGenzai[社員№],DBGenzai[性別],"",0,1)</f>
        <v>男</v>
      </c>
      <c r="M49" s="3" t="str">
        <f t="shared" ca="1" si="2"/>
        <v>60歳未満</v>
      </c>
      <c r="N49" s="3" t="str">
        <f t="shared" si="7"/>
        <v>加入</v>
      </c>
      <c r="O49" s="3" t="str">
        <f t="shared" si="7"/>
        <v>加入</v>
      </c>
      <c r="P49" s="3" t="str">
        <f t="shared" si="7"/>
        <v>加入</v>
      </c>
      <c r="Q49" s="3" t="str">
        <f t="shared" si="4"/>
        <v>有期雇用（3ヵ月）</v>
      </c>
      <c r="R49" s="74" t="str">
        <f t="shared" si="5"/>
        <v>協定対象派遣労働者(労使協定式方式)</v>
      </c>
    </row>
    <row r="50" spans="1:18" ht="18">
      <c r="A50">
        <f>SUBTOTAL(103,$K$9:K50)</f>
        <v>42</v>
      </c>
      <c r="B50">
        <v>42</v>
      </c>
      <c r="C50">
        <f>_xlfn.XLOOKUP($K$3&amp;B50,Filtro!A:A,Filtro!D:D,"",0,1)</f>
        <v>220312</v>
      </c>
      <c r="D50" t="str">
        <f>_xlfn.XLOOKUP(C50,DBGenzai[社員№],DBGenzai[現在],"",0,1)</f>
        <v>退社</v>
      </c>
      <c r="E50" s="51">
        <f>_xlfn.XLOOKUP($C50,DBGenzai[社員№],DBGenzai[生年月日],"",0,1)</f>
        <v>35779</v>
      </c>
      <c r="F50">
        <f t="shared" ca="1" si="1"/>
        <v>25</v>
      </c>
      <c r="G50">
        <f>_xlfn.XLOOKUP(C50,DBGenzai[社員№],DBGenzai[請求単価],"",0,1)</f>
        <v>1750</v>
      </c>
      <c r="H50" s="95">
        <f>_xlfn.XLOOKUP($C50,DBGenzai[社員№],DBGenzai[入社日],"",0,1)</f>
        <v>44628</v>
      </c>
      <c r="I50" s="95">
        <f>IF(D50="退社",_xlfn.XLOOKUP($C50,DBGenzai[社員№],DBGenzai[退社日],"",0,1),"")</f>
        <v>44742</v>
      </c>
      <c r="J50" s="73" t="e">
        <f t="shared" si="6"/>
        <v>#VALUE!</v>
      </c>
      <c r="K50" s="50" t="str">
        <f>_xlfn.XLOOKUP($C50,DBGenzai[社員№],DBGenzai[カナ],"",0,1)</f>
        <v>チャン　ホアン　ジェウ</v>
      </c>
      <c r="L50" s="3" t="str">
        <f>_xlfn.XLOOKUP($C50,DBGenzai[社員№],DBGenzai[性別],"",0,1)</f>
        <v>男</v>
      </c>
      <c r="M50" s="3" t="str">
        <f t="shared" ca="1" si="2"/>
        <v>60歳未満</v>
      </c>
      <c r="N50" s="3" t="str">
        <f t="shared" si="7"/>
        <v>加入</v>
      </c>
      <c r="O50" s="3" t="str">
        <f t="shared" si="7"/>
        <v>加入</v>
      </c>
      <c r="P50" s="3" t="str">
        <f t="shared" si="7"/>
        <v>加入</v>
      </c>
      <c r="Q50" s="3" t="str">
        <f t="shared" si="4"/>
        <v>有期雇用（3ヵ月）</v>
      </c>
      <c r="R50" s="74" t="str">
        <f t="shared" si="5"/>
        <v>協定対象派遣労働者(労使協定式方式)</v>
      </c>
    </row>
    <row r="51" spans="1:18" ht="18">
      <c r="A51">
        <f>SUBTOTAL(103,$K$9:K51)</f>
        <v>43</v>
      </c>
      <c r="B51">
        <v>43</v>
      </c>
      <c r="C51">
        <f>_xlfn.XLOOKUP($K$3&amp;B51,Filtro!A:A,Filtro!D:D,"",0,1)</f>
        <v>210409</v>
      </c>
      <c r="D51" t="str">
        <f>_xlfn.XLOOKUP(C51,DBGenzai[社員№],DBGenzai[現在],"",0,1)</f>
        <v>退社</v>
      </c>
      <c r="E51" s="51">
        <f>_xlfn.XLOOKUP($C51,DBGenzai[社員№],DBGenzai[生年月日],"",0,1)</f>
        <v>34843</v>
      </c>
      <c r="F51">
        <f t="shared" ca="1" si="1"/>
        <v>28</v>
      </c>
      <c r="G51">
        <f>_xlfn.XLOOKUP(C51,DBGenzai[社員№],DBGenzai[請求単価],"",0,1)</f>
        <v>1850</v>
      </c>
      <c r="H51" s="95">
        <f>_xlfn.XLOOKUP($C51,DBGenzai[社員№],DBGenzai[入社日],"",0,1)</f>
        <v>44291</v>
      </c>
      <c r="I51" s="95">
        <f>IF(D51="退社",_xlfn.XLOOKUP($C51,DBGenzai[社員№],DBGenzai[退社日],"",0,1),"")</f>
        <v>44984</v>
      </c>
      <c r="J51" s="73" t="e">
        <f t="shared" si="6"/>
        <v>#VALUE!</v>
      </c>
      <c r="K51" s="50" t="str">
        <f>_xlfn.XLOOKUP($C51,DBGenzai[社員№],DBGenzai[カナ],"",0,1)</f>
        <v>ドン　ゴック　ソン</v>
      </c>
      <c r="L51" s="3" t="str">
        <f>_xlfn.XLOOKUP($C51,DBGenzai[社員№],DBGenzai[性別],"",0,1)</f>
        <v>男</v>
      </c>
      <c r="M51" s="3" t="str">
        <f t="shared" ca="1" si="2"/>
        <v>60歳未満</v>
      </c>
      <c r="N51" s="3" t="str">
        <f t="shared" si="7"/>
        <v>加入</v>
      </c>
      <c r="O51" s="3" t="str">
        <f t="shared" si="7"/>
        <v>加入</v>
      </c>
      <c r="P51" s="3" t="str">
        <f t="shared" si="7"/>
        <v>加入</v>
      </c>
      <c r="Q51" s="3" t="str">
        <f t="shared" si="4"/>
        <v>有期雇用（3ヵ月）</v>
      </c>
      <c r="R51" s="74" t="str">
        <f t="shared" si="5"/>
        <v>協定対象派遣労働者(労使協定式方式)</v>
      </c>
    </row>
    <row r="52" spans="1:18" ht="18">
      <c r="A52">
        <f>SUBTOTAL(103,$K$9:K52)</f>
        <v>44</v>
      </c>
      <c r="B52">
        <v>44</v>
      </c>
      <c r="C52">
        <f>_xlfn.XLOOKUP($K$3&amp;B52,Filtro!A:A,Filtro!D:D,"",0,1)</f>
        <v>210420</v>
      </c>
      <c r="D52" t="str">
        <f>_xlfn.XLOOKUP(C52,DBGenzai[社員№],DBGenzai[現在],"",0,1)</f>
        <v>退社</v>
      </c>
      <c r="E52" s="51">
        <f>_xlfn.XLOOKUP($C52,DBGenzai[社員№],DBGenzai[生年月日],"",0,1)</f>
        <v>33714</v>
      </c>
      <c r="F52">
        <f t="shared" ca="1" si="1"/>
        <v>31</v>
      </c>
      <c r="G52">
        <f>_xlfn.XLOOKUP(C52,DBGenzai[社員№],DBGenzai[請求単価],"",0,1)</f>
        <v>2000</v>
      </c>
      <c r="H52" s="95">
        <f>_xlfn.XLOOKUP($C52,DBGenzai[社員№],DBGenzai[入社日],"",0,1)</f>
        <v>44312</v>
      </c>
      <c r="I52" s="95">
        <f>IF(D52="退社",_xlfn.XLOOKUP($C52,DBGenzai[社員№],DBGenzai[退社日],"",0,1),"")</f>
        <v>44859</v>
      </c>
      <c r="J52" s="73" t="e">
        <f t="shared" si="6"/>
        <v>#VALUE!</v>
      </c>
      <c r="K52" s="50" t="str">
        <f>_xlfn.XLOOKUP($C52,DBGenzai[社員№],DBGenzai[カナ],"",0,1)</f>
        <v>チャン　バン　フィ</v>
      </c>
      <c r="L52" s="3" t="str">
        <f>_xlfn.XLOOKUP($C52,DBGenzai[社員№],DBGenzai[性別],"",0,1)</f>
        <v>男</v>
      </c>
      <c r="M52" s="3" t="str">
        <f t="shared" ca="1" si="2"/>
        <v>60歳未満</v>
      </c>
      <c r="N52" s="3" t="str">
        <f t="shared" si="7"/>
        <v>加入</v>
      </c>
      <c r="O52" s="3" t="str">
        <f t="shared" si="7"/>
        <v>加入</v>
      </c>
      <c r="P52" s="3" t="str">
        <f t="shared" si="7"/>
        <v>加入</v>
      </c>
      <c r="Q52" s="3" t="str">
        <f t="shared" si="4"/>
        <v>有期雇用（3ヵ月）</v>
      </c>
      <c r="R52" s="74" t="str">
        <f t="shared" si="5"/>
        <v>協定対象派遣労働者(労使協定式方式)</v>
      </c>
    </row>
    <row r="53" spans="1:18" ht="18">
      <c r="A53">
        <f>SUBTOTAL(103,$K$9:K53)</f>
        <v>45</v>
      </c>
      <c r="B53">
        <v>45</v>
      </c>
      <c r="C53">
        <f>_xlfn.XLOOKUP($K$3&amp;B53,Filtro!A:A,Filtro!D:D,"",0,1)</f>
        <v>210418</v>
      </c>
      <c r="D53" t="str">
        <f>_xlfn.XLOOKUP(C53,DBGenzai[社員№],DBGenzai[現在],"",0,1)</f>
        <v>退社</v>
      </c>
      <c r="E53" s="51">
        <f>_xlfn.XLOOKUP($C53,DBGenzai[社員№],DBGenzai[生年月日],"",0,1)</f>
        <v>36040</v>
      </c>
      <c r="F53">
        <f t="shared" ca="1" si="1"/>
        <v>25</v>
      </c>
      <c r="G53">
        <f>_xlfn.XLOOKUP(C53,DBGenzai[社員№],DBGenzai[請求単価],"",0,1)</f>
        <v>2000</v>
      </c>
      <c r="H53" s="95">
        <f>_xlfn.XLOOKUP($C53,DBGenzai[社員№],DBGenzai[入社日],"",0,1)</f>
        <v>44307</v>
      </c>
      <c r="I53" s="95">
        <f>IF(D53="退社",_xlfn.XLOOKUP($C53,DBGenzai[社員№],DBGenzai[退社日],"",0,1),"")</f>
        <v>44841</v>
      </c>
      <c r="J53" s="73" t="e">
        <f t="shared" si="6"/>
        <v>#VALUE!</v>
      </c>
      <c r="K53" s="50" t="str">
        <f>_xlfn.XLOOKUP($C53,DBGenzai[社員№],DBGenzai[カナ],"",0,1)</f>
        <v>レ　ヴァン　ホウン</v>
      </c>
      <c r="L53" s="3" t="str">
        <f>_xlfn.XLOOKUP($C53,DBGenzai[社員№],DBGenzai[性別],"",0,1)</f>
        <v>男</v>
      </c>
      <c r="M53" s="3" t="str">
        <f t="shared" ca="1" si="2"/>
        <v>60歳未満</v>
      </c>
      <c r="N53" s="3" t="str">
        <f t="shared" si="7"/>
        <v>加入</v>
      </c>
      <c r="O53" s="3" t="str">
        <f t="shared" si="7"/>
        <v>加入</v>
      </c>
      <c r="P53" s="3" t="str">
        <f t="shared" si="7"/>
        <v>加入</v>
      </c>
      <c r="Q53" s="3" t="str">
        <f t="shared" si="4"/>
        <v>有期雇用（3ヵ月）</v>
      </c>
      <c r="R53" s="74" t="str">
        <f t="shared" si="5"/>
        <v>協定対象派遣労働者(労使協定式方式)</v>
      </c>
    </row>
    <row r="54" spans="1:18" ht="18">
      <c r="A54">
        <f>SUBTOTAL(103,$K$9:K54)</f>
        <v>46</v>
      </c>
      <c r="B54">
        <v>46</v>
      </c>
      <c r="C54">
        <f>_xlfn.XLOOKUP($K$3&amp;B54,Filtro!A:A,Filtro!D:D,"",0,1)</f>
        <v>210604</v>
      </c>
      <c r="D54" t="str">
        <f>_xlfn.XLOOKUP(C54,DBGenzai[社員№],DBGenzai[現在],"",0,1)</f>
        <v>退社</v>
      </c>
      <c r="E54" s="51">
        <f>_xlfn.XLOOKUP($C54,DBGenzai[社員№],DBGenzai[生年月日],"",0,1)</f>
        <v>35065</v>
      </c>
      <c r="F54">
        <f t="shared" ca="1" si="1"/>
        <v>27</v>
      </c>
      <c r="G54">
        <f>_xlfn.XLOOKUP(C54,DBGenzai[社員№],DBGenzai[請求単価],"",0,1)</f>
        <v>1900</v>
      </c>
      <c r="H54" s="95">
        <f>_xlfn.XLOOKUP($C54,DBGenzai[社員№],DBGenzai[入社日],"",0,1)</f>
        <v>44354</v>
      </c>
      <c r="I54" s="95">
        <f>IF(D54="退社",_xlfn.XLOOKUP($C54,DBGenzai[社員№],DBGenzai[退社日],"",0,1),"")</f>
        <v>45048</v>
      </c>
      <c r="J54" s="73" t="e">
        <f t="shared" si="6"/>
        <v>#VALUE!</v>
      </c>
      <c r="K54" s="50" t="str">
        <f>_xlfn.XLOOKUP($C54,DBGenzai[社員№],DBGenzai[カナ],"",0,1)</f>
        <v>チュオン　ティ　タン　タオ</v>
      </c>
      <c r="L54" s="3" t="str">
        <f>_xlfn.XLOOKUP($C54,DBGenzai[社員№],DBGenzai[性別],"",0,1)</f>
        <v>女</v>
      </c>
      <c r="M54" s="3" t="str">
        <f t="shared" ca="1" si="2"/>
        <v>60歳未満</v>
      </c>
      <c r="N54" s="3" t="str">
        <f t="shared" si="7"/>
        <v>加入</v>
      </c>
      <c r="O54" s="3" t="str">
        <f t="shared" si="7"/>
        <v>加入</v>
      </c>
      <c r="P54" s="3" t="str">
        <f t="shared" si="7"/>
        <v>加入</v>
      </c>
      <c r="Q54" s="3" t="str">
        <f t="shared" si="4"/>
        <v>有期雇用（3ヵ月）</v>
      </c>
      <c r="R54" s="74" t="str">
        <f t="shared" si="5"/>
        <v>協定対象派遣労働者(労使協定式方式)</v>
      </c>
    </row>
    <row r="55" spans="1:18" ht="18">
      <c r="A55">
        <f>SUBTOTAL(103,$K$9:K55)</f>
        <v>47</v>
      </c>
      <c r="B55">
        <v>47</v>
      </c>
      <c r="C55">
        <f>_xlfn.XLOOKUP($K$3&amp;B55,Filtro!A:A,Filtro!D:D,"",0,1)</f>
        <v>210703</v>
      </c>
      <c r="D55" t="str">
        <f>_xlfn.XLOOKUP(C55,DBGenzai[社員№],DBGenzai[現在],"",0,1)</f>
        <v>退社</v>
      </c>
      <c r="E55" s="51">
        <f>_xlfn.XLOOKUP($C55,DBGenzai[社員№],DBGenzai[生年月日],"",0,1)</f>
        <v>33449</v>
      </c>
      <c r="F55">
        <f t="shared" ca="1" si="1"/>
        <v>32</v>
      </c>
      <c r="G55">
        <f>_xlfn.XLOOKUP(C55,DBGenzai[社員№],DBGenzai[請求単価],"",0,1)</f>
        <v>1900</v>
      </c>
      <c r="H55" s="95">
        <f>_xlfn.XLOOKUP($C55,DBGenzai[社員№],DBGenzai[入社日],"",0,1)</f>
        <v>44384</v>
      </c>
      <c r="I55" s="95">
        <f>IF(D55="退社",_xlfn.XLOOKUP($C55,DBGenzai[社員№],DBGenzai[退社日],"",0,1),"")</f>
        <v>44848</v>
      </c>
      <c r="J55" s="73" t="e">
        <f t="shared" si="6"/>
        <v>#VALUE!</v>
      </c>
      <c r="K55" s="50" t="str">
        <f>_xlfn.XLOOKUP($C55,DBGenzai[社員№],DBGenzai[カナ],"",0,1)</f>
        <v>ヴー　ヴァン　フォン</v>
      </c>
      <c r="L55" s="3" t="str">
        <f>_xlfn.XLOOKUP($C55,DBGenzai[社員№],DBGenzai[性別],"",0,1)</f>
        <v>男</v>
      </c>
      <c r="M55" s="3" t="str">
        <f t="shared" ca="1" si="2"/>
        <v>60歳未満</v>
      </c>
      <c r="N55" s="3" t="str">
        <f t="shared" si="7"/>
        <v>加入</v>
      </c>
      <c r="O55" s="3" t="str">
        <f t="shared" si="7"/>
        <v>加入</v>
      </c>
      <c r="P55" s="3" t="str">
        <f t="shared" si="7"/>
        <v>加入</v>
      </c>
      <c r="Q55" s="3" t="str">
        <f t="shared" si="4"/>
        <v>有期雇用（3ヵ月）</v>
      </c>
      <c r="R55" s="74" t="str">
        <f t="shared" si="5"/>
        <v>協定対象派遣労働者(労使協定式方式)</v>
      </c>
    </row>
    <row r="56" spans="1:18" ht="18">
      <c r="A56">
        <f>SUBTOTAL(103,$K$9:K56)</f>
        <v>48</v>
      </c>
      <c r="B56">
        <v>48</v>
      </c>
      <c r="C56">
        <f>_xlfn.XLOOKUP($K$3&amp;B56,Filtro!A:A,Filtro!D:D,"",0,1)</f>
        <v>210709</v>
      </c>
      <c r="D56" t="str">
        <f>_xlfn.XLOOKUP(C56,DBGenzai[社員№],DBGenzai[現在],"",0,1)</f>
        <v>退社</v>
      </c>
      <c r="E56" s="51">
        <f>_xlfn.XLOOKUP($C56,DBGenzai[社員№],DBGenzai[生年月日],"",0,1)</f>
        <v>34027</v>
      </c>
      <c r="F56">
        <f t="shared" ca="1" si="1"/>
        <v>30</v>
      </c>
      <c r="G56">
        <f>_xlfn.XLOOKUP(C56,DBGenzai[社員№],DBGenzai[請求単価],"",0,1)</f>
        <v>2000</v>
      </c>
      <c r="H56" s="95">
        <f>_xlfn.XLOOKUP($C56,DBGenzai[社員№],DBGenzai[入社日],"",0,1)</f>
        <v>44393</v>
      </c>
      <c r="I56" s="95">
        <f>IF(D56="退社",_xlfn.XLOOKUP($C56,DBGenzai[社員№],DBGenzai[退社日],"",0,1),"")</f>
        <v>45029</v>
      </c>
      <c r="J56" s="73" t="e">
        <f t="shared" si="6"/>
        <v>#VALUE!</v>
      </c>
      <c r="K56" s="50" t="str">
        <f>_xlfn.XLOOKUP($C56,DBGenzai[社員№],DBGenzai[カナ],"",0,1)</f>
        <v>ファン　バオ　ギア</v>
      </c>
      <c r="L56" s="3" t="str">
        <f>_xlfn.XLOOKUP($C56,DBGenzai[社員№],DBGenzai[性別],"",0,1)</f>
        <v>男</v>
      </c>
      <c r="M56" s="3" t="str">
        <f t="shared" ca="1" si="2"/>
        <v>60歳未満</v>
      </c>
      <c r="N56" s="3" t="str">
        <f t="shared" si="7"/>
        <v>加入</v>
      </c>
      <c r="O56" s="3" t="str">
        <f t="shared" si="7"/>
        <v>加入</v>
      </c>
      <c r="P56" s="3" t="str">
        <f t="shared" si="7"/>
        <v>加入</v>
      </c>
      <c r="Q56" s="3" t="str">
        <f t="shared" si="4"/>
        <v>有期雇用（3ヵ月）</v>
      </c>
      <c r="R56" s="74" t="str">
        <f t="shared" si="5"/>
        <v>協定対象派遣労働者(労使協定式方式)</v>
      </c>
    </row>
    <row r="57" spans="1:18" ht="18">
      <c r="A57">
        <f>SUBTOTAL(103,$K$9:K57)</f>
        <v>49</v>
      </c>
      <c r="B57">
        <v>49</v>
      </c>
      <c r="C57">
        <f>_xlfn.XLOOKUP($K$3&amp;B57,Filtro!A:A,Filtro!D:D,"",0,1)</f>
        <v>210818</v>
      </c>
      <c r="D57" t="str">
        <f>_xlfn.XLOOKUP(C57,DBGenzai[社員№],DBGenzai[現在],"",0,1)</f>
        <v>退社</v>
      </c>
      <c r="E57" s="51">
        <f>_xlfn.XLOOKUP($C57,DBGenzai[社員№],DBGenzai[生年月日],"",0,1)</f>
        <v>32977</v>
      </c>
      <c r="F57">
        <f t="shared" ca="1" si="1"/>
        <v>33</v>
      </c>
      <c r="G57">
        <f>_xlfn.XLOOKUP(C57,DBGenzai[社員№],DBGenzai[請求単価],"",0,1)</f>
        <v>1900</v>
      </c>
      <c r="H57" s="95">
        <f>_xlfn.XLOOKUP($C57,DBGenzai[社員№],DBGenzai[入社日],"",0,1)</f>
        <v>44431</v>
      </c>
      <c r="I57" s="95">
        <f>IF(D57="退社",_xlfn.XLOOKUP($C57,DBGenzai[社員№],DBGenzai[退社日],"",0,1),"")</f>
        <v>44817</v>
      </c>
      <c r="J57" s="78" t="e">
        <f t="shared" si="6"/>
        <v>#VALUE!</v>
      </c>
      <c r="K57" s="79" t="str">
        <f>_xlfn.XLOOKUP($C57,DBGenzai[社員№],DBGenzai[カナ],"",0,1)</f>
        <v>ド　ティ　トゥイ</v>
      </c>
      <c r="L57" s="55" t="str">
        <f>_xlfn.XLOOKUP($C57,DBGenzai[社員№],DBGenzai[性別],"",0,1)</f>
        <v>女</v>
      </c>
      <c r="M57" s="55" t="str">
        <f t="shared" ca="1" si="2"/>
        <v>60歳未満</v>
      </c>
      <c r="N57" s="55" t="str">
        <f t="shared" si="7"/>
        <v>加入</v>
      </c>
      <c r="O57" s="55" t="str">
        <f t="shared" si="7"/>
        <v>加入</v>
      </c>
      <c r="P57" s="55" t="str">
        <f t="shared" si="7"/>
        <v>加入</v>
      </c>
      <c r="Q57" s="55" t="str">
        <f t="shared" si="4"/>
        <v>有期雇用（3ヵ月）</v>
      </c>
      <c r="R57" s="80" t="str">
        <f t="shared" si="5"/>
        <v>協定対象派遣労働者(労使協定式方式)</v>
      </c>
    </row>
    <row r="58" spans="1:18" ht="18">
      <c r="A58">
        <f>SUBTOTAL(103,$K$9:K58)</f>
        <v>50</v>
      </c>
      <c r="B58">
        <v>50</v>
      </c>
      <c r="C58">
        <f>_xlfn.XLOOKUP($K$3&amp;B58,Filtro!A:A,Filtro!D:D,"",0,1)</f>
        <v>210903</v>
      </c>
      <c r="D58" t="str">
        <f>_xlfn.XLOOKUP(C58,DBGenzai[社員№],DBGenzai[現在],"",0,1)</f>
        <v>退社</v>
      </c>
      <c r="E58" s="51">
        <f>_xlfn.XLOOKUP($C58,DBGenzai[社員№],DBGenzai[生年月日],"",0,1)</f>
        <v>31703</v>
      </c>
      <c r="F58">
        <f t="shared" ca="1" si="1"/>
        <v>37</v>
      </c>
      <c r="G58">
        <f>_xlfn.XLOOKUP(C58,DBGenzai[社員№],DBGenzai[請求単価],"",0,1)</f>
        <v>2300</v>
      </c>
      <c r="H58" s="95">
        <f>_xlfn.XLOOKUP($C58,DBGenzai[社員№],DBGenzai[入社日],"",0,1)</f>
        <v>44445</v>
      </c>
      <c r="I58" s="95">
        <f>IF(D58="退社",_xlfn.XLOOKUP($C58,DBGenzai[社員№],DBGenzai[退社日],"",0,1),"")</f>
        <v>45046</v>
      </c>
      <c r="K58" s="49" t="str">
        <f>_xlfn.XLOOKUP($C58,DBGenzai[社員№],DBGenzai[カナ],"",0,1)</f>
        <v>グエン　ゴック　ティエン</v>
      </c>
      <c r="L58" s="3" t="str">
        <f>_xlfn.XLOOKUP($C58,DBGenzai[社員№],DBGenzai[性別],"",0,1)</f>
        <v>男</v>
      </c>
      <c r="M58" s="3" t="str">
        <f t="shared" ca="1" si="2"/>
        <v>60歳未満</v>
      </c>
      <c r="N58" s="3" t="str">
        <f t="shared" si="7"/>
        <v>加入</v>
      </c>
      <c r="O58" s="3" t="str">
        <f t="shared" si="7"/>
        <v>加入</v>
      </c>
      <c r="P58" s="3" t="str">
        <f t="shared" si="7"/>
        <v>加入</v>
      </c>
      <c r="Q58" s="3" t="str">
        <f t="shared" si="4"/>
        <v>有期雇用（3ヵ月）</v>
      </c>
      <c r="R58" s="3" t="str">
        <f t="shared" si="5"/>
        <v>協定対象派遣労働者(労使協定式方式)</v>
      </c>
    </row>
    <row r="59" spans="1:18" ht="18">
      <c r="A59">
        <f>SUBTOTAL(103,$K$9:K59)</f>
        <v>51</v>
      </c>
      <c r="B59">
        <v>51</v>
      </c>
      <c r="C59">
        <f>_xlfn.XLOOKUP($K$3&amp;B59,Filtro!A:A,Filtro!D:D,"",0,1)</f>
        <v>211026</v>
      </c>
      <c r="D59" t="str">
        <f>_xlfn.XLOOKUP(C59,DBGenzai[社員№],DBGenzai[現在],"",0,1)</f>
        <v>退社</v>
      </c>
      <c r="E59" s="51">
        <f>_xlfn.XLOOKUP($C59,DBGenzai[社員№],DBGenzai[生年月日],"",0,1)</f>
        <v>31720</v>
      </c>
      <c r="F59">
        <f t="shared" ca="1" si="1"/>
        <v>37</v>
      </c>
      <c r="G59">
        <f>_xlfn.XLOOKUP(C59,DBGenzai[社員№],DBGenzai[請求単価],"",0,1)</f>
        <v>2000</v>
      </c>
      <c r="H59" s="95">
        <f>_xlfn.XLOOKUP($C59,DBGenzai[社員№],DBGenzai[入社日],"",0,1)</f>
        <v>44494</v>
      </c>
      <c r="I59" s="95">
        <f>IF(D59="退社",_xlfn.XLOOKUP($C59,DBGenzai[社員№],DBGenzai[退社日],"",0,1),"")</f>
        <v>44803</v>
      </c>
      <c r="K59" s="49" t="str">
        <f>_xlfn.XLOOKUP($C59,DBGenzai[社員№],DBGenzai[カナ],"",0,1)</f>
        <v>ター　マイン　チョン</v>
      </c>
      <c r="L59" s="3" t="str">
        <f>_xlfn.XLOOKUP($C59,DBGenzai[社員№],DBGenzai[性別],"",0,1)</f>
        <v>男</v>
      </c>
      <c r="M59" s="3" t="str">
        <f t="shared" ca="1" si="2"/>
        <v>60歳未満</v>
      </c>
      <c r="N59" s="3" t="str">
        <f t="shared" si="7"/>
        <v>加入</v>
      </c>
      <c r="O59" s="3" t="str">
        <f t="shared" si="7"/>
        <v>加入</v>
      </c>
      <c r="P59" s="3" t="str">
        <f t="shared" si="7"/>
        <v>加入</v>
      </c>
      <c r="Q59" s="3" t="str">
        <f t="shared" si="4"/>
        <v>有期雇用（3ヵ月）</v>
      </c>
      <c r="R59" s="3" t="str">
        <f t="shared" si="5"/>
        <v>協定対象派遣労働者(労使協定式方式)</v>
      </c>
    </row>
    <row r="60" spans="1:18" ht="18">
      <c r="A60">
        <f>SUBTOTAL(103,$K$9:K60)</f>
        <v>52</v>
      </c>
      <c r="B60">
        <v>52</v>
      </c>
      <c r="C60">
        <f>_xlfn.XLOOKUP($K$3&amp;B60,Filtro!A:A,Filtro!D:D,"",0,1)</f>
        <v>220217</v>
      </c>
      <c r="D60" t="str">
        <f>_xlfn.XLOOKUP(C60,DBGenzai[社員№],DBGenzai[現在],"",0,1)</f>
        <v>退社</v>
      </c>
      <c r="E60" s="51">
        <f>_xlfn.XLOOKUP($C60,DBGenzai[社員№],DBGenzai[生年月日],"",0,1)</f>
        <v>31254</v>
      </c>
      <c r="F60">
        <f t="shared" ca="1" si="1"/>
        <v>38</v>
      </c>
      <c r="G60">
        <f>_xlfn.XLOOKUP(C60,DBGenzai[社員№],DBGenzai[請求単価],"",0,1)</f>
        <v>2300</v>
      </c>
      <c r="H60" s="95">
        <f>_xlfn.XLOOKUP($C60,DBGenzai[社員№],DBGenzai[入社日],"",0,1)</f>
        <v>44613</v>
      </c>
      <c r="I60" s="95">
        <f>IF(D60="退社",_xlfn.XLOOKUP($C60,DBGenzai[社員№],DBGenzai[退社日],"",0,1),"")</f>
        <v>44950</v>
      </c>
      <c r="K60" s="49" t="str">
        <f>_xlfn.XLOOKUP($C60,DBGenzai[社員№],DBGenzai[カナ],"",0,1)</f>
        <v>トラン　バン　ルック</v>
      </c>
      <c r="L60" s="3" t="str">
        <f>_xlfn.XLOOKUP($C60,DBGenzai[社員№],DBGenzai[性別],"",0,1)</f>
        <v>男</v>
      </c>
      <c r="M60" s="3" t="str">
        <f t="shared" ca="1" si="2"/>
        <v>60歳未満</v>
      </c>
      <c r="N60" s="3" t="str">
        <f t="shared" si="7"/>
        <v>加入</v>
      </c>
      <c r="O60" s="3" t="str">
        <f t="shared" si="7"/>
        <v>加入</v>
      </c>
      <c r="P60" s="3" t="str">
        <f t="shared" si="7"/>
        <v>加入</v>
      </c>
      <c r="Q60" s="3" t="str">
        <f t="shared" si="4"/>
        <v>有期雇用（3ヵ月）</v>
      </c>
      <c r="R60" s="3" t="str">
        <f t="shared" si="5"/>
        <v>協定対象派遣労働者(労使協定式方式)</v>
      </c>
    </row>
    <row r="61" spans="1:18" ht="18">
      <c r="A61">
        <f>SUBTOTAL(103,$K$9:K61)</f>
        <v>53</v>
      </c>
      <c r="B61">
        <v>53</v>
      </c>
      <c r="C61">
        <f>_xlfn.XLOOKUP($K$3&amp;B61,Filtro!A:A,Filtro!D:D,"",0,1)</f>
        <v>210109</v>
      </c>
      <c r="D61" t="str">
        <f>_xlfn.XLOOKUP(C61,DBGenzai[社員№],DBGenzai[現在],"",0,1)</f>
        <v>退社</v>
      </c>
      <c r="E61" s="51">
        <f>_xlfn.XLOOKUP($C61,DBGenzai[社員№],DBGenzai[生年月日],"",0,1)</f>
        <v>33410</v>
      </c>
      <c r="F61">
        <f t="shared" ca="1" si="1"/>
        <v>32</v>
      </c>
      <c r="G61">
        <f>_xlfn.XLOOKUP(C61,DBGenzai[社員№],DBGenzai[請求単価],"",0,1)</f>
        <v>2050</v>
      </c>
      <c r="H61" s="95">
        <f>_xlfn.XLOOKUP($C61,DBGenzai[社員№],DBGenzai[入社日],"",0,1)</f>
        <v>44202</v>
      </c>
      <c r="I61" s="95">
        <f>IF(D61="退社",_xlfn.XLOOKUP($C61,DBGenzai[社員№],DBGenzai[退社日],"",0,1),"")</f>
        <v>44803</v>
      </c>
      <c r="K61" s="49" t="str">
        <f>_xlfn.XLOOKUP($C61,DBGenzai[社員№],DBGenzai[カナ],"",0,1)</f>
        <v>グエン　フィー　ドウク</v>
      </c>
      <c r="L61" s="3" t="str">
        <f>_xlfn.XLOOKUP($C61,DBGenzai[社員№],DBGenzai[性別],"",0,1)</f>
        <v>男</v>
      </c>
      <c r="M61" s="3" t="str">
        <f t="shared" ca="1" si="2"/>
        <v>60歳未満</v>
      </c>
      <c r="N61" s="3" t="str">
        <f t="shared" si="7"/>
        <v>加入</v>
      </c>
      <c r="O61" s="3" t="str">
        <f t="shared" si="7"/>
        <v>加入</v>
      </c>
      <c r="P61" s="3" t="str">
        <f t="shared" si="7"/>
        <v>加入</v>
      </c>
      <c r="Q61" s="3" t="str">
        <f t="shared" si="4"/>
        <v>有期雇用（3ヵ月）</v>
      </c>
      <c r="R61" s="3" t="str">
        <f t="shared" si="5"/>
        <v>協定対象派遣労働者(労使協定式方式)</v>
      </c>
    </row>
    <row r="62" spans="1:18" ht="18">
      <c r="A62">
        <f>SUBTOTAL(103,$K$9:K62)</f>
        <v>54</v>
      </c>
      <c r="B62">
        <v>54</v>
      </c>
      <c r="C62">
        <f>_xlfn.XLOOKUP($K$3&amp;B62,Filtro!A:A,Filtro!D:D,"",0,1)</f>
        <v>210107</v>
      </c>
      <c r="D62" t="str">
        <f>_xlfn.XLOOKUP(C62,DBGenzai[社員№],DBGenzai[現在],"",0,1)</f>
        <v>退社</v>
      </c>
      <c r="E62" s="51">
        <f>_xlfn.XLOOKUP($C62,DBGenzai[社員№],DBGenzai[生年月日],"",0,1)</f>
        <v>33227</v>
      </c>
      <c r="F62">
        <f t="shared" ca="1" si="1"/>
        <v>32</v>
      </c>
      <c r="G62">
        <f>_xlfn.XLOOKUP(C62,DBGenzai[社員№],DBGenzai[請求単価],"",0,1)</f>
        <v>2020</v>
      </c>
      <c r="H62" s="95">
        <f>_xlfn.XLOOKUP($C62,DBGenzai[社員№],DBGenzai[入社日],"",0,1)</f>
        <v>44202</v>
      </c>
      <c r="I62" s="95">
        <f>IF(D62="退社",_xlfn.XLOOKUP($C62,DBGenzai[社員№],DBGenzai[退社日],"",0,1),"")</f>
        <v>44911</v>
      </c>
      <c r="K62" s="49" t="str">
        <f>_xlfn.XLOOKUP($C62,DBGenzai[社員№],DBGenzai[カナ],"",0,1)</f>
        <v>ファム　ヴァン　ズン</v>
      </c>
      <c r="L62" s="3" t="str">
        <f>_xlfn.XLOOKUP($C62,DBGenzai[社員№],DBGenzai[性別],"",0,1)</f>
        <v>男</v>
      </c>
      <c r="M62" s="3" t="str">
        <f t="shared" ca="1" si="2"/>
        <v>60歳未満</v>
      </c>
      <c r="N62" s="3" t="str">
        <f t="shared" si="7"/>
        <v>加入</v>
      </c>
      <c r="O62" s="3" t="str">
        <f t="shared" si="7"/>
        <v>加入</v>
      </c>
      <c r="P62" s="3" t="str">
        <f t="shared" si="7"/>
        <v>加入</v>
      </c>
      <c r="Q62" s="3" t="str">
        <f t="shared" si="4"/>
        <v>有期雇用（3ヵ月）</v>
      </c>
      <c r="R62" s="3" t="str">
        <f t="shared" si="5"/>
        <v>協定対象派遣労働者(労使協定式方式)</v>
      </c>
    </row>
    <row r="63" spans="1:18" ht="18">
      <c r="A63">
        <f>SUBTOTAL(103,$K$9:K63)</f>
        <v>55</v>
      </c>
      <c r="B63">
        <v>55</v>
      </c>
      <c r="C63">
        <f>_xlfn.XLOOKUP($K$3&amp;B63,Filtro!A:A,Filtro!D:D,"",0,1)</f>
        <v>200803</v>
      </c>
      <c r="D63" t="str">
        <f>_xlfn.XLOOKUP(C63,DBGenzai[社員№],DBGenzai[現在],"",0,1)</f>
        <v>退社</v>
      </c>
      <c r="E63" s="51">
        <f>_xlfn.XLOOKUP($C63,DBGenzai[社員№],DBGenzai[生年月日],"",0,1)</f>
        <v>34939</v>
      </c>
      <c r="F63">
        <f t="shared" ca="1" si="1"/>
        <v>28</v>
      </c>
      <c r="G63">
        <f>_xlfn.XLOOKUP(C63,DBGenzai[社員№],DBGenzai[請求単価],"",0,1)</f>
        <v>1990</v>
      </c>
      <c r="H63" s="95">
        <f>_xlfn.XLOOKUP($C63,DBGenzai[社員№],DBGenzai[入社日],"",0,1)</f>
        <v>44064</v>
      </c>
      <c r="I63" s="95">
        <f>IF(D63="退社",_xlfn.XLOOKUP($C63,DBGenzai[社員№],DBGenzai[退社日],"",0,1),"")</f>
        <v>44923</v>
      </c>
      <c r="K63" s="49" t="str">
        <f>_xlfn.XLOOKUP($C63,DBGenzai[社員№],DBGenzai[カナ],"",0,1)</f>
        <v>グエン　クアン　フン</v>
      </c>
      <c r="L63" s="3" t="str">
        <f>_xlfn.XLOOKUP($C63,DBGenzai[社員№],DBGenzai[性別],"",0,1)</f>
        <v>男</v>
      </c>
      <c r="M63" s="3" t="str">
        <f t="shared" ca="1" si="2"/>
        <v>60歳未満</v>
      </c>
      <c r="N63" s="3" t="str">
        <f t="shared" si="7"/>
        <v>加入</v>
      </c>
      <c r="O63" s="3" t="str">
        <f t="shared" si="7"/>
        <v>加入</v>
      </c>
      <c r="P63" s="3" t="str">
        <f t="shared" si="7"/>
        <v>加入</v>
      </c>
      <c r="Q63" s="3" t="str">
        <f t="shared" si="4"/>
        <v>有期雇用（3ヵ月）</v>
      </c>
      <c r="R63" s="3" t="str">
        <f t="shared" si="5"/>
        <v>協定対象派遣労働者(労使協定式方式)</v>
      </c>
    </row>
    <row r="64" spans="1:18" ht="18">
      <c r="A64">
        <f>SUBTOTAL(103,$K$9:K64)</f>
        <v>56</v>
      </c>
      <c r="B64">
        <v>56</v>
      </c>
      <c r="C64">
        <f>_xlfn.XLOOKUP($K$3&amp;B64,Filtro!A:A,Filtro!D:D,"",0,1)</f>
        <v>210403</v>
      </c>
      <c r="D64" t="str">
        <f>_xlfn.XLOOKUP(C64,DBGenzai[社員№],DBGenzai[現在],"",0,1)</f>
        <v>退社</v>
      </c>
      <c r="E64" s="51">
        <f>_xlfn.XLOOKUP($C64,DBGenzai[社員№],DBGenzai[生年月日],"",0,1)</f>
        <v>30126</v>
      </c>
      <c r="F64">
        <f t="shared" ca="1" si="1"/>
        <v>41</v>
      </c>
      <c r="G64">
        <f>_xlfn.XLOOKUP(C64,DBGenzai[社員№],DBGenzai[請求単価],"",0,1)</f>
        <v>1990</v>
      </c>
      <c r="H64" s="95">
        <f>_xlfn.XLOOKUP($C64,DBGenzai[社員№],DBGenzai[入社日],"",0,1)</f>
        <v>44287</v>
      </c>
      <c r="I64" s="95">
        <f>IF(D64="退社",_xlfn.XLOOKUP($C64,DBGenzai[社員№],DBGenzai[退社日],"",0,1),"")</f>
        <v>45002</v>
      </c>
      <c r="K64" s="49" t="str">
        <f>_xlfn.XLOOKUP($C64,DBGenzai[社員№],DBGenzai[カナ],"",0,1)</f>
        <v>レ　ヴァン　トァト</v>
      </c>
      <c r="L64" s="3" t="str">
        <f>_xlfn.XLOOKUP($C64,DBGenzai[社員№],DBGenzai[性別],"",0,1)</f>
        <v>男</v>
      </c>
      <c r="M64" s="3" t="str">
        <f t="shared" ca="1" si="2"/>
        <v>60歳未満</v>
      </c>
      <c r="N64" s="3" t="str">
        <f t="shared" si="7"/>
        <v>加入</v>
      </c>
      <c r="O64" s="3" t="str">
        <f t="shared" si="7"/>
        <v>加入</v>
      </c>
      <c r="P64" s="3" t="str">
        <f t="shared" si="7"/>
        <v>加入</v>
      </c>
      <c r="Q64" s="3" t="str">
        <f t="shared" si="4"/>
        <v>有期雇用（3ヵ月）</v>
      </c>
      <c r="R64" s="3" t="str">
        <f t="shared" si="5"/>
        <v>協定対象派遣労働者(労使協定式方式)</v>
      </c>
    </row>
    <row r="65" spans="1:18" ht="18">
      <c r="A65">
        <f>SUBTOTAL(103,$K$9:K65)</f>
        <v>57</v>
      </c>
      <c r="B65">
        <v>57</v>
      </c>
      <c r="C65">
        <f>_xlfn.XLOOKUP($K$3&amp;B65,Filtro!A:A,Filtro!D:D,"",0,1)</f>
        <v>210404</v>
      </c>
      <c r="D65" t="str">
        <f>_xlfn.XLOOKUP(C65,DBGenzai[社員№],DBGenzai[現在],"",0,1)</f>
        <v>退社</v>
      </c>
      <c r="E65" s="51">
        <f>_xlfn.XLOOKUP($C65,DBGenzai[社員№],DBGenzai[生年月日],"",0,1)</f>
        <v>34845</v>
      </c>
      <c r="F65">
        <f t="shared" ca="1" si="1"/>
        <v>28</v>
      </c>
      <c r="G65">
        <f>_xlfn.XLOOKUP(C65,DBGenzai[社員№],DBGenzai[請求単価],"",0,1)</f>
        <v>1990</v>
      </c>
      <c r="H65" s="95">
        <f>_xlfn.XLOOKUP($C65,DBGenzai[社員№],DBGenzai[入社日],"",0,1)</f>
        <v>44291</v>
      </c>
      <c r="I65" s="95">
        <f>IF(D65="退社",_xlfn.XLOOKUP($C65,DBGenzai[社員№],DBGenzai[退社日],"",0,1),"")</f>
        <v>44916</v>
      </c>
      <c r="K65" s="49" t="str">
        <f>_xlfn.XLOOKUP($C65,DBGenzai[社員№],DBGenzai[カナ],"",0,1)</f>
        <v>グエン　カック　チュン</v>
      </c>
      <c r="L65" s="3" t="str">
        <f>_xlfn.XLOOKUP($C65,DBGenzai[社員№],DBGenzai[性別],"",0,1)</f>
        <v>男</v>
      </c>
      <c r="M65" s="3" t="str">
        <f t="shared" ca="1" si="2"/>
        <v>60歳未満</v>
      </c>
      <c r="N65" s="3" t="str">
        <f t="shared" si="7"/>
        <v>加入</v>
      </c>
      <c r="O65" s="3" t="str">
        <f t="shared" si="7"/>
        <v>加入</v>
      </c>
      <c r="P65" s="3" t="str">
        <f t="shared" si="7"/>
        <v>加入</v>
      </c>
      <c r="Q65" s="3" t="str">
        <f t="shared" si="4"/>
        <v>有期雇用（3ヵ月）</v>
      </c>
      <c r="R65" s="3" t="str">
        <f t="shared" si="5"/>
        <v>協定対象派遣労働者(労使協定式方式)</v>
      </c>
    </row>
    <row r="66" spans="1:18" ht="18">
      <c r="A66">
        <f>SUBTOTAL(103,$K$9:K66)</f>
        <v>58</v>
      </c>
      <c r="B66">
        <v>58</v>
      </c>
      <c r="C66">
        <f>_xlfn.XLOOKUP($K$3&amp;B66,Filtro!A:A,Filtro!D:D,"",0,1)</f>
        <v>211113</v>
      </c>
      <c r="D66" t="str">
        <f>_xlfn.XLOOKUP(C66,DBGenzai[社員№],DBGenzai[現在],"",0,1)</f>
        <v>退社</v>
      </c>
      <c r="E66" s="51">
        <f>_xlfn.XLOOKUP($C66,DBGenzai[社員№],DBGenzai[生年月日],"",0,1)</f>
        <v>35013</v>
      </c>
      <c r="F66">
        <f t="shared" ca="1" si="1"/>
        <v>28</v>
      </c>
      <c r="G66">
        <f>_xlfn.XLOOKUP(C66,DBGenzai[社員№],DBGenzai[請求単価],"",0,1)</f>
        <v>1990</v>
      </c>
      <c r="H66" s="95">
        <f>_xlfn.XLOOKUP($C66,DBGenzai[社員№],DBGenzai[入社日],"",0,1)</f>
        <v>44523</v>
      </c>
      <c r="I66" s="95">
        <f>IF(D66="退社",_xlfn.XLOOKUP($C66,DBGenzai[社員№],DBGenzai[退社日],"",0,1),"")</f>
        <v>44876</v>
      </c>
      <c r="K66" s="49" t="str">
        <f>_xlfn.XLOOKUP($C66,DBGenzai[社員№],DBGenzai[カナ],"",0,1)</f>
        <v>ドー　ドゥック　トゥアン</v>
      </c>
      <c r="L66" s="3" t="str">
        <f>_xlfn.XLOOKUP($C66,DBGenzai[社員№],DBGenzai[性別],"",0,1)</f>
        <v>男</v>
      </c>
      <c r="M66" s="3" t="str">
        <f t="shared" ca="1" si="2"/>
        <v>60歳未満</v>
      </c>
      <c r="N66" s="3" t="str">
        <f t="shared" si="7"/>
        <v>加入</v>
      </c>
      <c r="O66" s="3" t="str">
        <f t="shared" si="7"/>
        <v>加入</v>
      </c>
      <c r="P66" s="3" t="str">
        <f t="shared" si="7"/>
        <v>加入</v>
      </c>
      <c r="Q66" s="3" t="str">
        <f t="shared" si="4"/>
        <v>有期雇用（3ヵ月）</v>
      </c>
      <c r="R66" s="3" t="str">
        <f t="shared" si="5"/>
        <v>協定対象派遣労働者(労使協定式方式)</v>
      </c>
    </row>
    <row r="67" spans="1:18" ht="18">
      <c r="A67">
        <f>SUBTOTAL(103,$K$9:K67)</f>
        <v>59</v>
      </c>
      <c r="B67">
        <v>59</v>
      </c>
      <c r="C67">
        <f>_xlfn.XLOOKUP($K$3&amp;B67,Filtro!A:A,Filtro!D:D,"",0,1)</f>
        <v>211209</v>
      </c>
      <c r="D67" t="str">
        <f>_xlfn.XLOOKUP(C67,DBGenzai[社員№],DBGenzai[現在],"",0,1)</f>
        <v>退社</v>
      </c>
      <c r="E67" s="51">
        <f>_xlfn.XLOOKUP($C67,DBGenzai[社員№],DBGenzai[生年月日],"",0,1)</f>
        <v>32092</v>
      </c>
      <c r="F67">
        <f t="shared" ca="1" si="1"/>
        <v>36</v>
      </c>
      <c r="G67">
        <f>_xlfn.XLOOKUP(C67,DBGenzai[社員№],DBGenzai[請求単価],"",0,1)</f>
        <v>1990</v>
      </c>
      <c r="H67" s="95">
        <f>_xlfn.XLOOKUP($C67,DBGenzai[社員№],DBGenzai[入社日],"",0,1)</f>
        <v>44543</v>
      </c>
      <c r="I67" s="95">
        <f>IF(D67="退社",_xlfn.XLOOKUP($C67,DBGenzai[社員№],DBGenzai[退社日],"",0,1),"")</f>
        <v>44816</v>
      </c>
      <c r="K67" s="49" t="str">
        <f>_xlfn.XLOOKUP($C67,DBGenzai[社員№],DBGenzai[カナ],"",0,1)</f>
        <v>ライ　ズイ　ヒエン</v>
      </c>
      <c r="L67" s="3" t="str">
        <f>_xlfn.XLOOKUP($C67,DBGenzai[社員№],DBGenzai[性別],"",0,1)</f>
        <v>男</v>
      </c>
      <c r="M67" s="3" t="str">
        <f t="shared" ca="1" si="2"/>
        <v>60歳未満</v>
      </c>
      <c r="N67" s="3" t="str">
        <f t="shared" si="7"/>
        <v>加入</v>
      </c>
      <c r="O67" s="3" t="str">
        <f t="shared" si="7"/>
        <v>加入</v>
      </c>
      <c r="P67" s="3" t="str">
        <f t="shared" si="7"/>
        <v>加入</v>
      </c>
      <c r="Q67" s="3" t="str">
        <f t="shared" si="4"/>
        <v>有期雇用（3ヵ月）</v>
      </c>
      <c r="R67" s="3" t="str">
        <f t="shared" si="5"/>
        <v>協定対象派遣労働者(労使協定式方式)</v>
      </c>
    </row>
    <row r="68" spans="1:18" ht="18">
      <c r="A68">
        <f>SUBTOTAL(103,$K$9:K68)</f>
        <v>60</v>
      </c>
      <c r="B68">
        <v>60</v>
      </c>
      <c r="C68">
        <f>_xlfn.XLOOKUP($K$3&amp;B68,Filtro!A:A,Filtro!D:D,"",0,1)</f>
        <v>211213</v>
      </c>
      <c r="D68" t="str">
        <f>_xlfn.XLOOKUP(C68,DBGenzai[社員№],DBGenzai[現在],"",0,1)</f>
        <v>退社</v>
      </c>
      <c r="E68" s="51">
        <f>_xlfn.XLOOKUP($C68,DBGenzai[社員№],DBGenzai[生年月日],"",0,1)</f>
        <v>34548</v>
      </c>
      <c r="F68">
        <f t="shared" ca="1" si="1"/>
        <v>29</v>
      </c>
      <c r="G68">
        <f>_xlfn.XLOOKUP(C68,DBGenzai[社員№],DBGenzai[請求単価],"",0,1)</f>
        <v>1990</v>
      </c>
      <c r="H68" s="95">
        <f>_xlfn.XLOOKUP($C68,DBGenzai[社員№],DBGenzai[入社日],"",0,1)</f>
        <v>44550</v>
      </c>
      <c r="I68" s="95">
        <f>IF(D68="退社",_xlfn.XLOOKUP($C68,DBGenzai[社員№],DBGenzai[退社日],"",0,1),"")</f>
        <v>44742</v>
      </c>
      <c r="K68" s="49" t="str">
        <f>_xlfn.XLOOKUP($C68,DBGenzai[社員№],DBGenzai[カナ],"",0,1)</f>
        <v>チャン　フュ　ダン</v>
      </c>
      <c r="L68" s="3" t="str">
        <f>_xlfn.XLOOKUP($C68,DBGenzai[社員№],DBGenzai[性別],"",0,1)</f>
        <v>男</v>
      </c>
      <c r="M68" s="3" t="str">
        <f t="shared" ca="1" si="2"/>
        <v>60歳未満</v>
      </c>
      <c r="N68" s="3" t="str">
        <f t="shared" si="7"/>
        <v>加入</v>
      </c>
      <c r="O68" s="3" t="str">
        <f t="shared" si="7"/>
        <v>加入</v>
      </c>
      <c r="P68" s="3" t="str">
        <f t="shared" si="7"/>
        <v>加入</v>
      </c>
      <c r="Q68" s="3" t="str">
        <f t="shared" si="4"/>
        <v>有期雇用（3ヵ月）</v>
      </c>
      <c r="R68" s="3" t="str">
        <f t="shared" si="5"/>
        <v>協定対象派遣労働者(労使協定式方式)</v>
      </c>
    </row>
    <row r="69" spans="1:18" ht="18">
      <c r="A69">
        <f>SUBTOTAL(103,$K$9:K69)</f>
        <v>61</v>
      </c>
      <c r="B69">
        <v>61</v>
      </c>
      <c r="C69">
        <f>_xlfn.XLOOKUP($K$3&amp;B69,Filtro!A:A,Filtro!D:D,"",0,1)</f>
        <v>220106</v>
      </c>
      <c r="D69" t="str">
        <f>_xlfn.XLOOKUP(C69,DBGenzai[社員№],DBGenzai[現在],"",0,1)</f>
        <v>退社</v>
      </c>
      <c r="E69" s="51">
        <f>_xlfn.XLOOKUP($C69,DBGenzai[社員№],DBGenzai[生年月日],"",0,1)</f>
        <v>34496</v>
      </c>
      <c r="F69">
        <f t="shared" ca="1" si="1"/>
        <v>29</v>
      </c>
      <c r="G69">
        <f>_xlfn.XLOOKUP(C69,DBGenzai[社員№],DBGenzai[請求単価],"",0,1)</f>
        <v>1990</v>
      </c>
      <c r="H69" s="95">
        <f>_xlfn.XLOOKUP($C69,DBGenzai[社員№],DBGenzai[入社日],"",0,1)</f>
        <v>44567</v>
      </c>
      <c r="I69" s="95">
        <f>IF(D69="退社",_xlfn.XLOOKUP($C69,DBGenzai[社員№],DBGenzai[退社日],"",0,1),"")</f>
        <v>44707</v>
      </c>
      <c r="K69" s="49" t="str">
        <f>_xlfn.XLOOKUP($C69,DBGenzai[社員№],DBGenzai[カナ],"",0,1)</f>
        <v>グエン　ヴァン　クア</v>
      </c>
      <c r="L69" s="3" t="str">
        <f>_xlfn.XLOOKUP($C69,DBGenzai[社員№],DBGenzai[性別],"",0,1)</f>
        <v>男</v>
      </c>
      <c r="M69" s="3" t="str">
        <f t="shared" ca="1" si="2"/>
        <v>60歳未満</v>
      </c>
      <c r="N69" s="3" t="str">
        <f t="shared" si="7"/>
        <v>加入</v>
      </c>
      <c r="O69" s="3" t="str">
        <f t="shared" si="7"/>
        <v>加入</v>
      </c>
      <c r="P69" s="3" t="str">
        <f t="shared" si="7"/>
        <v>加入</v>
      </c>
      <c r="Q69" s="3" t="str">
        <f t="shared" si="4"/>
        <v>有期雇用（3ヵ月）</v>
      </c>
      <c r="R69" s="3" t="str">
        <f t="shared" si="5"/>
        <v>協定対象派遣労働者(労使協定式方式)</v>
      </c>
    </row>
    <row r="70" spans="1:18" ht="18">
      <c r="A70">
        <f>SUBTOTAL(103,$K$9:K70)</f>
        <v>62</v>
      </c>
      <c r="B70">
        <v>62</v>
      </c>
      <c r="C70">
        <f>_xlfn.XLOOKUP($K$3&amp;B70,Filtro!A:A,Filtro!D:D,"",0,1)</f>
        <v>220108</v>
      </c>
      <c r="D70" t="str">
        <f>_xlfn.XLOOKUP(C70,DBGenzai[社員№],DBGenzai[現在],"",0,1)</f>
        <v>退社</v>
      </c>
      <c r="E70" s="51">
        <f>_xlfn.XLOOKUP($C70,DBGenzai[社員№],DBGenzai[生年月日],"",0,1)</f>
        <v>33230</v>
      </c>
      <c r="F70">
        <f t="shared" ca="1" si="1"/>
        <v>32</v>
      </c>
      <c r="G70">
        <f>_xlfn.XLOOKUP(C70,DBGenzai[社員№],DBGenzai[請求単価],"",0,1)</f>
        <v>1990</v>
      </c>
      <c r="H70" s="95">
        <f>_xlfn.XLOOKUP($C70,DBGenzai[社員№],DBGenzai[入社日],"",0,1)</f>
        <v>44571</v>
      </c>
      <c r="I70" s="95">
        <f>IF(D70="退社",_xlfn.XLOOKUP($C70,DBGenzai[社員№],DBGenzai[退社日],"",0,1),"")</f>
        <v>44952</v>
      </c>
      <c r="K70" s="49" t="str">
        <f>_xlfn.XLOOKUP($C70,DBGenzai[社員№],DBGenzai[カナ],"",0,1)</f>
        <v>グエン　ティエン　ハイ</v>
      </c>
      <c r="L70" s="3" t="str">
        <f>_xlfn.XLOOKUP($C70,DBGenzai[社員№],DBGenzai[性別],"",0,1)</f>
        <v>男</v>
      </c>
      <c r="M70" s="3" t="str">
        <f t="shared" ca="1" si="2"/>
        <v>60歳未満</v>
      </c>
      <c r="N70" s="3" t="str">
        <f t="shared" si="7"/>
        <v>加入</v>
      </c>
      <c r="O70" s="3" t="str">
        <f t="shared" si="7"/>
        <v>加入</v>
      </c>
      <c r="P70" s="3" t="str">
        <f t="shared" si="7"/>
        <v>加入</v>
      </c>
      <c r="Q70" s="3" t="str">
        <f t="shared" si="4"/>
        <v>有期雇用（3ヵ月）</v>
      </c>
      <c r="R70" s="3" t="str">
        <f t="shared" si="5"/>
        <v>協定対象派遣労働者(労使協定式方式)</v>
      </c>
    </row>
    <row r="71" spans="1:18" ht="18">
      <c r="A71">
        <f>SUBTOTAL(103,$K$9:K71)</f>
        <v>63</v>
      </c>
      <c r="B71">
        <v>63</v>
      </c>
      <c r="C71">
        <f>_xlfn.XLOOKUP($K$3&amp;B71,Filtro!A:A,Filtro!D:D,"",0,1)</f>
        <v>220117</v>
      </c>
      <c r="D71" t="str">
        <f>_xlfn.XLOOKUP(C71,DBGenzai[社員№],DBGenzai[現在],"",0,1)</f>
        <v>退社</v>
      </c>
      <c r="E71" s="51">
        <f>_xlfn.XLOOKUP($C71,DBGenzai[社員№],DBGenzai[生年月日],"",0,1)</f>
        <v>34808</v>
      </c>
      <c r="F71">
        <f t="shared" ca="1" si="1"/>
        <v>28</v>
      </c>
      <c r="G71">
        <f>_xlfn.XLOOKUP(C71,DBGenzai[社員№],DBGenzai[請求単価],"",0,1)</f>
        <v>1960</v>
      </c>
      <c r="H71" s="95">
        <f>_xlfn.XLOOKUP($C71,DBGenzai[社員№],DBGenzai[入社日],"",0,1)</f>
        <v>44578</v>
      </c>
      <c r="I71" s="95">
        <f>IF(D71="退社",_xlfn.XLOOKUP($C71,DBGenzai[社員№],DBGenzai[退社日],"",0,1),"")</f>
        <v>44715</v>
      </c>
      <c r="K71" s="49" t="str">
        <f>_xlfn.XLOOKUP($C71,DBGenzai[社員№],DBGenzai[カナ],"",0,1)</f>
        <v>ブー　バン　ロン</v>
      </c>
      <c r="L71" s="3" t="str">
        <f>_xlfn.XLOOKUP($C71,DBGenzai[社員№],DBGenzai[性別],"",0,1)</f>
        <v>男</v>
      </c>
      <c r="M71" s="3" t="str">
        <f t="shared" ca="1" si="2"/>
        <v>60歳未満</v>
      </c>
      <c r="N71" s="3" t="str">
        <f t="shared" si="7"/>
        <v>加入</v>
      </c>
      <c r="O71" s="3" t="str">
        <f t="shared" si="7"/>
        <v>加入</v>
      </c>
      <c r="P71" s="3" t="str">
        <f t="shared" si="7"/>
        <v>加入</v>
      </c>
      <c r="Q71" s="3" t="str">
        <f t="shared" si="4"/>
        <v>有期雇用（3ヵ月）</v>
      </c>
      <c r="R71" s="3" t="str">
        <f t="shared" si="5"/>
        <v>協定対象派遣労働者(労使協定式方式)</v>
      </c>
    </row>
    <row r="72" spans="1:18" ht="18">
      <c r="A72">
        <f>SUBTOTAL(103,$K$9:K72)</f>
        <v>64</v>
      </c>
      <c r="B72">
        <v>64</v>
      </c>
      <c r="C72">
        <f>_xlfn.XLOOKUP($K$3&amp;B72,Filtro!A:A,Filtro!D:D,"",0,1)</f>
        <v>220114</v>
      </c>
      <c r="D72" t="str">
        <f>_xlfn.XLOOKUP(C72,DBGenzai[社員№],DBGenzai[現在],"",0,1)</f>
        <v>退社</v>
      </c>
      <c r="E72" s="51">
        <f>_xlfn.XLOOKUP($C72,DBGenzai[社員№],DBGenzai[生年月日],"",0,1)</f>
        <v>34201</v>
      </c>
      <c r="F72">
        <f t="shared" ca="1" si="1"/>
        <v>30</v>
      </c>
      <c r="G72">
        <f>_xlfn.XLOOKUP(C72,DBGenzai[社員№],DBGenzai[請求単価],"",0,1)</f>
        <v>1990</v>
      </c>
      <c r="H72" s="95">
        <f>_xlfn.XLOOKUP($C72,DBGenzai[社員№],DBGenzai[入社日],"",0,1)</f>
        <v>44578</v>
      </c>
      <c r="I72" s="95">
        <f>IF(D72="退社",_xlfn.XLOOKUP($C72,DBGenzai[社員№],DBGenzai[退社日],"",0,1),"")</f>
        <v>44742</v>
      </c>
      <c r="K72" s="49" t="str">
        <f>_xlfn.XLOOKUP($C72,DBGenzai[社員№],DBGenzai[カナ],"",0,1)</f>
        <v>ホアン　マン　ティエン</v>
      </c>
      <c r="L72" s="3" t="str">
        <f>_xlfn.XLOOKUP($C72,DBGenzai[社員№],DBGenzai[性別],"",0,1)</f>
        <v>男</v>
      </c>
      <c r="M72" s="3" t="str">
        <f t="shared" ca="1" si="2"/>
        <v>60歳未満</v>
      </c>
      <c r="N72" s="3" t="str">
        <f t="shared" si="7"/>
        <v>加入</v>
      </c>
      <c r="O72" s="3" t="str">
        <f t="shared" si="7"/>
        <v>加入</v>
      </c>
      <c r="P72" s="3" t="str">
        <f t="shared" si="7"/>
        <v>加入</v>
      </c>
      <c r="Q72" s="3" t="str">
        <f t="shared" si="4"/>
        <v>有期雇用（3ヵ月）</v>
      </c>
      <c r="R72" s="3" t="str">
        <f t="shared" si="5"/>
        <v>協定対象派遣労働者(労使協定式方式)</v>
      </c>
    </row>
    <row r="73" spans="1:18" ht="18">
      <c r="A73">
        <f>SUBTOTAL(103,$K$9:K73)</f>
        <v>65</v>
      </c>
      <c r="B73">
        <v>65</v>
      </c>
      <c r="C73">
        <f>_xlfn.XLOOKUP($K$3&amp;B73,Filtro!A:A,Filtro!D:D,"",0,1)</f>
        <v>220304</v>
      </c>
      <c r="D73" t="str">
        <f>_xlfn.XLOOKUP(C73,DBGenzai[社員№],DBGenzai[現在],"",0,1)</f>
        <v>退社</v>
      </c>
      <c r="E73" s="51">
        <f>_xlfn.XLOOKUP($C73,DBGenzai[社員№],DBGenzai[生年月日],"",0,1)</f>
        <v>34536</v>
      </c>
      <c r="F73">
        <f t="shared" ca="1" si="1"/>
        <v>29</v>
      </c>
      <c r="G73">
        <f>_xlfn.XLOOKUP(C73,DBGenzai[社員№],DBGenzai[請求単価],"",0,1)</f>
        <v>1990</v>
      </c>
      <c r="H73" s="95">
        <f>_xlfn.XLOOKUP($C73,DBGenzai[社員№],DBGenzai[入社日],"",0,1)</f>
        <v>44621</v>
      </c>
      <c r="I73" s="95">
        <f>IF(D73="退社",_xlfn.XLOOKUP($C73,DBGenzai[社員№],DBGenzai[退社日],"",0,1),"")</f>
        <v>44923</v>
      </c>
      <c r="K73" s="49" t="str">
        <f>_xlfn.XLOOKUP($C73,DBGenzai[社員№],DBGenzai[カナ],"",0,1)</f>
        <v>ヴー　ヴァン　トアン</v>
      </c>
      <c r="L73" s="3" t="str">
        <f>_xlfn.XLOOKUP($C73,DBGenzai[社員№],DBGenzai[性別],"",0,1)</f>
        <v>男</v>
      </c>
      <c r="M73" s="3" t="str">
        <f t="shared" ca="1" si="2"/>
        <v>60歳未満</v>
      </c>
      <c r="N73" s="3" t="str">
        <f t="shared" si="7"/>
        <v>加入</v>
      </c>
      <c r="O73" s="3" t="str">
        <f t="shared" si="7"/>
        <v>加入</v>
      </c>
      <c r="P73" s="3" t="str">
        <f t="shared" si="7"/>
        <v>加入</v>
      </c>
      <c r="Q73" s="3" t="str">
        <f t="shared" si="4"/>
        <v>有期雇用（3ヵ月）</v>
      </c>
      <c r="R73" s="3" t="str">
        <f t="shared" si="5"/>
        <v>協定対象派遣労働者(労使協定式方式)</v>
      </c>
    </row>
    <row r="74" spans="1:18" ht="18">
      <c r="A74">
        <f>SUBTOTAL(103,$K$9:K74)</f>
        <v>66</v>
      </c>
      <c r="B74">
        <v>66</v>
      </c>
      <c r="C74">
        <f>_xlfn.XLOOKUP($K$3&amp;B74,Filtro!A:A,Filtro!D:D,"",0,1)</f>
        <v>220303</v>
      </c>
      <c r="D74" t="str">
        <f>_xlfn.XLOOKUP(C74,DBGenzai[社員№],DBGenzai[現在],"",0,1)</f>
        <v>退社</v>
      </c>
      <c r="E74" s="51">
        <f>_xlfn.XLOOKUP($C74,DBGenzai[社員№],DBGenzai[生年月日],"",0,1)</f>
        <v>33068</v>
      </c>
      <c r="F74">
        <f t="shared" ref="F74:F107" ca="1" si="8">IF(E74="","",DATEDIF(E74,TODAY(),"Y"))</f>
        <v>33</v>
      </c>
      <c r="G74">
        <f>_xlfn.XLOOKUP(C74,DBGenzai[社員№],DBGenzai[請求単価],"",0,1)</f>
        <v>1990</v>
      </c>
      <c r="H74" s="95">
        <f>_xlfn.XLOOKUP($C74,DBGenzai[社員№],DBGenzai[入社日],"",0,1)</f>
        <v>44621</v>
      </c>
      <c r="I74" s="95">
        <f>IF(D74="退社",_xlfn.XLOOKUP($C74,DBGenzai[社員№],DBGenzai[退社日],"",0,1),"")</f>
        <v>44952</v>
      </c>
      <c r="K74" s="49" t="str">
        <f>_xlfn.XLOOKUP($C74,DBGenzai[社員№],DBGenzai[カナ],"",0,1)</f>
        <v>ブイ　ヴァン　ドアン</v>
      </c>
      <c r="L74" s="3" t="str">
        <f>_xlfn.XLOOKUP($C74,DBGenzai[社員№],DBGenzai[性別],"",0,1)</f>
        <v>男</v>
      </c>
      <c r="M74" s="3" t="str">
        <f t="shared" ref="M74:M107" ca="1" si="9">IF(F74="","",IF(F74&lt;=18,"18未満(     )歳",IF(F74&lt;=60,"60歳未満","60歳以上")))</f>
        <v>60歳未満</v>
      </c>
      <c r="N74" s="3" t="str">
        <f t="shared" ref="N74:P107" si="10">IF($K74="","","加入")</f>
        <v>加入</v>
      </c>
      <c r="O74" s="3" t="str">
        <f t="shared" si="10"/>
        <v>加入</v>
      </c>
      <c r="P74" s="3" t="str">
        <f t="shared" si="10"/>
        <v>加入</v>
      </c>
      <c r="Q74" s="3" t="str">
        <f t="shared" ref="Q74:Q107" si="11">IF($K74="","","有期雇用（3ヵ月）")</f>
        <v>有期雇用（3ヵ月）</v>
      </c>
      <c r="R74" s="3" t="str">
        <f t="shared" ref="R74:R107" si="12">IF($K74="","","協定対象派遣労働者(労使協定式方式)")</f>
        <v>協定対象派遣労働者(労使協定式方式)</v>
      </c>
    </row>
    <row r="75" spans="1:18" ht="18">
      <c r="A75">
        <f>SUBTOTAL(103,$K$9:K75)</f>
        <v>67</v>
      </c>
      <c r="B75">
        <v>67</v>
      </c>
      <c r="C75">
        <f>_xlfn.XLOOKUP($K$3&amp;B75,Filtro!A:A,Filtro!D:D,"",0,1)</f>
        <v>220315</v>
      </c>
      <c r="D75" t="str">
        <f>_xlfn.XLOOKUP(C75,DBGenzai[社員№],DBGenzai[現在],"",0,1)</f>
        <v>退社</v>
      </c>
      <c r="E75" s="51">
        <f>_xlfn.XLOOKUP($C75,DBGenzai[社員№],DBGenzai[生年月日],"",0,1)</f>
        <v>34262</v>
      </c>
      <c r="F75">
        <f t="shared" ca="1" si="8"/>
        <v>30</v>
      </c>
      <c r="G75">
        <f>_xlfn.XLOOKUP(C75,DBGenzai[社員№],DBGenzai[請求単価],"",0,1)</f>
        <v>1960</v>
      </c>
      <c r="H75" s="95">
        <f>_xlfn.XLOOKUP($C75,DBGenzai[社員№],DBGenzai[入社日],"",0,1)</f>
        <v>44634</v>
      </c>
      <c r="I75" s="95">
        <f>IF(D75="退社",_xlfn.XLOOKUP($C75,DBGenzai[社員№],DBGenzai[退社日],"",0,1),"")</f>
        <v>44944</v>
      </c>
      <c r="K75" s="49" t="str">
        <f>_xlfn.XLOOKUP($C75,DBGenzai[社員№],DBGenzai[カナ],"",0,1)</f>
        <v>ヴー　ヴァン　ギエ</v>
      </c>
      <c r="L75" s="3" t="str">
        <f>_xlfn.XLOOKUP($C75,DBGenzai[社員№],DBGenzai[性別],"",0,1)</f>
        <v>男</v>
      </c>
      <c r="M75" s="3" t="str">
        <f t="shared" ca="1" si="9"/>
        <v>60歳未満</v>
      </c>
      <c r="N75" s="3" t="str">
        <f t="shared" si="10"/>
        <v>加入</v>
      </c>
      <c r="O75" s="3" t="str">
        <f t="shared" si="10"/>
        <v>加入</v>
      </c>
      <c r="P75" s="3" t="str">
        <f t="shared" si="10"/>
        <v>加入</v>
      </c>
      <c r="Q75" s="3" t="str">
        <f t="shared" si="11"/>
        <v>有期雇用（3ヵ月）</v>
      </c>
      <c r="R75" s="3" t="str">
        <f t="shared" si="12"/>
        <v>協定対象派遣労働者(労使協定式方式)</v>
      </c>
    </row>
    <row r="76" spans="1:18" ht="18">
      <c r="A76">
        <f>SUBTOTAL(103,$K$9:K76)</f>
        <v>68</v>
      </c>
      <c r="B76">
        <v>68</v>
      </c>
      <c r="C76">
        <f>_xlfn.XLOOKUP($K$3&amp;B76,Filtro!A:A,Filtro!D:D,"",0,1)</f>
        <v>210710</v>
      </c>
      <c r="D76" t="str">
        <f>_xlfn.XLOOKUP(C76,DBGenzai[社員№],DBGenzai[現在],"",0,1)</f>
        <v>退社</v>
      </c>
      <c r="E76" s="51">
        <f>_xlfn.XLOOKUP($C76,DBGenzai[社員№],DBGenzai[生年月日],"",0,1)</f>
        <v>33139</v>
      </c>
      <c r="F76">
        <f t="shared" ca="1" si="8"/>
        <v>33</v>
      </c>
      <c r="G76">
        <f>_xlfn.XLOOKUP(C76,DBGenzai[社員№],DBGenzai[請求単価],"",0,1)</f>
        <v>1990</v>
      </c>
      <c r="H76" s="95">
        <f>_xlfn.XLOOKUP($C76,DBGenzai[社員№],DBGenzai[入社日],"",0,1)</f>
        <v>44713</v>
      </c>
      <c r="I76" s="95">
        <f>IF(D76="退社",_xlfn.XLOOKUP($C76,DBGenzai[社員№],DBGenzai[退社日],"",0,1),"")</f>
        <v>44939</v>
      </c>
      <c r="K76" s="49" t="str">
        <f>_xlfn.XLOOKUP($C76,DBGenzai[社員№],DBGenzai[カナ],"",0,1)</f>
        <v>グエン　スワン　タン</v>
      </c>
      <c r="L76" s="3" t="str">
        <f>_xlfn.XLOOKUP($C76,DBGenzai[社員№],DBGenzai[性別],"",0,1)</f>
        <v>男</v>
      </c>
      <c r="M76" s="3" t="str">
        <f t="shared" ca="1" si="9"/>
        <v>60歳未満</v>
      </c>
      <c r="N76" s="3" t="str">
        <f t="shared" si="10"/>
        <v>加入</v>
      </c>
      <c r="O76" s="3" t="str">
        <f t="shared" si="10"/>
        <v>加入</v>
      </c>
      <c r="P76" s="3" t="str">
        <f t="shared" si="10"/>
        <v>加入</v>
      </c>
      <c r="Q76" s="3" t="str">
        <f t="shared" si="11"/>
        <v>有期雇用（3ヵ月）</v>
      </c>
      <c r="R76" s="3" t="str">
        <f t="shared" si="12"/>
        <v>協定対象派遣労働者(労使協定式方式)</v>
      </c>
    </row>
    <row r="77" spans="1:18" ht="18">
      <c r="A77">
        <f>SUBTOTAL(103,$K$9:K77)</f>
        <v>69</v>
      </c>
      <c r="B77">
        <v>69</v>
      </c>
      <c r="C77">
        <f>_xlfn.XLOOKUP($K$3&amp;B77,Filtro!A:A,Filtro!D:D,"",0,1)</f>
        <v>230711</v>
      </c>
      <c r="D77" t="str">
        <f>_xlfn.XLOOKUP(C77,DBGenzai[社員№],DBGenzai[現在],"",0,1)</f>
        <v>退社</v>
      </c>
      <c r="E77" s="51">
        <f>_xlfn.XLOOKUP($C77,DBGenzai[社員№],DBGenzai[生年月日],"",0,1)</f>
        <v>34375</v>
      </c>
      <c r="F77">
        <f t="shared" ca="1" si="8"/>
        <v>29</v>
      </c>
      <c r="G77">
        <f>_xlfn.XLOOKUP(C77,DBGenzai[社員№],DBGenzai[請求単価],"",0,1)</f>
        <v>1990</v>
      </c>
      <c r="H77" s="95">
        <f>_xlfn.XLOOKUP($C77,DBGenzai[社員№],DBGenzai[入社日],"",0,1)</f>
        <v>45133</v>
      </c>
      <c r="I77" s="95">
        <f>IF(D77="退社",_xlfn.XLOOKUP($C77,DBGenzai[社員№],DBGenzai[退社日],"",0,1),"")</f>
        <v>45149</v>
      </c>
      <c r="K77" s="49" t="str">
        <f>_xlfn.XLOOKUP($C77,DBGenzai[社員№],DBGenzai[カナ],"",0,1)</f>
        <v>ホー　シー　クオン</v>
      </c>
      <c r="L77" s="3" t="str">
        <f>_xlfn.XLOOKUP($C77,DBGenzai[社員№],DBGenzai[性別],"",0,1)</f>
        <v>男</v>
      </c>
      <c r="M77" s="3" t="str">
        <f t="shared" ca="1" si="9"/>
        <v>60歳未満</v>
      </c>
      <c r="N77" s="3" t="str">
        <f t="shared" si="10"/>
        <v>加入</v>
      </c>
      <c r="O77" s="3" t="str">
        <f t="shared" si="10"/>
        <v>加入</v>
      </c>
      <c r="P77" s="3" t="str">
        <f t="shared" si="10"/>
        <v>加入</v>
      </c>
      <c r="Q77" s="3" t="str">
        <f t="shared" si="11"/>
        <v>有期雇用（3ヵ月）</v>
      </c>
      <c r="R77" s="3" t="str">
        <f t="shared" si="12"/>
        <v>協定対象派遣労働者(労使協定式方式)</v>
      </c>
    </row>
    <row r="78" spans="1:18" ht="18">
      <c r="A78">
        <f>SUBTOTAL(103,$K$9:K78)</f>
        <v>70</v>
      </c>
      <c r="B78">
        <v>70</v>
      </c>
      <c r="C78">
        <f>_xlfn.XLOOKUP($K$3&amp;B78,Filtro!A:A,Filtro!D:D,"",0,1)</f>
        <v>230712</v>
      </c>
      <c r="D78" t="str">
        <f>_xlfn.XLOOKUP(C78,DBGenzai[社員№],DBGenzai[現在],"",0,1)</f>
        <v>退社</v>
      </c>
      <c r="E78" s="51">
        <f>_xlfn.XLOOKUP($C78,DBGenzai[社員№],DBGenzai[生年月日],"",0,1)</f>
        <v>34848</v>
      </c>
      <c r="F78">
        <f t="shared" ca="1" si="8"/>
        <v>28</v>
      </c>
      <c r="G78">
        <f>_xlfn.XLOOKUP(C78,DBGenzai[社員№],DBGenzai[請求単価],"",0,1)</f>
        <v>1990</v>
      </c>
      <c r="H78" s="95">
        <f>_xlfn.XLOOKUP($C78,DBGenzai[社員№],DBGenzai[入社日],"",0,1)</f>
        <v>45133</v>
      </c>
      <c r="I78" s="95">
        <f>IF(D78="退社",_xlfn.XLOOKUP($C78,DBGenzai[社員№],DBGenzai[退社日],"",0,1),"")</f>
        <v>45219</v>
      </c>
      <c r="K78" s="49" t="str">
        <f>_xlfn.XLOOKUP($C78,DBGenzai[社員№],DBGenzai[カナ],"",0,1)</f>
        <v>ファン　ヴァン　フィ</v>
      </c>
      <c r="L78" s="3" t="str">
        <f>_xlfn.XLOOKUP($C78,DBGenzai[社員№],DBGenzai[性別],"",0,1)</f>
        <v>男</v>
      </c>
      <c r="M78" s="3" t="str">
        <f t="shared" ca="1" si="9"/>
        <v>60歳未満</v>
      </c>
      <c r="N78" s="3" t="str">
        <f t="shared" si="10"/>
        <v>加入</v>
      </c>
      <c r="O78" s="3" t="str">
        <f t="shared" si="10"/>
        <v>加入</v>
      </c>
      <c r="P78" s="3" t="str">
        <f t="shared" si="10"/>
        <v>加入</v>
      </c>
      <c r="Q78" s="3" t="str">
        <f t="shared" si="11"/>
        <v>有期雇用（3ヵ月）</v>
      </c>
      <c r="R78" s="3" t="str">
        <f t="shared" si="12"/>
        <v>協定対象派遣労働者(労使協定式方式)</v>
      </c>
    </row>
    <row r="79" spans="1:18" ht="18">
      <c r="A79">
        <f>SUBTOTAL(103,$K$9:K79)</f>
        <v>71</v>
      </c>
      <c r="B79">
        <v>71</v>
      </c>
      <c r="C79">
        <f>_xlfn.XLOOKUP($K$3&amp;B79,Filtro!A:A,Filtro!D:D,"",0,1)</f>
        <v>231003</v>
      </c>
      <c r="D79" t="str">
        <f>_xlfn.XLOOKUP(C79,DBGenzai[社員№],DBGenzai[現在],"",0,1)</f>
        <v>退社</v>
      </c>
      <c r="E79" s="51">
        <f>_xlfn.XLOOKUP($C79,DBGenzai[社員№],DBGenzai[生年月日],"",0,1)</f>
        <v>36039</v>
      </c>
      <c r="F79">
        <f t="shared" ca="1" si="8"/>
        <v>25</v>
      </c>
      <c r="G79">
        <f>_xlfn.XLOOKUP(C79,DBGenzai[社員№],DBGenzai[請求単価],"",0,1)</f>
        <v>1990</v>
      </c>
      <c r="H79" s="95">
        <f>_xlfn.XLOOKUP($C79,DBGenzai[社員№],DBGenzai[入社日],"",0,1)</f>
        <v>45215</v>
      </c>
      <c r="I79" s="95">
        <f>IF(D79="退社",_xlfn.XLOOKUP($C79,DBGenzai[社員№],DBGenzai[退社日],"",0,1),"")</f>
        <v>45219</v>
      </c>
      <c r="K79" s="49" t="str">
        <f>_xlfn.XLOOKUP($C79,DBGenzai[社員№],DBGenzai[カナ],"",0,1)</f>
        <v>グエン　クオック　クオン</v>
      </c>
      <c r="L79" s="3" t="str">
        <f>_xlfn.XLOOKUP($C79,DBGenzai[社員№],DBGenzai[性別],"",0,1)</f>
        <v>男</v>
      </c>
      <c r="M79" s="3" t="str">
        <f t="shared" ca="1" si="9"/>
        <v>60歳未満</v>
      </c>
      <c r="N79" s="3" t="str">
        <f t="shared" si="10"/>
        <v>加入</v>
      </c>
      <c r="O79" s="3" t="str">
        <f t="shared" si="10"/>
        <v>加入</v>
      </c>
      <c r="P79" s="3" t="str">
        <f t="shared" si="10"/>
        <v>加入</v>
      </c>
      <c r="Q79" s="3" t="str">
        <f t="shared" si="11"/>
        <v>有期雇用（3ヵ月）</v>
      </c>
      <c r="R79" s="3" t="str">
        <f t="shared" si="12"/>
        <v>協定対象派遣労働者(労使協定式方式)</v>
      </c>
    </row>
    <row r="80" spans="1:18" ht="18">
      <c r="A80">
        <f>SUBTOTAL(103,$K$9:K80)</f>
        <v>72</v>
      </c>
      <c r="B80">
        <v>72</v>
      </c>
      <c r="C80">
        <f>_xlfn.XLOOKUP($K$3&amp;B80,Filtro!A:A,Filtro!D:D,"",0,1)</f>
        <v>210210</v>
      </c>
      <c r="D80" t="str">
        <f>_xlfn.XLOOKUP(C80,DBGenzai[社員№],DBGenzai[現在],"",0,1)</f>
        <v>在職中</v>
      </c>
      <c r="E80" s="51">
        <f>_xlfn.XLOOKUP($C80,DBGenzai[社員№],DBGenzai[生年月日],"",0,1)</f>
        <v>34707</v>
      </c>
      <c r="F80">
        <f t="shared" ca="1" si="8"/>
        <v>28</v>
      </c>
      <c r="G80">
        <f>_xlfn.XLOOKUP(C80,DBGenzai[社員№],DBGenzai[請求単価],"",0,1)</f>
        <v>1750</v>
      </c>
      <c r="H80" s="95">
        <f>_xlfn.XLOOKUP($C80,DBGenzai[社員№],DBGenzai[入社日],"",0,1)</f>
        <v>44251</v>
      </c>
      <c r="I80" s="95" t="str">
        <f>IF(D80="退社",_xlfn.XLOOKUP($C80,DBGenzai[社員№],DBGenzai[退社日],"",0,1),"")</f>
        <v/>
      </c>
      <c r="K80" s="49" t="str">
        <f>_xlfn.XLOOKUP($C80,DBGenzai[社員№],DBGenzai[カナ],"",0,1)</f>
        <v>ハー　マイン　クアン</v>
      </c>
      <c r="L80" s="3" t="str">
        <f>_xlfn.XLOOKUP($C80,DBGenzai[社員№],DBGenzai[性別],"",0,1)</f>
        <v>男</v>
      </c>
      <c r="M80" s="3" t="str">
        <f t="shared" ca="1" si="9"/>
        <v>60歳未満</v>
      </c>
      <c r="N80" s="3" t="str">
        <f t="shared" si="10"/>
        <v>加入</v>
      </c>
      <c r="O80" s="3" t="str">
        <f t="shared" si="10"/>
        <v>加入</v>
      </c>
      <c r="P80" s="3" t="str">
        <f t="shared" si="10"/>
        <v>加入</v>
      </c>
      <c r="Q80" s="3" t="str">
        <f t="shared" si="11"/>
        <v>有期雇用（3ヵ月）</v>
      </c>
      <c r="R80" s="3" t="str">
        <f t="shared" si="12"/>
        <v>協定対象派遣労働者(労使協定式方式)</v>
      </c>
    </row>
    <row r="81" spans="1:18" ht="18">
      <c r="A81">
        <f>SUBTOTAL(103,$K$9:K81)</f>
        <v>73</v>
      </c>
      <c r="B81">
        <v>73</v>
      </c>
      <c r="C81">
        <f>_xlfn.XLOOKUP($K$3&amp;B81,Filtro!A:A,Filtro!D:D,"",0,1)</f>
        <v>231112</v>
      </c>
      <c r="D81" t="str">
        <f>_xlfn.XLOOKUP(C81,DBGenzai[社員№],DBGenzai[現在],"",0,1)</f>
        <v>在職中</v>
      </c>
      <c r="E81" s="51">
        <f>_xlfn.XLOOKUP($C81,DBGenzai[社員№],DBGenzai[生年月日],"",0,1)</f>
        <v>33293</v>
      </c>
      <c r="F81">
        <f t="shared" ca="1" si="8"/>
        <v>32</v>
      </c>
      <c r="G81">
        <f>_xlfn.XLOOKUP(C81,DBGenzai[社員№],DBGenzai[請求単価],"",0,1)</f>
        <v>1960</v>
      </c>
      <c r="H81" s="95">
        <f>_xlfn.XLOOKUP($C81,DBGenzai[社員№],DBGenzai[入社日],"",0,1)</f>
        <v>45243</v>
      </c>
      <c r="I81" s="95" t="str">
        <f>IF(D81="退社",_xlfn.XLOOKUP($C81,DBGenzai[社員№],DBGenzai[退社日],"",0,1),"")</f>
        <v/>
      </c>
      <c r="K81" s="49" t="str">
        <f>_xlfn.XLOOKUP($C81,DBGenzai[社員№],DBGenzai[カナ],"",0,1)</f>
        <v>グエン　ヴァン　チン</v>
      </c>
      <c r="L81" s="3" t="str">
        <f>_xlfn.XLOOKUP($C81,DBGenzai[社員№],DBGenzai[性別],"",0,1)</f>
        <v>男</v>
      </c>
      <c r="M81" s="3" t="str">
        <f t="shared" ca="1" si="9"/>
        <v>60歳未満</v>
      </c>
      <c r="N81" s="3" t="str">
        <f t="shared" si="10"/>
        <v>加入</v>
      </c>
      <c r="O81" s="3" t="str">
        <f t="shared" si="10"/>
        <v>加入</v>
      </c>
      <c r="P81" s="3" t="str">
        <f t="shared" si="10"/>
        <v>加入</v>
      </c>
      <c r="Q81" s="3" t="str">
        <f t="shared" si="11"/>
        <v>有期雇用（3ヵ月）</v>
      </c>
      <c r="R81" s="3" t="str">
        <f t="shared" si="12"/>
        <v>協定対象派遣労働者(労使協定式方式)</v>
      </c>
    </row>
    <row r="82" spans="1:18" ht="18">
      <c r="A82">
        <f>SUBTOTAL(103,$K$9:K82)</f>
        <v>74</v>
      </c>
      <c r="B82">
        <v>74</v>
      </c>
      <c r="C82">
        <f>_xlfn.XLOOKUP($K$3&amp;B82,Filtro!A:A,Filtro!D:D,"",0,1)</f>
        <v>231113</v>
      </c>
      <c r="D82" t="str">
        <f>_xlfn.XLOOKUP(C82,DBGenzai[社員№],DBGenzai[現在],"",0,1)</f>
        <v>在職中</v>
      </c>
      <c r="E82" s="51">
        <f>_xlfn.XLOOKUP($C82,DBGenzai[社員№],DBGenzai[生年月日],"",0,1)</f>
        <v>35781</v>
      </c>
      <c r="F82">
        <f t="shared" ca="1" si="8"/>
        <v>25</v>
      </c>
      <c r="G82">
        <f>_xlfn.XLOOKUP(C82,DBGenzai[社員№],DBGenzai[請求単価],"",0,1)</f>
        <v>1960</v>
      </c>
      <c r="H82" s="95">
        <f>_xlfn.XLOOKUP($C82,DBGenzai[社員№],DBGenzai[入社日],"",0,1)</f>
        <v>45250</v>
      </c>
      <c r="I82" s="95" t="str">
        <f>IF(D82="退社",_xlfn.XLOOKUP($C82,DBGenzai[社員№],DBGenzai[退社日],"",0,1),"")</f>
        <v/>
      </c>
      <c r="K82" s="49" t="str">
        <f>_xlfn.XLOOKUP($C82,DBGenzai[社員№],DBGenzai[カナ],"",0,1)</f>
        <v>ブイ　ゴック　シー</v>
      </c>
      <c r="L82" s="3" t="str">
        <f>_xlfn.XLOOKUP($C82,DBGenzai[社員№],DBGenzai[性別],"",0,1)</f>
        <v>男</v>
      </c>
      <c r="M82" s="3" t="str">
        <f t="shared" ca="1" si="9"/>
        <v>60歳未満</v>
      </c>
      <c r="N82" s="3" t="str">
        <f t="shared" si="10"/>
        <v>加入</v>
      </c>
      <c r="O82" s="3" t="str">
        <f t="shared" si="10"/>
        <v>加入</v>
      </c>
      <c r="P82" s="3" t="str">
        <f t="shared" si="10"/>
        <v>加入</v>
      </c>
      <c r="Q82" s="3" t="str">
        <f t="shared" si="11"/>
        <v>有期雇用（3ヵ月）</v>
      </c>
      <c r="R82" s="3" t="str">
        <f t="shared" si="12"/>
        <v>協定対象派遣労働者(労使協定式方式)</v>
      </c>
    </row>
    <row r="83" spans="1:18" ht="18">
      <c r="A83">
        <f>SUBTOTAL(103,$K$9:K83)</f>
        <v>75</v>
      </c>
      <c r="B83">
        <v>75</v>
      </c>
      <c r="C83">
        <f>_xlfn.XLOOKUP($K$3&amp;B83,Filtro!A:A,Filtro!D:D,"",0,1)</f>
        <v>200805</v>
      </c>
      <c r="D83" t="str">
        <f>_xlfn.XLOOKUP(C83,DBGenzai[社員№],DBGenzai[現在],"",0,1)</f>
        <v>退社</v>
      </c>
      <c r="E83" s="51">
        <f>_xlfn.XLOOKUP($C83,DBGenzai[社員№],DBGenzai[生年月日],"",0,1)</f>
        <v>34359</v>
      </c>
      <c r="F83">
        <f t="shared" ca="1" si="8"/>
        <v>29</v>
      </c>
      <c r="G83">
        <f>_xlfn.XLOOKUP(C83,DBGenzai[社員№],DBGenzai[請求単価],"",0,1)</f>
        <v>1750</v>
      </c>
      <c r="H83" s="95">
        <f>_xlfn.XLOOKUP($C83,DBGenzai[社員№],DBGenzai[入社日],"",0,1)</f>
        <v>44061</v>
      </c>
      <c r="I83" s="95">
        <f>IF(D83="退社",_xlfn.XLOOKUP($C83,DBGenzai[社員№],DBGenzai[退社日],"",0,1),"")</f>
        <v>44317</v>
      </c>
      <c r="K83" s="49" t="str">
        <f>_xlfn.XLOOKUP($C83,DBGenzai[社員№],DBGenzai[カナ],"",0,1)</f>
        <v>ヴィ　ティ　フェ</v>
      </c>
      <c r="L83" s="3" t="str">
        <f>_xlfn.XLOOKUP($C83,DBGenzai[社員№],DBGenzai[性別],"",0,1)</f>
        <v>女</v>
      </c>
      <c r="M83" s="3" t="str">
        <f t="shared" ca="1" si="9"/>
        <v>60歳未満</v>
      </c>
      <c r="N83" s="3" t="str">
        <f t="shared" si="10"/>
        <v>加入</v>
      </c>
      <c r="O83" s="3" t="str">
        <f t="shared" si="10"/>
        <v>加入</v>
      </c>
      <c r="P83" s="3" t="str">
        <f t="shared" si="10"/>
        <v>加入</v>
      </c>
      <c r="Q83" s="3" t="str">
        <f t="shared" si="11"/>
        <v>有期雇用（3ヵ月）</v>
      </c>
      <c r="R83" s="3" t="str">
        <f t="shared" si="12"/>
        <v>協定対象派遣労働者(労使協定式方式)</v>
      </c>
    </row>
    <row r="84" spans="1:18" ht="18">
      <c r="A84">
        <f>SUBTOTAL(103,$K$9:K84)</f>
        <v>76</v>
      </c>
      <c r="B84">
        <v>76</v>
      </c>
      <c r="C84">
        <f>_xlfn.XLOOKUP($K$3&amp;B84,Filtro!A:A,Filtro!D:D,"",0,1)</f>
        <v>200801</v>
      </c>
      <c r="D84" t="str">
        <f>_xlfn.XLOOKUP(C84,DBGenzai[社員№],DBGenzai[現在],"",0,1)</f>
        <v>在職中</v>
      </c>
      <c r="E84" s="51">
        <f>_xlfn.XLOOKUP($C84,DBGenzai[社員№],DBGenzai[生年月日],"",0,1)</f>
        <v>32431</v>
      </c>
      <c r="F84">
        <f t="shared" ca="1" si="8"/>
        <v>35</v>
      </c>
      <c r="G84">
        <f>_xlfn.XLOOKUP(C84,DBGenzai[社員№],DBGenzai[請求単価],"",0,1)</f>
        <v>2300</v>
      </c>
      <c r="H84" s="95">
        <f>_xlfn.XLOOKUP($C84,DBGenzai[社員№],DBGenzai[入社日],"",0,1)</f>
        <v>44573</v>
      </c>
      <c r="I84" s="95" t="str">
        <f>IF(D84="退社",_xlfn.XLOOKUP($C84,DBGenzai[社員№],DBGenzai[退社日],"",0,1),"")</f>
        <v/>
      </c>
      <c r="K84" s="49" t="str">
        <f>_xlfn.XLOOKUP($C84,DBGenzai[社員№],DBGenzai[カナ],"",0,1)</f>
        <v>グエン　クアン　タン</v>
      </c>
      <c r="L84" s="3" t="str">
        <f>_xlfn.XLOOKUP($C84,DBGenzai[社員№],DBGenzai[性別],"",0,1)</f>
        <v>男</v>
      </c>
      <c r="M84" s="3" t="str">
        <f t="shared" ca="1" si="9"/>
        <v>60歳未満</v>
      </c>
      <c r="N84" s="3" t="str">
        <f t="shared" si="10"/>
        <v>加入</v>
      </c>
      <c r="O84" s="3" t="str">
        <f t="shared" si="10"/>
        <v>加入</v>
      </c>
      <c r="P84" s="3" t="str">
        <f t="shared" si="10"/>
        <v>加入</v>
      </c>
      <c r="Q84" s="3" t="str">
        <f t="shared" si="11"/>
        <v>有期雇用（3ヵ月）</v>
      </c>
      <c r="R84" s="3" t="str">
        <f t="shared" si="12"/>
        <v>協定対象派遣労働者(労使協定式方式)</v>
      </c>
    </row>
    <row r="85" spans="1:18" ht="18">
      <c r="A85">
        <f>SUBTOTAL(103,$K$9:K85)</f>
        <v>77</v>
      </c>
      <c r="B85">
        <v>77</v>
      </c>
      <c r="C85">
        <f>_xlfn.XLOOKUP($K$3&amp;B85,Filtro!A:A,Filtro!D:D,"",0,1)</f>
        <v>200802</v>
      </c>
      <c r="D85" t="str">
        <f>_xlfn.XLOOKUP(C85,DBGenzai[社員№],DBGenzai[現在],"",0,1)</f>
        <v>退社</v>
      </c>
      <c r="E85" s="51">
        <f>_xlfn.XLOOKUP($C85,DBGenzai[社員№],DBGenzai[生年月日],"",0,1)</f>
        <v>34212</v>
      </c>
      <c r="F85">
        <f t="shared" ca="1" si="8"/>
        <v>30</v>
      </c>
      <c r="G85">
        <f>_xlfn.XLOOKUP(C85,DBGenzai[社員№],DBGenzai[請求単価],"",0,1)</f>
        <v>1750</v>
      </c>
      <c r="H85" s="95">
        <f>_xlfn.XLOOKUP($C85,DBGenzai[社員№],DBGenzai[入社日],"",0,1)</f>
        <v>44064</v>
      </c>
      <c r="I85" s="95">
        <f>IF(D85="退社",_xlfn.XLOOKUP($C85,DBGenzai[社員№],DBGenzai[退社日],"",0,1),"")</f>
        <v>44092</v>
      </c>
      <c r="K85" s="49" t="str">
        <f>_xlfn.XLOOKUP($C85,DBGenzai[社員№],DBGenzai[カナ],"",0,1)</f>
        <v>グエン　フイ　ホアン</v>
      </c>
      <c r="L85" s="3" t="str">
        <f>_xlfn.XLOOKUP($C85,DBGenzai[社員№],DBGenzai[性別],"",0,1)</f>
        <v>男</v>
      </c>
      <c r="M85" s="3" t="str">
        <f t="shared" ca="1" si="9"/>
        <v>60歳未満</v>
      </c>
      <c r="N85" s="3" t="str">
        <f t="shared" si="10"/>
        <v>加入</v>
      </c>
      <c r="O85" s="3" t="str">
        <f t="shared" si="10"/>
        <v>加入</v>
      </c>
      <c r="P85" s="3" t="str">
        <f t="shared" si="10"/>
        <v>加入</v>
      </c>
      <c r="Q85" s="3" t="str">
        <f t="shared" si="11"/>
        <v>有期雇用（3ヵ月）</v>
      </c>
      <c r="R85" s="3" t="str">
        <f t="shared" si="12"/>
        <v>協定対象派遣労働者(労使協定式方式)</v>
      </c>
    </row>
    <row r="86" spans="1:18" ht="18">
      <c r="A86">
        <f>SUBTOTAL(103,$K$9:K86)</f>
        <v>78</v>
      </c>
      <c r="B86">
        <v>78</v>
      </c>
      <c r="C86">
        <f>_xlfn.XLOOKUP($K$3&amp;B86,Filtro!A:A,Filtro!D:D,"",0,1)</f>
        <v>200804</v>
      </c>
      <c r="D86" t="str">
        <f>_xlfn.XLOOKUP(C86,DBGenzai[社員№],DBGenzai[現在],"",0,1)</f>
        <v>退社</v>
      </c>
      <c r="E86" s="51">
        <f>_xlfn.XLOOKUP($C86,DBGenzai[社員№],DBGenzai[生年月日],"",0,1)</f>
        <v>33172</v>
      </c>
      <c r="F86">
        <f t="shared" ca="1" si="8"/>
        <v>33</v>
      </c>
      <c r="G86">
        <f>_xlfn.XLOOKUP(C86,DBGenzai[社員№],DBGenzai[請求単価],"",0,1)</f>
        <v>1750</v>
      </c>
      <c r="H86" s="95">
        <f>_xlfn.XLOOKUP($C86,DBGenzai[社員№],DBGenzai[入社日],"",0,1)</f>
        <v>44064</v>
      </c>
      <c r="I86" s="95">
        <f>IF(D86="退社",_xlfn.XLOOKUP($C86,DBGenzai[社員№],DBGenzai[退社日],"",0,1),"")</f>
        <v>44317</v>
      </c>
      <c r="K86" s="49" t="str">
        <f>_xlfn.XLOOKUP($C86,DBGenzai[社員№],DBGenzai[カナ],"",0,1)</f>
        <v>ダン　アン　ズン</v>
      </c>
      <c r="L86" s="3" t="str">
        <f>_xlfn.XLOOKUP($C86,DBGenzai[社員№],DBGenzai[性別],"",0,1)</f>
        <v>男</v>
      </c>
      <c r="M86" s="3" t="str">
        <f t="shared" ca="1" si="9"/>
        <v>60歳未満</v>
      </c>
      <c r="N86" s="3" t="str">
        <f t="shared" si="10"/>
        <v>加入</v>
      </c>
      <c r="O86" s="3" t="str">
        <f t="shared" si="10"/>
        <v>加入</v>
      </c>
      <c r="P86" s="3" t="str">
        <f t="shared" si="10"/>
        <v>加入</v>
      </c>
      <c r="Q86" s="3" t="str">
        <f t="shared" si="11"/>
        <v>有期雇用（3ヵ月）</v>
      </c>
      <c r="R86" s="3" t="str">
        <f t="shared" si="12"/>
        <v>協定対象派遣労働者(労使協定式方式)</v>
      </c>
    </row>
    <row r="87" spans="1:18" ht="18">
      <c r="A87">
        <f>SUBTOTAL(103,$K$9:K87)</f>
        <v>79</v>
      </c>
      <c r="B87">
        <v>79</v>
      </c>
      <c r="C87">
        <f>_xlfn.XLOOKUP($K$3&amp;B87,Filtro!A:A,Filtro!D:D,"",0,1)</f>
        <v>200902</v>
      </c>
      <c r="D87" t="str">
        <f>_xlfn.XLOOKUP(C87,DBGenzai[社員№],DBGenzai[現在],"",0,1)</f>
        <v>退社</v>
      </c>
      <c r="E87" s="51">
        <f>_xlfn.XLOOKUP($C87,DBGenzai[社員№],DBGenzai[生年月日],"",0,1)</f>
        <v>33125</v>
      </c>
      <c r="F87">
        <f t="shared" ca="1" si="8"/>
        <v>33</v>
      </c>
      <c r="G87">
        <f>_xlfn.XLOOKUP(C87,DBGenzai[社員№],DBGenzai[請求単価],"",0,1)</f>
        <v>1800</v>
      </c>
      <c r="H87" s="95">
        <f>_xlfn.XLOOKUP($C87,DBGenzai[社員№],DBGenzai[入社日],"",0,1)</f>
        <v>44095</v>
      </c>
      <c r="I87" s="95">
        <f>IF(D87="退社",_xlfn.XLOOKUP($C87,DBGenzai[社員№],DBGenzai[退社日],"",0,1),"")</f>
        <v>44540</v>
      </c>
      <c r="K87" s="49" t="str">
        <f>_xlfn.XLOOKUP($C87,DBGenzai[社員№],DBGenzai[カナ],"",0,1)</f>
        <v>チン　ヴァン　ヒエップ</v>
      </c>
      <c r="L87" s="3" t="str">
        <f>_xlfn.XLOOKUP($C87,DBGenzai[社員№],DBGenzai[性別],"",0,1)</f>
        <v>男</v>
      </c>
      <c r="M87" s="3" t="str">
        <f t="shared" ca="1" si="9"/>
        <v>60歳未満</v>
      </c>
      <c r="N87" s="3" t="str">
        <f t="shared" si="10"/>
        <v>加入</v>
      </c>
      <c r="O87" s="3" t="str">
        <f t="shared" si="10"/>
        <v>加入</v>
      </c>
      <c r="P87" s="3" t="str">
        <f t="shared" si="10"/>
        <v>加入</v>
      </c>
      <c r="Q87" s="3" t="str">
        <f t="shared" si="11"/>
        <v>有期雇用（3ヵ月）</v>
      </c>
      <c r="R87" s="3" t="str">
        <f t="shared" si="12"/>
        <v>協定対象派遣労働者(労使協定式方式)</v>
      </c>
    </row>
    <row r="88" spans="1:18" ht="18">
      <c r="A88">
        <f>SUBTOTAL(103,$K$9:K88)</f>
        <v>80</v>
      </c>
      <c r="B88">
        <v>80</v>
      </c>
      <c r="C88">
        <f>_xlfn.XLOOKUP($K$3&amp;B88,Filtro!A:A,Filtro!D:D,"",0,1)</f>
        <v>201003</v>
      </c>
      <c r="D88" t="str">
        <f>_xlfn.XLOOKUP(C88,DBGenzai[社員№],DBGenzai[現在],"",0,1)</f>
        <v>退社</v>
      </c>
      <c r="E88" s="51">
        <f>_xlfn.XLOOKUP($C88,DBGenzai[社員№],DBGenzai[生年月日],"",0,1)</f>
        <v>26893</v>
      </c>
      <c r="F88">
        <f t="shared" ca="1" si="8"/>
        <v>50</v>
      </c>
      <c r="G88">
        <f>_xlfn.XLOOKUP(C88,DBGenzai[社員№],DBGenzai[請求単価],"",0,1)</f>
        <v>1872</v>
      </c>
      <c r="H88" s="95">
        <f>_xlfn.XLOOKUP($C88,DBGenzai[社員№],DBGenzai[入社日],"",0,1)</f>
        <v>44130</v>
      </c>
      <c r="I88" s="95">
        <f>IF(D88="退社",_xlfn.XLOOKUP($C88,DBGenzai[社員№],DBGenzai[退社日],"",0,1),"")</f>
        <v>44469</v>
      </c>
      <c r="K88" s="49" t="str">
        <f>_xlfn.XLOOKUP($C88,DBGenzai[社員№],DBGenzai[カナ],"",0,1)</f>
        <v>ヌクイ　アキラ</v>
      </c>
      <c r="L88" s="3" t="str">
        <f>_xlfn.XLOOKUP($C88,DBGenzai[社員№],DBGenzai[性別],"",0,1)</f>
        <v>男</v>
      </c>
      <c r="M88" s="3" t="str">
        <f t="shared" ca="1" si="9"/>
        <v>60歳未満</v>
      </c>
      <c r="N88" s="3" t="str">
        <f t="shared" si="10"/>
        <v>加入</v>
      </c>
      <c r="O88" s="3" t="str">
        <f t="shared" si="10"/>
        <v>加入</v>
      </c>
      <c r="P88" s="3" t="str">
        <f t="shared" si="10"/>
        <v>加入</v>
      </c>
      <c r="Q88" s="3" t="str">
        <f t="shared" si="11"/>
        <v>有期雇用（3ヵ月）</v>
      </c>
      <c r="R88" s="3" t="str">
        <f t="shared" si="12"/>
        <v>協定対象派遣労働者(労使協定式方式)</v>
      </c>
    </row>
    <row r="89" spans="1:18" ht="18">
      <c r="A89">
        <f>SUBTOTAL(103,$K$9:K89)</f>
        <v>81</v>
      </c>
      <c r="B89">
        <v>81</v>
      </c>
      <c r="C89">
        <f>_xlfn.XLOOKUP($K$3&amp;B89,Filtro!A:A,Filtro!D:D,"",0,1)</f>
        <v>201101</v>
      </c>
      <c r="D89" t="str">
        <f>_xlfn.XLOOKUP(C89,DBGenzai[社員№],DBGenzai[現在],"",0,1)</f>
        <v>退社</v>
      </c>
      <c r="E89" s="51">
        <f>_xlfn.XLOOKUP($C89,DBGenzai[社員№],DBGenzai[生年月日],"",0,1)</f>
        <v>30431</v>
      </c>
      <c r="F89">
        <f t="shared" ca="1" si="8"/>
        <v>40</v>
      </c>
      <c r="G89">
        <f>_xlfn.XLOOKUP(C89,DBGenzai[社員№],DBGenzai[請求単価],"",0,1)</f>
        <v>1700</v>
      </c>
      <c r="H89" s="95">
        <f>_xlfn.XLOOKUP($C89,DBGenzai[社員№],DBGenzai[入社日],"",0,1)</f>
        <v>44144</v>
      </c>
      <c r="I89" s="95">
        <f>IF(D89="退社",_xlfn.XLOOKUP($C89,DBGenzai[社員№],DBGenzai[退社日],"",0,1),"")</f>
        <v>44211</v>
      </c>
      <c r="K89" s="49" t="str">
        <f>_xlfn.XLOOKUP($C89,DBGenzai[社員№],DBGenzai[カナ],"",0,1)</f>
        <v>カトウ　ユウキ</v>
      </c>
      <c r="L89" s="3" t="str">
        <f>_xlfn.XLOOKUP($C89,DBGenzai[社員№],DBGenzai[性別],"",0,1)</f>
        <v>男</v>
      </c>
      <c r="M89" s="3" t="str">
        <f t="shared" ca="1" si="9"/>
        <v>60歳未満</v>
      </c>
      <c r="N89" s="3" t="str">
        <f t="shared" si="10"/>
        <v>加入</v>
      </c>
      <c r="O89" s="3" t="str">
        <f t="shared" si="10"/>
        <v>加入</v>
      </c>
      <c r="P89" s="3" t="str">
        <f t="shared" si="10"/>
        <v>加入</v>
      </c>
      <c r="Q89" s="3" t="str">
        <f t="shared" si="11"/>
        <v>有期雇用（3ヵ月）</v>
      </c>
      <c r="R89" s="3" t="str">
        <f t="shared" si="12"/>
        <v>協定対象派遣労働者(労使協定式方式)</v>
      </c>
    </row>
    <row r="90" spans="1:18" ht="18">
      <c r="A90">
        <f>SUBTOTAL(103,$K$9:K90)</f>
        <v>82</v>
      </c>
      <c r="B90">
        <v>82</v>
      </c>
      <c r="C90">
        <f>_xlfn.XLOOKUP($K$3&amp;B90,Filtro!A:A,Filtro!D:D,"",0,1)</f>
        <v>201102</v>
      </c>
      <c r="D90" t="str">
        <f>_xlfn.XLOOKUP(C90,DBGenzai[社員№],DBGenzai[現在],"",0,1)</f>
        <v>退社</v>
      </c>
      <c r="E90" s="51">
        <f>_xlfn.XLOOKUP($C90,DBGenzai[社員№],DBGenzai[生年月日],"",0,1)</f>
        <v>29783</v>
      </c>
      <c r="F90">
        <f t="shared" ca="1" si="8"/>
        <v>42</v>
      </c>
      <c r="G90">
        <f>_xlfn.XLOOKUP(C90,DBGenzai[社員№],DBGenzai[請求単価],"",0,1)</f>
        <v>1650</v>
      </c>
      <c r="H90" s="95">
        <f>_xlfn.XLOOKUP($C90,DBGenzai[社員№],DBGenzai[入社日],"",0,1)</f>
        <v>44146</v>
      </c>
      <c r="I90" s="95">
        <f>IF(D90="退社",_xlfn.XLOOKUP($C90,DBGenzai[社員№],DBGenzai[退社日],"",0,1),"")</f>
        <v>44316</v>
      </c>
      <c r="K90" s="49" t="str">
        <f>_xlfn.XLOOKUP($C90,DBGenzai[社員№],DBGenzai[カナ],"",0,1)</f>
        <v>エガミ　アンドレ</v>
      </c>
      <c r="L90" s="3" t="str">
        <f>_xlfn.XLOOKUP($C90,DBGenzai[社員№],DBGenzai[性別],"",0,1)</f>
        <v>男</v>
      </c>
      <c r="M90" s="3" t="str">
        <f t="shared" ca="1" si="9"/>
        <v>60歳未満</v>
      </c>
      <c r="N90" s="3" t="str">
        <f t="shared" si="10"/>
        <v>加入</v>
      </c>
      <c r="O90" s="3" t="str">
        <f t="shared" si="10"/>
        <v>加入</v>
      </c>
      <c r="P90" s="3" t="str">
        <f t="shared" si="10"/>
        <v>加入</v>
      </c>
      <c r="Q90" s="3" t="str">
        <f t="shared" si="11"/>
        <v>有期雇用（3ヵ月）</v>
      </c>
      <c r="R90" s="3" t="str">
        <f t="shared" si="12"/>
        <v>協定対象派遣労働者(労使協定式方式)</v>
      </c>
    </row>
    <row r="91" spans="1:18" ht="18">
      <c r="A91">
        <f>SUBTOTAL(103,$K$9:K91)</f>
        <v>83</v>
      </c>
      <c r="B91">
        <v>83</v>
      </c>
      <c r="C91">
        <f>_xlfn.XLOOKUP($K$3&amp;B91,Filtro!A:A,Filtro!D:D,"",0,1)</f>
        <v>201103</v>
      </c>
      <c r="D91" t="str">
        <f>_xlfn.XLOOKUP(C91,DBGenzai[社員№],DBGenzai[現在],"",0,1)</f>
        <v>退社</v>
      </c>
      <c r="E91" s="51">
        <f>_xlfn.XLOOKUP($C91,DBGenzai[社員№],DBGenzai[生年月日],"",0,1)</f>
        <v>30103</v>
      </c>
      <c r="F91">
        <f t="shared" ca="1" si="8"/>
        <v>41</v>
      </c>
      <c r="G91">
        <f>_xlfn.XLOOKUP(C91,DBGenzai[社員№],DBGenzai[請求単価],"",0,1)</f>
        <v>1600</v>
      </c>
      <c r="H91" s="95">
        <f>_xlfn.XLOOKUP($C91,DBGenzai[社員№],DBGenzai[入社日],"",0,1)</f>
        <v>44151</v>
      </c>
      <c r="I91" s="95">
        <f>IF(D91="退社",_xlfn.XLOOKUP($C91,DBGenzai[社員№],DBGenzai[退社日],"",0,1),"")</f>
        <v>44164</v>
      </c>
      <c r="K91" s="49" t="str">
        <f>_xlfn.XLOOKUP($C91,DBGenzai[社員№],DBGenzai[カナ],"",0,1)</f>
        <v>ルウン　カック　シン</v>
      </c>
      <c r="L91" s="3" t="str">
        <f>_xlfn.XLOOKUP($C91,DBGenzai[社員№],DBGenzai[性別],"",0,1)</f>
        <v>男</v>
      </c>
      <c r="M91" s="3" t="str">
        <f t="shared" ca="1" si="9"/>
        <v>60歳未満</v>
      </c>
      <c r="N91" s="3" t="str">
        <f t="shared" si="10"/>
        <v>加入</v>
      </c>
      <c r="O91" s="3" t="str">
        <f t="shared" si="10"/>
        <v>加入</v>
      </c>
      <c r="P91" s="3" t="str">
        <f t="shared" si="10"/>
        <v>加入</v>
      </c>
      <c r="Q91" s="3" t="str">
        <f t="shared" si="11"/>
        <v>有期雇用（3ヵ月）</v>
      </c>
      <c r="R91" s="3" t="str">
        <f t="shared" si="12"/>
        <v>協定対象派遣労働者(労使協定式方式)</v>
      </c>
    </row>
    <row r="92" spans="1:18" ht="18">
      <c r="A92">
        <f>SUBTOTAL(103,$K$9:K92)</f>
        <v>84</v>
      </c>
      <c r="B92">
        <v>84</v>
      </c>
      <c r="C92">
        <f>_xlfn.XLOOKUP($K$3&amp;B92,Filtro!A:A,Filtro!D:D,"",0,1)</f>
        <v>201203</v>
      </c>
      <c r="D92" t="str">
        <f>_xlfn.XLOOKUP(C92,DBGenzai[社員№],DBGenzai[現在],"",0,1)</f>
        <v>退社</v>
      </c>
      <c r="E92" s="51">
        <f>_xlfn.XLOOKUP($C92,DBGenzai[社員№],DBGenzai[生年月日],"",0,1)</f>
        <v>27276</v>
      </c>
      <c r="F92">
        <f t="shared" ca="1" si="8"/>
        <v>49</v>
      </c>
      <c r="G92">
        <f>_xlfn.XLOOKUP(C92,DBGenzai[社員№],DBGenzai[請求単価],"",0,1)</f>
        <v>1872</v>
      </c>
      <c r="H92" s="95">
        <f>_xlfn.XLOOKUP($C92,DBGenzai[社員№],DBGenzai[入社日],"",0,1)</f>
        <v>44166</v>
      </c>
      <c r="I92" s="95">
        <f>IF(D92="退社",_xlfn.XLOOKUP($C92,DBGenzai[社員№],DBGenzai[退社日],"",0,1),"")</f>
        <v>44424</v>
      </c>
      <c r="K92" s="49" t="str">
        <f>_xlfn.XLOOKUP($C92,DBGenzai[社員№],DBGenzai[カナ],"",0,1)</f>
        <v>アレックス　フェルナンド</v>
      </c>
      <c r="L92" s="3" t="str">
        <f>_xlfn.XLOOKUP($C92,DBGenzai[社員№],DBGenzai[性別],"",0,1)</f>
        <v>男</v>
      </c>
      <c r="M92" s="3" t="str">
        <f t="shared" ca="1" si="9"/>
        <v>60歳未満</v>
      </c>
      <c r="N92" s="3" t="str">
        <f t="shared" si="10"/>
        <v>加入</v>
      </c>
      <c r="O92" s="3" t="str">
        <f t="shared" si="10"/>
        <v>加入</v>
      </c>
      <c r="P92" s="3" t="str">
        <f t="shared" si="10"/>
        <v>加入</v>
      </c>
      <c r="Q92" s="3" t="str">
        <f t="shared" si="11"/>
        <v>有期雇用（3ヵ月）</v>
      </c>
      <c r="R92" s="3" t="str">
        <f t="shared" si="12"/>
        <v>協定対象派遣労働者(労使協定式方式)</v>
      </c>
    </row>
    <row r="93" spans="1:18" ht="18">
      <c r="A93">
        <f>SUBTOTAL(103,$K$9:K93)</f>
        <v>85</v>
      </c>
      <c r="B93">
        <v>85</v>
      </c>
      <c r="C93">
        <f>_xlfn.XLOOKUP($K$3&amp;B93,Filtro!A:A,Filtro!D:D,"",0,1)</f>
        <v>5</v>
      </c>
      <c r="D93" t="str">
        <f>_xlfn.XLOOKUP(C93,DBGenzai[社員№],DBGenzai[現在],"",0,1)</f>
        <v>退社</v>
      </c>
      <c r="E93" s="51">
        <f>_xlfn.XLOOKUP($C93,DBGenzai[社員№],DBGenzai[生年月日],"",0,1)</f>
        <v>20743</v>
      </c>
      <c r="F93">
        <f t="shared" ca="1" si="8"/>
        <v>67</v>
      </c>
      <c r="G93">
        <f>_xlfn.XLOOKUP(C93,DBGenzai[社員№],DBGenzai[請求単価],"",0,1)</f>
        <v>0</v>
      </c>
      <c r="H93" s="95">
        <f>_xlfn.XLOOKUP($C93,DBGenzai[社員№],DBGenzai[入社日],"",0,1)</f>
        <v>44166</v>
      </c>
      <c r="I93" s="95">
        <f>IF(D93="退社",_xlfn.XLOOKUP($C93,DBGenzai[社員№],DBGenzai[退社日],"",0,1),"")</f>
        <v>44377</v>
      </c>
      <c r="K93" s="49" t="str">
        <f>_xlfn.XLOOKUP($C93,DBGenzai[社員№],DBGenzai[カナ],"",0,1)</f>
        <v>トミオカ　カズヤ</v>
      </c>
      <c r="L93" s="3" t="str">
        <f>_xlfn.XLOOKUP($C93,DBGenzai[社員№],DBGenzai[性別],"",0,1)</f>
        <v>男</v>
      </c>
      <c r="M93" s="3" t="str">
        <f t="shared" ca="1" si="9"/>
        <v>60歳以上</v>
      </c>
      <c r="N93" s="3" t="str">
        <f t="shared" si="10"/>
        <v>加入</v>
      </c>
      <c r="O93" s="3" t="str">
        <f t="shared" si="10"/>
        <v>加入</v>
      </c>
      <c r="P93" s="3" t="str">
        <f t="shared" si="10"/>
        <v>加入</v>
      </c>
      <c r="Q93" s="3" t="str">
        <f t="shared" si="11"/>
        <v>有期雇用（3ヵ月）</v>
      </c>
      <c r="R93" s="3" t="str">
        <f t="shared" si="12"/>
        <v>協定対象派遣労働者(労使協定式方式)</v>
      </c>
    </row>
    <row r="94" spans="1:18" ht="18">
      <c r="A94">
        <f>SUBTOTAL(103,$K$9:K94)</f>
        <v>86</v>
      </c>
      <c r="B94">
        <v>86</v>
      </c>
      <c r="C94">
        <f>_xlfn.XLOOKUP($K$3&amp;B94,Filtro!A:A,Filtro!D:D,"",0,1)</f>
        <v>201205</v>
      </c>
      <c r="D94" t="str">
        <f>_xlfn.XLOOKUP(C94,DBGenzai[社員№],DBGenzai[現在],"",0,1)</f>
        <v>退社</v>
      </c>
      <c r="E94" s="51">
        <f>_xlfn.XLOOKUP($C94,DBGenzai[社員№],DBGenzai[生年月日],"",0,1)</f>
        <v>34020</v>
      </c>
      <c r="F94">
        <f t="shared" ca="1" si="8"/>
        <v>30</v>
      </c>
      <c r="G94">
        <f>_xlfn.XLOOKUP(C94,DBGenzai[社員№],DBGenzai[請求単価],"",0,1)</f>
        <v>1600</v>
      </c>
      <c r="H94" s="95">
        <f>_xlfn.XLOOKUP($C94,DBGenzai[社員№],DBGenzai[入社日],"",0,1)</f>
        <v>44167</v>
      </c>
      <c r="I94" s="95">
        <f>IF(D94="退社",_xlfn.XLOOKUP($C94,DBGenzai[社員№],DBGenzai[退社日],"",0,1),"")</f>
        <v>44463</v>
      </c>
      <c r="K94" s="49" t="str">
        <f>_xlfn.XLOOKUP($C94,DBGenzai[社員№],DBGenzai[カナ],"",0,1)</f>
        <v>グエン　フィ　タオ</v>
      </c>
      <c r="L94" s="3" t="str">
        <f>_xlfn.XLOOKUP($C94,DBGenzai[社員№],DBGenzai[性別],"",0,1)</f>
        <v>男</v>
      </c>
      <c r="M94" s="3" t="str">
        <f t="shared" ca="1" si="9"/>
        <v>60歳未満</v>
      </c>
      <c r="N94" s="3" t="str">
        <f t="shared" si="10"/>
        <v>加入</v>
      </c>
      <c r="O94" s="3" t="str">
        <f t="shared" si="10"/>
        <v>加入</v>
      </c>
      <c r="P94" s="3" t="str">
        <f t="shared" si="10"/>
        <v>加入</v>
      </c>
      <c r="Q94" s="3" t="str">
        <f t="shared" si="11"/>
        <v>有期雇用（3ヵ月）</v>
      </c>
      <c r="R94" s="3" t="str">
        <f t="shared" si="12"/>
        <v>協定対象派遣労働者(労使協定式方式)</v>
      </c>
    </row>
    <row r="95" spans="1:18" ht="18">
      <c r="A95">
        <f>SUBTOTAL(103,$K$9:K95)</f>
        <v>87</v>
      </c>
      <c r="B95">
        <v>87</v>
      </c>
      <c r="C95">
        <f>_xlfn.XLOOKUP($K$3&amp;B95,Filtro!A:A,Filtro!D:D,"",0,1)</f>
        <v>201210</v>
      </c>
      <c r="D95" t="str">
        <f>_xlfn.XLOOKUP(C95,DBGenzai[社員№],DBGenzai[現在],"",0,1)</f>
        <v>退社</v>
      </c>
      <c r="E95" s="51">
        <f>_xlfn.XLOOKUP($C95,DBGenzai[社員№],DBGenzai[生年月日],"",0,1)</f>
        <v>25114</v>
      </c>
      <c r="F95">
        <f t="shared" ca="1" si="8"/>
        <v>55</v>
      </c>
      <c r="G95">
        <f>_xlfn.XLOOKUP(C95,DBGenzai[社員№],DBGenzai[請求単価],"",0,1)</f>
        <v>1650</v>
      </c>
      <c r="H95" s="95">
        <f>_xlfn.XLOOKUP($C95,DBGenzai[社員№],DBGenzai[入社日],"",0,1)</f>
        <v>44179</v>
      </c>
      <c r="I95" s="95">
        <f>IF(D95="退社",_xlfn.XLOOKUP($C95,DBGenzai[社員№],DBGenzai[退社日],"",0,1),"")</f>
        <v>44180</v>
      </c>
      <c r="K95" s="49" t="str">
        <f>_xlfn.XLOOKUP($C95,DBGenzai[社員№],DBGenzai[カナ],"",0,1)</f>
        <v>スズキ　マルシオ</v>
      </c>
      <c r="L95" s="3" t="str">
        <f>_xlfn.XLOOKUP($C95,DBGenzai[社員№],DBGenzai[性別],"",0,1)</f>
        <v>男</v>
      </c>
      <c r="M95" s="3" t="str">
        <f t="shared" ca="1" si="9"/>
        <v>60歳未満</v>
      </c>
      <c r="N95" s="3" t="str">
        <f t="shared" si="10"/>
        <v>加入</v>
      </c>
      <c r="O95" s="3" t="str">
        <f t="shared" si="10"/>
        <v>加入</v>
      </c>
      <c r="P95" s="3" t="str">
        <f t="shared" si="10"/>
        <v>加入</v>
      </c>
      <c r="Q95" s="3" t="str">
        <f t="shared" si="11"/>
        <v>有期雇用（3ヵ月）</v>
      </c>
      <c r="R95" s="3" t="str">
        <f t="shared" si="12"/>
        <v>協定対象派遣労働者(労使協定式方式)</v>
      </c>
    </row>
    <row r="96" spans="1:18" ht="18">
      <c r="A96">
        <f>SUBTOTAL(103,$K$9:K96)</f>
        <v>88</v>
      </c>
      <c r="B96">
        <v>88</v>
      </c>
      <c r="C96">
        <f>_xlfn.XLOOKUP($K$3&amp;B96,Filtro!A:A,Filtro!D:D,"",0,1)</f>
        <v>201206</v>
      </c>
      <c r="D96" t="str">
        <f>_xlfn.XLOOKUP(C96,DBGenzai[社員№],DBGenzai[現在],"",0,1)</f>
        <v>退社</v>
      </c>
      <c r="E96" s="51">
        <f>_xlfn.XLOOKUP($C96,DBGenzai[社員№],DBGenzai[生年月日],"",0,1)</f>
        <v>34801</v>
      </c>
      <c r="F96">
        <f t="shared" ca="1" si="8"/>
        <v>28</v>
      </c>
      <c r="G96">
        <f>_xlfn.XLOOKUP(C96,DBGenzai[社員№],DBGenzai[請求単価],"",0,1)</f>
        <v>1600</v>
      </c>
      <c r="H96" s="95">
        <f>_xlfn.XLOOKUP($C96,DBGenzai[社員№],DBGenzai[入社日],"",0,1)</f>
        <v>44187</v>
      </c>
      <c r="I96" s="95">
        <f>IF(D96="退社",_xlfn.XLOOKUP($C96,DBGenzai[社員№],DBGenzai[退社日],"",0,1),"")</f>
        <v>44456</v>
      </c>
      <c r="K96" s="49" t="str">
        <f>_xlfn.XLOOKUP($C96,DBGenzai[社員№],DBGenzai[カナ],"",0,1)</f>
        <v>ディン　タン　レン</v>
      </c>
      <c r="L96" s="3" t="str">
        <f>_xlfn.XLOOKUP($C96,DBGenzai[社員№],DBGenzai[性別],"",0,1)</f>
        <v>男</v>
      </c>
      <c r="M96" s="3" t="str">
        <f t="shared" ca="1" si="9"/>
        <v>60歳未満</v>
      </c>
      <c r="N96" s="3" t="str">
        <f t="shared" si="10"/>
        <v>加入</v>
      </c>
      <c r="O96" s="3" t="str">
        <f t="shared" si="10"/>
        <v>加入</v>
      </c>
      <c r="P96" s="3" t="str">
        <f t="shared" si="10"/>
        <v>加入</v>
      </c>
      <c r="Q96" s="3" t="str">
        <f t="shared" si="11"/>
        <v>有期雇用（3ヵ月）</v>
      </c>
      <c r="R96" s="3" t="str">
        <f t="shared" si="12"/>
        <v>協定対象派遣労働者(労使協定式方式)</v>
      </c>
    </row>
    <row r="97" spans="1:18" ht="18">
      <c r="A97">
        <f>SUBTOTAL(103,$K$9:K97)</f>
        <v>89</v>
      </c>
      <c r="B97">
        <v>89</v>
      </c>
      <c r="C97">
        <f>_xlfn.XLOOKUP($K$3&amp;B97,Filtro!A:A,Filtro!D:D,"",0,1)</f>
        <v>210103</v>
      </c>
      <c r="D97" t="str">
        <f>_xlfn.XLOOKUP(C97,DBGenzai[社員№],DBGenzai[現在],"",0,1)</f>
        <v>退社</v>
      </c>
      <c r="E97" s="51">
        <f>_xlfn.XLOOKUP($C97,DBGenzai[社員№],DBGenzai[生年月日],"",0,1)</f>
        <v>33850</v>
      </c>
      <c r="F97">
        <f t="shared" ca="1" si="8"/>
        <v>31</v>
      </c>
      <c r="G97">
        <f>_xlfn.XLOOKUP(C97,DBGenzai[社員№],DBGenzai[請求単価],"",0,1)</f>
        <v>1750</v>
      </c>
      <c r="H97" s="95">
        <f>_xlfn.XLOOKUP($C97,DBGenzai[社員№],DBGenzai[入社日],"",0,1)</f>
        <v>44201</v>
      </c>
      <c r="I97" s="95">
        <f>IF(D97="退社",_xlfn.XLOOKUP($C97,DBGenzai[社員№],DBGenzai[退社日],"",0,1),"")</f>
        <v>44499</v>
      </c>
      <c r="K97" s="49" t="str">
        <f>_xlfn.XLOOKUP($C97,DBGenzai[社員№],DBGenzai[カナ],"",0,1)</f>
        <v>ツアン　ヅアン　テェ</v>
      </c>
      <c r="L97" s="3" t="str">
        <f>_xlfn.XLOOKUP($C97,DBGenzai[社員№],DBGenzai[性別],"",0,1)</f>
        <v>男</v>
      </c>
      <c r="M97" s="3" t="str">
        <f t="shared" ca="1" si="9"/>
        <v>60歳未満</v>
      </c>
      <c r="N97" s="3" t="str">
        <f t="shared" si="10"/>
        <v>加入</v>
      </c>
      <c r="O97" s="3" t="str">
        <f t="shared" si="10"/>
        <v>加入</v>
      </c>
      <c r="P97" s="3" t="str">
        <f t="shared" si="10"/>
        <v>加入</v>
      </c>
      <c r="Q97" s="3" t="str">
        <f t="shared" si="11"/>
        <v>有期雇用（3ヵ月）</v>
      </c>
      <c r="R97" s="3" t="str">
        <f t="shared" si="12"/>
        <v>協定対象派遣労働者(労使協定式方式)</v>
      </c>
    </row>
    <row r="98" spans="1:18" ht="18">
      <c r="A98">
        <f>SUBTOTAL(103,$K$9:K98)</f>
        <v>90</v>
      </c>
      <c r="B98">
        <v>90</v>
      </c>
      <c r="C98">
        <f>_xlfn.XLOOKUP($K$3&amp;B98,Filtro!A:A,Filtro!D:D,"",0,1)</f>
        <v>210104</v>
      </c>
      <c r="D98" t="str">
        <f>_xlfn.XLOOKUP(C98,DBGenzai[社員№],DBGenzai[現在],"",0,1)</f>
        <v>退社</v>
      </c>
      <c r="E98" s="51">
        <f>_xlfn.XLOOKUP($C98,DBGenzai[社員№],DBGenzai[生年月日],"",0,1)</f>
        <v>23635</v>
      </c>
      <c r="F98">
        <f t="shared" ca="1" si="8"/>
        <v>59</v>
      </c>
      <c r="G98">
        <f>_xlfn.XLOOKUP(C98,DBGenzai[社員№],DBGenzai[請求単価],"",0,1)</f>
        <v>1650</v>
      </c>
      <c r="H98" s="95">
        <f>_xlfn.XLOOKUP($C98,DBGenzai[社員№],DBGenzai[入社日],"",0,1)</f>
        <v>44201</v>
      </c>
      <c r="I98" s="95">
        <f>IF(D98="退社",_xlfn.XLOOKUP($C98,DBGenzai[社員№],DBGenzai[退社日],"",0,1),"")</f>
        <v>44274</v>
      </c>
      <c r="K98" s="49" t="str">
        <f>_xlfn.XLOOKUP($C98,DBGenzai[社員№],DBGenzai[カナ],"",0,1)</f>
        <v>コメス　ジョン</v>
      </c>
      <c r="L98" s="3" t="str">
        <f>_xlfn.XLOOKUP($C98,DBGenzai[社員№],DBGenzai[性別],"",0,1)</f>
        <v>男</v>
      </c>
      <c r="M98" s="3" t="str">
        <f t="shared" ca="1" si="9"/>
        <v>60歳未満</v>
      </c>
      <c r="N98" s="3" t="str">
        <f t="shared" si="10"/>
        <v>加入</v>
      </c>
      <c r="O98" s="3" t="str">
        <f t="shared" si="10"/>
        <v>加入</v>
      </c>
      <c r="P98" s="3" t="str">
        <f t="shared" si="10"/>
        <v>加入</v>
      </c>
      <c r="Q98" s="3" t="str">
        <f t="shared" si="11"/>
        <v>有期雇用（3ヵ月）</v>
      </c>
      <c r="R98" s="3" t="str">
        <f t="shared" si="12"/>
        <v>協定対象派遣労働者(労使協定式方式)</v>
      </c>
    </row>
    <row r="99" spans="1:18" ht="18">
      <c r="A99">
        <f>SUBTOTAL(103,$K$9:K99)</f>
        <v>91</v>
      </c>
      <c r="B99">
        <v>91</v>
      </c>
      <c r="C99">
        <f>_xlfn.XLOOKUP($K$3&amp;B99,Filtro!A:A,Filtro!D:D,"",0,1)</f>
        <v>210101</v>
      </c>
      <c r="D99" t="str">
        <f>_xlfn.XLOOKUP(C99,DBGenzai[社員№],DBGenzai[現在],"",0,1)</f>
        <v>退社</v>
      </c>
      <c r="E99" s="51">
        <f>_xlfn.XLOOKUP($C99,DBGenzai[社員№],DBGenzai[生年月日],"",0,1)</f>
        <v>34673</v>
      </c>
      <c r="F99">
        <f t="shared" ca="1" si="8"/>
        <v>29</v>
      </c>
      <c r="G99">
        <f>_xlfn.XLOOKUP(C99,DBGenzai[社員№],DBGenzai[請求単価],"",0,1)</f>
        <v>1600</v>
      </c>
      <c r="H99" s="95">
        <f>_xlfn.XLOOKUP($C99,DBGenzai[社員№],DBGenzai[入社日],"",0,1)</f>
        <v>44201</v>
      </c>
      <c r="I99" s="95">
        <f>IF(D99="退社",_xlfn.XLOOKUP($C99,DBGenzai[社員№],DBGenzai[退社日],"",0,1),"")</f>
        <v>44415</v>
      </c>
      <c r="K99" s="49" t="str">
        <f>_xlfn.XLOOKUP($C99,DBGenzai[社員№],DBGenzai[カナ],"",0,1)</f>
        <v>ダオ　ホアン　アン</v>
      </c>
      <c r="L99" s="3" t="str">
        <f>_xlfn.XLOOKUP($C99,DBGenzai[社員№],DBGenzai[性別],"",0,1)</f>
        <v>男</v>
      </c>
      <c r="M99" s="3" t="str">
        <f t="shared" ca="1" si="9"/>
        <v>60歳未満</v>
      </c>
      <c r="N99" s="3" t="str">
        <f t="shared" si="10"/>
        <v>加入</v>
      </c>
      <c r="O99" s="3" t="str">
        <f t="shared" si="10"/>
        <v>加入</v>
      </c>
      <c r="P99" s="3" t="str">
        <f t="shared" si="10"/>
        <v>加入</v>
      </c>
      <c r="Q99" s="3" t="str">
        <f t="shared" si="11"/>
        <v>有期雇用（3ヵ月）</v>
      </c>
      <c r="R99" s="3" t="str">
        <f t="shared" si="12"/>
        <v>協定対象派遣労働者(労使協定式方式)</v>
      </c>
    </row>
    <row r="100" spans="1:18" ht="18">
      <c r="A100">
        <f>SUBTOTAL(103,$K$9:K100)</f>
        <v>92</v>
      </c>
      <c r="B100">
        <v>92</v>
      </c>
      <c r="C100">
        <f>_xlfn.XLOOKUP($K$3&amp;B100,Filtro!A:A,Filtro!D:D,"",0,1)</f>
        <v>210111</v>
      </c>
      <c r="D100" t="str">
        <f>_xlfn.XLOOKUP(C100,DBGenzai[社員№],DBGenzai[現在],"",0,1)</f>
        <v>退社</v>
      </c>
      <c r="E100" s="51">
        <f>_xlfn.XLOOKUP($C100,DBGenzai[社員№],DBGenzai[生年月日],"",0,1)</f>
        <v>35358</v>
      </c>
      <c r="F100">
        <f t="shared" ca="1" si="8"/>
        <v>27</v>
      </c>
      <c r="G100">
        <f>_xlfn.XLOOKUP(C100,DBGenzai[社員№],DBGenzai[請求単価],"",0,1)</f>
        <v>1600</v>
      </c>
      <c r="H100" s="95">
        <f>_xlfn.XLOOKUP($C100,DBGenzai[社員№],DBGenzai[入社日],"",0,1)</f>
        <v>44207</v>
      </c>
      <c r="I100" s="95">
        <f>IF(D100="退社",_xlfn.XLOOKUP($C100,DBGenzai[社員№],DBGenzai[退社日],"",0,1),"")</f>
        <v>44295</v>
      </c>
      <c r="K100" s="49" t="str">
        <f>_xlfn.XLOOKUP($C100,DBGenzai[社員№],DBGenzai[カナ],"",0,1)</f>
        <v>リュ　タン　ダット</v>
      </c>
      <c r="L100" s="3" t="str">
        <f>_xlfn.XLOOKUP($C100,DBGenzai[社員№],DBGenzai[性別],"",0,1)</f>
        <v>男</v>
      </c>
      <c r="M100" s="3" t="str">
        <f t="shared" ca="1" si="9"/>
        <v>60歳未満</v>
      </c>
      <c r="N100" s="3" t="str">
        <f t="shared" si="10"/>
        <v>加入</v>
      </c>
      <c r="O100" s="3" t="str">
        <f t="shared" si="10"/>
        <v>加入</v>
      </c>
      <c r="P100" s="3" t="str">
        <f t="shared" si="10"/>
        <v>加入</v>
      </c>
      <c r="Q100" s="3" t="str">
        <f t="shared" si="11"/>
        <v>有期雇用（3ヵ月）</v>
      </c>
      <c r="R100" s="3" t="str">
        <f t="shared" si="12"/>
        <v>協定対象派遣労働者(労使協定式方式)</v>
      </c>
    </row>
    <row r="101" spans="1:18" ht="18">
      <c r="A101">
        <f>SUBTOTAL(103,$K$9:K101)</f>
        <v>93</v>
      </c>
      <c r="B101">
        <v>93</v>
      </c>
      <c r="C101">
        <f>_xlfn.XLOOKUP($K$3&amp;B101,Filtro!A:A,Filtro!D:D,"",0,1)</f>
        <v>210115</v>
      </c>
      <c r="D101" t="str">
        <f>_xlfn.XLOOKUP(C101,DBGenzai[社員№],DBGenzai[現在],"",0,1)</f>
        <v>退社</v>
      </c>
      <c r="E101" s="51">
        <f>_xlfn.XLOOKUP($C101,DBGenzai[社員№],DBGenzai[生年月日],"",0,1)</f>
        <v>22373</v>
      </c>
      <c r="F101">
        <f t="shared" ca="1" si="8"/>
        <v>62</v>
      </c>
      <c r="G101">
        <f>_xlfn.XLOOKUP(C101,DBGenzai[社員№],DBGenzai[請求単価],"",0,1)</f>
        <v>1650</v>
      </c>
      <c r="H101" s="95">
        <f>_xlfn.XLOOKUP($C101,DBGenzai[社員№],DBGenzai[入社日],"",0,1)</f>
        <v>44207</v>
      </c>
      <c r="I101" s="95">
        <f>IF(D101="退社",_xlfn.XLOOKUP($C101,DBGenzai[社員№],DBGenzai[退社日],"",0,1),"")</f>
        <v>44252</v>
      </c>
      <c r="K101" s="49" t="str">
        <f>_xlfn.XLOOKUP($C101,DBGenzai[社員№],DBGenzai[カナ],"",0,1)</f>
        <v>ムトウ　ジュニオル　カズミ</v>
      </c>
      <c r="L101" s="3" t="str">
        <f>_xlfn.XLOOKUP($C101,DBGenzai[社員№],DBGenzai[性別],"",0,1)</f>
        <v>男</v>
      </c>
      <c r="M101" s="3" t="str">
        <f t="shared" ca="1" si="9"/>
        <v>60歳以上</v>
      </c>
      <c r="N101" s="3" t="str">
        <f t="shared" si="10"/>
        <v>加入</v>
      </c>
      <c r="O101" s="3" t="str">
        <f t="shared" si="10"/>
        <v>加入</v>
      </c>
      <c r="P101" s="3" t="str">
        <f t="shared" si="10"/>
        <v>加入</v>
      </c>
      <c r="Q101" s="3" t="str">
        <f t="shared" si="11"/>
        <v>有期雇用（3ヵ月）</v>
      </c>
      <c r="R101" s="3" t="str">
        <f t="shared" si="12"/>
        <v>協定対象派遣労働者(労使協定式方式)</v>
      </c>
    </row>
    <row r="102" spans="1:18" ht="18">
      <c r="A102">
        <f>SUBTOTAL(103,$K$9:K102)</f>
        <v>94</v>
      </c>
      <c r="B102">
        <v>94</v>
      </c>
      <c r="C102">
        <f>_xlfn.XLOOKUP($K$3&amp;B102,Filtro!A:A,Filtro!D:D,"",0,1)</f>
        <v>210119</v>
      </c>
      <c r="D102" t="str">
        <f>_xlfn.XLOOKUP(C102,DBGenzai[社員№],DBGenzai[現在],"",0,1)</f>
        <v>在職中</v>
      </c>
      <c r="E102" s="51">
        <f>_xlfn.XLOOKUP($C102,DBGenzai[社員№],DBGenzai[生年月日],"",0,1)</f>
        <v>30753</v>
      </c>
      <c r="F102">
        <f t="shared" ca="1" si="8"/>
        <v>39</v>
      </c>
      <c r="G102">
        <f>_xlfn.XLOOKUP(C102,DBGenzai[社員№],DBGenzai[請求単価],"",0,1)</f>
        <v>2000</v>
      </c>
      <c r="H102" s="95">
        <f>_xlfn.XLOOKUP($C102,DBGenzai[社員№],DBGenzai[入社日],"",0,1)</f>
        <v>44221</v>
      </c>
      <c r="I102" s="95" t="str">
        <f>IF(D102="退社",_xlfn.XLOOKUP($C102,DBGenzai[社員№],DBGenzai[退社日],"",0,1),"")</f>
        <v/>
      </c>
      <c r="K102" s="49" t="str">
        <f>_xlfn.XLOOKUP($C102,DBGenzai[社員№],DBGenzai[カナ],"",0,1)</f>
        <v>キエウ　チュン　ヒエウ</v>
      </c>
      <c r="L102" s="3" t="str">
        <f>_xlfn.XLOOKUP($C102,DBGenzai[社員№],DBGenzai[性別],"",0,1)</f>
        <v>男</v>
      </c>
      <c r="M102" s="3" t="str">
        <f t="shared" ca="1" si="9"/>
        <v>60歳未満</v>
      </c>
      <c r="N102" s="3" t="str">
        <f t="shared" si="10"/>
        <v>加入</v>
      </c>
      <c r="O102" s="3" t="str">
        <f t="shared" si="10"/>
        <v>加入</v>
      </c>
      <c r="P102" s="3" t="str">
        <f t="shared" si="10"/>
        <v>加入</v>
      </c>
      <c r="Q102" s="3" t="str">
        <f t="shared" si="11"/>
        <v>有期雇用（3ヵ月）</v>
      </c>
      <c r="R102" s="3" t="str">
        <f t="shared" si="12"/>
        <v>協定対象派遣労働者(労使協定式方式)</v>
      </c>
    </row>
    <row r="103" spans="1:18" ht="18">
      <c r="A103">
        <f>SUBTOTAL(103,$K$9:K103)</f>
        <v>95</v>
      </c>
      <c r="B103">
        <v>95</v>
      </c>
      <c r="C103">
        <f>_xlfn.XLOOKUP($K$3&amp;B103,Filtro!A:A,Filtro!D:D,"",0,1)</f>
        <v>210204</v>
      </c>
      <c r="D103" t="str">
        <f>_xlfn.XLOOKUP(C103,DBGenzai[社員№],DBGenzai[現在],"",0,1)</f>
        <v>退社</v>
      </c>
      <c r="E103" s="51">
        <f>_xlfn.XLOOKUP($C103,DBGenzai[社員№],DBGenzai[生年月日],"",0,1)</f>
        <v>23316</v>
      </c>
      <c r="F103">
        <f t="shared" ca="1" si="8"/>
        <v>60</v>
      </c>
      <c r="G103">
        <f>_xlfn.XLOOKUP(C103,DBGenzai[社員№],DBGenzai[請求単価],"",0,1)</f>
        <v>1872</v>
      </c>
      <c r="H103" s="95">
        <f>_xlfn.XLOOKUP($C103,DBGenzai[社員№],DBGenzai[入社日],"",0,1)</f>
        <v>44229</v>
      </c>
      <c r="I103" s="95">
        <f>IF(D103="退社",_xlfn.XLOOKUP($C103,DBGenzai[社員№],DBGenzai[退社日],"",0,1),"")</f>
        <v>44265</v>
      </c>
      <c r="K103" s="49" t="str">
        <f>_xlfn.XLOOKUP($C103,DBGenzai[社員№],DBGenzai[カナ],"",0,1)</f>
        <v>コンドウ　ヨシオ</v>
      </c>
      <c r="L103" s="3" t="str">
        <f>_xlfn.XLOOKUP($C103,DBGenzai[社員№],DBGenzai[性別],"",0,1)</f>
        <v>男</v>
      </c>
      <c r="M103" s="3" t="str">
        <f t="shared" ca="1" si="9"/>
        <v>60歳未満</v>
      </c>
      <c r="N103" s="3" t="str">
        <f t="shared" si="10"/>
        <v>加入</v>
      </c>
      <c r="O103" s="3" t="str">
        <f t="shared" si="10"/>
        <v>加入</v>
      </c>
      <c r="P103" s="3" t="str">
        <f t="shared" si="10"/>
        <v>加入</v>
      </c>
      <c r="Q103" s="3" t="str">
        <f t="shared" si="11"/>
        <v>有期雇用（3ヵ月）</v>
      </c>
      <c r="R103" s="3" t="str">
        <f t="shared" si="12"/>
        <v>協定対象派遣労働者(労使協定式方式)</v>
      </c>
    </row>
    <row r="104" spans="1:18" ht="18">
      <c r="A104">
        <f>SUBTOTAL(103,$K$9:K104)</f>
        <v>96</v>
      </c>
      <c r="B104">
        <v>96</v>
      </c>
      <c r="C104">
        <f>_xlfn.XLOOKUP($K$3&amp;B104,Filtro!A:A,Filtro!D:D,"",0,1)</f>
        <v>210211</v>
      </c>
      <c r="D104" t="str">
        <f>_xlfn.XLOOKUP(C104,DBGenzai[社員№],DBGenzai[現在],"",0,1)</f>
        <v>退社</v>
      </c>
      <c r="E104" s="51">
        <f>_xlfn.XLOOKUP($C104,DBGenzai[社員№],DBGenzai[生年月日],"",0,1)</f>
        <v>28594</v>
      </c>
      <c r="F104">
        <f t="shared" ca="1" si="8"/>
        <v>45</v>
      </c>
      <c r="G104">
        <f>_xlfn.XLOOKUP(C104,DBGenzai[社員№],DBGenzai[請求単価],"",0,1)</f>
        <v>1650</v>
      </c>
      <c r="H104" s="95">
        <f>_xlfn.XLOOKUP($C104,DBGenzai[社員№],DBGenzai[入社日],"",0,1)</f>
        <v>44236</v>
      </c>
      <c r="I104" s="95">
        <f>IF(D104="退社",_xlfn.XLOOKUP($C104,DBGenzai[社員№],DBGenzai[退社日],"",0,1),"")</f>
        <v>44238</v>
      </c>
      <c r="K104" s="49" t="str">
        <f>_xlfn.XLOOKUP($C104,DBGenzai[社員№],DBGenzai[カナ],"",0,1)</f>
        <v>コサキ　ノルベルト</v>
      </c>
      <c r="L104" s="3" t="str">
        <f>_xlfn.XLOOKUP($C104,DBGenzai[社員№],DBGenzai[性別],"",0,1)</f>
        <v>男</v>
      </c>
      <c r="M104" s="3" t="str">
        <f t="shared" ca="1" si="9"/>
        <v>60歳未満</v>
      </c>
      <c r="N104" s="3" t="str">
        <f t="shared" si="10"/>
        <v>加入</v>
      </c>
      <c r="O104" s="3" t="str">
        <f t="shared" si="10"/>
        <v>加入</v>
      </c>
      <c r="P104" s="3" t="str">
        <f t="shared" si="10"/>
        <v>加入</v>
      </c>
      <c r="Q104" s="3" t="str">
        <f t="shared" si="11"/>
        <v>有期雇用（3ヵ月）</v>
      </c>
      <c r="R104" s="3" t="str">
        <f t="shared" si="12"/>
        <v>協定対象派遣労働者(労使協定式方式)</v>
      </c>
    </row>
    <row r="105" spans="1:18" ht="18">
      <c r="A105">
        <f>SUBTOTAL(103,$K$9:K105)</f>
        <v>97</v>
      </c>
      <c r="B105">
        <v>97</v>
      </c>
      <c r="C105">
        <f>_xlfn.XLOOKUP($K$3&amp;B105,Filtro!A:A,Filtro!D:D,"",0,1)</f>
        <v>210302</v>
      </c>
      <c r="D105" t="str">
        <f>_xlfn.XLOOKUP(C105,DBGenzai[社員№],DBGenzai[現在],"",0,1)</f>
        <v>退社</v>
      </c>
      <c r="E105" s="51">
        <f>_xlfn.XLOOKUP($C105,DBGenzai[社員№],DBGenzai[生年月日],"",0,1)</f>
        <v>31006</v>
      </c>
      <c r="F105">
        <f t="shared" ca="1" si="8"/>
        <v>39</v>
      </c>
      <c r="G105">
        <f>_xlfn.XLOOKUP(C105,DBGenzai[社員№],DBGenzai[請求単価],"",0,1)</f>
        <v>1600</v>
      </c>
      <c r="H105" s="95">
        <f>_xlfn.XLOOKUP($C105,DBGenzai[社員№],DBGenzai[入社日],"",0,1)</f>
        <v>44259</v>
      </c>
      <c r="I105" s="95">
        <f>IF(D105="退社",_xlfn.XLOOKUP($C105,DBGenzai[社員№],DBGenzai[退社日],"",0,1),"")</f>
        <v>44266</v>
      </c>
      <c r="K105" s="49" t="str">
        <f>_xlfn.XLOOKUP($C105,DBGenzai[社員№],DBGenzai[カナ],"",0,1)</f>
        <v>ヴー　ディン　トゥアン</v>
      </c>
      <c r="L105" s="3" t="str">
        <f>_xlfn.XLOOKUP($C105,DBGenzai[社員№],DBGenzai[性別],"",0,1)</f>
        <v>男</v>
      </c>
      <c r="M105" s="3" t="str">
        <f t="shared" ca="1" si="9"/>
        <v>60歳未満</v>
      </c>
      <c r="N105" s="3" t="str">
        <f t="shared" si="10"/>
        <v>加入</v>
      </c>
      <c r="O105" s="3" t="str">
        <f t="shared" si="10"/>
        <v>加入</v>
      </c>
      <c r="P105" s="3" t="str">
        <f t="shared" si="10"/>
        <v>加入</v>
      </c>
      <c r="Q105" s="3" t="str">
        <f t="shared" si="11"/>
        <v>有期雇用（3ヵ月）</v>
      </c>
      <c r="R105" s="3" t="str">
        <f t="shared" si="12"/>
        <v>協定対象派遣労働者(労使協定式方式)</v>
      </c>
    </row>
    <row r="106" spans="1:18" ht="18">
      <c r="A106">
        <f>SUBTOTAL(103,$K$9:K106)</f>
        <v>98</v>
      </c>
      <c r="B106">
        <v>98</v>
      </c>
      <c r="C106">
        <f>_xlfn.XLOOKUP($K$3&amp;B106,Filtro!A:A,Filtro!D:D,"",0,1)</f>
        <v>210307</v>
      </c>
      <c r="D106" t="str">
        <f>_xlfn.XLOOKUP(C106,DBGenzai[社員№],DBGenzai[現在],"",0,1)</f>
        <v>退社</v>
      </c>
      <c r="E106" s="51">
        <f>_xlfn.XLOOKUP($C106,DBGenzai[社員№],DBGenzai[生年月日],"",0,1)</f>
        <v>35982</v>
      </c>
      <c r="F106">
        <f t="shared" ca="1" si="8"/>
        <v>25</v>
      </c>
      <c r="G106">
        <f>_xlfn.XLOOKUP(C106,DBGenzai[社員№],DBGenzai[請求単価],"",0,1)</f>
        <v>1500</v>
      </c>
      <c r="H106" s="95">
        <f>_xlfn.XLOOKUP($C106,DBGenzai[社員№],DBGenzai[入社日],"",0,1)</f>
        <v>44263</v>
      </c>
      <c r="I106" s="95">
        <f>IF(D106="退社",_xlfn.XLOOKUP($C106,DBGenzai[社員№],DBGenzai[退社日],"",0,1),"")</f>
        <v>44351</v>
      </c>
      <c r="K106" s="49" t="str">
        <f>_xlfn.XLOOKUP($C106,DBGenzai[社員№],DBGenzai[カナ],"",0,1)</f>
        <v>チャン　ティ　ホング　マイ</v>
      </c>
      <c r="L106" s="3" t="str">
        <f>_xlfn.XLOOKUP($C106,DBGenzai[社員№],DBGenzai[性別],"",0,1)</f>
        <v>女</v>
      </c>
      <c r="M106" s="3" t="str">
        <f t="shared" ca="1" si="9"/>
        <v>60歳未満</v>
      </c>
      <c r="N106" s="3" t="str">
        <f t="shared" si="10"/>
        <v>加入</v>
      </c>
      <c r="O106" s="3" t="str">
        <f t="shared" si="10"/>
        <v>加入</v>
      </c>
      <c r="P106" s="3" t="str">
        <f t="shared" si="10"/>
        <v>加入</v>
      </c>
      <c r="Q106" s="3" t="str">
        <f t="shared" si="11"/>
        <v>有期雇用（3ヵ月）</v>
      </c>
      <c r="R106" s="3" t="str">
        <f t="shared" si="12"/>
        <v>協定対象派遣労働者(労使協定式方式)</v>
      </c>
    </row>
    <row r="107" spans="1:18" ht="18">
      <c r="A107">
        <f>SUBTOTAL(103,$K$9:K107)</f>
        <v>99</v>
      </c>
      <c r="B107">
        <v>99</v>
      </c>
      <c r="C107">
        <f>_xlfn.XLOOKUP($K$3&amp;B107,Filtro!A:A,Filtro!D:D,"",0,1)</f>
        <v>210309</v>
      </c>
      <c r="D107" t="str">
        <f>_xlfn.XLOOKUP(C107,DBGenzai[社員№],DBGenzai[現在],"",0,1)</f>
        <v>退社</v>
      </c>
      <c r="E107" s="51">
        <f>_xlfn.XLOOKUP($C107,DBGenzai[社員№],DBGenzai[生年月日],"",0,1)</f>
        <v>31997</v>
      </c>
      <c r="F107">
        <f t="shared" ca="1" si="8"/>
        <v>36</v>
      </c>
      <c r="G107">
        <f>_xlfn.XLOOKUP(C107,DBGenzai[社員№],DBGenzai[請求単価],"",0,1)</f>
        <v>1600</v>
      </c>
      <c r="H107" s="95">
        <f>_xlfn.XLOOKUP($C107,DBGenzai[社員№],DBGenzai[入社日],"",0,1)</f>
        <v>44263</v>
      </c>
      <c r="I107" s="95">
        <f>IF(D107="退社",_xlfn.XLOOKUP($C107,DBGenzai[社員№],DBGenzai[退社日],"",0,1),"")</f>
        <v>44386</v>
      </c>
      <c r="K107" s="49" t="str">
        <f>_xlfn.XLOOKUP($C107,DBGenzai[社員№],DBGenzai[カナ],"",0,1)</f>
        <v>グエン　ミン　ソン</v>
      </c>
      <c r="L107" s="3" t="str">
        <f>_xlfn.XLOOKUP($C107,DBGenzai[社員№],DBGenzai[性別],"",0,1)</f>
        <v>男</v>
      </c>
      <c r="M107" s="3" t="str">
        <f t="shared" ca="1" si="9"/>
        <v>60歳未満</v>
      </c>
      <c r="N107" s="3" t="str">
        <f t="shared" si="10"/>
        <v>加入</v>
      </c>
      <c r="O107" s="3" t="str">
        <f t="shared" si="10"/>
        <v>加入</v>
      </c>
      <c r="P107" s="3" t="str">
        <f t="shared" si="10"/>
        <v>加入</v>
      </c>
      <c r="Q107" s="3" t="str">
        <f t="shared" si="11"/>
        <v>有期雇用（3ヵ月）</v>
      </c>
      <c r="R107" s="3" t="str">
        <f t="shared" si="12"/>
        <v>協定対象派遣労働者(労使協定式方式)</v>
      </c>
    </row>
  </sheetData>
  <mergeCells count="1">
    <mergeCell ref="K2:M2"/>
  </mergeCells>
  <phoneticPr fontId="1"/>
  <conditionalFormatting sqref="J9:J57">
    <cfRule type="cellIs" dxfId="35" priority="1" operator="equal">
      <formula>0</formula>
    </cfRule>
  </conditionalFormatting>
  <pageMargins left="0.25" right="0.25" top="0.75" bottom="0.75" header="0.3" footer="0.3"/>
  <pageSetup paperSize="9" scale="67"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B256E-1D82-44BB-AD7D-AE1BDFCAA8C7}">
  <sheetPr codeName="Sheet3"/>
  <dimension ref="A1:L134"/>
  <sheetViews>
    <sheetView workbookViewId="0"/>
  </sheetViews>
  <sheetFormatPr baseColWidth="10" defaultColWidth="9" defaultRowHeight="13.5"/>
  <cols>
    <col min="4" max="4" width="15.625" bestFit="1" customWidth="1"/>
    <col min="7" max="7" width="15.625" bestFit="1" customWidth="1"/>
    <col min="8" max="8" width="14.625" bestFit="1" customWidth="1"/>
  </cols>
  <sheetData>
    <row r="1" spans="1:12" ht="18">
      <c r="D1" s="62"/>
      <c r="G1" s="62"/>
      <c r="H1" s="62"/>
      <c r="J1" s="358" t="str">
        <f>個別契約書X!I3&amp;" "&amp;個別契約書X!J6</f>
        <v xml:space="preserve"> </v>
      </c>
      <c r="K1" s="358"/>
      <c r="L1" s="358"/>
    </row>
    <row r="2" spans="1:12" ht="18">
      <c r="D2" s="62"/>
      <c r="G2" s="62"/>
      <c r="H2" s="62"/>
      <c r="J2" s="53">
        <f>Linea</f>
        <v>0</v>
      </c>
      <c r="K2" s="1"/>
      <c r="L2" s="1"/>
    </row>
    <row r="3" spans="1:12" ht="18">
      <c r="D3" s="62"/>
      <c r="G3" s="62"/>
      <c r="H3" s="62"/>
      <c r="J3" s="1"/>
      <c r="K3" s="1"/>
      <c r="L3" s="1"/>
    </row>
    <row r="4" spans="1:12" ht="18">
      <c r="D4" s="62"/>
      <c r="G4" s="125" t="s">
        <v>2630</v>
      </c>
      <c r="H4" s="123" t="s">
        <v>2627</v>
      </c>
      <c r="J4" s="2"/>
      <c r="K4" s="2"/>
      <c r="L4" s="2"/>
    </row>
    <row r="5" spans="1:12" ht="18">
      <c r="A5" t="s">
        <v>3009</v>
      </c>
      <c r="D5" s="62"/>
      <c r="G5" s="62"/>
      <c r="H5" s="62"/>
      <c r="J5" s="2"/>
      <c r="K5" s="2"/>
      <c r="L5" s="2"/>
    </row>
    <row r="6" spans="1:12" ht="18">
      <c r="D6" s="62"/>
      <c r="G6" s="62"/>
      <c r="H6" s="62"/>
      <c r="J6" s="88"/>
      <c r="K6" s="60"/>
      <c r="L6" s="60"/>
    </row>
    <row r="7" spans="1:12" ht="18">
      <c r="D7" s="62"/>
      <c r="G7" s="62"/>
      <c r="H7" s="62"/>
      <c r="I7" s="3" t="s">
        <v>5</v>
      </c>
      <c r="J7" s="85" t="s">
        <v>25</v>
      </c>
      <c r="K7" s="85" t="s">
        <v>7</v>
      </c>
      <c r="L7" s="85" t="s">
        <v>8</v>
      </c>
    </row>
    <row r="8" spans="1:12" ht="19.5">
      <c r="A8" t="str" cm="1">
        <f t="array" ref="A8:A134">_xlfn._xlws.FILTER(TablaTransfor[社員№],TablaTransfor[ライン]=Linea,"")</f>
        <v/>
      </c>
      <c r="B8" t="str" cm="1">
        <f t="array" ref="B8">_xlfn._xlws.FILTER(TablaTransfor[カナ],(TablaTransfor[ライン]=Linea)*(TablaTransfor[現在]="在職中"),"")</f>
        <v/>
      </c>
      <c r="C8" t="str" cm="1">
        <f t="array" ref="C8">_xlfn._xlws.FILTER(TablaTransfor[性別],(TablaTransfor[ライン]=Linea)*(TablaTransfor[現在]="在職中"),"")</f>
        <v/>
      </c>
      <c r="D8" s="62" t="str" cm="1">
        <f t="array" ref="D8">_xlfn._xlws.FILTER(TablaTransfor[生年月日],(TablaTransfor[ライン]=Linea)*(TablaTransfor[現在]="在職中"),"")</f>
        <v/>
      </c>
      <c r="E8" t="str" cm="1">
        <f t="array" ref="E8">_xlfn._xlws.FILTER(TablaTransfor[年齢],(TablaTransfor[ライン]=Linea)*(TablaTransfor[現在]="在職中"),"")</f>
        <v/>
      </c>
      <c r="F8" t="str" cm="1">
        <f t="array" ref="F8">_xlfn._xlws.FILTER(TablaTransfor[単価],(TablaTransfor[ライン]=Linea)*(TablaTransfor[現在]="在職中"),"")</f>
        <v/>
      </c>
      <c r="G8" s="62" t="str" cm="1">
        <f t="array" ref="G8">_xlfn._xlws.FILTER(TablaTransfor[入社日],(TablaTransfor[ライン]=Linea)*(TablaTransfor[現在]="在職中"),"")</f>
        <v/>
      </c>
      <c r="H8" s="62" t="str" cm="1">
        <f t="array" ref="H8">_xlfn._xlws.FILTER(TablaTransfor[unicos],(TablaTransfor[ライン]=Linea)*(TablaTransfor[現在]="在職中"),"")</f>
        <v/>
      </c>
      <c r="I8" s="49" t="str">
        <f>IF(J8="","",1)</f>
        <v/>
      </c>
      <c r="J8" s="82" t="str" cm="1">
        <f t="array" ref="J8">_xlfn._xlws.FILTER(TablaTransfor[カナ],(TablaTransfor[ライン]=Linea)*(TablaTransfor[現在]="在職中")*(TablaTransfor[入社日]&gt;D1),"")</f>
        <v/>
      </c>
      <c r="K8" s="85" t="str" cm="1">
        <f t="array" ref="K8">_xlfn._xlws.FILTER(TablaTransfor[性別],(TablaTransfor[ライン]=Linea)*(TablaTransfor[現在]="在職中")*(TablaTransfor[入社日]&gt;D1),"")</f>
        <v/>
      </c>
      <c r="L8" s="85" t="str">
        <f t="shared" ref="L8:L14" si="0">IF(I8="","",IF(E8&lt;=18,"18未満(     )歳",IF(E8&lt;=60,"60歳未満","60歳以上")))</f>
        <v/>
      </c>
    </row>
    <row r="9" spans="1:12" ht="19.5">
      <c r="A9" t="str">
        <v/>
      </c>
      <c r="D9" s="62"/>
      <c r="G9" s="62"/>
      <c r="H9" s="62"/>
      <c r="I9" s="49" t="str">
        <f>IF(J9="","",I8+1)</f>
        <v/>
      </c>
      <c r="J9" s="82"/>
      <c r="K9" s="50"/>
      <c r="L9" s="85" t="str">
        <f t="shared" si="0"/>
        <v/>
      </c>
    </row>
    <row r="10" spans="1:12" ht="19.5">
      <c r="A10" t="str">
        <v/>
      </c>
      <c r="D10" s="62"/>
      <c r="G10" s="62"/>
      <c r="H10" s="62"/>
      <c r="I10" s="49" t="str">
        <f t="shared" ref="I10:I14" si="1">IF(J10="","",I9+1)</f>
        <v/>
      </c>
      <c r="J10" s="82"/>
      <c r="K10" s="50"/>
      <c r="L10" s="85" t="str">
        <f t="shared" si="0"/>
        <v/>
      </c>
    </row>
    <row r="11" spans="1:12" ht="19.5">
      <c r="A11" t="str">
        <v/>
      </c>
      <c r="D11" s="62"/>
      <c r="G11" s="62"/>
      <c r="H11" s="62"/>
      <c r="I11" s="49" t="str">
        <f t="shared" si="1"/>
        <v/>
      </c>
      <c r="J11" s="82"/>
      <c r="K11" s="50"/>
      <c r="L11" s="85" t="str">
        <f t="shared" si="0"/>
        <v/>
      </c>
    </row>
    <row r="12" spans="1:12" ht="19.5">
      <c r="A12" t="str">
        <v/>
      </c>
      <c r="D12" s="62"/>
      <c r="G12" s="62"/>
      <c r="H12" s="62"/>
      <c r="I12" s="49" t="str">
        <f t="shared" si="1"/>
        <v/>
      </c>
      <c r="J12" s="82"/>
      <c r="K12" s="50"/>
      <c r="L12" s="85" t="str">
        <f t="shared" si="0"/>
        <v/>
      </c>
    </row>
    <row r="13" spans="1:12" ht="19.5">
      <c r="A13" t="str">
        <v/>
      </c>
      <c r="D13" s="62"/>
      <c r="G13" s="62"/>
      <c r="H13" s="62"/>
      <c r="I13" s="49" t="str">
        <f t="shared" si="1"/>
        <v/>
      </c>
      <c r="J13" s="82"/>
      <c r="K13" s="50"/>
      <c r="L13" s="85" t="str">
        <f t="shared" si="0"/>
        <v/>
      </c>
    </row>
    <row r="14" spans="1:12" ht="19.5">
      <c r="A14" t="str">
        <v/>
      </c>
      <c r="D14" s="62"/>
      <c r="G14" s="62"/>
      <c r="H14" s="62"/>
      <c r="I14" s="49" t="str">
        <f t="shared" si="1"/>
        <v/>
      </c>
      <c r="J14" s="82"/>
      <c r="K14" s="50"/>
      <c r="L14" s="85" t="str">
        <f t="shared" si="0"/>
        <v/>
      </c>
    </row>
    <row r="15" spans="1:12">
      <c r="A15" t="str">
        <v/>
      </c>
    </row>
    <row r="16" spans="1:12">
      <c r="A16" t="str">
        <v/>
      </c>
    </row>
    <row r="17" spans="1:1">
      <c r="A17" t="str">
        <v/>
      </c>
    </row>
    <row r="18" spans="1:1">
      <c r="A18" t="str">
        <v/>
      </c>
    </row>
    <row r="19" spans="1:1">
      <c r="A19" t="str">
        <v/>
      </c>
    </row>
    <row r="20" spans="1:1">
      <c r="A20" t="str">
        <v/>
      </c>
    </row>
    <row r="21" spans="1:1">
      <c r="A21" t="str">
        <v/>
      </c>
    </row>
    <row r="22" spans="1:1">
      <c r="A22" t="str">
        <v/>
      </c>
    </row>
    <row r="23" spans="1:1">
      <c r="A23" t="str">
        <v/>
      </c>
    </row>
    <row r="24" spans="1:1">
      <c r="A24" t="str">
        <v/>
      </c>
    </row>
    <row r="25" spans="1:1">
      <c r="A25">
        <v>220213</v>
      </c>
    </row>
    <row r="26" spans="1:1">
      <c r="A26">
        <v>210101</v>
      </c>
    </row>
    <row r="27" spans="1:1">
      <c r="A27">
        <v>201210</v>
      </c>
    </row>
    <row r="28" spans="1:1">
      <c r="A28">
        <v>210511</v>
      </c>
    </row>
    <row r="29" spans="1:1">
      <c r="A29">
        <v>210614</v>
      </c>
    </row>
    <row r="30" spans="1:1">
      <c r="A30">
        <v>220105</v>
      </c>
    </row>
    <row r="31" spans="1:1">
      <c r="A31">
        <v>220132</v>
      </c>
    </row>
    <row r="32" spans="1:1">
      <c r="A32">
        <v>220205</v>
      </c>
    </row>
    <row r="33" spans="1:1">
      <c r="A33" t="str">
        <v/>
      </c>
    </row>
    <row r="34" spans="1:1">
      <c r="A34" t="str">
        <v/>
      </c>
    </row>
    <row r="35" spans="1:1">
      <c r="A35" t="str">
        <v/>
      </c>
    </row>
    <row r="36" spans="1:1">
      <c r="A36" t="str">
        <v/>
      </c>
    </row>
    <row r="37" spans="1:1">
      <c r="A37">
        <v>201101</v>
      </c>
    </row>
    <row r="38" spans="1:1">
      <c r="A38" t="str">
        <v/>
      </c>
    </row>
    <row r="39" spans="1:1">
      <c r="A39" t="str">
        <v/>
      </c>
    </row>
    <row r="40" spans="1:1">
      <c r="A40">
        <v>210702</v>
      </c>
    </row>
    <row r="41" spans="1:1">
      <c r="A41" t="str">
        <v/>
      </c>
    </row>
    <row r="42" spans="1:1">
      <c r="A42" t="str">
        <v/>
      </c>
    </row>
    <row r="43" spans="1:1">
      <c r="A43" t="str">
        <v/>
      </c>
    </row>
    <row r="44" spans="1:1">
      <c r="A44" t="str">
        <v/>
      </c>
    </row>
    <row r="45" spans="1:1">
      <c r="A45" t="str">
        <v/>
      </c>
    </row>
    <row r="46" spans="1:1">
      <c r="A46" t="str">
        <v/>
      </c>
    </row>
    <row r="47" spans="1:1">
      <c r="A47" t="str">
        <v/>
      </c>
    </row>
    <row r="48" spans="1:1">
      <c r="A48" t="str">
        <v/>
      </c>
    </row>
    <row r="49" spans="1:1">
      <c r="A49" t="str">
        <v/>
      </c>
    </row>
    <row r="50" spans="1:1">
      <c r="A50" t="str">
        <v/>
      </c>
    </row>
    <row r="51" spans="1:1">
      <c r="A51" t="str">
        <v/>
      </c>
    </row>
    <row r="52" spans="1:1">
      <c r="A52" t="str">
        <v/>
      </c>
    </row>
    <row r="53" spans="1:1">
      <c r="A53">
        <v>221201</v>
      </c>
    </row>
    <row r="54" spans="1:1">
      <c r="A54" t="str">
        <v/>
      </c>
    </row>
    <row r="55" spans="1:1">
      <c r="A55" t="str">
        <v/>
      </c>
    </row>
    <row r="56" spans="1:1">
      <c r="A56" t="str">
        <v/>
      </c>
    </row>
    <row r="57" spans="1:1">
      <c r="A57" t="str">
        <v/>
      </c>
    </row>
    <row r="58" spans="1:1">
      <c r="A58" t="str">
        <v/>
      </c>
    </row>
    <row r="59" spans="1:1">
      <c r="A59" t="str">
        <v/>
      </c>
    </row>
    <row r="60" spans="1:1">
      <c r="A60" t="str">
        <v/>
      </c>
    </row>
    <row r="61" spans="1:1">
      <c r="A61" t="str">
        <v/>
      </c>
    </row>
    <row r="62" spans="1:1">
      <c r="A62" t="str">
        <v/>
      </c>
    </row>
    <row r="63" spans="1:1">
      <c r="A63" t="str">
        <v/>
      </c>
    </row>
    <row r="64" spans="1:1">
      <c r="A64" t="str">
        <v/>
      </c>
    </row>
    <row r="65" spans="1:1">
      <c r="A65" t="str">
        <v/>
      </c>
    </row>
    <row r="66" spans="1:1">
      <c r="A66" t="str">
        <v/>
      </c>
    </row>
    <row r="67" spans="1:1">
      <c r="A67" t="str">
        <v/>
      </c>
    </row>
    <row r="68" spans="1:1">
      <c r="A68" t="str">
        <v/>
      </c>
    </row>
    <row r="69" spans="1:1">
      <c r="A69" t="str">
        <v/>
      </c>
    </row>
    <row r="70" spans="1:1">
      <c r="A70" t="str">
        <v/>
      </c>
    </row>
    <row r="71" spans="1:1">
      <c r="A71" t="str">
        <v/>
      </c>
    </row>
    <row r="72" spans="1:1">
      <c r="A72" t="str">
        <v/>
      </c>
    </row>
    <row r="73" spans="1:1">
      <c r="A73" t="str">
        <v/>
      </c>
    </row>
    <row r="74" spans="1:1">
      <c r="A74" t="str">
        <v/>
      </c>
    </row>
    <row r="75" spans="1:1">
      <c r="A75" t="str">
        <v/>
      </c>
    </row>
    <row r="76" spans="1:1">
      <c r="A76" t="str">
        <v/>
      </c>
    </row>
    <row r="77" spans="1:1">
      <c r="A77" t="str">
        <v/>
      </c>
    </row>
    <row r="78" spans="1:1">
      <c r="A78" t="str">
        <v/>
      </c>
    </row>
    <row r="79" spans="1:1">
      <c r="A79" t="str">
        <v/>
      </c>
    </row>
    <row r="80" spans="1:1">
      <c r="A80" t="str">
        <v/>
      </c>
    </row>
    <row r="81" spans="1:1">
      <c r="A81" t="str">
        <v/>
      </c>
    </row>
    <row r="82" spans="1:1">
      <c r="A82" t="str">
        <v/>
      </c>
    </row>
    <row r="83" spans="1:1">
      <c r="A83" t="str">
        <v/>
      </c>
    </row>
    <row r="84" spans="1:1">
      <c r="A84" t="str">
        <v/>
      </c>
    </row>
    <row r="85" spans="1:1">
      <c r="A85" t="str">
        <v/>
      </c>
    </row>
    <row r="86" spans="1:1">
      <c r="A86" t="str">
        <v/>
      </c>
    </row>
    <row r="87" spans="1:1">
      <c r="A87" t="str">
        <v/>
      </c>
    </row>
    <row r="88" spans="1:1">
      <c r="A88" t="str">
        <v/>
      </c>
    </row>
    <row r="89" spans="1:1">
      <c r="A89" t="str">
        <v/>
      </c>
    </row>
    <row r="90" spans="1:1">
      <c r="A90" t="str">
        <v/>
      </c>
    </row>
    <row r="91" spans="1:1">
      <c r="A91" t="str">
        <v/>
      </c>
    </row>
    <row r="92" spans="1:1">
      <c r="A92" t="str">
        <v/>
      </c>
    </row>
    <row r="93" spans="1:1">
      <c r="A93" t="str">
        <v/>
      </c>
    </row>
    <row r="94" spans="1:1">
      <c r="A94" t="str">
        <v/>
      </c>
    </row>
    <row r="95" spans="1:1">
      <c r="A95" t="str">
        <v/>
      </c>
    </row>
    <row r="96" spans="1:1">
      <c r="A96" t="str">
        <v/>
      </c>
    </row>
    <row r="97" spans="1:1">
      <c r="A97" t="str">
        <v/>
      </c>
    </row>
    <row r="98" spans="1:1">
      <c r="A98" t="str">
        <v/>
      </c>
    </row>
    <row r="99" spans="1:1">
      <c r="A99" t="str">
        <v/>
      </c>
    </row>
    <row r="100" spans="1:1">
      <c r="A100" t="str">
        <v/>
      </c>
    </row>
    <row r="101" spans="1:1">
      <c r="A101" t="str">
        <v/>
      </c>
    </row>
    <row r="102" spans="1:1">
      <c r="A102" t="str">
        <v/>
      </c>
    </row>
    <row r="103" spans="1:1">
      <c r="A103" t="str">
        <v/>
      </c>
    </row>
    <row r="104" spans="1:1">
      <c r="A104" t="str">
        <v/>
      </c>
    </row>
    <row r="105" spans="1:1">
      <c r="A105" t="str">
        <v/>
      </c>
    </row>
    <row r="106" spans="1:1">
      <c r="A106" t="str">
        <v/>
      </c>
    </row>
    <row r="107" spans="1:1">
      <c r="A107" t="str">
        <v/>
      </c>
    </row>
    <row r="108" spans="1:1">
      <c r="A108" t="str">
        <v/>
      </c>
    </row>
    <row r="109" spans="1:1">
      <c r="A109" t="str">
        <v/>
      </c>
    </row>
    <row r="110" spans="1:1">
      <c r="A110" t="str">
        <v/>
      </c>
    </row>
    <row r="111" spans="1:1">
      <c r="A111" t="str">
        <v/>
      </c>
    </row>
    <row r="112" spans="1:1">
      <c r="A112" t="str">
        <v/>
      </c>
    </row>
    <row r="113" spans="1:1">
      <c r="A113" t="str">
        <v/>
      </c>
    </row>
    <row r="114" spans="1:1">
      <c r="A114" t="str">
        <v/>
      </c>
    </row>
    <row r="115" spans="1:1">
      <c r="A115" t="str">
        <v/>
      </c>
    </row>
    <row r="116" spans="1:1">
      <c r="A116" t="str">
        <v/>
      </c>
    </row>
    <row r="117" spans="1:1">
      <c r="A117" t="str">
        <v/>
      </c>
    </row>
    <row r="118" spans="1:1">
      <c r="A118" t="str">
        <v/>
      </c>
    </row>
    <row r="119" spans="1:1">
      <c r="A119" t="str">
        <v/>
      </c>
    </row>
    <row r="120" spans="1:1">
      <c r="A120" t="str">
        <v/>
      </c>
    </row>
    <row r="121" spans="1:1">
      <c r="A121" t="str">
        <v/>
      </c>
    </row>
    <row r="122" spans="1:1">
      <c r="A122" t="str">
        <v/>
      </c>
    </row>
    <row r="123" spans="1:1">
      <c r="A123" t="str">
        <v/>
      </c>
    </row>
    <row r="124" spans="1:1">
      <c r="A124" t="str">
        <v/>
      </c>
    </row>
    <row r="125" spans="1:1">
      <c r="A125" t="str">
        <v/>
      </c>
    </row>
    <row r="126" spans="1:1">
      <c r="A126" t="str">
        <v/>
      </c>
    </row>
    <row r="127" spans="1:1">
      <c r="A127" t="str">
        <v/>
      </c>
    </row>
    <row r="128" spans="1:1">
      <c r="A128" t="str">
        <v/>
      </c>
    </row>
    <row r="129" spans="1:1">
      <c r="A129" t="str">
        <v/>
      </c>
    </row>
    <row r="130" spans="1:1">
      <c r="A130" t="str">
        <v/>
      </c>
    </row>
    <row r="131" spans="1:1">
      <c r="A131" t="str">
        <v/>
      </c>
    </row>
    <row r="132" spans="1:1">
      <c r="A132" t="str">
        <v/>
      </c>
    </row>
    <row r="133" spans="1:1">
      <c r="A133" t="str">
        <v/>
      </c>
    </row>
    <row r="134" spans="1:1">
      <c r="A134" t="str">
        <v/>
      </c>
    </row>
  </sheetData>
  <mergeCells count="1">
    <mergeCell ref="J1:L1"/>
  </mergeCells>
  <phoneticPr fontId="1"/>
  <hyperlinks>
    <hyperlink ref="H4" location="PuntoG" display="Back to main" xr:uid="{9527E504-2AB1-47FD-8300-430EA5F818A2}"/>
    <hyperlink ref="G4" location="DAICHO!_GoBack" display="DAICHO" xr:uid="{7F010B2E-1A05-4BEA-A238-E18087CD5EA2}"/>
  </hyperlinks>
  <pageMargins left="0.7" right="0.7" top="0.75" bottom="0.75" header="0.3" footer="0.3"/>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CA07-6167-4F47-A31F-5BAFC57CA12A}">
  <sheetPr codeName="Sheet1">
    <tabColor theme="1"/>
  </sheetPr>
  <dimension ref="A1:I20"/>
  <sheetViews>
    <sheetView workbookViewId="0"/>
  </sheetViews>
  <sheetFormatPr baseColWidth="10" defaultColWidth="11" defaultRowHeight="13.5"/>
  <cols>
    <col min="3" max="3" width="15.625" customWidth="1"/>
    <col min="4" max="4" width="22" bestFit="1" customWidth="1"/>
    <col min="5" max="5" width="19.5" bestFit="1" customWidth="1"/>
    <col min="8" max="9" width="15.375" style="62" bestFit="1" customWidth="1"/>
  </cols>
  <sheetData>
    <row r="1" spans="1:9">
      <c r="A1" s="126">
        <v>221108</v>
      </c>
      <c r="B1" s="126">
        <v>232085</v>
      </c>
      <c r="C1" s="126" t="s">
        <v>2604</v>
      </c>
      <c r="D1" s="126" t="s">
        <v>2578</v>
      </c>
      <c r="E1" s="126" t="s">
        <v>2579</v>
      </c>
      <c r="F1" s="126">
        <v>1200</v>
      </c>
      <c r="G1" s="126">
        <v>1650</v>
      </c>
      <c r="H1" s="127">
        <v>44891</v>
      </c>
      <c r="I1" s="127">
        <v>44886</v>
      </c>
    </row>
    <row r="2" spans="1:9">
      <c r="A2" s="126">
        <v>230107</v>
      </c>
      <c r="B2" s="126">
        <v>232087</v>
      </c>
      <c r="C2" s="126" t="s">
        <v>814</v>
      </c>
      <c r="D2" s="126" t="s">
        <v>2797</v>
      </c>
      <c r="E2" s="126" t="s">
        <v>2798</v>
      </c>
      <c r="F2" s="126">
        <v>1200</v>
      </c>
      <c r="G2" s="126">
        <v>1650</v>
      </c>
      <c r="H2" s="127">
        <v>44939</v>
      </c>
      <c r="I2" s="127">
        <v>44945</v>
      </c>
    </row>
    <row r="3" spans="1:9">
      <c r="A3" s="126">
        <v>230108</v>
      </c>
      <c r="B3" s="126">
        <v>232086</v>
      </c>
      <c r="C3" s="126" t="s">
        <v>814</v>
      </c>
      <c r="D3" s="126" t="s">
        <v>2801</v>
      </c>
      <c r="E3" s="126" t="s">
        <v>2802</v>
      </c>
      <c r="F3" s="126">
        <v>1200</v>
      </c>
      <c r="G3" s="126">
        <v>1650</v>
      </c>
      <c r="H3" s="127">
        <v>44939</v>
      </c>
      <c r="I3" s="127">
        <v>44945</v>
      </c>
    </row>
    <row r="4" spans="1:9">
      <c r="A4" s="128">
        <v>230201</v>
      </c>
      <c r="B4" s="128">
        <v>232088</v>
      </c>
      <c r="C4" s="128" t="s">
        <v>2659</v>
      </c>
      <c r="D4" s="128" t="s">
        <v>2815</v>
      </c>
      <c r="E4" s="128" t="s">
        <v>2816</v>
      </c>
      <c r="F4" s="128">
        <v>1300</v>
      </c>
      <c r="G4" s="128">
        <v>1660</v>
      </c>
      <c r="H4" s="129">
        <v>44958</v>
      </c>
      <c r="I4" s="129">
        <v>44959</v>
      </c>
    </row>
    <row r="5" spans="1:9">
      <c r="A5" s="126">
        <v>230213</v>
      </c>
      <c r="B5" s="126">
        <v>232091</v>
      </c>
      <c r="C5" s="126" t="s">
        <v>2604</v>
      </c>
      <c r="D5" s="126" t="s">
        <v>2850</v>
      </c>
      <c r="E5" s="126" t="s">
        <v>2851</v>
      </c>
      <c r="F5" s="126">
        <v>1200</v>
      </c>
      <c r="G5" s="126">
        <v>1650</v>
      </c>
      <c r="H5" s="127">
        <v>44972</v>
      </c>
      <c r="I5" s="127">
        <v>44979</v>
      </c>
    </row>
    <row r="6" spans="1:9">
      <c r="A6" s="126">
        <v>230214</v>
      </c>
      <c r="B6" s="126">
        <v>232089</v>
      </c>
      <c r="C6" s="126" t="s">
        <v>2604</v>
      </c>
      <c r="D6" s="126" t="s">
        <v>2852</v>
      </c>
      <c r="E6" s="126" t="s">
        <v>2853</v>
      </c>
      <c r="F6" s="126">
        <v>1200</v>
      </c>
      <c r="G6" s="126">
        <v>1650</v>
      </c>
      <c r="H6" s="127">
        <v>44972</v>
      </c>
      <c r="I6" s="127">
        <v>44979</v>
      </c>
    </row>
    <row r="7" spans="1:9">
      <c r="A7" s="126">
        <v>230215</v>
      </c>
      <c r="B7" s="126">
        <v>232092</v>
      </c>
      <c r="C7" s="126" t="s">
        <v>2604</v>
      </c>
      <c r="D7" s="126" t="s">
        <v>2854</v>
      </c>
      <c r="E7" s="126" t="s">
        <v>2855</v>
      </c>
      <c r="F7" s="126">
        <v>1200</v>
      </c>
      <c r="G7" s="126">
        <v>1650</v>
      </c>
      <c r="H7" s="127">
        <v>44972</v>
      </c>
      <c r="I7" s="127">
        <v>44979</v>
      </c>
    </row>
    <row r="8" spans="1:9">
      <c r="A8" s="126">
        <v>230216</v>
      </c>
      <c r="B8" s="126">
        <v>232090</v>
      </c>
      <c r="C8" s="126" t="s">
        <v>2604</v>
      </c>
      <c r="D8" s="126" t="s">
        <v>2857</v>
      </c>
      <c r="E8" s="126" t="s">
        <v>2858</v>
      </c>
      <c r="F8" s="126">
        <v>1200</v>
      </c>
      <c r="G8" s="126">
        <v>1650</v>
      </c>
      <c r="H8" s="127">
        <v>44972</v>
      </c>
      <c r="I8" s="127">
        <v>44979</v>
      </c>
    </row>
    <row r="9" spans="1:9">
      <c r="A9" s="128">
        <v>230212</v>
      </c>
      <c r="B9" s="128">
        <v>232093</v>
      </c>
      <c r="C9" s="128" t="s">
        <v>2604</v>
      </c>
      <c r="D9" s="128" t="s">
        <v>2846</v>
      </c>
      <c r="E9" s="128" t="s">
        <v>2847</v>
      </c>
      <c r="F9" s="128">
        <v>1210</v>
      </c>
      <c r="G9" s="128">
        <v>1660</v>
      </c>
      <c r="H9" s="129">
        <v>44972</v>
      </c>
      <c r="I9" s="129">
        <v>44979</v>
      </c>
    </row>
    <row r="10" spans="1:9">
      <c r="A10" s="126">
        <v>230303</v>
      </c>
      <c r="B10" s="126">
        <v>232098</v>
      </c>
      <c r="C10" s="126" t="s">
        <v>2604</v>
      </c>
      <c r="D10" s="126" t="s">
        <v>2884</v>
      </c>
      <c r="E10" s="126" t="s">
        <v>2885</v>
      </c>
      <c r="F10" s="126">
        <v>1200</v>
      </c>
      <c r="G10" s="126">
        <v>1650</v>
      </c>
      <c r="H10" s="127">
        <v>44979</v>
      </c>
      <c r="I10" s="127">
        <v>44986</v>
      </c>
    </row>
    <row r="11" spans="1:9">
      <c r="A11" s="126">
        <v>230304</v>
      </c>
      <c r="B11" s="126">
        <v>232096</v>
      </c>
      <c r="C11" s="126" t="s">
        <v>814</v>
      </c>
      <c r="D11" s="126" t="s">
        <v>2886</v>
      </c>
      <c r="E11" s="126" t="s">
        <v>2887</v>
      </c>
      <c r="F11" s="126">
        <v>1200</v>
      </c>
      <c r="G11" s="126">
        <v>1650</v>
      </c>
      <c r="H11" s="127">
        <v>44979</v>
      </c>
      <c r="I11" s="127">
        <v>44986</v>
      </c>
    </row>
    <row r="12" spans="1:9">
      <c r="A12" s="126">
        <v>230305</v>
      </c>
      <c r="B12" s="126">
        <v>232097</v>
      </c>
      <c r="C12" s="126" t="s">
        <v>2604</v>
      </c>
      <c r="D12" s="126" t="s">
        <v>2888</v>
      </c>
      <c r="E12" s="126" t="s">
        <v>2889</v>
      </c>
      <c r="F12" s="126">
        <v>1200</v>
      </c>
      <c r="G12" s="126">
        <v>1650</v>
      </c>
      <c r="H12" s="127">
        <v>44979</v>
      </c>
      <c r="I12" s="127">
        <v>44986</v>
      </c>
    </row>
    <row r="13" spans="1:9">
      <c r="A13" s="126">
        <v>230306</v>
      </c>
      <c r="B13" s="126">
        <v>232094</v>
      </c>
      <c r="C13" s="126" t="s">
        <v>2604</v>
      </c>
      <c r="D13" s="126" t="s">
        <v>2890</v>
      </c>
      <c r="E13" s="126" t="s">
        <v>2891</v>
      </c>
      <c r="F13" s="126">
        <v>1200</v>
      </c>
      <c r="G13" s="126">
        <v>1650</v>
      </c>
      <c r="H13" s="127">
        <v>44979</v>
      </c>
      <c r="I13" s="127">
        <v>44986</v>
      </c>
    </row>
    <row r="14" spans="1:9">
      <c r="A14" s="126">
        <v>230307</v>
      </c>
      <c r="B14" s="126">
        <v>232095</v>
      </c>
      <c r="C14" s="126" t="s">
        <v>2604</v>
      </c>
      <c r="D14" s="126" t="s">
        <v>2220</v>
      </c>
      <c r="E14" s="126" t="s">
        <v>2221</v>
      </c>
      <c r="F14" s="126">
        <v>1200</v>
      </c>
      <c r="G14" s="126">
        <v>1650</v>
      </c>
      <c r="H14" s="127">
        <v>44979</v>
      </c>
      <c r="I14" s="127">
        <v>44986</v>
      </c>
    </row>
    <row r="15" spans="1:9">
      <c r="A15" s="126">
        <v>230320</v>
      </c>
      <c r="B15" s="126"/>
      <c r="C15" s="126" t="s">
        <v>2604</v>
      </c>
      <c r="D15" s="126" t="s">
        <v>2926</v>
      </c>
      <c r="E15" s="126" t="s">
        <v>2927</v>
      </c>
      <c r="F15" s="126">
        <v>1200</v>
      </c>
      <c r="G15" s="126">
        <v>1650</v>
      </c>
      <c r="H15" s="127"/>
      <c r="I15" s="127">
        <v>45013</v>
      </c>
    </row>
    <row r="16" spans="1:9">
      <c r="A16" s="126">
        <v>230321</v>
      </c>
      <c r="B16" s="126"/>
      <c r="C16" s="126" t="s">
        <v>2604</v>
      </c>
      <c r="D16" s="126" t="s">
        <v>2928</v>
      </c>
      <c r="E16" s="126" t="s">
        <v>2929</v>
      </c>
      <c r="F16" s="126">
        <v>1200</v>
      </c>
      <c r="G16" s="126">
        <v>1650</v>
      </c>
      <c r="H16" s="127"/>
      <c r="I16" s="127">
        <v>45013</v>
      </c>
    </row>
    <row r="17" spans="1:9">
      <c r="A17" s="126">
        <v>230322</v>
      </c>
      <c r="B17" s="126"/>
      <c r="C17" s="126" t="s">
        <v>2604</v>
      </c>
      <c r="D17" s="126" t="s">
        <v>2930</v>
      </c>
      <c r="E17" s="126" t="s">
        <v>2931</v>
      </c>
      <c r="F17" s="126">
        <v>1200</v>
      </c>
      <c r="G17" s="126">
        <v>1650</v>
      </c>
      <c r="H17" s="127"/>
      <c r="I17" s="127">
        <v>45013</v>
      </c>
    </row>
    <row r="18" spans="1:9">
      <c r="A18" s="126">
        <v>230323</v>
      </c>
      <c r="B18" s="126"/>
      <c r="C18" s="126" t="s">
        <v>2604</v>
      </c>
      <c r="D18" s="126" t="s">
        <v>2932</v>
      </c>
      <c r="E18" s="126" t="s">
        <v>2933</v>
      </c>
      <c r="F18" s="126">
        <v>1200</v>
      </c>
      <c r="G18" s="126">
        <v>1650</v>
      </c>
      <c r="H18" s="127"/>
      <c r="I18" s="127">
        <v>45013</v>
      </c>
    </row>
    <row r="19" spans="1:9">
      <c r="A19" s="126">
        <v>230324</v>
      </c>
      <c r="B19" s="126"/>
      <c r="C19" s="126" t="s">
        <v>2604</v>
      </c>
      <c r="D19" s="126" t="s">
        <v>2934</v>
      </c>
      <c r="E19" s="126" t="s">
        <v>2935</v>
      </c>
      <c r="F19" s="126">
        <v>1200</v>
      </c>
      <c r="G19" s="126">
        <v>1650</v>
      </c>
      <c r="H19" s="127"/>
      <c r="I19" s="127">
        <v>45013</v>
      </c>
    </row>
    <row r="20" spans="1:9">
      <c r="A20" s="126">
        <v>230325</v>
      </c>
      <c r="B20" s="126"/>
      <c r="C20" s="126" t="s">
        <v>2604</v>
      </c>
      <c r="D20" s="126" t="s">
        <v>2936</v>
      </c>
      <c r="E20" s="126" t="s">
        <v>2937</v>
      </c>
      <c r="F20" s="126">
        <v>1200</v>
      </c>
      <c r="G20" s="126">
        <v>1650</v>
      </c>
      <c r="H20" s="127"/>
      <c r="I20" s="127">
        <v>45013</v>
      </c>
    </row>
  </sheetData>
  <phoneticPr fontId="1"/>
  <pageMargins left="0.7" right="0.7"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3C5F4-3665-4BFF-A51D-BE564F1B0C4D}">
  <sheetPr codeName="Hoja13">
    <tabColor rgb="FFFFFF00"/>
  </sheetPr>
  <dimension ref="A1:BE417"/>
  <sheetViews>
    <sheetView workbookViewId="0"/>
  </sheetViews>
  <sheetFormatPr baseColWidth="10" defaultColWidth="11" defaultRowHeight="13.5"/>
  <cols>
    <col min="1" max="7" width="1.625" style="7" customWidth="1"/>
    <col min="8" max="9" width="2" style="7" customWidth="1"/>
    <col min="10" max="13" width="1.625" style="7" customWidth="1"/>
    <col min="14" max="14" width="0.875" style="7" customWidth="1"/>
    <col min="15" max="15" width="2" style="7" customWidth="1"/>
    <col min="16" max="20" width="1.625" style="7" customWidth="1"/>
    <col min="21" max="21" width="2.125" style="7" customWidth="1"/>
    <col min="22" max="54" width="1.625" style="7" customWidth="1"/>
    <col min="55" max="55" width="2.125" style="7" customWidth="1"/>
    <col min="56" max="453" width="1.625" style="7" customWidth="1"/>
    <col min="454" max="16384" width="11" style="7"/>
  </cols>
  <sheetData>
    <row r="1" spans="1:57">
      <c r="A1" s="92">
        <v>4</v>
      </c>
      <c r="B1" s="92">
        <f>Linea</f>
        <v>0</v>
      </c>
    </row>
    <row r="2" spans="1:57">
      <c r="AU2" s="121"/>
      <c r="AV2" s="121"/>
      <c r="AW2" s="121"/>
      <c r="AX2" s="121"/>
      <c r="AY2" s="121"/>
      <c r="AZ2" s="121"/>
      <c r="BA2" s="121"/>
      <c r="BB2" s="121"/>
      <c r="BC2" s="121"/>
    </row>
    <row r="3" spans="1:57" ht="9" customHeight="1">
      <c r="O3" s="360" t="s">
        <v>2288</v>
      </c>
      <c r="P3" s="360"/>
      <c r="Q3" s="360"/>
      <c r="R3" s="360"/>
      <c r="S3" s="360"/>
      <c r="T3" s="360"/>
      <c r="U3" s="360"/>
      <c r="V3" s="360"/>
      <c r="W3" s="360"/>
      <c r="X3" s="360"/>
      <c r="Y3" s="360"/>
      <c r="Z3" s="360"/>
      <c r="AA3" s="360"/>
      <c r="AB3" s="360"/>
      <c r="AC3" s="360"/>
      <c r="AD3" s="360"/>
      <c r="AE3" s="360"/>
      <c r="AF3" s="360"/>
      <c r="AG3" s="360"/>
      <c r="AH3" s="360"/>
      <c r="AI3" s="360"/>
      <c r="AJ3" s="360"/>
      <c r="AK3" s="360"/>
      <c r="AL3" s="360"/>
      <c r="AM3" s="360"/>
      <c r="AP3" s="92" t="s">
        <v>2328</v>
      </c>
      <c r="AQ3" s="92"/>
      <c r="AR3" s="92"/>
      <c r="AS3" s="92"/>
      <c r="AT3" s="92"/>
      <c r="AU3" s="121"/>
      <c r="AV3" s="121"/>
      <c r="AW3" s="121"/>
      <c r="AX3" s="121"/>
      <c r="AY3" s="121"/>
      <c r="AZ3" s="121"/>
      <c r="BA3" s="121"/>
      <c r="BB3" s="121"/>
      <c r="BC3" s="121"/>
      <c r="BD3" s="92"/>
      <c r="BE3" s="92"/>
    </row>
    <row r="4" spans="1:57" ht="9.75" customHeight="1">
      <c r="O4" s="360"/>
      <c r="P4" s="360"/>
      <c r="Q4" s="360"/>
      <c r="R4" s="360"/>
      <c r="S4" s="360"/>
      <c r="T4" s="360"/>
      <c r="U4" s="360"/>
      <c r="V4" s="360"/>
      <c r="W4" s="360"/>
      <c r="X4" s="360"/>
      <c r="Y4" s="360"/>
      <c r="Z4" s="360"/>
      <c r="AA4" s="360"/>
      <c r="AB4" s="360"/>
      <c r="AC4" s="360"/>
      <c r="AD4" s="360"/>
      <c r="AE4" s="360"/>
      <c r="AF4" s="360"/>
      <c r="AG4" s="360"/>
      <c r="AH4" s="360"/>
      <c r="AI4" s="360"/>
      <c r="AJ4" s="360"/>
      <c r="AK4" s="360"/>
      <c r="AL4" s="360"/>
      <c r="AM4" s="360"/>
      <c r="AR4" s="93"/>
      <c r="AS4" s="93"/>
      <c r="AT4" s="93"/>
      <c r="AU4" s="122"/>
      <c r="AV4" s="122"/>
      <c r="AW4" s="122"/>
      <c r="AX4" s="122"/>
      <c r="AY4" s="385" t="str">
        <f>_xlfn.XLOOKUP(A1,TablaTsuchichou[No],TablaTsuchichou[年齢],"",0,1)</f>
        <v/>
      </c>
      <c r="AZ4" s="385"/>
      <c r="BA4" s="385"/>
      <c r="BB4" s="385"/>
      <c r="BC4" s="385"/>
      <c r="BD4" s="385"/>
    </row>
    <row r="5" spans="1:57" ht="9.75" customHeight="1">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R5" s="93"/>
      <c r="AS5" s="93"/>
      <c r="AT5" s="93"/>
      <c r="AU5" s="122"/>
      <c r="AV5" s="122"/>
      <c r="AW5" s="122"/>
      <c r="AX5" s="122"/>
      <c r="AY5" s="122"/>
      <c r="AZ5" s="122"/>
      <c r="BA5" s="122"/>
      <c r="BB5" s="121"/>
      <c r="BC5" s="121"/>
    </row>
    <row r="6" spans="1:57" ht="9.75" customHeight="1">
      <c r="AU6" s="121"/>
      <c r="BB6" s="121"/>
      <c r="BC6" s="121"/>
    </row>
    <row r="7" spans="1:57" ht="9.75" customHeight="1">
      <c r="AU7" s="121"/>
      <c r="AV7" s="121"/>
      <c r="AW7" s="121"/>
      <c r="AX7" s="121"/>
      <c r="AY7" s="121"/>
      <c r="AZ7" s="121"/>
      <c r="BA7" s="121"/>
      <c r="BB7" s="121"/>
      <c r="BC7" s="121"/>
    </row>
    <row r="8" spans="1:57" ht="9.75" customHeight="1">
      <c r="AU8" s="121"/>
      <c r="AV8" s="121"/>
      <c r="AW8" s="121"/>
      <c r="AX8" s="121"/>
      <c r="AY8" s="121"/>
      <c r="AZ8" s="121"/>
      <c r="BA8" s="121"/>
      <c r="BB8" s="121"/>
      <c r="BC8" s="121"/>
    </row>
    <row r="9" spans="1:57" ht="9.75" customHeight="1">
      <c r="C9" s="359" t="e">
        <f>IF(_xlfn.XLOOKUP(B1,KanriDaichou[配属係],KanriDaichou[派遣開始日],"",0,1)&lt;O37,_xlfn.XLOOKUP(B1,KanriDaichou[配属係],KanriDaichou[派遣開始日],"",0,1),O37)</f>
        <v>#N/A</v>
      </c>
      <c r="D9" s="359"/>
      <c r="E9" s="359"/>
      <c r="F9" s="359"/>
      <c r="G9" s="359"/>
      <c r="H9" s="359"/>
      <c r="I9" s="359"/>
      <c r="J9" s="57" t="s">
        <v>2333</v>
      </c>
      <c r="K9" s="57"/>
      <c r="L9" s="57"/>
      <c r="M9" s="57"/>
      <c r="N9" s="57"/>
      <c r="O9" s="57"/>
      <c r="P9" s="57"/>
      <c r="Q9" s="57"/>
      <c r="R9" s="57"/>
      <c r="S9" s="57"/>
      <c r="T9" s="57"/>
      <c r="U9" s="72"/>
      <c r="V9" s="72"/>
      <c r="W9" s="72"/>
      <c r="X9" s="72"/>
      <c r="Y9" s="72"/>
      <c r="Z9" s="72"/>
      <c r="AA9" s="72"/>
      <c r="AB9" s="72"/>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row>
    <row r="10" spans="1:57" ht="9.75" customHeight="1">
      <c r="C10" s="327"/>
      <c r="D10" s="327"/>
      <c r="E10" s="327"/>
      <c r="F10" s="327"/>
      <c r="G10" s="327"/>
      <c r="H10" s="327"/>
      <c r="I10" s="327"/>
      <c r="J10" s="327"/>
      <c r="K10" s="327"/>
      <c r="L10" s="327"/>
      <c r="M10" s="327"/>
      <c r="N10" s="327"/>
      <c r="O10" s="327"/>
      <c r="P10" s="327"/>
      <c r="Q10" s="327"/>
      <c r="R10" s="327"/>
      <c r="S10" s="327"/>
      <c r="T10" s="327"/>
      <c r="U10" s="327"/>
      <c r="V10" s="327"/>
      <c r="W10" s="327"/>
      <c r="X10" s="327"/>
      <c r="Y10" s="327"/>
      <c r="Z10" s="327"/>
      <c r="AA10" s="327"/>
      <c r="AB10" s="327"/>
      <c r="AC10" s="327"/>
      <c r="AD10" s="327"/>
      <c r="AE10" s="327"/>
      <c r="AF10" s="327"/>
      <c r="AG10" s="327"/>
      <c r="AH10" s="327"/>
      <c r="AI10" s="327"/>
      <c r="AJ10" s="327"/>
      <c r="AK10" s="327"/>
      <c r="AL10" s="327"/>
      <c r="AM10" s="327"/>
      <c r="AN10" s="327"/>
      <c r="AO10" s="327"/>
      <c r="AP10" s="327"/>
      <c r="AQ10" s="327"/>
      <c r="AR10" s="327"/>
      <c r="AS10" s="327"/>
      <c r="AT10" s="327"/>
      <c r="AU10" s="327"/>
      <c r="AV10" s="327"/>
      <c r="AW10" s="327"/>
      <c r="AX10" s="327"/>
      <c r="AY10" s="327"/>
      <c r="AZ10" s="327"/>
      <c r="BA10" s="327"/>
      <c r="BB10" s="327"/>
      <c r="BC10" s="327"/>
    </row>
    <row r="11" spans="1:57" ht="9.75" customHeight="1">
      <c r="C11" s="365" t="s">
        <v>2289</v>
      </c>
      <c r="D11" s="366"/>
      <c r="E11" s="366"/>
      <c r="F11" s="366"/>
      <c r="G11" s="366"/>
      <c r="H11" s="366"/>
      <c r="I11" s="366"/>
      <c r="J11" s="366"/>
      <c r="K11" s="366"/>
      <c r="L11" s="366"/>
      <c r="M11" s="367"/>
      <c r="N11" s="374"/>
      <c r="O11" s="361" t="e">
        <f>VLOOKUP(A1,通知書Genzai!I9:Q66,2,TRUE)</f>
        <v>#N/A</v>
      </c>
      <c r="P11" s="361"/>
      <c r="Q11" s="361"/>
      <c r="R11" s="361"/>
      <c r="S11" s="361"/>
      <c r="T11" s="361"/>
      <c r="U11" s="361"/>
      <c r="V11" s="361"/>
      <c r="W11" s="361"/>
      <c r="X11" s="361"/>
      <c r="Y11" s="361"/>
      <c r="Z11" s="361"/>
      <c r="AA11" s="361"/>
      <c r="AB11" s="361"/>
      <c r="AC11" s="361"/>
      <c r="AD11" s="361"/>
      <c r="AE11" s="361"/>
      <c r="AF11" s="361"/>
      <c r="AG11" s="361"/>
      <c r="AH11" s="361"/>
      <c r="AI11" s="361"/>
      <c r="AJ11" s="361"/>
      <c r="AK11" s="361"/>
      <c r="AL11" s="361"/>
      <c r="AM11" s="361"/>
      <c r="AN11" s="361"/>
      <c r="AO11" s="361"/>
      <c r="AP11" s="361"/>
      <c r="AQ11" s="361"/>
      <c r="AR11" s="361"/>
      <c r="AS11" s="361"/>
      <c r="AT11" s="361"/>
      <c r="AU11" s="361"/>
      <c r="AV11" s="361"/>
      <c r="AW11" s="361"/>
      <c r="AX11" s="361"/>
      <c r="AY11" s="361"/>
      <c r="AZ11" s="361"/>
      <c r="BA11" s="361"/>
      <c r="BB11" s="361"/>
      <c r="BC11" s="362"/>
    </row>
    <row r="12" spans="1:57" ht="9.75" customHeight="1">
      <c r="C12" s="368"/>
      <c r="D12" s="369"/>
      <c r="E12" s="369"/>
      <c r="F12" s="369"/>
      <c r="G12" s="369"/>
      <c r="H12" s="369"/>
      <c r="I12" s="369"/>
      <c r="J12" s="369"/>
      <c r="K12" s="369"/>
      <c r="L12" s="369"/>
      <c r="M12" s="370"/>
      <c r="N12" s="375"/>
      <c r="O12" s="377"/>
      <c r="P12" s="377"/>
      <c r="Q12" s="377"/>
      <c r="R12" s="377"/>
      <c r="S12" s="377"/>
      <c r="T12" s="377"/>
      <c r="U12" s="377"/>
      <c r="V12" s="377"/>
      <c r="W12" s="377"/>
      <c r="X12" s="377"/>
      <c r="Y12" s="377"/>
      <c r="Z12" s="377"/>
      <c r="AA12" s="377"/>
      <c r="AB12" s="377"/>
      <c r="AC12" s="377"/>
      <c r="AD12" s="377"/>
      <c r="AE12" s="377"/>
      <c r="AF12" s="377"/>
      <c r="AG12" s="377"/>
      <c r="AH12" s="377"/>
      <c r="AI12" s="377"/>
      <c r="AJ12" s="377"/>
      <c r="AK12" s="377"/>
      <c r="AL12" s="377"/>
      <c r="AM12" s="377"/>
      <c r="AN12" s="377"/>
      <c r="AO12" s="377"/>
      <c r="AP12" s="377"/>
      <c r="AQ12" s="377"/>
      <c r="AR12" s="377"/>
      <c r="AS12" s="377"/>
      <c r="AT12" s="377"/>
      <c r="AU12" s="377"/>
      <c r="AV12" s="377"/>
      <c r="AW12" s="377"/>
      <c r="AX12" s="377"/>
      <c r="AY12" s="377"/>
      <c r="AZ12" s="377"/>
      <c r="BA12" s="377"/>
      <c r="BB12" s="377"/>
      <c r="BC12" s="378"/>
    </row>
    <row r="13" spans="1:57" ht="15" customHeight="1">
      <c r="C13" s="371"/>
      <c r="D13" s="372"/>
      <c r="E13" s="372"/>
      <c r="F13" s="372"/>
      <c r="G13" s="372"/>
      <c r="H13" s="372"/>
      <c r="I13" s="372"/>
      <c r="J13" s="372"/>
      <c r="K13" s="372"/>
      <c r="L13" s="372"/>
      <c r="M13" s="373"/>
      <c r="N13" s="376"/>
      <c r="O13" s="363"/>
      <c r="P13" s="363"/>
      <c r="Q13" s="363"/>
      <c r="R13" s="363"/>
      <c r="S13" s="363"/>
      <c r="T13" s="363"/>
      <c r="U13" s="363"/>
      <c r="V13" s="363"/>
      <c r="W13" s="363"/>
      <c r="X13" s="363"/>
      <c r="Y13" s="363"/>
      <c r="Z13" s="363"/>
      <c r="AA13" s="363"/>
      <c r="AB13" s="363"/>
      <c r="AC13" s="363"/>
      <c r="AD13" s="363"/>
      <c r="AE13" s="363"/>
      <c r="AF13" s="363"/>
      <c r="AG13" s="363"/>
      <c r="AH13" s="363"/>
      <c r="AI13" s="363"/>
      <c r="AJ13" s="363"/>
      <c r="AK13" s="363"/>
      <c r="AL13" s="363"/>
      <c r="AM13" s="363"/>
      <c r="AN13" s="363"/>
      <c r="AO13" s="363"/>
      <c r="AP13" s="363"/>
      <c r="AQ13" s="363"/>
      <c r="AR13" s="363"/>
      <c r="AS13" s="363"/>
      <c r="AT13" s="363"/>
      <c r="AU13" s="363"/>
      <c r="AV13" s="363"/>
      <c r="AW13" s="363"/>
      <c r="AX13" s="363"/>
      <c r="AY13" s="363"/>
      <c r="AZ13" s="363"/>
      <c r="BA13" s="363"/>
      <c r="BB13" s="363"/>
      <c r="BC13" s="364"/>
    </row>
    <row r="14" spans="1:57" ht="11.25" customHeight="1">
      <c r="C14" s="379" t="s">
        <v>2329</v>
      </c>
      <c r="D14" s="366"/>
      <c r="E14" s="366"/>
      <c r="F14" s="366"/>
      <c r="G14" s="366"/>
      <c r="H14" s="366"/>
      <c r="I14" s="366"/>
      <c r="J14" s="366"/>
      <c r="K14" s="366"/>
      <c r="L14" s="366"/>
      <c r="M14" s="367"/>
      <c r="N14" s="69"/>
      <c r="O14" s="361" t="e">
        <f>VLOOKUP(A1,通知書Genzai!I9:Q66,3,TRUE)</f>
        <v>#N/A</v>
      </c>
      <c r="P14" s="361"/>
      <c r="Q14" s="361"/>
      <c r="R14" s="361"/>
      <c r="S14" s="361"/>
      <c r="T14" s="361"/>
      <c r="U14" s="361"/>
      <c r="V14" s="361"/>
      <c r="W14" s="361"/>
      <c r="X14" s="361"/>
      <c r="Y14" s="361" t="e">
        <f>IF(VLOOKUP(A1,通知書Genzai!I9:Q66,4)="60歳未満","□60才以上       ☑ 60才未満","☑60才以上        □ 60才未満")</f>
        <v>#N/A</v>
      </c>
      <c r="Z14" s="361"/>
      <c r="AA14" s="361"/>
      <c r="AB14" s="361"/>
      <c r="AC14" s="361"/>
      <c r="AD14" s="361"/>
      <c r="AE14" s="361"/>
      <c r="AF14" s="361"/>
      <c r="AG14" s="361"/>
      <c r="AH14" s="361"/>
      <c r="AI14" s="361"/>
      <c r="AJ14" s="361"/>
      <c r="AK14" s="361"/>
      <c r="AL14" s="361"/>
      <c r="AM14" s="361"/>
      <c r="AN14" s="361"/>
      <c r="AO14" s="361"/>
      <c r="AP14" s="361"/>
      <c r="AQ14" s="361"/>
      <c r="AR14" s="361"/>
      <c r="AS14" s="361"/>
      <c r="AT14" s="361"/>
      <c r="AU14" s="361"/>
      <c r="AV14" s="361"/>
      <c r="AW14" s="361"/>
      <c r="AX14" s="361"/>
      <c r="AY14" s="361"/>
      <c r="AZ14" s="361"/>
      <c r="BA14" s="361"/>
      <c r="BB14" s="361"/>
      <c r="BC14" s="362"/>
    </row>
    <row r="15" spans="1:57" ht="11.25" customHeight="1">
      <c r="C15" s="371"/>
      <c r="D15" s="372"/>
      <c r="E15" s="372"/>
      <c r="F15" s="372"/>
      <c r="G15" s="372"/>
      <c r="H15" s="372"/>
      <c r="I15" s="372"/>
      <c r="J15" s="372"/>
      <c r="K15" s="372"/>
      <c r="L15" s="372"/>
      <c r="M15" s="373"/>
      <c r="N15" s="70"/>
      <c r="O15" s="363"/>
      <c r="P15" s="363"/>
      <c r="Q15" s="363"/>
      <c r="R15" s="363"/>
      <c r="S15" s="363"/>
      <c r="T15" s="363"/>
      <c r="U15" s="363"/>
      <c r="V15" s="363"/>
      <c r="W15" s="363"/>
      <c r="X15" s="363"/>
      <c r="Y15" s="363"/>
      <c r="Z15" s="363"/>
      <c r="AA15" s="363"/>
      <c r="AB15" s="363"/>
      <c r="AC15" s="363"/>
      <c r="AD15" s="363"/>
      <c r="AE15" s="363"/>
      <c r="AF15" s="363"/>
      <c r="AG15" s="363"/>
      <c r="AH15" s="363"/>
      <c r="AI15" s="363"/>
      <c r="AJ15" s="363"/>
      <c r="AK15" s="363"/>
      <c r="AL15" s="363"/>
      <c r="AM15" s="363"/>
      <c r="AN15" s="363"/>
      <c r="AO15" s="363"/>
      <c r="AP15" s="363"/>
      <c r="AQ15" s="363"/>
      <c r="AR15" s="363"/>
      <c r="AS15" s="363"/>
      <c r="AT15" s="363"/>
      <c r="AU15" s="363"/>
      <c r="AV15" s="363"/>
      <c r="AW15" s="363"/>
      <c r="AX15" s="363"/>
      <c r="AY15" s="363"/>
      <c r="AZ15" s="363"/>
      <c r="BA15" s="363"/>
      <c r="BB15" s="363"/>
      <c r="BC15" s="364"/>
    </row>
    <row r="16" spans="1:57" ht="13.5" customHeight="1">
      <c r="C16" s="380" t="s">
        <v>2290</v>
      </c>
      <c r="D16" s="381"/>
      <c r="E16" s="381"/>
      <c r="F16" s="381"/>
      <c r="G16" s="381"/>
      <c r="H16" s="381"/>
      <c r="I16" s="381"/>
      <c r="J16" s="381"/>
      <c r="K16" s="381"/>
      <c r="L16" s="381"/>
      <c r="M16" s="382"/>
      <c r="N16" s="383" t="s">
        <v>2291</v>
      </c>
      <c r="O16" s="361"/>
      <c r="P16" s="361"/>
      <c r="Q16" s="361"/>
      <c r="R16" s="361"/>
      <c r="S16" s="361"/>
      <c r="T16" s="361"/>
      <c r="U16" s="361" t="s">
        <v>2296</v>
      </c>
      <c r="V16" s="361"/>
      <c r="W16" s="361"/>
      <c r="X16" s="361"/>
      <c r="Y16" s="361" t="s">
        <v>2292</v>
      </c>
      <c r="Z16" s="361"/>
      <c r="AA16" s="361"/>
      <c r="AB16" s="361"/>
      <c r="AC16" s="361"/>
      <c r="AD16" s="361"/>
      <c r="AE16" s="361"/>
      <c r="AF16" s="361"/>
      <c r="AG16" s="361"/>
      <c r="AH16" s="361"/>
      <c r="AI16" s="361"/>
      <c r="AJ16" s="361"/>
      <c r="AK16" s="361"/>
      <c r="AL16" s="361"/>
      <c r="AM16" s="361" t="s">
        <v>2293</v>
      </c>
      <c r="AN16" s="361"/>
      <c r="AO16" s="361"/>
      <c r="AP16" s="361"/>
      <c r="AQ16" s="361"/>
      <c r="AR16" s="361"/>
      <c r="AS16" s="361"/>
      <c r="AT16" s="361"/>
      <c r="AU16" s="361"/>
      <c r="AV16" s="361"/>
      <c r="AW16" s="361"/>
      <c r="AX16" s="361"/>
      <c r="AY16" s="361"/>
      <c r="AZ16" s="361"/>
      <c r="BA16" s="361"/>
      <c r="BB16" s="361"/>
      <c r="BC16" s="362"/>
    </row>
    <row r="17" spans="3:55" ht="13.5" customHeight="1">
      <c r="C17" s="380"/>
      <c r="D17" s="381"/>
      <c r="E17" s="381"/>
      <c r="F17" s="381"/>
      <c r="G17" s="381"/>
      <c r="H17" s="381"/>
      <c r="I17" s="381"/>
      <c r="J17" s="381"/>
      <c r="K17" s="381"/>
      <c r="L17" s="381"/>
      <c r="M17" s="382"/>
      <c r="N17" s="384"/>
      <c r="O17" s="363"/>
      <c r="P17" s="363"/>
      <c r="Q17" s="363"/>
      <c r="R17" s="363"/>
      <c r="S17" s="363"/>
      <c r="T17" s="363"/>
      <c r="U17" s="363"/>
      <c r="V17" s="363"/>
      <c r="W17" s="363"/>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3"/>
      <c r="AT17" s="363"/>
      <c r="AU17" s="363"/>
      <c r="AV17" s="363"/>
      <c r="AW17" s="363"/>
      <c r="AX17" s="363"/>
      <c r="AY17" s="363"/>
      <c r="AZ17" s="363"/>
      <c r="BA17" s="363"/>
      <c r="BB17" s="363"/>
      <c r="BC17" s="364"/>
    </row>
    <row r="18" spans="3:55" ht="13.5" customHeight="1">
      <c r="C18" s="386" t="s">
        <v>2294</v>
      </c>
      <c r="D18" s="387"/>
      <c r="E18" s="387"/>
      <c r="F18" s="387"/>
      <c r="G18" s="387"/>
      <c r="H18" s="387"/>
      <c r="I18" s="387"/>
      <c r="J18" s="387"/>
      <c r="K18" s="387"/>
      <c r="L18" s="387"/>
      <c r="M18" s="388"/>
      <c r="N18" s="383" t="s">
        <v>2295</v>
      </c>
      <c r="O18" s="361"/>
      <c r="P18" s="361"/>
      <c r="Q18" s="361"/>
      <c r="R18" s="361"/>
      <c r="S18" s="361"/>
      <c r="T18" s="361"/>
      <c r="U18" s="361" t="s">
        <v>2296</v>
      </c>
      <c r="V18" s="361"/>
      <c r="W18" s="361"/>
      <c r="X18" s="361"/>
      <c r="Y18" s="361" t="s">
        <v>2292</v>
      </c>
      <c r="Z18" s="361"/>
      <c r="AA18" s="361"/>
      <c r="AB18" s="361"/>
      <c r="AC18" s="361"/>
      <c r="AD18" s="361"/>
      <c r="AE18" s="361"/>
      <c r="AF18" s="361"/>
      <c r="AG18" s="361"/>
      <c r="AH18" s="361"/>
      <c r="AI18" s="361"/>
      <c r="AJ18" s="361"/>
      <c r="AK18" s="361"/>
      <c r="AL18" s="361"/>
      <c r="AM18" s="361" t="s">
        <v>2293</v>
      </c>
      <c r="AN18" s="361"/>
      <c r="AO18" s="361"/>
      <c r="AP18" s="361"/>
      <c r="AQ18" s="361"/>
      <c r="AR18" s="361"/>
      <c r="AS18" s="361"/>
      <c r="AT18" s="361"/>
      <c r="AU18" s="361"/>
      <c r="AV18" s="361"/>
      <c r="AW18" s="361"/>
      <c r="AX18" s="361"/>
      <c r="AY18" s="361"/>
      <c r="AZ18" s="361"/>
      <c r="BA18" s="361"/>
      <c r="BB18" s="361"/>
      <c r="BC18" s="362"/>
    </row>
    <row r="19" spans="3:55" ht="13.5" customHeight="1">
      <c r="C19" s="386"/>
      <c r="D19" s="387"/>
      <c r="E19" s="387"/>
      <c r="F19" s="387"/>
      <c r="G19" s="387"/>
      <c r="H19" s="387"/>
      <c r="I19" s="387"/>
      <c r="J19" s="387"/>
      <c r="K19" s="387"/>
      <c r="L19" s="387"/>
      <c r="M19" s="388"/>
      <c r="N19" s="384"/>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c r="AM19" s="363"/>
      <c r="AN19" s="363"/>
      <c r="AO19" s="363"/>
      <c r="AP19" s="363"/>
      <c r="AQ19" s="363"/>
      <c r="AR19" s="363"/>
      <c r="AS19" s="363"/>
      <c r="AT19" s="363"/>
      <c r="AU19" s="363"/>
      <c r="AV19" s="363"/>
      <c r="AW19" s="363"/>
      <c r="AX19" s="363"/>
      <c r="AY19" s="363"/>
      <c r="AZ19" s="363"/>
      <c r="BA19" s="363"/>
      <c r="BB19" s="363"/>
      <c r="BC19" s="364"/>
    </row>
    <row r="20" spans="3:55" ht="13.5" customHeight="1">
      <c r="C20" s="389" t="s">
        <v>2297</v>
      </c>
      <c r="D20" s="390"/>
      <c r="E20" s="390"/>
      <c r="F20" s="390"/>
      <c r="G20" s="390"/>
      <c r="H20" s="390"/>
      <c r="I20" s="390"/>
      <c r="J20" s="390"/>
      <c r="K20" s="390"/>
      <c r="L20" s="390"/>
      <c r="M20" s="391"/>
      <c r="N20" s="377" t="s">
        <v>2298</v>
      </c>
      <c r="O20" s="377"/>
      <c r="P20" s="377"/>
      <c r="Q20" s="377"/>
      <c r="R20" s="377"/>
      <c r="S20" s="377"/>
      <c r="T20" s="377"/>
      <c r="U20" s="377" t="s">
        <v>2296</v>
      </c>
      <c r="V20" s="377"/>
      <c r="W20" s="377"/>
      <c r="X20" s="377"/>
      <c r="Y20" s="377" t="s">
        <v>2292</v>
      </c>
      <c r="Z20" s="377"/>
      <c r="AA20" s="377"/>
      <c r="AB20" s="377"/>
      <c r="AC20" s="377"/>
      <c r="AD20" s="377"/>
      <c r="AE20" s="377"/>
      <c r="AF20" s="377"/>
      <c r="AG20" s="377"/>
      <c r="AH20" s="377"/>
      <c r="AI20" s="377"/>
      <c r="AJ20" s="377"/>
      <c r="AK20" s="377"/>
      <c r="AL20" s="377"/>
      <c r="AM20" s="377" t="s">
        <v>2293</v>
      </c>
      <c r="AN20" s="377"/>
      <c r="AO20" s="377"/>
      <c r="AP20" s="377"/>
      <c r="AQ20" s="377"/>
      <c r="AR20" s="377"/>
      <c r="AS20" s="377"/>
      <c r="AT20" s="377"/>
      <c r="AU20" s="377"/>
      <c r="AV20" s="377"/>
      <c r="AW20" s="377"/>
      <c r="AX20" s="377"/>
      <c r="AY20" s="377"/>
      <c r="AZ20" s="377"/>
      <c r="BA20" s="377"/>
      <c r="BB20" s="377"/>
      <c r="BC20" s="378"/>
    </row>
    <row r="21" spans="3:55" ht="13.5" customHeight="1">
      <c r="C21" s="392"/>
      <c r="D21" s="393"/>
      <c r="E21" s="393"/>
      <c r="F21" s="393"/>
      <c r="G21" s="393"/>
      <c r="H21" s="393"/>
      <c r="I21" s="393"/>
      <c r="J21" s="393"/>
      <c r="K21" s="393"/>
      <c r="L21" s="393"/>
      <c r="M21" s="394"/>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c r="AM21" s="363"/>
      <c r="AN21" s="363"/>
      <c r="AO21" s="363"/>
      <c r="AP21" s="363"/>
      <c r="AQ21" s="363"/>
      <c r="AR21" s="363"/>
      <c r="AS21" s="363"/>
      <c r="AT21" s="363"/>
      <c r="AU21" s="363"/>
      <c r="AV21" s="363"/>
      <c r="AW21" s="363"/>
      <c r="AX21" s="363"/>
      <c r="AY21" s="363"/>
      <c r="AZ21" s="363"/>
      <c r="BA21" s="363"/>
      <c r="BB21" s="363"/>
      <c r="BC21" s="364"/>
    </row>
    <row r="22" spans="3:55" ht="9" customHeight="1">
      <c r="C22" s="395" t="s">
        <v>2299</v>
      </c>
      <c r="D22" s="396"/>
      <c r="E22" s="396"/>
      <c r="F22" s="396"/>
      <c r="G22" s="396"/>
      <c r="H22" s="396"/>
      <c r="I22" s="396"/>
      <c r="J22" s="396"/>
      <c r="K22" s="396"/>
      <c r="L22" s="396"/>
      <c r="M22" s="397"/>
      <c r="N22" s="401"/>
      <c r="O22" s="377" t="str">
        <f>Fabrica</f>
        <v>高雄工業株式会社</v>
      </c>
      <c r="P22" s="377"/>
      <c r="Q22" s="377"/>
      <c r="R22" s="377"/>
      <c r="S22" s="377"/>
      <c r="T22" s="377"/>
      <c r="U22" s="377"/>
      <c r="V22" s="377"/>
      <c r="W22" s="377"/>
      <c r="X22" s="377"/>
      <c r="Y22" s="377"/>
      <c r="Z22" s="377"/>
      <c r="AA22" s="377"/>
      <c r="AB22" s="377"/>
      <c r="AC22" s="377"/>
      <c r="AD22" s="377"/>
      <c r="AE22" s="377"/>
      <c r="AF22" s="377"/>
      <c r="AG22" s="377"/>
      <c r="AH22" s="377"/>
      <c r="AI22" s="377"/>
      <c r="AJ22" s="377"/>
      <c r="AK22" s="377"/>
      <c r="AL22" s="377"/>
      <c r="AM22" s="377"/>
      <c r="AN22" s="377"/>
      <c r="AO22" s="377"/>
      <c r="AP22" s="377"/>
      <c r="AQ22" s="377"/>
      <c r="AR22" s="377"/>
      <c r="AS22" s="377"/>
      <c r="AT22" s="377"/>
      <c r="AU22" s="377"/>
      <c r="AV22" s="377"/>
      <c r="AW22" s="377"/>
      <c r="AX22" s="377"/>
      <c r="AY22" s="377"/>
      <c r="AZ22" s="377"/>
      <c r="BA22" s="377"/>
      <c r="BB22" s="377"/>
      <c r="BC22" s="378"/>
    </row>
    <row r="23" spans="3:55" ht="9" customHeight="1">
      <c r="C23" s="368"/>
      <c r="D23" s="369"/>
      <c r="E23" s="369"/>
      <c r="F23" s="369"/>
      <c r="G23" s="369"/>
      <c r="H23" s="369"/>
      <c r="I23" s="369"/>
      <c r="J23" s="369"/>
      <c r="K23" s="369"/>
      <c r="L23" s="369"/>
      <c r="M23" s="370"/>
      <c r="N23" s="401"/>
      <c r="O23" s="377"/>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377"/>
      <c r="AQ23" s="377"/>
      <c r="AR23" s="377"/>
      <c r="AS23" s="377"/>
      <c r="AT23" s="377"/>
      <c r="AU23" s="377"/>
      <c r="AV23" s="377"/>
      <c r="AW23" s="377"/>
      <c r="AX23" s="377"/>
      <c r="AY23" s="377"/>
      <c r="AZ23" s="377"/>
      <c r="BA23" s="377"/>
      <c r="BB23" s="377"/>
      <c r="BC23" s="378"/>
    </row>
    <row r="24" spans="3:55" ht="9" customHeight="1">
      <c r="C24" s="398"/>
      <c r="D24" s="399"/>
      <c r="E24" s="399"/>
      <c r="F24" s="399"/>
      <c r="G24" s="399"/>
      <c r="H24" s="399"/>
      <c r="I24" s="399"/>
      <c r="J24" s="399"/>
      <c r="K24" s="399"/>
      <c r="L24" s="399"/>
      <c r="M24" s="400"/>
      <c r="N24" s="401"/>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7"/>
      <c r="AW24" s="377"/>
      <c r="AX24" s="377"/>
      <c r="AY24" s="377"/>
      <c r="AZ24" s="377"/>
      <c r="BA24" s="377"/>
      <c r="BB24" s="377"/>
      <c r="BC24" s="378"/>
    </row>
    <row r="25" spans="3:55" ht="9" customHeight="1">
      <c r="C25" s="365" t="s">
        <v>2300</v>
      </c>
      <c r="D25" s="366"/>
      <c r="E25" s="366"/>
      <c r="F25" s="366"/>
      <c r="G25" s="366"/>
      <c r="H25" s="366"/>
      <c r="I25" s="366"/>
      <c r="J25" s="366"/>
      <c r="K25" s="366"/>
      <c r="L25" s="366"/>
      <c r="M25" s="367"/>
      <c r="N25" s="361"/>
      <c r="O25" s="361" t="str">
        <f>_xlfn.XLOOKUP(O22,KanriDaichou[派遣先事業所],KanriDaichou[派遣先事業所住所],"",0,1)</f>
        <v>愛知県弥富市楠三丁目13番地2</v>
      </c>
      <c r="P25" s="361"/>
      <c r="Q25" s="361"/>
      <c r="R25" s="361"/>
      <c r="S25" s="361"/>
      <c r="T25" s="361"/>
      <c r="U25" s="361"/>
      <c r="V25" s="361"/>
      <c r="W25" s="361"/>
      <c r="X25" s="361"/>
      <c r="Y25" s="361"/>
      <c r="Z25" s="361"/>
      <c r="AA25" s="361"/>
      <c r="AB25" s="361"/>
      <c r="AC25" s="361"/>
      <c r="AD25" s="361"/>
      <c r="AE25" s="361"/>
      <c r="AF25" s="361"/>
      <c r="AG25" s="361"/>
      <c r="AH25" s="361"/>
      <c r="AI25" s="361"/>
      <c r="AJ25" s="383" t="s">
        <v>2301</v>
      </c>
      <c r="AK25" s="361"/>
      <c r="AL25" s="361"/>
      <c r="AM25" s="361"/>
      <c r="AN25" s="361"/>
      <c r="AO25" s="361"/>
      <c r="AP25" s="362"/>
      <c r="AQ25" s="403" t="str">
        <f>個別契約書X!J8&amp;" "&amp;個別契約書X!J7&amp;" "&amp;個別契約書X!L6</f>
        <v xml:space="preserve">  (課長）</v>
      </c>
      <c r="AR25" s="404"/>
      <c r="AS25" s="404"/>
      <c r="AT25" s="404"/>
      <c r="AU25" s="404"/>
      <c r="AV25" s="404"/>
      <c r="AW25" s="404"/>
      <c r="AX25" s="404"/>
      <c r="AY25" s="404"/>
      <c r="AZ25" s="404"/>
      <c r="BA25" s="404"/>
      <c r="BB25" s="404"/>
      <c r="BC25" s="405"/>
    </row>
    <row r="26" spans="3:55" ht="9" customHeight="1">
      <c r="C26" s="368"/>
      <c r="D26" s="369"/>
      <c r="E26" s="369"/>
      <c r="F26" s="369"/>
      <c r="G26" s="369"/>
      <c r="H26" s="369"/>
      <c r="I26" s="369"/>
      <c r="J26" s="369"/>
      <c r="K26" s="369"/>
      <c r="L26" s="369"/>
      <c r="M26" s="370"/>
      <c r="N26" s="377"/>
      <c r="O26" s="377"/>
      <c r="P26" s="377"/>
      <c r="Q26" s="377"/>
      <c r="R26" s="377"/>
      <c r="S26" s="377"/>
      <c r="T26" s="377"/>
      <c r="U26" s="377"/>
      <c r="V26" s="377"/>
      <c r="W26" s="377"/>
      <c r="X26" s="377"/>
      <c r="Y26" s="377"/>
      <c r="Z26" s="377"/>
      <c r="AA26" s="377"/>
      <c r="AB26" s="377"/>
      <c r="AC26" s="377"/>
      <c r="AD26" s="377"/>
      <c r="AE26" s="377"/>
      <c r="AF26" s="377"/>
      <c r="AG26" s="377"/>
      <c r="AH26" s="377"/>
      <c r="AI26" s="377"/>
      <c r="AJ26" s="402"/>
      <c r="AK26" s="377"/>
      <c r="AL26" s="377"/>
      <c r="AM26" s="377"/>
      <c r="AN26" s="377"/>
      <c r="AO26" s="377"/>
      <c r="AP26" s="378"/>
      <c r="AQ26" s="406"/>
      <c r="AR26" s="407"/>
      <c r="AS26" s="407"/>
      <c r="AT26" s="407"/>
      <c r="AU26" s="407"/>
      <c r="AV26" s="407"/>
      <c r="AW26" s="407"/>
      <c r="AX26" s="407"/>
      <c r="AY26" s="407"/>
      <c r="AZ26" s="407"/>
      <c r="BA26" s="407"/>
      <c r="BB26" s="407"/>
      <c r="BC26" s="408"/>
    </row>
    <row r="27" spans="3:55" ht="9" customHeight="1">
      <c r="C27" s="371"/>
      <c r="D27" s="372"/>
      <c r="E27" s="372"/>
      <c r="F27" s="372"/>
      <c r="G27" s="372"/>
      <c r="H27" s="372"/>
      <c r="I27" s="372"/>
      <c r="J27" s="372"/>
      <c r="K27" s="372"/>
      <c r="L27" s="372"/>
      <c r="M27" s="373"/>
      <c r="N27" s="363"/>
      <c r="O27" s="363"/>
      <c r="P27" s="363"/>
      <c r="Q27" s="363"/>
      <c r="R27" s="363"/>
      <c r="S27" s="363"/>
      <c r="T27" s="363"/>
      <c r="U27" s="363"/>
      <c r="V27" s="363"/>
      <c r="W27" s="363"/>
      <c r="X27" s="363"/>
      <c r="Y27" s="363"/>
      <c r="Z27" s="363"/>
      <c r="AA27" s="363"/>
      <c r="AB27" s="363"/>
      <c r="AC27" s="363"/>
      <c r="AD27" s="363"/>
      <c r="AE27" s="363"/>
      <c r="AF27" s="363"/>
      <c r="AG27" s="363"/>
      <c r="AH27" s="363"/>
      <c r="AI27" s="363"/>
      <c r="AJ27" s="384"/>
      <c r="AK27" s="363"/>
      <c r="AL27" s="363"/>
      <c r="AM27" s="363"/>
      <c r="AN27" s="363"/>
      <c r="AO27" s="363"/>
      <c r="AP27" s="364"/>
      <c r="AQ27" s="409"/>
      <c r="AR27" s="410"/>
      <c r="AS27" s="410"/>
      <c r="AT27" s="410"/>
      <c r="AU27" s="410"/>
      <c r="AV27" s="410"/>
      <c r="AW27" s="410"/>
      <c r="AX27" s="410"/>
      <c r="AY27" s="410"/>
      <c r="AZ27" s="410"/>
      <c r="BA27" s="410"/>
      <c r="BB27" s="410"/>
      <c r="BC27" s="411"/>
    </row>
    <row r="28" spans="3:55" ht="9.75" customHeight="1">
      <c r="C28" s="395" t="s">
        <v>2302</v>
      </c>
      <c r="D28" s="396"/>
      <c r="E28" s="396"/>
      <c r="F28" s="396"/>
      <c r="G28" s="396"/>
      <c r="H28" s="396"/>
      <c r="I28" s="396"/>
      <c r="J28" s="396"/>
      <c r="K28" s="396"/>
      <c r="L28" s="412"/>
      <c r="M28" s="413"/>
      <c r="N28" s="377"/>
      <c r="O28" s="377" t="str">
        <f>個別契約書X!J8&amp;" "&amp;個別契約書X!J7&amp;" "&amp;Linea</f>
        <v xml:space="preserve">  </v>
      </c>
      <c r="P28" s="377"/>
      <c r="Q28" s="377"/>
      <c r="R28" s="377"/>
      <c r="S28" s="377"/>
      <c r="T28" s="377"/>
      <c r="U28" s="377"/>
      <c r="V28" s="377"/>
      <c r="W28" s="377"/>
      <c r="X28" s="377"/>
      <c r="Y28" s="377"/>
      <c r="Z28" s="377"/>
      <c r="AA28" s="377"/>
      <c r="AB28" s="377"/>
      <c r="AC28" s="377"/>
      <c r="AD28" s="377"/>
      <c r="AE28" s="377"/>
      <c r="AF28" s="377"/>
      <c r="AG28" s="377"/>
      <c r="AH28" s="377"/>
      <c r="AI28" s="377"/>
      <c r="AJ28" s="377"/>
      <c r="AK28" s="377"/>
      <c r="AL28" s="377"/>
      <c r="AM28" s="377"/>
      <c r="AN28" s="377"/>
      <c r="AO28" s="377"/>
      <c r="AP28" s="377" t="s">
        <v>2303</v>
      </c>
      <c r="AQ28" s="377"/>
      <c r="AR28" s="377"/>
      <c r="AS28" s="377"/>
      <c r="AT28" s="377" t="str">
        <f>個別契約書X!Y5</f>
        <v/>
      </c>
      <c r="AU28" s="377"/>
      <c r="AV28" s="377"/>
      <c r="AW28" s="377"/>
      <c r="AX28" s="377"/>
      <c r="AY28" s="377"/>
      <c r="AZ28" s="377"/>
      <c r="BA28" s="377"/>
      <c r="BB28" s="377"/>
      <c r="BC28" s="378"/>
    </row>
    <row r="29" spans="3:55" ht="9.75" customHeight="1">
      <c r="C29" s="368"/>
      <c r="D29" s="369"/>
      <c r="E29" s="369"/>
      <c r="F29" s="369"/>
      <c r="G29" s="369"/>
      <c r="H29" s="369"/>
      <c r="I29" s="369"/>
      <c r="J29" s="369"/>
      <c r="K29" s="414"/>
      <c r="L29" s="415"/>
      <c r="M29" s="416"/>
      <c r="N29" s="420"/>
      <c r="O29" s="420"/>
      <c r="P29" s="420"/>
      <c r="Q29" s="420"/>
      <c r="R29" s="420"/>
      <c r="S29" s="420"/>
      <c r="T29" s="420"/>
      <c r="U29" s="420"/>
      <c r="V29" s="420"/>
      <c r="W29" s="420"/>
      <c r="X29" s="420"/>
      <c r="Y29" s="420"/>
      <c r="Z29" s="420"/>
      <c r="AA29" s="420"/>
      <c r="AB29" s="420"/>
      <c r="AC29" s="420"/>
      <c r="AD29" s="420"/>
      <c r="AE29" s="420"/>
      <c r="AF29" s="420"/>
      <c r="AG29" s="420"/>
      <c r="AH29" s="420"/>
      <c r="AI29" s="420"/>
      <c r="AJ29" s="420"/>
      <c r="AK29" s="420"/>
      <c r="AL29" s="420"/>
      <c r="AM29" s="420"/>
      <c r="AN29" s="420"/>
      <c r="AO29" s="420"/>
      <c r="AP29" s="420"/>
      <c r="AQ29" s="420"/>
      <c r="AR29" s="420"/>
      <c r="AS29" s="420"/>
      <c r="AT29" s="420"/>
      <c r="AU29" s="420"/>
      <c r="AV29" s="420"/>
      <c r="AW29" s="420"/>
      <c r="AX29" s="420"/>
      <c r="AY29" s="420"/>
      <c r="AZ29" s="420"/>
      <c r="BA29" s="420"/>
      <c r="BB29" s="420"/>
      <c r="BC29" s="421"/>
    </row>
    <row r="30" spans="3:55" ht="9.75" customHeight="1">
      <c r="C30" s="371"/>
      <c r="D30" s="372"/>
      <c r="E30" s="372"/>
      <c r="F30" s="372"/>
      <c r="G30" s="372"/>
      <c r="H30" s="372"/>
      <c r="I30" s="372"/>
      <c r="J30" s="372"/>
      <c r="K30" s="417"/>
      <c r="L30" s="418"/>
      <c r="M30" s="419"/>
      <c r="N30" s="363"/>
      <c r="O30" s="363"/>
      <c r="P30" s="363"/>
      <c r="Q30" s="363"/>
      <c r="R30" s="363"/>
      <c r="S30" s="363"/>
      <c r="T30" s="363"/>
      <c r="U30" s="363"/>
      <c r="V30" s="363"/>
      <c r="W30" s="363"/>
      <c r="X30" s="363"/>
      <c r="Y30" s="363"/>
      <c r="Z30" s="363"/>
      <c r="AA30" s="363"/>
      <c r="AB30" s="363"/>
      <c r="AC30" s="363"/>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4"/>
    </row>
    <row r="31" spans="3:55" ht="9.75" customHeight="1">
      <c r="C31" s="395" t="s">
        <v>2304</v>
      </c>
      <c r="D31" s="396"/>
      <c r="E31" s="396"/>
      <c r="F31" s="396"/>
      <c r="G31" s="396"/>
      <c r="H31" s="396"/>
      <c r="I31" s="396"/>
      <c r="J31" s="396"/>
      <c r="K31" s="422"/>
      <c r="L31" s="423"/>
      <c r="M31" s="424"/>
      <c r="N31" s="377"/>
      <c r="O31" s="425">
        <f>個別契約書X!H15</f>
        <v>0</v>
      </c>
      <c r="P31" s="425"/>
      <c r="Q31" s="425"/>
      <c r="R31" s="425"/>
      <c r="S31" s="425"/>
      <c r="T31" s="425"/>
      <c r="U31" s="425"/>
      <c r="V31" s="425"/>
      <c r="W31" s="425"/>
      <c r="X31" s="425"/>
      <c r="Y31" s="425"/>
      <c r="Z31" s="425"/>
      <c r="AA31" s="425"/>
      <c r="AB31" s="425"/>
      <c r="AC31" s="425"/>
      <c r="AD31" s="425"/>
      <c r="AE31" s="425"/>
      <c r="AF31" s="425"/>
      <c r="AG31" s="425"/>
      <c r="AH31" s="425"/>
      <c r="AI31" s="425"/>
      <c r="AJ31" s="425"/>
      <c r="AK31" s="425"/>
      <c r="AL31" s="425"/>
      <c r="AM31" s="425"/>
      <c r="AN31" s="427" t="s">
        <v>2305</v>
      </c>
      <c r="AO31" s="428"/>
      <c r="AP31" s="428"/>
      <c r="AQ31" s="428"/>
      <c r="AR31" s="428"/>
      <c r="AS31" s="428"/>
      <c r="AT31" s="429"/>
      <c r="AU31" s="436" t="s">
        <v>2330</v>
      </c>
      <c r="AV31" s="437"/>
      <c r="AW31" s="437"/>
      <c r="AX31" s="437"/>
      <c r="AY31" s="437"/>
      <c r="AZ31" s="437"/>
      <c r="BA31" s="437"/>
      <c r="BB31" s="437"/>
      <c r="BC31" s="438"/>
    </row>
    <row r="32" spans="3:55" ht="9.75" customHeight="1">
      <c r="C32" s="368"/>
      <c r="D32" s="369"/>
      <c r="E32" s="369"/>
      <c r="F32" s="369"/>
      <c r="G32" s="369"/>
      <c r="H32" s="369"/>
      <c r="I32" s="369"/>
      <c r="J32" s="369"/>
      <c r="K32" s="414"/>
      <c r="L32" s="423"/>
      <c r="M32" s="424"/>
      <c r="N32" s="377"/>
      <c r="O32" s="425"/>
      <c r="P32" s="425"/>
      <c r="Q32" s="425"/>
      <c r="R32" s="425"/>
      <c r="S32" s="425"/>
      <c r="T32" s="425"/>
      <c r="U32" s="425"/>
      <c r="V32" s="425"/>
      <c r="W32" s="425"/>
      <c r="X32" s="425"/>
      <c r="Y32" s="425"/>
      <c r="Z32" s="425"/>
      <c r="AA32" s="425"/>
      <c r="AB32" s="425"/>
      <c r="AC32" s="425"/>
      <c r="AD32" s="425"/>
      <c r="AE32" s="425"/>
      <c r="AF32" s="425"/>
      <c r="AG32" s="425"/>
      <c r="AH32" s="425"/>
      <c r="AI32" s="425"/>
      <c r="AJ32" s="425"/>
      <c r="AK32" s="425"/>
      <c r="AL32" s="425"/>
      <c r="AM32" s="425"/>
      <c r="AN32" s="430"/>
      <c r="AO32" s="431"/>
      <c r="AP32" s="431"/>
      <c r="AQ32" s="431"/>
      <c r="AR32" s="431"/>
      <c r="AS32" s="431"/>
      <c r="AT32" s="432"/>
      <c r="AU32" s="439"/>
      <c r="AV32" s="440"/>
      <c r="AW32" s="440"/>
      <c r="AX32" s="440"/>
      <c r="AY32" s="440"/>
      <c r="AZ32" s="440"/>
      <c r="BA32" s="440"/>
      <c r="BB32" s="440"/>
      <c r="BC32" s="441"/>
    </row>
    <row r="33" spans="3:55" ht="9.75" customHeight="1">
      <c r="C33" s="371"/>
      <c r="D33" s="372"/>
      <c r="E33" s="372"/>
      <c r="F33" s="372"/>
      <c r="G33" s="372"/>
      <c r="H33" s="372"/>
      <c r="I33" s="372"/>
      <c r="J33" s="372"/>
      <c r="K33" s="417"/>
      <c r="L33" s="418"/>
      <c r="M33" s="419"/>
      <c r="N33" s="363"/>
      <c r="O33" s="426"/>
      <c r="P33" s="426"/>
      <c r="Q33" s="426"/>
      <c r="R33" s="426"/>
      <c r="S33" s="426"/>
      <c r="T33" s="426"/>
      <c r="U33" s="426"/>
      <c r="V33" s="426"/>
      <c r="W33" s="426"/>
      <c r="X33" s="426"/>
      <c r="Y33" s="426"/>
      <c r="Z33" s="426"/>
      <c r="AA33" s="426"/>
      <c r="AB33" s="426"/>
      <c r="AC33" s="426"/>
      <c r="AD33" s="426"/>
      <c r="AE33" s="426"/>
      <c r="AF33" s="426"/>
      <c r="AG33" s="426"/>
      <c r="AH33" s="426"/>
      <c r="AI33" s="426"/>
      <c r="AJ33" s="426"/>
      <c r="AK33" s="426"/>
      <c r="AL33" s="426"/>
      <c r="AM33" s="426"/>
      <c r="AN33" s="433"/>
      <c r="AO33" s="434"/>
      <c r="AP33" s="434"/>
      <c r="AQ33" s="434"/>
      <c r="AR33" s="434"/>
      <c r="AS33" s="434"/>
      <c r="AT33" s="435"/>
      <c r="AU33" s="442"/>
      <c r="AV33" s="443"/>
      <c r="AW33" s="443"/>
      <c r="AX33" s="443"/>
      <c r="AY33" s="443"/>
      <c r="AZ33" s="443"/>
      <c r="BA33" s="443"/>
      <c r="BB33" s="443"/>
      <c r="BC33" s="444"/>
    </row>
    <row r="34" spans="3:55" ht="9.75" customHeight="1">
      <c r="C34" s="395" t="s">
        <v>2306</v>
      </c>
      <c r="D34" s="396"/>
      <c r="E34" s="396"/>
      <c r="F34" s="396"/>
      <c r="G34" s="396"/>
      <c r="H34" s="396"/>
      <c r="I34" s="396"/>
      <c r="J34" s="396"/>
      <c r="K34" s="422"/>
      <c r="L34" s="423"/>
      <c r="M34" s="424"/>
      <c r="N34" s="377"/>
      <c r="O34" s="447" t="s">
        <v>2566</v>
      </c>
      <c r="P34" s="377"/>
      <c r="Q34" s="377"/>
      <c r="R34" s="377"/>
      <c r="S34" s="377"/>
      <c r="T34" s="377"/>
      <c r="U34" s="377"/>
      <c r="V34" s="377"/>
      <c r="W34" s="377"/>
      <c r="X34" s="377"/>
      <c r="Y34" s="377"/>
      <c r="Z34" s="377"/>
      <c r="AA34" s="377"/>
      <c r="AB34" s="377"/>
      <c r="AC34" s="377"/>
      <c r="AD34" s="377"/>
      <c r="AE34" s="377"/>
      <c r="AF34" s="377"/>
      <c r="AG34" s="377"/>
      <c r="AH34" s="377"/>
      <c r="AI34" s="377"/>
      <c r="AJ34" s="377"/>
      <c r="AK34" s="377"/>
      <c r="AL34" s="377"/>
      <c r="AM34" s="377"/>
      <c r="AN34" s="377"/>
      <c r="AO34" s="377"/>
      <c r="AP34" s="377"/>
      <c r="AQ34" s="377"/>
      <c r="AR34" s="377"/>
      <c r="AS34" s="377"/>
      <c r="AT34" s="377"/>
      <c r="AU34" s="377"/>
      <c r="AV34" s="377"/>
      <c r="AW34" s="377"/>
      <c r="AX34" s="377"/>
      <c r="AY34" s="377"/>
      <c r="AZ34" s="377"/>
      <c r="BA34" s="377"/>
      <c r="BB34" s="377"/>
      <c r="BC34" s="378"/>
    </row>
    <row r="35" spans="3:55" ht="9.75" customHeight="1">
      <c r="C35" s="368"/>
      <c r="D35" s="369"/>
      <c r="E35" s="369"/>
      <c r="F35" s="369"/>
      <c r="G35" s="369"/>
      <c r="H35" s="369"/>
      <c r="I35" s="369"/>
      <c r="J35" s="369"/>
      <c r="K35" s="414"/>
      <c r="L35" s="422"/>
      <c r="M35" s="445"/>
      <c r="N35" s="446"/>
      <c r="O35" s="446"/>
      <c r="P35" s="446"/>
      <c r="Q35" s="446"/>
      <c r="R35" s="446"/>
      <c r="S35" s="446"/>
      <c r="T35" s="446"/>
      <c r="U35" s="446"/>
      <c r="V35" s="446"/>
      <c r="W35" s="446"/>
      <c r="X35" s="446"/>
      <c r="Y35" s="446"/>
      <c r="Z35" s="446"/>
      <c r="AA35" s="446"/>
      <c r="AB35" s="446"/>
      <c r="AC35" s="446"/>
      <c r="AD35" s="446"/>
      <c r="AE35" s="446"/>
      <c r="AF35" s="446"/>
      <c r="AG35" s="446"/>
      <c r="AH35" s="446"/>
      <c r="AI35" s="446"/>
      <c r="AJ35" s="446"/>
      <c r="AK35" s="446"/>
      <c r="AL35" s="446"/>
      <c r="AM35" s="446"/>
      <c r="AN35" s="446"/>
      <c r="AO35" s="446"/>
      <c r="AP35" s="446"/>
      <c r="AQ35" s="446"/>
      <c r="AR35" s="446"/>
      <c r="AS35" s="446"/>
      <c r="AT35" s="446"/>
      <c r="AU35" s="446"/>
      <c r="AV35" s="446"/>
      <c r="AW35" s="446"/>
      <c r="AX35" s="446"/>
      <c r="AY35" s="446"/>
      <c r="AZ35" s="446"/>
      <c r="BA35" s="446"/>
      <c r="BB35" s="446"/>
      <c r="BC35" s="448"/>
    </row>
    <row r="36" spans="3:55" ht="9.75" customHeight="1">
      <c r="C36" s="398"/>
      <c r="D36" s="399"/>
      <c r="E36" s="399"/>
      <c r="F36" s="399"/>
      <c r="G36" s="399"/>
      <c r="H36" s="399"/>
      <c r="I36" s="399"/>
      <c r="J36" s="399"/>
      <c r="K36" s="399"/>
      <c r="L36" s="412"/>
      <c r="M36" s="413"/>
      <c r="N36" s="377"/>
      <c r="O36" s="377"/>
      <c r="P36" s="377"/>
      <c r="Q36" s="449"/>
      <c r="R36" s="377"/>
      <c r="S36" s="377"/>
      <c r="T36" s="377"/>
      <c r="U36" s="377"/>
      <c r="V36" s="377"/>
      <c r="W36" s="377"/>
      <c r="X36" s="377"/>
      <c r="Y36" s="377"/>
      <c r="Z36" s="377"/>
      <c r="AA36" s="377"/>
      <c r="AB36" s="377"/>
      <c r="AC36" s="377"/>
      <c r="AD36" s="377"/>
      <c r="AE36" s="377"/>
      <c r="AF36" s="377"/>
      <c r="AG36" s="377"/>
      <c r="AH36" s="377"/>
      <c r="AI36" s="377"/>
      <c r="AJ36" s="377"/>
      <c r="AK36" s="377"/>
      <c r="AL36" s="377"/>
      <c r="AM36" s="377"/>
      <c r="AN36" s="377"/>
      <c r="AO36" s="377"/>
      <c r="AP36" s="377"/>
      <c r="AQ36" s="377"/>
      <c r="AR36" s="377"/>
      <c r="AS36" s="377"/>
      <c r="AT36" s="377"/>
      <c r="AU36" s="377"/>
      <c r="AV36" s="377"/>
      <c r="AW36" s="377"/>
      <c r="AX36" s="377"/>
      <c r="AY36" s="377"/>
      <c r="AZ36" s="377"/>
      <c r="BA36" s="377"/>
      <c r="BB36" s="377"/>
      <c r="BC36" s="378"/>
    </row>
    <row r="37" spans="3:55" ht="9.75" customHeight="1">
      <c r="C37" s="365" t="s">
        <v>2307</v>
      </c>
      <c r="D37" s="366"/>
      <c r="E37" s="366"/>
      <c r="F37" s="366"/>
      <c r="G37" s="366"/>
      <c r="H37" s="366"/>
      <c r="I37" s="366"/>
      <c r="J37" s="366"/>
      <c r="K37" s="366"/>
      <c r="L37" s="366"/>
      <c r="M37" s="367"/>
      <c r="N37" s="361"/>
      <c r="O37" s="450" t="e">
        <f>_xlfn.XLOOKUP(NombreID,TablaTransfor[カナ],TablaTransfor[入社日],"",0,1)</f>
        <v>#N/A</v>
      </c>
      <c r="P37" s="450"/>
      <c r="Q37" s="450"/>
      <c r="R37" s="450"/>
      <c r="S37" s="450"/>
      <c r="T37" s="450"/>
      <c r="U37" s="450"/>
      <c r="V37" s="453" t="s">
        <v>2331</v>
      </c>
      <c r="W37" s="456" t="e">
        <f>_xlfn.XLOOKUP(NombreID,TablaTransfor[カナ],TablaTransfor[unicos],"",0,1)</f>
        <v>#N/A</v>
      </c>
      <c r="X37" s="456"/>
      <c r="Y37" s="456"/>
      <c r="Z37" s="456"/>
      <c r="AA37" s="456"/>
      <c r="AB37" s="456"/>
      <c r="AC37" s="456"/>
      <c r="AD37" s="457"/>
      <c r="AE37" s="462" t="s">
        <v>2308</v>
      </c>
      <c r="AF37" s="462"/>
      <c r="AG37" s="462"/>
      <c r="AH37" s="462"/>
      <c r="AI37" s="462"/>
      <c r="AJ37" s="462"/>
      <c r="AK37" s="462"/>
      <c r="AL37" s="462"/>
      <c r="AM37" s="462"/>
      <c r="AN37" s="462"/>
      <c r="AO37" s="462"/>
      <c r="AP37" s="462"/>
      <c r="AQ37" s="462"/>
      <c r="AR37" s="462"/>
      <c r="AS37" s="462"/>
      <c r="AT37" s="462"/>
      <c r="AU37" s="462"/>
      <c r="AV37" s="462"/>
      <c r="AW37" s="462"/>
      <c r="AX37" s="462"/>
      <c r="AY37" s="462"/>
      <c r="AZ37" s="462"/>
      <c r="BA37" s="462"/>
      <c r="BB37" s="462"/>
      <c r="BC37" s="463"/>
    </row>
    <row r="38" spans="3:55" ht="9.75" customHeight="1">
      <c r="C38" s="368"/>
      <c r="D38" s="369"/>
      <c r="E38" s="369"/>
      <c r="F38" s="369"/>
      <c r="G38" s="369"/>
      <c r="H38" s="369"/>
      <c r="I38" s="369"/>
      <c r="J38" s="369"/>
      <c r="K38" s="369"/>
      <c r="L38" s="369"/>
      <c r="M38" s="370"/>
      <c r="N38" s="377"/>
      <c r="O38" s="451"/>
      <c r="P38" s="451"/>
      <c r="Q38" s="451"/>
      <c r="R38" s="451"/>
      <c r="S38" s="451"/>
      <c r="T38" s="451"/>
      <c r="U38" s="451"/>
      <c r="V38" s="454"/>
      <c r="W38" s="458"/>
      <c r="X38" s="458"/>
      <c r="Y38" s="458"/>
      <c r="Z38" s="458"/>
      <c r="AA38" s="458"/>
      <c r="AB38" s="458"/>
      <c r="AC38" s="458"/>
      <c r="AD38" s="459"/>
      <c r="AE38" s="464" t="s">
        <v>2309</v>
      </c>
      <c r="AF38" s="464"/>
      <c r="AG38" s="464"/>
      <c r="AH38" s="464"/>
      <c r="AI38" s="464"/>
      <c r="AJ38" s="464"/>
      <c r="AK38" s="464"/>
      <c r="AL38" s="464"/>
      <c r="AM38" s="464"/>
      <c r="AN38" s="464"/>
      <c r="AO38" s="464"/>
      <c r="AP38" s="464"/>
      <c r="AQ38" s="464"/>
      <c r="AR38" s="464"/>
      <c r="AS38" s="464"/>
      <c r="AT38" s="464"/>
      <c r="AU38" s="464"/>
      <c r="AV38" s="464"/>
      <c r="AW38" s="464"/>
      <c r="AX38" s="464"/>
      <c r="AY38" s="464"/>
      <c r="AZ38" s="464"/>
      <c r="BA38" s="464"/>
      <c r="BB38" s="464"/>
      <c r="BC38" s="465"/>
    </row>
    <row r="39" spans="3:55" ht="9.75" customHeight="1">
      <c r="C39" s="371"/>
      <c r="D39" s="372"/>
      <c r="E39" s="372"/>
      <c r="F39" s="372"/>
      <c r="G39" s="372"/>
      <c r="H39" s="372"/>
      <c r="I39" s="372"/>
      <c r="J39" s="372"/>
      <c r="K39" s="372"/>
      <c r="L39" s="372"/>
      <c r="M39" s="373"/>
      <c r="N39" s="363"/>
      <c r="O39" s="452"/>
      <c r="P39" s="452"/>
      <c r="Q39" s="452"/>
      <c r="R39" s="452"/>
      <c r="S39" s="452"/>
      <c r="T39" s="452"/>
      <c r="U39" s="452"/>
      <c r="V39" s="455"/>
      <c r="W39" s="460"/>
      <c r="X39" s="460"/>
      <c r="Y39" s="460"/>
      <c r="Z39" s="460"/>
      <c r="AA39" s="460"/>
      <c r="AB39" s="460"/>
      <c r="AC39" s="460"/>
      <c r="AD39" s="461"/>
      <c r="AE39" s="327" t="s">
        <v>2310</v>
      </c>
      <c r="AF39" s="327"/>
      <c r="AG39" s="327"/>
      <c r="AH39" s="327"/>
      <c r="AI39" s="327"/>
      <c r="AJ39" s="327"/>
      <c r="AK39" s="327"/>
      <c r="AL39" s="327"/>
      <c r="AM39" s="327"/>
      <c r="AN39" s="327"/>
      <c r="AO39" s="327"/>
      <c r="AP39" s="327"/>
      <c r="AQ39" s="327"/>
      <c r="AR39" s="327"/>
      <c r="AS39" s="327"/>
      <c r="AT39" s="327"/>
      <c r="AU39" s="327"/>
      <c r="AV39" s="327"/>
      <c r="AW39" s="327"/>
      <c r="AX39" s="327"/>
      <c r="AY39" s="327"/>
      <c r="AZ39" s="327"/>
      <c r="BA39" s="327"/>
      <c r="BB39" s="327"/>
      <c r="BC39" s="466"/>
    </row>
    <row r="40" spans="3:55" ht="9.75" customHeight="1">
      <c r="C40" s="379" t="s">
        <v>2311</v>
      </c>
      <c r="D40" s="366"/>
      <c r="E40" s="366"/>
      <c r="F40" s="366"/>
      <c r="G40" s="366"/>
      <c r="H40" s="366"/>
      <c r="I40" s="366"/>
      <c r="J40" s="366"/>
      <c r="K40" s="366"/>
      <c r="L40" s="366"/>
      <c r="M40" s="367"/>
      <c r="N40" s="361"/>
      <c r="O40" s="361" t="str">
        <f>個別契約書X!J8&amp;" "&amp;koka</f>
        <v xml:space="preserve"> </v>
      </c>
      <c r="P40" s="361"/>
      <c r="Q40" s="361"/>
      <c r="R40" s="361"/>
      <c r="S40" s="361"/>
      <c r="T40" s="361"/>
      <c r="U40" s="361"/>
      <c r="V40" s="361"/>
      <c r="W40" s="361"/>
      <c r="X40" s="361"/>
      <c r="Y40" s="361"/>
      <c r="Z40" s="361"/>
      <c r="AA40" s="361"/>
      <c r="AB40" s="304">
        <f>_xlfn.XLOOKUP(Linea,KanriDaichou[配属係],KanriDaichou[派遣先責任者役職])</f>
        <v>0</v>
      </c>
      <c r="AC40" s="304"/>
      <c r="AD40" s="304"/>
      <c r="AE40" s="304"/>
      <c r="AF40" s="12"/>
      <c r="AG40" s="361">
        <f>_xlfn.XLOOKUP(Linea,KanriDaichou[配属係],KanriDaichou[派遣先責任者])</f>
        <v>0</v>
      </c>
      <c r="AH40" s="361"/>
      <c r="AI40" s="361"/>
      <c r="AJ40" s="361"/>
      <c r="AK40" s="361"/>
      <c r="AL40" s="361"/>
      <c r="AM40" s="361"/>
      <c r="AN40" s="361"/>
      <c r="AO40" s="361"/>
      <c r="AP40" s="361" t="s">
        <v>2303</v>
      </c>
      <c r="AQ40" s="361"/>
      <c r="AR40" s="361"/>
      <c r="AS40" s="361"/>
      <c r="AT40" s="361">
        <f>_xlfn.XLOOKUP(Linea,KanriDaichou[配属係],KanriDaichou[就業場所TEL],"",0,1)</f>
        <v>0</v>
      </c>
      <c r="AU40" s="361"/>
      <c r="AV40" s="361"/>
      <c r="AW40" s="361"/>
      <c r="AX40" s="361"/>
      <c r="AY40" s="361"/>
      <c r="AZ40" s="361"/>
      <c r="BA40" s="361"/>
      <c r="BB40" s="361"/>
      <c r="BC40" s="362"/>
    </row>
    <row r="41" spans="3:55" ht="9.75" customHeight="1">
      <c r="C41" s="368"/>
      <c r="D41" s="369"/>
      <c r="E41" s="369"/>
      <c r="F41" s="369"/>
      <c r="G41" s="369"/>
      <c r="H41" s="369"/>
      <c r="I41" s="369"/>
      <c r="J41" s="369"/>
      <c r="K41" s="369"/>
      <c r="L41" s="399"/>
      <c r="M41" s="400"/>
      <c r="N41" s="377"/>
      <c r="O41" s="377"/>
      <c r="P41" s="377"/>
      <c r="Q41" s="377"/>
      <c r="R41" s="377"/>
      <c r="S41" s="377"/>
      <c r="T41" s="377"/>
      <c r="U41" s="377"/>
      <c r="V41" s="377"/>
      <c r="W41" s="377"/>
      <c r="X41" s="377"/>
      <c r="Y41" s="377"/>
      <c r="Z41" s="377"/>
      <c r="AA41" s="377"/>
      <c r="AB41" s="309"/>
      <c r="AC41" s="309"/>
      <c r="AD41" s="309"/>
      <c r="AE41" s="309"/>
      <c r="AF41" s="57"/>
      <c r="AG41" s="377"/>
      <c r="AH41" s="377"/>
      <c r="AI41" s="377"/>
      <c r="AJ41" s="377"/>
      <c r="AK41" s="377"/>
      <c r="AL41" s="377"/>
      <c r="AM41" s="377"/>
      <c r="AN41" s="377"/>
      <c r="AO41" s="377"/>
      <c r="AP41" s="377"/>
      <c r="AQ41" s="377"/>
      <c r="AR41" s="377"/>
      <c r="AS41" s="377"/>
      <c r="AT41" s="377"/>
      <c r="AU41" s="377"/>
      <c r="AV41" s="377"/>
      <c r="AW41" s="377"/>
      <c r="AX41" s="377"/>
      <c r="AY41" s="377"/>
      <c r="AZ41" s="377"/>
      <c r="BA41" s="377"/>
      <c r="BB41" s="377"/>
      <c r="BC41" s="378"/>
    </row>
    <row r="42" spans="3:55" ht="9.75" customHeight="1">
      <c r="C42" s="371"/>
      <c r="D42" s="372"/>
      <c r="E42" s="372"/>
      <c r="F42" s="372"/>
      <c r="G42" s="372"/>
      <c r="H42" s="372"/>
      <c r="I42" s="372"/>
      <c r="J42" s="372"/>
      <c r="K42" s="417"/>
      <c r="L42" s="372"/>
      <c r="M42" s="373"/>
      <c r="N42" s="528"/>
      <c r="O42" s="363"/>
      <c r="P42" s="363"/>
      <c r="Q42" s="363"/>
      <c r="R42" s="363"/>
      <c r="S42" s="363"/>
      <c r="T42" s="363"/>
      <c r="U42" s="363"/>
      <c r="V42" s="363"/>
      <c r="W42" s="363"/>
      <c r="X42" s="363"/>
      <c r="Y42" s="363"/>
      <c r="Z42" s="363"/>
      <c r="AA42" s="363"/>
      <c r="AB42" s="330"/>
      <c r="AC42" s="330"/>
      <c r="AD42" s="330"/>
      <c r="AE42" s="330"/>
      <c r="AF42" s="15"/>
      <c r="AG42" s="363"/>
      <c r="AH42" s="363"/>
      <c r="AI42" s="363"/>
      <c r="AJ42" s="363"/>
      <c r="AK42" s="363"/>
      <c r="AL42" s="363"/>
      <c r="AM42" s="363"/>
      <c r="AN42" s="363"/>
      <c r="AO42" s="363"/>
      <c r="AP42" s="528"/>
      <c r="AQ42" s="528"/>
      <c r="AR42" s="528"/>
      <c r="AS42" s="528"/>
      <c r="AT42" s="528"/>
      <c r="AU42" s="528"/>
      <c r="AV42" s="528"/>
      <c r="AW42" s="528"/>
      <c r="AX42" s="528"/>
      <c r="AY42" s="528"/>
      <c r="AZ42" s="528"/>
      <c r="BA42" s="528"/>
      <c r="BB42" s="528"/>
      <c r="BC42" s="529"/>
    </row>
    <row r="43" spans="3:55" ht="9.75" customHeight="1">
      <c r="C43" s="395" t="s">
        <v>2312</v>
      </c>
      <c r="D43" s="396"/>
      <c r="E43" s="396"/>
      <c r="F43" s="396"/>
      <c r="G43" s="396"/>
      <c r="H43" s="396"/>
      <c r="I43" s="396"/>
      <c r="J43" s="396"/>
      <c r="K43" s="422"/>
      <c r="L43" s="423"/>
      <c r="M43" s="424"/>
      <c r="N43" s="377" t="s">
        <v>2334</v>
      </c>
      <c r="O43" s="377"/>
      <c r="P43" s="377"/>
      <c r="Q43" s="377"/>
      <c r="R43" s="377"/>
      <c r="S43" s="377"/>
      <c r="T43" s="377"/>
      <c r="U43" s="377"/>
      <c r="V43" s="377"/>
      <c r="W43" s="377"/>
      <c r="X43" s="377"/>
      <c r="Y43" s="377"/>
      <c r="Z43" s="377"/>
      <c r="AA43" s="377"/>
      <c r="AB43" s="377"/>
      <c r="AC43" s="377"/>
      <c r="AD43" s="377"/>
      <c r="AE43" s="377"/>
      <c r="AF43" s="377"/>
      <c r="AG43" s="377"/>
      <c r="AH43" s="377"/>
      <c r="AI43" s="377"/>
      <c r="AJ43" s="377"/>
      <c r="AK43" s="377"/>
      <c r="AL43" s="377"/>
      <c r="AM43" s="377"/>
      <c r="AN43" s="377"/>
      <c r="AO43" s="377"/>
      <c r="AP43" s="377"/>
      <c r="AQ43" s="377"/>
      <c r="AR43" s="377"/>
      <c r="AS43" s="377"/>
      <c r="AT43" s="377"/>
      <c r="AU43" s="377"/>
      <c r="AV43" s="377"/>
      <c r="AW43" s="377"/>
      <c r="AX43" s="377"/>
      <c r="AY43" s="377"/>
      <c r="AZ43" s="377"/>
      <c r="BA43" s="377"/>
      <c r="BB43" s="377"/>
      <c r="BC43" s="378"/>
    </row>
    <row r="44" spans="3:55" ht="9.75" customHeight="1">
      <c r="C44" s="368"/>
      <c r="D44" s="369"/>
      <c r="E44" s="369"/>
      <c r="F44" s="369"/>
      <c r="G44" s="369"/>
      <c r="H44" s="369"/>
      <c r="I44" s="369"/>
      <c r="J44" s="369"/>
      <c r="K44" s="414"/>
      <c r="L44" s="423"/>
      <c r="M44" s="424"/>
      <c r="N44" s="377"/>
      <c r="O44" s="377"/>
      <c r="P44" s="377"/>
      <c r="Q44" s="377"/>
      <c r="R44" s="377"/>
      <c r="S44" s="377"/>
      <c r="T44" s="377"/>
      <c r="U44" s="377"/>
      <c r="V44" s="377"/>
      <c r="W44" s="377"/>
      <c r="X44" s="377"/>
      <c r="Y44" s="377"/>
      <c r="Z44" s="377"/>
      <c r="AA44" s="377"/>
      <c r="AB44" s="377"/>
      <c r="AC44" s="377"/>
      <c r="AD44" s="377"/>
      <c r="AE44" s="377"/>
      <c r="AF44" s="377"/>
      <c r="AG44" s="377"/>
      <c r="AH44" s="377"/>
      <c r="AI44" s="377"/>
      <c r="AJ44" s="377"/>
      <c r="AK44" s="377"/>
      <c r="AL44" s="377"/>
      <c r="AM44" s="377"/>
      <c r="AN44" s="377"/>
      <c r="AO44" s="377"/>
      <c r="AP44" s="377"/>
      <c r="AQ44" s="377"/>
      <c r="AR44" s="377"/>
      <c r="AS44" s="377"/>
      <c r="AT44" s="377"/>
      <c r="AU44" s="377"/>
      <c r="AV44" s="377"/>
      <c r="AW44" s="377"/>
      <c r="AX44" s="377"/>
      <c r="AY44" s="377"/>
      <c r="AZ44" s="377"/>
      <c r="BA44" s="377"/>
      <c r="BB44" s="377"/>
      <c r="BC44" s="378"/>
    </row>
    <row r="45" spans="3:55" ht="9.75" customHeight="1">
      <c r="C45" s="371"/>
      <c r="D45" s="372"/>
      <c r="E45" s="372"/>
      <c r="F45" s="372"/>
      <c r="G45" s="372"/>
      <c r="H45" s="372"/>
      <c r="I45" s="372"/>
      <c r="J45" s="372"/>
      <c r="K45" s="417"/>
      <c r="L45" s="418"/>
      <c r="M45" s="419"/>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4"/>
    </row>
    <row r="46" spans="3:55" ht="9.75" customHeight="1">
      <c r="C46" s="365" t="s">
        <v>2313</v>
      </c>
      <c r="D46" s="366"/>
      <c r="E46" s="366"/>
      <c r="F46" s="366"/>
      <c r="G46" s="366"/>
      <c r="H46" s="366"/>
      <c r="I46" s="366"/>
      <c r="J46" s="366"/>
      <c r="K46" s="470"/>
      <c r="L46" s="471"/>
      <c r="M46" s="472"/>
      <c r="N46" s="361" t="s">
        <v>2332</v>
      </c>
      <c r="O46" s="361"/>
      <c r="P46" s="361"/>
      <c r="Q46" s="361"/>
      <c r="R46" s="361"/>
      <c r="S46" s="361"/>
      <c r="T46" s="361"/>
      <c r="U46" s="361"/>
      <c r="V46" s="361"/>
      <c r="W46" s="361"/>
      <c r="X46" s="361"/>
      <c r="Y46" s="361"/>
      <c r="Z46" s="361"/>
      <c r="AA46" s="361"/>
      <c r="AB46" s="361"/>
      <c r="AC46" s="361"/>
      <c r="AD46" s="361"/>
      <c r="AE46" s="361"/>
      <c r="AF46" s="361"/>
      <c r="AG46" s="361"/>
      <c r="AH46" s="361"/>
      <c r="AI46" s="361"/>
      <c r="AJ46" s="361"/>
      <c r="AK46" s="361"/>
      <c r="AL46" s="361"/>
      <c r="AM46" s="361"/>
      <c r="AN46" s="361"/>
      <c r="AO46" s="361"/>
      <c r="AP46" s="361"/>
      <c r="AQ46" s="361"/>
      <c r="AR46" s="361"/>
      <c r="AS46" s="361"/>
      <c r="AT46" s="361"/>
      <c r="AU46" s="361"/>
      <c r="AV46" s="361"/>
      <c r="AW46" s="361"/>
      <c r="AX46" s="361"/>
      <c r="AY46" s="361"/>
      <c r="AZ46" s="361"/>
      <c r="BA46" s="361"/>
      <c r="BB46" s="361"/>
      <c r="BC46" s="362"/>
    </row>
    <row r="47" spans="3:55" ht="9.75" customHeight="1">
      <c r="C47" s="368"/>
      <c r="D47" s="369"/>
      <c r="E47" s="369"/>
      <c r="F47" s="369"/>
      <c r="G47" s="369"/>
      <c r="H47" s="369"/>
      <c r="I47" s="369"/>
      <c r="J47" s="369"/>
      <c r="K47" s="414"/>
      <c r="L47" s="423"/>
      <c r="M47" s="424"/>
      <c r="N47" s="377"/>
      <c r="O47" s="377"/>
      <c r="P47" s="377"/>
      <c r="Q47" s="377"/>
      <c r="R47" s="377"/>
      <c r="S47" s="377"/>
      <c r="T47" s="377"/>
      <c r="U47" s="377"/>
      <c r="V47" s="377"/>
      <c r="W47" s="377"/>
      <c r="X47" s="377"/>
      <c r="Y47" s="377"/>
      <c r="Z47" s="377"/>
      <c r="AA47" s="377"/>
      <c r="AB47" s="377"/>
      <c r="AC47" s="377"/>
      <c r="AD47" s="377"/>
      <c r="AE47" s="377"/>
      <c r="AF47" s="377"/>
      <c r="AG47" s="377"/>
      <c r="AH47" s="377"/>
      <c r="AI47" s="377"/>
      <c r="AJ47" s="377"/>
      <c r="AK47" s="377"/>
      <c r="AL47" s="377"/>
      <c r="AM47" s="377"/>
      <c r="AN47" s="377"/>
      <c r="AO47" s="377"/>
      <c r="AP47" s="377"/>
      <c r="AQ47" s="377"/>
      <c r="AR47" s="377"/>
      <c r="AS47" s="377"/>
      <c r="AT47" s="377"/>
      <c r="AU47" s="377"/>
      <c r="AV47" s="377"/>
      <c r="AW47" s="377"/>
      <c r="AX47" s="377"/>
      <c r="AY47" s="377"/>
      <c r="AZ47" s="377"/>
      <c r="BA47" s="377"/>
      <c r="BB47" s="377"/>
      <c r="BC47" s="378"/>
    </row>
    <row r="48" spans="3:55" ht="9.75" customHeight="1">
      <c r="C48" s="371"/>
      <c r="D48" s="372"/>
      <c r="E48" s="372"/>
      <c r="F48" s="372"/>
      <c r="G48" s="372"/>
      <c r="H48" s="372"/>
      <c r="I48" s="372"/>
      <c r="J48" s="372"/>
      <c r="K48" s="417"/>
      <c r="L48" s="418"/>
      <c r="M48" s="419"/>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4"/>
    </row>
    <row r="49" spans="3:55" ht="10.5" customHeight="1">
      <c r="C49" s="527" t="s">
        <v>2314</v>
      </c>
      <c r="D49" s="396"/>
      <c r="E49" s="396"/>
      <c r="F49" s="396"/>
      <c r="G49" s="396"/>
      <c r="H49" s="396"/>
      <c r="I49" s="396"/>
      <c r="J49" s="396"/>
      <c r="K49" s="422"/>
      <c r="L49" s="423"/>
      <c r="M49" s="424"/>
      <c r="N49" s="383"/>
      <c r="O49" s="361" t="str">
        <f>_xlfn.XLOOKUP(KOUJYOU,KanriDaichou[就業場所名称],KanriDaichou[苦情　派遣元（部署)],"",0,1)</f>
        <v>営業部</v>
      </c>
      <c r="P49" s="361"/>
      <c r="Q49" s="361"/>
      <c r="R49" s="361"/>
      <c r="S49" s="361"/>
      <c r="T49" s="361"/>
      <c r="U49" s="361"/>
      <c r="V49" s="361" t="str" cm="1">
        <f t="array" ref="V49">_xlfn.XLOOKUP(KOUJYOU,KanriDaichou[就業場所名称],KanriDaichou[苦情　派遣元（役職)]&amp;" "&amp;KanriDaichou[苦情　派遣元（氏名)],"",0,1)</f>
        <v>取締役 ブウ　ティ　サウ</v>
      </c>
      <c r="W49" s="361"/>
      <c r="X49" s="361"/>
      <c r="Y49" s="361"/>
      <c r="Z49" s="361"/>
      <c r="AA49" s="361"/>
      <c r="AB49" s="361"/>
      <c r="AC49" s="361"/>
      <c r="AD49" s="361"/>
      <c r="AE49" s="361"/>
      <c r="AF49" s="361"/>
      <c r="AG49" s="361"/>
      <c r="AH49" s="361"/>
      <c r="AI49" s="361"/>
      <c r="AJ49" s="361"/>
      <c r="AK49" s="361"/>
      <c r="AL49" s="361"/>
      <c r="AM49" s="361"/>
      <c r="AN49" s="361"/>
      <c r="AO49" s="361"/>
      <c r="AP49" s="361" t="s">
        <v>2303</v>
      </c>
      <c r="AQ49" s="361"/>
      <c r="AR49" s="361"/>
      <c r="AS49" s="361"/>
      <c r="AT49" s="361" t="str">
        <f>_xlfn.XLOOKUP(KOUJYOU,KanriDaichou[就業場所名称],KanriDaichou[苦情　派遣元（電話番号)],"",0,1)</f>
        <v>052-938-8840</v>
      </c>
      <c r="AU49" s="361"/>
      <c r="AV49" s="361"/>
      <c r="AW49" s="361"/>
      <c r="AX49" s="361"/>
      <c r="AY49" s="361"/>
      <c r="AZ49" s="361"/>
      <c r="BA49" s="361"/>
      <c r="BB49" s="361"/>
      <c r="BC49" s="362"/>
    </row>
    <row r="50" spans="3:55" ht="10.5" customHeight="1">
      <c r="C50" s="368"/>
      <c r="D50" s="369"/>
      <c r="E50" s="369"/>
      <c r="F50" s="369"/>
      <c r="G50" s="369"/>
      <c r="H50" s="369"/>
      <c r="I50" s="369"/>
      <c r="J50" s="369"/>
      <c r="K50" s="414"/>
      <c r="L50" s="423"/>
      <c r="M50" s="424"/>
      <c r="N50" s="402"/>
      <c r="O50" s="377"/>
      <c r="P50" s="377"/>
      <c r="Q50" s="377"/>
      <c r="R50" s="377"/>
      <c r="S50" s="377"/>
      <c r="T50" s="377"/>
      <c r="U50" s="377"/>
      <c r="V50" s="377"/>
      <c r="W50" s="377"/>
      <c r="X50" s="377"/>
      <c r="Y50" s="377"/>
      <c r="Z50" s="377"/>
      <c r="AA50" s="377"/>
      <c r="AB50" s="377"/>
      <c r="AC50" s="377"/>
      <c r="AD50" s="377"/>
      <c r="AE50" s="377"/>
      <c r="AF50" s="377"/>
      <c r="AG50" s="377"/>
      <c r="AH50" s="377"/>
      <c r="AI50" s="377"/>
      <c r="AJ50" s="377"/>
      <c r="AK50" s="377"/>
      <c r="AL50" s="377"/>
      <c r="AM50" s="377"/>
      <c r="AN50" s="377"/>
      <c r="AO50" s="377"/>
      <c r="AP50" s="377"/>
      <c r="AQ50" s="377"/>
      <c r="AR50" s="377"/>
      <c r="AS50" s="377"/>
      <c r="AT50" s="377"/>
      <c r="AU50" s="377"/>
      <c r="AV50" s="377"/>
      <c r="AW50" s="377"/>
      <c r="AX50" s="377"/>
      <c r="AY50" s="377"/>
      <c r="AZ50" s="377"/>
      <c r="BA50" s="377"/>
      <c r="BB50" s="377"/>
      <c r="BC50" s="378"/>
    </row>
    <row r="51" spans="3:55" ht="10.5" customHeight="1">
      <c r="C51" s="371"/>
      <c r="D51" s="372"/>
      <c r="E51" s="372"/>
      <c r="F51" s="372"/>
      <c r="G51" s="372"/>
      <c r="H51" s="372"/>
      <c r="I51" s="372"/>
      <c r="J51" s="372"/>
      <c r="K51" s="417"/>
      <c r="L51" s="418"/>
      <c r="M51" s="419"/>
      <c r="N51" s="384"/>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4"/>
    </row>
    <row r="52" spans="3:55" ht="9" customHeight="1">
      <c r="C52" s="395" t="s">
        <v>2315</v>
      </c>
      <c r="D52" s="396"/>
      <c r="E52" s="396"/>
      <c r="F52" s="396"/>
      <c r="G52" s="396"/>
      <c r="H52" s="396"/>
      <c r="I52" s="396"/>
      <c r="J52" s="396"/>
      <c r="K52" s="422"/>
      <c r="L52" s="423"/>
      <c r="M52" s="424"/>
      <c r="N52" s="8"/>
      <c r="O52" s="361" t="s">
        <v>2316</v>
      </c>
      <c r="P52" s="361"/>
      <c r="Q52" s="361"/>
      <c r="R52" s="361"/>
      <c r="S52" s="361"/>
      <c r="T52" s="361"/>
      <c r="U52" s="361"/>
      <c r="V52" s="361"/>
      <c r="W52" s="361"/>
      <c r="X52" s="361"/>
      <c r="Y52" s="361"/>
      <c r="Z52" s="361"/>
      <c r="AA52" s="361"/>
      <c r="AB52" s="361"/>
      <c r="AC52" s="361"/>
      <c r="AD52" s="361"/>
      <c r="AE52" s="362"/>
      <c r="AF52" s="383" t="s">
        <v>2317</v>
      </c>
      <c r="AG52" s="361"/>
      <c r="AH52" s="361"/>
      <c r="AI52" s="361"/>
      <c r="AJ52" s="361"/>
      <c r="AK52" s="361"/>
      <c r="AL52" s="362"/>
      <c r="AM52" s="377" t="s">
        <v>2318</v>
      </c>
      <c r="AN52" s="377"/>
      <c r="AO52" s="377"/>
      <c r="AP52" s="377"/>
      <c r="AQ52" s="377"/>
      <c r="AR52" s="377"/>
      <c r="AS52" s="377"/>
      <c r="AT52" s="377"/>
      <c r="AU52" s="377"/>
      <c r="AV52" s="377"/>
      <c r="AW52" s="377"/>
      <c r="AX52" s="377"/>
      <c r="AY52" s="377"/>
      <c r="AZ52" s="377"/>
      <c r="BA52" s="377"/>
      <c r="BB52" s="377"/>
      <c r="BC52" s="378"/>
    </row>
    <row r="53" spans="3:55" ht="9" customHeight="1">
      <c r="C53" s="368"/>
      <c r="D53" s="369"/>
      <c r="E53" s="369"/>
      <c r="F53" s="369"/>
      <c r="G53" s="369"/>
      <c r="H53" s="369"/>
      <c r="I53" s="369"/>
      <c r="J53" s="369"/>
      <c r="K53" s="414"/>
      <c r="L53" s="423"/>
      <c r="M53" s="424"/>
      <c r="N53" s="71"/>
      <c r="O53" s="377"/>
      <c r="P53" s="377"/>
      <c r="Q53" s="377"/>
      <c r="R53" s="377"/>
      <c r="S53" s="377"/>
      <c r="T53" s="377"/>
      <c r="U53" s="377"/>
      <c r="V53" s="377"/>
      <c r="W53" s="377"/>
      <c r="X53" s="377"/>
      <c r="Y53" s="377"/>
      <c r="Z53" s="377"/>
      <c r="AA53" s="377"/>
      <c r="AB53" s="377"/>
      <c r="AC53" s="377"/>
      <c r="AD53" s="377"/>
      <c r="AE53" s="378"/>
      <c r="AF53" s="402"/>
      <c r="AG53" s="377"/>
      <c r="AH53" s="377"/>
      <c r="AI53" s="377"/>
      <c r="AJ53" s="377"/>
      <c r="AK53" s="377"/>
      <c r="AL53" s="378"/>
      <c r="AM53" s="377"/>
      <c r="AN53" s="377"/>
      <c r="AO53" s="377"/>
      <c r="AP53" s="377"/>
      <c r="AQ53" s="377"/>
      <c r="AR53" s="377"/>
      <c r="AS53" s="377"/>
      <c r="AT53" s="377"/>
      <c r="AU53" s="377"/>
      <c r="AV53" s="377"/>
      <c r="AW53" s="377"/>
      <c r="AX53" s="377"/>
      <c r="AY53" s="377"/>
      <c r="AZ53" s="377"/>
      <c r="BA53" s="377"/>
      <c r="BB53" s="377"/>
      <c r="BC53" s="378"/>
    </row>
    <row r="54" spans="3:55" ht="9" customHeight="1">
      <c r="C54" s="371"/>
      <c r="D54" s="372"/>
      <c r="E54" s="372"/>
      <c r="F54" s="372"/>
      <c r="G54" s="372"/>
      <c r="H54" s="372"/>
      <c r="I54" s="372"/>
      <c r="J54" s="372"/>
      <c r="K54" s="417"/>
      <c r="L54" s="418"/>
      <c r="M54" s="419"/>
      <c r="N54" s="71"/>
      <c r="O54" s="363"/>
      <c r="P54" s="363"/>
      <c r="Q54" s="363"/>
      <c r="R54" s="363"/>
      <c r="S54" s="363"/>
      <c r="T54" s="363"/>
      <c r="U54" s="363"/>
      <c r="V54" s="363"/>
      <c r="W54" s="363"/>
      <c r="X54" s="363"/>
      <c r="Y54" s="363"/>
      <c r="Z54" s="363"/>
      <c r="AA54" s="363"/>
      <c r="AB54" s="363"/>
      <c r="AC54" s="363"/>
      <c r="AD54" s="363"/>
      <c r="AE54" s="364"/>
      <c r="AF54" s="384"/>
      <c r="AG54" s="363"/>
      <c r="AH54" s="363"/>
      <c r="AI54" s="363"/>
      <c r="AJ54" s="363"/>
      <c r="AK54" s="363"/>
      <c r="AL54" s="364"/>
      <c r="AM54" s="377"/>
      <c r="AN54" s="377"/>
      <c r="AO54" s="377"/>
      <c r="AP54" s="377"/>
      <c r="AQ54" s="377"/>
      <c r="AR54" s="377"/>
      <c r="AS54" s="377"/>
      <c r="AT54" s="377"/>
      <c r="AU54" s="377"/>
      <c r="AV54" s="377"/>
      <c r="AW54" s="377"/>
      <c r="AX54" s="377"/>
      <c r="AY54" s="377"/>
      <c r="AZ54" s="377"/>
      <c r="BA54" s="377"/>
      <c r="BB54" s="377"/>
      <c r="BC54" s="378"/>
    </row>
    <row r="55" spans="3:55" ht="15" customHeight="1">
      <c r="C55" s="467" t="s">
        <v>2319</v>
      </c>
      <c r="D55" s="468"/>
      <c r="E55" s="468"/>
      <c r="F55" s="468"/>
      <c r="G55" s="468"/>
      <c r="H55" s="468"/>
      <c r="I55" s="468"/>
      <c r="J55" s="468"/>
      <c r="K55" s="468"/>
      <c r="L55" s="468"/>
      <c r="M55" s="468"/>
      <c r="N55" s="468"/>
      <c r="O55" s="468"/>
      <c r="P55" s="468"/>
      <c r="Q55" s="468"/>
      <c r="R55" s="468"/>
      <c r="S55" s="468"/>
      <c r="T55" s="468"/>
      <c r="U55" s="468"/>
      <c r="V55" s="468"/>
      <c r="W55" s="468"/>
      <c r="X55" s="468"/>
      <c r="Y55" s="468"/>
      <c r="Z55" s="468"/>
      <c r="AA55" s="468"/>
      <c r="AB55" s="468"/>
      <c r="AC55" s="468"/>
      <c r="AD55" s="468"/>
      <c r="AE55" s="468"/>
      <c r="AF55" s="468"/>
      <c r="AG55" s="468"/>
      <c r="AH55" s="468"/>
      <c r="AI55" s="468"/>
      <c r="AJ55" s="468"/>
      <c r="AK55" s="468"/>
      <c r="AL55" s="468"/>
      <c r="AM55" s="468"/>
      <c r="AN55" s="468"/>
      <c r="AO55" s="468"/>
      <c r="AP55" s="468"/>
      <c r="AQ55" s="468"/>
      <c r="AR55" s="468"/>
      <c r="AS55" s="468"/>
      <c r="AT55" s="468"/>
      <c r="AU55" s="468"/>
      <c r="AV55" s="468"/>
      <c r="AW55" s="468"/>
      <c r="AX55" s="468"/>
      <c r="AY55" s="468"/>
      <c r="AZ55" s="468"/>
      <c r="BA55" s="468"/>
      <c r="BB55" s="468"/>
      <c r="BC55" s="469"/>
    </row>
    <row r="56" spans="3:55" ht="15" customHeight="1">
      <c r="C56" s="467"/>
      <c r="D56" s="468"/>
      <c r="E56" s="468"/>
      <c r="F56" s="468"/>
      <c r="G56" s="468"/>
      <c r="H56" s="468"/>
      <c r="I56" s="468"/>
      <c r="J56" s="468"/>
      <c r="K56" s="468"/>
      <c r="L56" s="468"/>
      <c r="M56" s="468"/>
      <c r="N56" s="468"/>
      <c r="O56" s="468"/>
      <c r="P56" s="468"/>
      <c r="Q56" s="468"/>
      <c r="R56" s="468"/>
      <c r="S56" s="468"/>
      <c r="T56" s="468"/>
      <c r="U56" s="468"/>
      <c r="V56" s="468"/>
      <c r="W56" s="468"/>
      <c r="X56" s="468"/>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8"/>
      <c r="BC56" s="469"/>
    </row>
    <row r="57" spans="3:55" ht="15" customHeight="1">
      <c r="C57" s="467"/>
      <c r="D57" s="468"/>
      <c r="E57" s="468"/>
      <c r="F57" s="468"/>
      <c r="G57" s="468"/>
      <c r="H57" s="468"/>
      <c r="I57" s="468"/>
      <c r="J57" s="468"/>
      <c r="K57" s="468"/>
      <c r="L57" s="468"/>
      <c r="M57" s="468"/>
      <c r="N57" s="468"/>
      <c r="O57" s="468"/>
      <c r="P57" s="468"/>
      <c r="Q57" s="468"/>
      <c r="R57" s="468"/>
      <c r="S57" s="468"/>
      <c r="T57" s="468"/>
      <c r="U57" s="468"/>
      <c r="V57" s="468"/>
      <c r="W57" s="468"/>
      <c r="X57" s="468"/>
      <c r="Y57" s="468"/>
      <c r="Z57" s="468"/>
      <c r="AA57" s="468"/>
      <c r="AB57" s="468"/>
      <c r="AC57" s="468"/>
      <c r="AD57" s="468"/>
      <c r="AE57" s="468"/>
      <c r="AF57" s="468"/>
      <c r="AG57" s="468"/>
      <c r="AH57" s="468"/>
      <c r="AI57" s="468"/>
      <c r="AJ57" s="468"/>
      <c r="AK57" s="468"/>
      <c r="AL57" s="468"/>
      <c r="AM57" s="468"/>
      <c r="AN57" s="468"/>
      <c r="AO57" s="468"/>
      <c r="AP57" s="468"/>
      <c r="AQ57" s="468"/>
      <c r="AR57" s="468"/>
      <c r="AS57" s="468"/>
      <c r="AT57" s="468"/>
      <c r="AU57" s="468"/>
      <c r="AV57" s="468"/>
      <c r="AW57" s="468"/>
      <c r="AX57" s="468"/>
      <c r="AY57" s="468"/>
      <c r="AZ57" s="468"/>
      <c r="BA57" s="468"/>
      <c r="BB57" s="468"/>
      <c r="BC57" s="469"/>
    </row>
    <row r="58" spans="3:55" ht="15" customHeight="1">
      <c r="C58" s="467"/>
      <c r="D58" s="468"/>
      <c r="E58" s="468"/>
      <c r="F58" s="468"/>
      <c r="G58" s="468"/>
      <c r="H58" s="468"/>
      <c r="I58" s="468"/>
      <c r="J58" s="468"/>
      <c r="K58" s="468"/>
      <c r="L58" s="468"/>
      <c r="M58" s="468"/>
      <c r="N58" s="468"/>
      <c r="O58" s="468"/>
      <c r="P58" s="468"/>
      <c r="Q58" s="468"/>
      <c r="R58" s="468"/>
      <c r="S58" s="468"/>
      <c r="T58" s="468"/>
      <c r="U58" s="468"/>
      <c r="V58" s="468"/>
      <c r="W58" s="468"/>
      <c r="X58" s="468"/>
      <c r="Y58" s="468"/>
      <c r="Z58" s="468"/>
      <c r="AA58" s="468"/>
      <c r="AB58" s="468"/>
      <c r="AC58" s="468"/>
      <c r="AD58" s="468"/>
      <c r="AE58" s="468"/>
      <c r="AF58" s="468"/>
      <c r="AG58" s="468"/>
      <c r="AH58" s="468"/>
      <c r="AI58" s="468"/>
      <c r="AJ58" s="468"/>
      <c r="AK58" s="468"/>
      <c r="AL58" s="468"/>
      <c r="AM58" s="468"/>
      <c r="AN58" s="468"/>
      <c r="AO58" s="468"/>
      <c r="AP58" s="468"/>
      <c r="AQ58" s="468"/>
      <c r="AR58" s="468"/>
      <c r="AS58" s="468"/>
      <c r="AT58" s="468"/>
      <c r="AU58" s="468"/>
      <c r="AV58" s="468"/>
      <c r="AW58" s="468"/>
      <c r="AX58" s="468"/>
      <c r="AY58" s="468"/>
      <c r="AZ58" s="468"/>
      <c r="BA58" s="468"/>
      <c r="BB58" s="468"/>
      <c r="BC58" s="469"/>
    </row>
    <row r="59" spans="3:55" ht="15" customHeight="1">
      <c r="C59" s="477" t="s">
        <v>2320</v>
      </c>
      <c r="D59" s="478"/>
      <c r="E59" s="479"/>
      <c r="F59" s="486" t="s">
        <v>2321</v>
      </c>
      <c r="G59" s="487"/>
      <c r="H59" s="487"/>
      <c r="I59" s="487"/>
      <c r="J59" s="487"/>
      <c r="K59" s="487"/>
      <c r="L59" s="488"/>
      <c r="M59" s="487"/>
      <c r="N59" s="487"/>
      <c r="O59" s="487"/>
      <c r="P59" s="489"/>
      <c r="Q59" s="487" t="s">
        <v>2322</v>
      </c>
      <c r="R59" s="487"/>
      <c r="S59" s="487"/>
      <c r="T59" s="487"/>
      <c r="U59" s="487"/>
      <c r="V59" s="487"/>
      <c r="W59" s="487"/>
      <c r="X59" s="487"/>
      <c r="Y59" s="487"/>
      <c r="Z59" s="487"/>
      <c r="AA59" s="487"/>
      <c r="AB59" s="487"/>
      <c r="AC59" s="487"/>
      <c r="AD59" s="487"/>
      <c r="AE59" s="487"/>
      <c r="AF59" s="487"/>
      <c r="AG59" s="487"/>
      <c r="AH59" s="487"/>
      <c r="AI59" s="487"/>
      <c r="AJ59" s="487"/>
      <c r="AK59" s="487"/>
      <c r="AL59" s="487"/>
      <c r="AM59" s="487"/>
      <c r="AN59" s="487"/>
      <c r="AO59" s="487"/>
      <c r="AP59" s="487"/>
      <c r="AQ59" s="487"/>
      <c r="AR59" s="487"/>
      <c r="AS59" s="487"/>
      <c r="AT59" s="487"/>
      <c r="AU59" s="487"/>
      <c r="AV59" s="487"/>
      <c r="AW59" s="487"/>
      <c r="AX59" s="487"/>
      <c r="AY59" s="487"/>
      <c r="AZ59" s="487"/>
      <c r="BA59" s="487"/>
      <c r="BB59" s="487"/>
      <c r="BC59" s="489"/>
    </row>
    <row r="60" spans="3:55" ht="9" customHeight="1">
      <c r="C60" s="480"/>
      <c r="D60" s="481"/>
      <c r="E60" s="482"/>
      <c r="F60" s="490" t="s">
        <v>2323</v>
      </c>
      <c r="G60" s="491"/>
      <c r="H60" s="491"/>
      <c r="I60" s="494" t="s">
        <v>2324</v>
      </c>
      <c r="J60" s="495"/>
      <c r="K60" s="496"/>
      <c r="L60" s="496"/>
      <c r="M60" s="497"/>
      <c r="N60" s="497"/>
      <c r="O60" s="497"/>
      <c r="P60" s="498"/>
      <c r="Q60" s="507"/>
      <c r="R60" s="508"/>
      <c r="S60" s="508"/>
      <c r="T60" s="508"/>
      <c r="U60" s="508"/>
      <c r="V60" s="508"/>
      <c r="W60" s="508"/>
      <c r="X60" s="508"/>
      <c r="Y60" s="508"/>
      <c r="Z60" s="508"/>
      <c r="AA60" s="508"/>
      <c r="AB60" s="508"/>
      <c r="AC60" s="508"/>
      <c r="AD60" s="508"/>
      <c r="AE60" s="508"/>
      <c r="AF60" s="508"/>
      <c r="AG60" s="508"/>
      <c r="AH60" s="508"/>
      <c r="AI60" s="508"/>
      <c r="AJ60" s="508"/>
      <c r="AK60" s="508"/>
      <c r="AL60" s="508"/>
      <c r="AM60" s="508"/>
      <c r="AN60" s="508"/>
      <c r="AO60" s="508"/>
      <c r="AP60" s="508"/>
      <c r="AQ60" s="508"/>
      <c r="AR60" s="508"/>
      <c r="AS60" s="508"/>
      <c r="AT60" s="508"/>
      <c r="AU60" s="508"/>
      <c r="AV60" s="508"/>
      <c r="AW60" s="508"/>
      <c r="AX60" s="508"/>
      <c r="AY60" s="508"/>
      <c r="AZ60" s="508"/>
      <c r="BA60" s="508"/>
      <c r="BB60" s="508"/>
      <c r="BC60" s="509"/>
    </row>
    <row r="61" spans="3:55" ht="9" customHeight="1">
      <c r="C61" s="480"/>
      <c r="D61" s="481"/>
      <c r="E61" s="482"/>
      <c r="F61" s="490"/>
      <c r="G61" s="491"/>
      <c r="H61" s="491"/>
      <c r="I61" s="499"/>
      <c r="J61" s="500"/>
      <c r="K61" s="500"/>
      <c r="L61" s="501"/>
      <c r="M61" s="501"/>
      <c r="N61" s="501"/>
      <c r="O61" s="501"/>
      <c r="P61" s="502"/>
      <c r="Q61" s="510"/>
      <c r="R61" s="511"/>
      <c r="S61" s="511"/>
      <c r="T61" s="511"/>
      <c r="U61" s="511"/>
      <c r="V61" s="511"/>
      <c r="W61" s="511"/>
      <c r="X61" s="511"/>
      <c r="Y61" s="511"/>
      <c r="Z61" s="511"/>
      <c r="AA61" s="511"/>
      <c r="AB61" s="511"/>
      <c r="AC61" s="511"/>
      <c r="AD61" s="511"/>
      <c r="AE61" s="511"/>
      <c r="AF61" s="511"/>
      <c r="AG61" s="511"/>
      <c r="AH61" s="511"/>
      <c r="AI61" s="511"/>
      <c r="AJ61" s="511"/>
      <c r="AK61" s="511"/>
      <c r="AL61" s="511"/>
      <c r="AM61" s="511"/>
      <c r="AN61" s="511"/>
      <c r="AO61" s="511"/>
      <c r="AP61" s="511"/>
      <c r="AQ61" s="511"/>
      <c r="AR61" s="511"/>
      <c r="AS61" s="511"/>
      <c r="AT61" s="511"/>
      <c r="AU61" s="511"/>
      <c r="AV61" s="511"/>
      <c r="AW61" s="511"/>
      <c r="AX61" s="511"/>
      <c r="AY61" s="511"/>
      <c r="AZ61" s="511"/>
      <c r="BA61" s="511"/>
      <c r="BB61" s="511"/>
      <c r="BC61" s="512"/>
    </row>
    <row r="62" spans="3:55" ht="9" customHeight="1">
      <c r="C62" s="480"/>
      <c r="D62" s="481"/>
      <c r="E62" s="482"/>
      <c r="F62" s="490"/>
      <c r="G62" s="491"/>
      <c r="H62" s="491"/>
      <c r="I62" s="499"/>
      <c r="J62" s="500"/>
      <c r="K62" s="500"/>
      <c r="L62" s="500"/>
      <c r="M62" s="500"/>
      <c r="N62" s="500"/>
      <c r="O62" s="500"/>
      <c r="P62" s="503"/>
      <c r="Q62" s="513"/>
      <c r="R62" s="514"/>
      <c r="S62" s="514"/>
      <c r="T62" s="514"/>
      <c r="U62" s="514"/>
      <c r="V62" s="514"/>
      <c r="W62" s="514"/>
      <c r="X62" s="514"/>
      <c r="Y62" s="514"/>
      <c r="Z62" s="514"/>
      <c r="AA62" s="514"/>
      <c r="AB62" s="514"/>
      <c r="AC62" s="514"/>
      <c r="AD62" s="514"/>
      <c r="AE62" s="514"/>
      <c r="AF62" s="514"/>
      <c r="AG62" s="514"/>
      <c r="AH62" s="514"/>
      <c r="AI62" s="514"/>
      <c r="AJ62" s="514"/>
      <c r="AK62" s="514"/>
      <c r="AL62" s="514"/>
      <c r="AM62" s="514"/>
      <c r="AN62" s="514"/>
      <c r="AO62" s="514"/>
      <c r="AP62" s="514"/>
      <c r="AQ62" s="514"/>
      <c r="AR62" s="514"/>
      <c r="AS62" s="514"/>
      <c r="AT62" s="514"/>
      <c r="AU62" s="514"/>
      <c r="AV62" s="514"/>
      <c r="AW62" s="514"/>
      <c r="AX62" s="514"/>
      <c r="AY62" s="514"/>
      <c r="AZ62" s="514"/>
      <c r="BA62" s="514"/>
      <c r="BB62" s="514"/>
      <c r="BC62" s="515"/>
    </row>
    <row r="63" spans="3:55" ht="9" customHeight="1">
      <c r="C63" s="480"/>
      <c r="D63" s="481"/>
      <c r="E63" s="482"/>
      <c r="F63" s="490"/>
      <c r="G63" s="491"/>
      <c r="H63" s="491"/>
      <c r="I63" s="499"/>
      <c r="J63" s="500"/>
      <c r="K63" s="500"/>
      <c r="L63" s="500"/>
      <c r="M63" s="500"/>
      <c r="N63" s="500"/>
      <c r="O63" s="500"/>
      <c r="P63" s="503"/>
      <c r="Q63" s="510"/>
      <c r="R63" s="511"/>
      <c r="S63" s="511"/>
      <c r="T63" s="511"/>
      <c r="U63" s="511"/>
      <c r="V63" s="511"/>
      <c r="W63" s="511"/>
      <c r="X63" s="511"/>
      <c r="Y63" s="511"/>
      <c r="Z63" s="511"/>
      <c r="AA63" s="511"/>
      <c r="AB63" s="511"/>
      <c r="AC63" s="511"/>
      <c r="AD63" s="511"/>
      <c r="AE63" s="511"/>
      <c r="AF63" s="511"/>
      <c r="AG63" s="511"/>
      <c r="AH63" s="511"/>
      <c r="AI63" s="511"/>
      <c r="AJ63" s="511"/>
      <c r="AK63" s="511"/>
      <c r="AL63" s="511"/>
      <c r="AM63" s="511"/>
      <c r="AN63" s="511"/>
      <c r="AO63" s="511"/>
      <c r="AP63" s="511"/>
      <c r="AQ63" s="511"/>
      <c r="AR63" s="511"/>
      <c r="AS63" s="511"/>
      <c r="AT63" s="511"/>
      <c r="AU63" s="511"/>
      <c r="AV63" s="511"/>
      <c r="AW63" s="511"/>
      <c r="AX63" s="511"/>
      <c r="AY63" s="511"/>
      <c r="AZ63" s="511"/>
      <c r="BA63" s="511"/>
      <c r="BB63" s="511"/>
      <c r="BC63" s="512"/>
    </row>
    <row r="64" spans="3:55" ht="9" customHeight="1">
      <c r="C64" s="480"/>
      <c r="D64" s="481"/>
      <c r="E64" s="482"/>
      <c r="F64" s="490"/>
      <c r="G64" s="491"/>
      <c r="H64" s="491"/>
      <c r="I64" s="499"/>
      <c r="J64" s="500"/>
      <c r="K64" s="500"/>
      <c r="L64" s="500"/>
      <c r="M64" s="500"/>
      <c r="N64" s="500"/>
      <c r="O64" s="500"/>
      <c r="P64" s="503"/>
      <c r="Q64" s="516"/>
      <c r="R64" s="517"/>
      <c r="S64" s="517"/>
      <c r="T64" s="517"/>
      <c r="U64" s="517"/>
      <c r="V64" s="517"/>
      <c r="W64" s="517"/>
      <c r="X64" s="517"/>
      <c r="Y64" s="517"/>
      <c r="Z64" s="517"/>
      <c r="AA64" s="517"/>
      <c r="AB64" s="517"/>
      <c r="AC64" s="517"/>
      <c r="AD64" s="517"/>
      <c r="AE64" s="517"/>
      <c r="AF64" s="517"/>
      <c r="AG64" s="517"/>
      <c r="AH64" s="517"/>
      <c r="AI64" s="517"/>
      <c r="AJ64" s="517"/>
      <c r="AK64" s="517"/>
      <c r="AL64" s="517"/>
      <c r="AM64" s="517"/>
      <c r="AN64" s="517"/>
      <c r="AO64" s="517"/>
      <c r="AP64" s="517"/>
      <c r="AQ64" s="517"/>
      <c r="AR64" s="517"/>
      <c r="AS64" s="517"/>
      <c r="AT64" s="517"/>
      <c r="AU64" s="517"/>
      <c r="AV64" s="517"/>
      <c r="AW64" s="517"/>
      <c r="AX64" s="517"/>
      <c r="AY64" s="517"/>
      <c r="AZ64" s="517"/>
      <c r="BA64" s="517"/>
      <c r="BB64" s="517"/>
      <c r="BC64" s="518"/>
    </row>
    <row r="65" spans="3:55" ht="9" customHeight="1">
      <c r="C65" s="480"/>
      <c r="D65" s="481"/>
      <c r="E65" s="482"/>
      <c r="F65" s="490"/>
      <c r="G65" s="491"/>
      <c r="H65" s="491"/>
      <c r="I65" s="504"/>
      <c r="J65" s="505"/>
      <c r="K65" s="505"/>
      <c r="L65" s="505"/>
      <c r="M65" s="505"/>
      <c r="N65" s="505"/>
      <c r="O65" s="505"/>
      <c r="P65" s="506"/>
      <c r="Q65" s="513"/>
      <c r="R65" s="514"/>
      <c r="S65" s="514"/>
      <c r="T65" s="514"/>
      <c r="U65" s="514"/>
      <c r="V65" s="514"/>
      <c r="W65" s="514"/>
      <c r="X65" s="514"/>
      <c r="Y65" s="514"/>
      <c r="Z65" s="514"/>
      <c r="AA65" s="514"/>
      <c r="AB65" s="514"/>
      <c r="AC65" s="514"/>
      <c r="AD65" s="514"/>
      <c r="AE65" s="514"/>
      <c r="AF65" s="514"/>
      <c r="AG65" s="514"/>
      <c r="AH65" s="514"/>
      <c r="AI65" s="514"/>
      <c r="AJ65" s="514"/>
      <c r="AK65" s="514"/>
      <c r="AL65" s="514"/>
      <c r="AM65" s="514"/>
      <c r="AN65" s="514"/>
      <c r="AO65" s="514"/>
      <c r="AP65" s="514"/>
      <c r="AQ65" s="514"/>
      <c r="AR65" s="514"/>
      <c r="AS65" s="514"/>
      <c r="AT65" s="514"/>
      <c r="AU65" s="514"/>
      <c r="AV65" s="514"/>
      <c r="AW65" s="514"/>
      <c r="AX65" s="514"/>
      <c r="AY65" s="514"/>
      <c r="AZ65" s="514"/>
      <c r="BA65" s="514"/>
      <c r="BB65" s="514"/>
      <c r="BC65" s="515"/>
    </row>
    <row r="66" spans="3:55" ht="9" customHeight="1">
      <c r="C66" s="480"/>
      <c r="D66" s="481"/>
      <c r="E66" s="482"/>
      <c r="F66" s="490"/>
      <c r="G66" s="491"/>
      <c r="H66" s="491"/>
      <c r="I66" s="494" t="s">
        <v>2325</v>
      </c>
      <c r="J66" s="495"/>
      <c r="K66" s="495"/>
      <c r="L66" s="495"/>
      <c r="M66" s="495"/>
      <c r="N66" s="495"/>
      <c r="O66" s="495"/>
      <c r="P66" s="519"/>
      <c r="Q66" s="510"/>
      <c r="R66" s="511"/>
      <c r="S66" s="511"/>
      <c r="T66" s="511"/>
      <c r="U66" s="511"/>
      <c r="V66" s="511"/>
      <c r="W66" s="511"/>
      <c r="X66" s="511"/>
      <c r="Y66" s="511"/>
      <c r="Z66" s="511"/>
      <c r="AA66" s="511"/>
      <c r="AB66" s="511"/>
      <c r="AC66" s="511"/>
      <c r="AD66" s="511"/>
      <c r="AE66" s="511"/>
      <c r="AF66" s="511"/>
      <c r="AG66" s="511"/>
      <c r="AH66" s="511"/>
      <c r="AI66" s="511"/>
      <c r="AJ66" s="511"/>
      <c r="AK66" s="511"/>
      <c r="AL66" s="511"/>
      <c r="AM66" s="511"/>
      <c r="AN66" s="511"/>
      <c r="AO66" s="511"/>
      <c r="AP66" s="511"/>
      <c r="AQ66" s="511"/>
      <c r="AR66" s="511"/>
      <c r="AS66" s="511"/>
      <c r="AT66" s="511"/>
      <c r="AU66" s="511"/>
      <c r="AV66" s="511"/>
      <c r="AW66" s="511"/>
      <c r="AX66" s="511"/>
      <c r="AY66" s="511"/>
      <c r="AZ66" s="511"/>
      <c r="BA66" s="511"/>
      <c r="BB66" s="511"/>
      <c r="BC66" s="512"/>
    </row>
    <row r="67" spans="3:55" ht="9" customHeight="1">
      <c r="C67" s="480"/>
      <c r="D67" s="481"/>
      <c r="E67" s="482"/>
      <c r="F67" s="490"/>
      <c r="G67" s="491"/>
      <c r="H67" s="491"/>
      <c r="I67" s="499"/>
      <c r="J67" s="500"/>
      <c r="K67" s="500"/>
      <c r="L67" s="500"/>
      <c r="M67" s="500"/>
      <c r="N67" s="500"/>
      <c r="O67" s="500"/>
      <c r="P67" s="503"/>
      <c r="Q67" s="516"/>
      <c r="R67" s="517"/>
      <c r="S67" s="517"/>
      <c r="T67" s="517"/>
      <c r="U67" s="517"/>
      <c r="V67" s="517"/>
      <c r="W67" s="517"/>
      <c r="X67" s="517"/>
      <c r="Y67" s="517"/>
      <c r="Z67" s="517"/>
      <c r="AA67" s="517"/>
      <c r="AB67" s="517"/>
      <c r="AC67" s="517"/>
      <c r="AD67" s="517"/>
      <c r="AE67" s="517"/>
      <c r="AF67" s="517"/>
      <c r="AG67" s="517"/>
      <c r="AH67" s="517"/>
      <c r="AI67" s="517"/>
      <c r="AJ67" s="517"/>
      <c r="AK67" s="517"/>
      <c r="AL67" s="517"/>
      <c r="AM67" s="517"/>
      <c r="AN67" s="517"/>
      <c r="AO67" s="517"/>
      <c r="AP67" s="517"/>
      <c r="AQ67" s="517"/>
      <c r="AR67" s="517"/>
      <c r="AS67" s="517"/>
      <c r="AT67" s="517"/>
      <c r="AU67" s="517"/>
      <c r="AV67" s="517"/>
      <c r="AW67" s="517"/>
      <c r="AX67" s="517"/>
      <c r="AY67" s="517"/>
      <c r="AZ67" s="517"/>
      <c r="BA67" s="517"/>
      <c r="BB67" s="517"/>
      <c r="BC67" s="518"/>
    </row>
    <row r="68" spans="3:55" ht="9" customHeight="1">
      <c r="C68" s="480"/>
      <c r="D68" s="481"/>
      <c r="E68" s="482"/>
      <c r="F68" s="490"/>
      <c r="G68" s="491"/>
      <c r="H68" s="491"/>
      <c r="I68" s="499"/>
      <c r="J68" s="500"/>
      <c r="K68" s="500"/>
      <c r="L68" s="500"/>
      <c r="M68" s="500"/>
      <c r="N68" s="500"/>
      <c r="O68" s="500"/>
      <c r="P68" s="503"/>
      <c r="Q68" s="513"/>
      <c r="R68" s="514"/>
      <c r="S68" s="514"/>
      <c r="T68" s="514"/>
      <c r="U68" s="514"/>
      <c r="V68" s="514"/>
      <c r="W68" s="514"/>
      <c r="X68" s="514"/>
      <c r="Y68" s="514"/>
      <c r="Z68" s="514"/>
      <c r="AA68" s="514"/>
      <c r="AB68" s="514"/>
      <c r="AC68" s="514"/>
      <c r="AD68" s="514"/>
      <c r="AE68" s="514"/>
      <c r="AF68" s="514"/>
      <c r="AG68" s="514"/>
      <c r="AH68" s="514"/>
      <c r="AI68" s="514"/>
      <c r="AJ68" s="514"/>
      <c r="AK68" s="514"/>
      <c r="AL68" s="514"/>
      <c r="AM68" s="514"/>
      <c r="AN68" s="514"/>
      <c r="AO68" s="514"/>
      <c r="AP68" s="514"/>
      <c r="AQ68" s="514"/>
      <c r="AR68" s="514"/>
      <c r="AS68" s="514"/>
      <c r="AT68" s="514"/>
      <c r="AU68" s="514"/>
      <c r="AV68" s="514"/>
      <c r="AW68" s="514"/>
      <c r="AX68" s="514"/>
      <c r="AY68" s="514"/>
      <c r="AZ68" s="514"/>
      <c r="BA68" s="514"/>
      <c r="BB68" s="514"/>
      <c r="BC68" s="515"/>
    </row>
    <row r="69" spans="3:55" ht="9" customHeight="1">
      <c r="C69" s="480"/>
      <c r="D69" s="481"/>
      <c r="E69" s="482"/>
      <c r="F69" s="490"/>
      <c r="G69" s="491"/>
      <c r="H69" s="491"/>
      <c r="I69" s="499"/>
      <c r="J69" s="500"/>
      <c r="K69" s="500"/>
      <c r="L69" s="500"/>
      <c r="M69" s="500"/>
      <c r="N69" s="500"/>
      <c r="O69" s="500"/>
      <c r="P69" s="503"/>
      <c r="Q69" s="523"/>
      <c r="R69" s="511"/>
      <c r="S69" s="511"/>
      <c r="T69" s="511"/>
      <c r="U69" s="511"/>
      <c r="V69" s="511"/>
      <c r="W69" s="511"/>
      <c r="X69" s="511"/>
      <c r="Y69" s="511"/>
      <c r="Z69" s="511"/>
      <c r="AA69" s="511"/>
      <c r="AB69" s="511"/>
      <c r="AC69" s="511"/>
      <c r="AD69" s="511"/>
      <c r="AE69" s="511"/>
      <c r="AF69" s="511"/>
      <c r="AG69" s="511"/>
      <c r="AH69" s="511"/>
      <c r="AI69" s="511"/>
      <c r="AJ69" s="511"/>
      <c r="AK69" s="511"/>
      <c r="AL69" s="511"/>
      <c r="AM69" s="511"/>
      <c r="AN69" s="511"/>
      <c r="AO69" s="511"/>
      <c r="AP69" s="511"/>
      <c r="AQ69" s="511"/>
      <c r="AR69" s="511"/>
      <c r="AS69" s="511"/>
      <c r="AT69" s="511"/>
      <c r="AU69" s="511"/>
      <c r="AV69" s="511"/>
      <c r="AW69" s="511"/>
      <c r="AX69" s="511"/>
      <c r="AY69" s="511"/>
      <c r="AZ69" s="511"/>
      <c r="BA69" s="511"/>
      <c r="BB69" s="511"/>
      <c r="BC69" s="512"/>
    </row>
    <row r="70" spans="3:55" ht="9" customHeight="1">
      <c r="C70" s="480"/>
      <c r="D70" s="481"/>
      <c r="E70" s="482"/>
      <c r="F70" s="490"/>
      <c r="G70" s="491"/>
      <c r="H70" s="491"/>
      <c r="I70" s="499"/>
      <c r="J70" s="500"/>
      <c r="K70" s="500"/>
      <c r="L70" s="500"/>
      <c r="M70" s="500"/>
      <c r="N70" s="500"/>
      <c r="O70" s="500"/>
      <c r="P70" s="503"/>
      <c r="Q70" s="524"/>
      <c r="R70" s="517"/>
      <c r="S70" s="517"/>
      <c r="T70" s="517"/>
      <c r="U70" s="517"/>
      <c r="V70" s="517"/>
      <c r="W70" s="517"/>
      <c r="X70" s="517"/>
      <c r="Y70" s="517"/>
      <c r="Z70" s="517"/>
      <c r="AA70" s="517"/>
      <c r="AB70" s="517"/>
      <c r="AC70" s="517"/>
      <c r="AD70" s="517"/>
      <c r="AE70" s="517"/>
      <c r="AF70" s="517"/>
      <c r="AG70" s="517"/>
      <c r="AH70" s="517"/>
      <c r="AI70" s="517"/>
      <c r="AJ70" s="517"/>
      <c r="AK70" s="517"/>
      <c r="AL70" s="517"/>
      <c r="AM70" s="517"/>
      <c r="AN70" s="517"/>
      <c r="AO70" s="517"/>
      <c r="AP70" s="517"/>
      <c r="AQ70" s="517"/>
      <c r="AR70" s="517"/>
      <c r="AS70" s="517"/>
      <c r="AT70" s="517"/>
      <c r="AU70" s="517"/>
      <c r="AV70" s="517"/>
      <c r="AW70" s="517"/>
      <c r="AX70" s="517"/>
      <c r="AY70" s="517"/>
      <c r="AZ70" s="517"/>
      <c r="BA70" s="517"/>
      <c r="BB70" s="517"/>
      <c r="BC70" s="518"/>
    </row>
    <row r="71" spans="3:55" ht="9" customHeight="1">
      <c r="C71" s="480"/>
      <c r="D71" s="481"/>
      <c r="E71" s="482"/>
      <c r="F71" s="490"/>
      <c r="G71" s="491"/>
      <c r="H71" s="491"/>
      <c r="I71" s="504"/>
      <c r="J71" s="505"/>
      <c r="K71" s="505"/>
      <c r="L71" s="505"/>
      <c r="M71" s="505"/>
      <c r="N71" s="505"/>
      <c r="O71" s="505"/>
      <c r="P71" s="506"/>
      <c r="Q71" s="525"/>
      <c r="R71" s="514"/>
      <c r="S71" s="514"/>
      <c r="T71" s="514"/>
      <c r="U71" s="514"/>
      <c r="V71" s="514"/>
      <c r="W71" s="514"/>
      <c r="X71" s="514"/>
      <c r="Y71" s="514"/>
      <c r="Z71" s="514"/>
      <c r="AA71" s="514"/>
      <c r="AB71" s="514"/>
      <c r="AC71" s="514"/>
      <c r="AD71" s="514"/>
      <c r="AE71" s="514"/>
      <c r="AF71" s="514"/>
      <c r="AG71" s="514"/>
      <c r="AH71" s="514"/>
      <c r="AI71" s="514"/>
      <c r="AJ71" s="514"/>
      <c r="AK71" s="514"/>
      <c r="AL71" s="514"/>
      <c r="AM71" s="514"/>
      <c r="AN71" s="514"/>
      <c r="AO71" s="514"/>
      <c r="AP71" s="514"/>
      <c r="AQ71" s="514"/>
      <c r="AR71" s="514"/>
      <c r="AS71" s="514"/>
      <c r="AT71" s="514"/>
      <c r="AU71" s="514"/>
      <c r="AV71" s="514"/>
      <c r="AW71" s="514"/>
      <c r="AX71" s="514"/>
      <c r="AY71" s="514"/>
      <c r="AZ71" s="514"/>
      <c r="BA71" s="514"/>
      <c r="BB71" s="514"/>
      <c r="BC71" s="515"/>
    </row>
    <row r="72" spans="3:55" ht="9" customHeight="1">
      <c r="C72" s="480"/>
      <c r="D72" s="481"/>
      <c r="E72" s="482"/>
      <c r="F72" s="490"/>
      <c r="G72" s="491"/>
      <c r="H72" s="491"/>
      <c r="I72" s="526" t="s">
        <v>2326</v>
      </c>
      <c r="J72" s="501"/>
      <c r="K72" s="501"/>
      <c r="L72" s="501"/>
      <c r="M72" s="501"/>
      <c r="N72" s="501"/>
      <c r="O72" s="501"/>
      <c r="P72" s="502"/>
      <c r="Q72" s="520"/>
      <c r="R72" s="521"/>
      <c r="S72" s="521"/>
      <c r="T72" s="521"/>
      <c r="U72" s="521"/>
      <c r="V72" s="521"/>
      <c r="W72" s="521"/>
      <c r="X72" s="521"/>
      <c r="Y72" s="521"/>
      <c r="Z72" s="521"/>
      <c r="AA72" s="521"/>
      <c r="AB72" s="521"/>
      <c r="AC72" s="521"/>
      <c r="AD72" s="521"/>
      <c r="AE72" s="521"/>
      <c r="AF72" s="521"/>
      <c r="AG72" s="521"/>
      <c r="AH72" s="521"/>
      <c r="AI72" s="521"/>
      <c r="AJ72" s="521"/>
      <c r="AK72" s="521"/>
      <c r="AL72" s="521"/>
      <c r="AM72" s="521"/>
      <c r="AN72" s="521"/>
      <c r="AO72" s="521"/>
      <c r="AP72" s="521"/>
      <c r="AQ72" s="521"/>
      <c r="AR72" s="521"/>
      <c r="AS72" s="521"/>
      <c r="AT72" s="521"/>
      <c r="AU72" s="521"/>
      <c r="AV72" s="521"/>
      <c r="AW72" s="521"/>
      <c r="AX72" s="521"/>
      <c r="AY72" s="521"/>
      <c r="AZ72" s="521"/>
      <c r="BA72" s="521"/>
      <c r="BB72" s="521"/>
      <c r="BC72" s="522"/>
    </row>
    <row r="73" spans="3:55" ht="9" customHeight="1">
      <c r="C73" s="480"/>
      <c r="D73" s="481"/>
      <c r="E73" s="482"/>
      <c r="F73" s="490"/>
      <c r="G73" s="491"/>
      <c r="H73" s="491"/>
      <c r="I73" s="499"/>
      <c r="J73" s="500"/>
      <c r="K73" s="500"/>
      <c r="L73" s="500"/>
      <c r="M73" s="500"/>
      <c r="N73" s="500"/>
      <c r="O73" s="500"/>
      <c r="P73" s="503"/>
      <c r="Q73" s="516"/>
      <c r="R73" s="517"/>
      <c r="S73" s="517"/>
      <c r="T73" s="517"/>
      <c r="U73" s="517"/>
      <c r="V73" s="517"/>
      <c r="W73" s="517"/>
      <c r="X73" s="517"/>
      <c r="Y73" s="517"/>
      <c r="Z73" s="517"/>
      <c r="AA73" s="517"/>
      <c r="AB73" s="517"/>
      <c r="AC73" s="517"/>
      <c r="AD73" s="517"/>
      <c r="AE73" s="517"/>
      <c r="AF73" s="517"/>
      <c r="AG73" s="517"/>
      <c r="AH73" s="517"/>
      <c r="AI73" s="517"/>
      <c r="AJ73" s="517"/>
      <c r="AK73" s="517"/>
      <c r="AL73" s="517"/>
      <c r="AM73" s="517"/>
      <c r="AN73" s="517"/>
      <c r="AO73" s="517"/>
      <c r="AP73" s="517"/>
      <c r="AQ73" s="517"/>
      <c r="AR73" s="517"/>
      <c r="AS73" s="517"/>
      <c r="AT73" s="517"/>
      <c r="AU73" s="517"/>
      <c r="AV73" s="517"/>
      <c r="AW73" s="517"/>
      <c r="AX73" s="517"/>
      <c r="AY73" s="517"/>
      <c r="AZ73" s="517"/>
      <c r="BA73" s="517"/>
      <c r="BB73" s="517"/>
      <c r="BC73" s="518"/>
    </row>
    <row r="74" spans="3:55" ht="9" customHeight="1">
      <c r="C74" s="480"/>
      <c r="D74" s="481"/>
      <c r="E74" s="482"/>
      <c r="F74" s="490"/>
      <c r="G74" s="491"/>
      <c r="H74" s="491"/>
      <c r="I74" s="499"/>
      <c r="J74" s="500"/>
      <c r="K74" s="500"/>
      <c r="L74" s="500"/>
      <c r="M74" s="500"/>
      <c r="N74" s="500"/>
      <c r="O74" s="500"/>
      <c r="P74" s="503"/>
      <c r="Q74" s="513"/>
      <c r="R74" s="514"/>
      <c r="S74" s="514"/>
      <c r="T74" s="514"/>
      <c r="U74" s="514"/>
      <c r="V74" s="514"/>
      <c r="W74" s="514"/>
      <c r="X74" s="514"/>
      <c r="Y74" s="514"/>
      <c r="Z74" s="514"/>
      <c r="AA74" s="514"/>
      <c r="AB74" s="514"/>
      <c r="AC74" s="514"/>
      <c r="AD74" s="514"/>
      <c r="AE74" s="514"/>
      <c r="AF74" s="514"/>
      <c r="AG74" s="514"/>
      <c r="AH74" s="514"/>
      <c r="AI74" s="514"/>
      <c r="AJ74" s="514"/>
      <c r="AK74" s="514"/>
      <c r="AL74" s="514"/>
      <c r="AM74" s="514"/>
      <c r="AN74" s="514"/>
      <c r="AO74" s="514"/>
      <c r="AP74" s="514"/>
      <c r="AQ74" s="514"/>
      <c r="AR74" s="514"/>
      <c r="AS74" s="514"/>
      <c r="AT74" s="514"/>
      <c r="AU74" s="514"/>
      <c r="AV74" s="514"/>
      <c r="AW74" s="514"/>
      <c r="AX74" s="514"/>
      <c r="AY74" s="514"/>
      <c r="AZ74" s="514"/>
      <c r="BA74" s="514"/>
      <c r="BB74" s="514"/>
      <c r="BC74" s="515"/>
    </row>
    <row r="75" spans="3:55" ht="9" customHeight="1">
      <c r="C75" s="480"/>
      <c r="D75" s="481"/>
      <c r="E75" s="482"/>
      <c r="F75" s="490"/>
      <c r="G75" s="491"/>
      <c r="H75" s="491"/>
      <c r="I75" s="499"/>
      <c r="J75" s="500"/>
      <c r="K75" s="500"/>
      <c r="L75" s="500"/>
      <c r="M75" s="500"/>
      <c r="N75" s="500"/>
      <c r="O75" s="500"/>
      <c r="P75" s="503"/>
      <c r="Q75" s="523"/>
      <c r="R75" s="511"/>
      <c r="S75" s="511"/>
      <c r="T75" s="511"/>
      <c r="U75" s="511"/>
      <c r="V75" s="511"/>
      <c r="W75" s="511"/>
      <c r="X75" s="511"/>
      <c r="Y75" s="511"/>
      <c r="Z75" s="511"/>
      <c r="AA75" s="511"/>
      <c r="AB75" s="511"/>
      <c r="AC75" s="511"/>
      <c r="AD75" s="511"/>
      <c r="AE75" s="511"/>
      <c r="AF75" s="511"/>
      <c r="AG75" s="511"/>
      <c r="AH75" s="511"/>
      <c r="AI75" s="511"/>
      <c r="AJ75" s="511"/>
      <c r="AK75" s="511"/>
      <c r="AL75" s="511"/>
      <c r="AM75" s="511"/>
      <c r="AN75" s="511"/>
      <c r="AO75" s="511"/>
      <c r="AP75" s="511"/>
      <c r="AQ75" s="511"/>
      <c r="AR75" s="511"/>
      <c r="AS75" s="511"/>
      <c r="AT75" s="511"/>
      <c r="AU75" s="511"/>
      <c r="AV75" s="511"/>
      <c r="AW75" s="511"/>
      <c r="AX75" s="511"/>
      <c r="AY75" s="511"/>
      <c r="AZ75" s="511"/>
      <c r="BA75" s="511"/>
      <c r="BB75" s="511"/>
      <c r="BC75" s="512"/>
    </row>
    <row r="76" spans="3:55" ht="9" customHeight="1">
      <c r="C76" s="480"/>
      <c r="D76" s="481"/>
      <c r="E76" s="482"/>
      <c r="F76" s="490"/>
      <c r="G76" s="491"/>
      <c r="H76" s="491"/>
      <c r="I76" s="499"/>
      <c r="J76" s="500"/>
      <c r="K76" s="500"/>
      <c r="L76" s="500"/>
      <c r="M76" s="500"/>
      <c r="N76" s="500"/>
      <c r="O76" s="500"/>
      <c r="P76" s="503"/>
      <c r="Q76" s="524"/>
      <c r="R76" s="517"/>
      <c r="S76" s="517"/>
      <c r="T76" s="517"/>
      <c r="U76" s="517"/>
      <c r="V76" s="517"/>
      <c r="W76" s="517"/>
      <c r="X76" s="517"/>
      <c r="Y76" s="517"/>
      <c r="Z76" s="517"/>
      <c r="AA76" s="517"/>
      <c r="AB76" s="517"/>
      <c r="AC76" s="517"/>
      <c r="AD76" s="517"/>
      <c r="AE76" s="517"/>
      <c r="AF76" s="517"/>
      <c r="AG76" s="517"/>
      <c r="AH76" s="517"/>
      <c r="AI76" s="517"/>
      <c r="AJ76" s="517"/>
      <c r="AK76" s="517"/>
      <c r="AL76" s="517"/>
      <c r="AM76" s="517"/>
      <c r="AN76" s="517"/>
      <c r="AO76" s="517"/>
      <c r="AP76" s="517"/>
      <c r="AQ76" s="517"/>
      <c r="AR76" s="517"/>
      <c r="AS76" s="517"/>
      <c r="AT76" s="517"/>
      <c r="AU76" s="517"/>
      <c r="AV76" s="517"/>
      <c r="AW76" s="517"/>
      <c r="AX76" s="517"/>
      <c r="AY76" s="517"/>
      <c r="AZ76" s="517"/>
      <c r="BA76" s="517"/>
      <c r="BB76" s="517"/>
      <c r="BC76" s="518"/>
    </row>
    <row r="77" spans="3:55" ht="9" customHeight="1">
      <c r="C77" s="483"/>
      <c r="D77" s="484"/>
      <c r="E77" s="485"/>
      <c r="F77" s="492"/>
      <c r="G77" s="493"/>
      <c r="H77" s="493"/>
      <c r="I77" s="504"/>
      <c r="J77" s="505"/>
      <c r="K77" s="505"/>
      <c r="L77" s="505"/>
      <c r="M77" s="505"/>
      <c r="N77" s="505"/>
      <c r="O77" s="505"/>
      <c r="P77" s="506"/>
      <c r="Q77" s="525"/>
      <c r="R77" s="514"/>
      <c r="S77" s="514"/>
      <c r="T77" s="514"/>
      <c r="U77" s="514"/>
      <c r="V77" s="514"/>
      <c r="W77" s="514"/>
      <c r="X77" s="514"/>
      <c r="Y77" s="514"/>
      <c r="Z77" s="514"/>
      <c r="AA77" s="514"/>
      <c r="AB77" s="514"/>
      <c r="AC77" s="514"/>
      <c r="AD77" s="514"/>
      <c r="AE77" s="514"/>
      <c r="AF77" s="514"/>
      <c r="AG77" s="514"/>
      <c r="AH77" s="514"/>
      <c r="AI77" s="514"/>
      <c r="AJ77" s="514"/>
      <c r="AK77" s="514"/>
      <c r="AL77" s="514"/>
      <c r="AM77" s="514"/>
      <c r="AN77" s="514"/>
      <c r="AO77" s="514"/>
      <c r="AP77" s="514"/>
      <c r="AQ77" s="514"/>
      <c r="AR77" s="514"/>
      <c r="AS77" s="514"/>
      <c r="AT77" s="514"/>
      <c r="AU77" s="514"/>
      <c r="AV77" s="514"/>
      <c r="AW77" s="514"/>
      <c r="AX77" s="514"/>
      <c r="AY77" s="514"/>
      <c r="AZ77" s="514"/>
      <c r="BA77" s="514"/>
      <c r="BB77" s="514"/>
      <c r="BC77" s="515"/>
    </row>
    <row r="78" spans="3:55" ht="9.75" customHeight="1">
      <c r="D78" s="476" t="s">
        <v>2327</v>
      </c>
      <c r="E78" s="476"/>
      <c r="F78" s="476"/>
      <c r="G78" s="476"/>
      <c r="H78" s="476"/>
      <c r="I78" s="476"/>
      <c r="J78" s="476"/>
      <c r="K78" s="476"/>
      <c r="L78" s="476"/>
      <c r="M78" s="476"/>
      <c r="N78" s="476"/>
      <c r="O78" s="476"/>
      <c r="P78" s="476"/>
      <c r="Q78" s="476"/>
    </row>
    <row r="79" spans="3:55" ht="9.75" customHeight="1"/>
    <row r="80" spans="3:55" ht="9.75" customHeight="1"/>
    <row r="81" s="7" customFormat="1" ht="9.75" customHeight="1"/>
    <row r="82" s="7" customFormat="1" ht="9.75" customHeight="1"/>
    <row r="83" s="7" customFormat="1" ht="9.75" customHeight="1"/>
    <row r="84" s="7" customFormat="1" ht="9.75" customHeight="1"/>
    <row r="85" s="7" customFormat="1" ht="9.75" customHeight="1"/>
    <row r="86" s="7" customFormat="1" ht="9.75" customHeight="1"/>
    <row r="87" s="7" customFormat="1" ht="9.75" customHeight="1"/>
    <row r="88" s="7" customFormat="1" ht="9.75" customHeight="1"/>
    <row r="89" s="7" customFormat="1" ht="9.75" customHeight="1"/>
    <row r="90" s="7" customFormat="1" ht="9.75" customHeight="1"/>
    <row r="91" s="7" customFormat="1" ht="9.75" customHeight="1"/>
    <row r="92" s="7" customFormat="1" ht="9.75" customHeight="1"/>
    <row r="93" s="7" customFormat="1" ht="9.75" customHeight="1"/>
    <row r="94" s="7" customFormat="1" ht="9.75" customHeight="1"/>
    <row r="95" s="7" customFormat="1" ht="9.75" customHeight="1"/>
    <row r="96" s="7" customFormat="1" ht="9.75" customHeight="1"/>
    <row r="97" s="7" customFormat="1" ht="9.75" customHeight="1"/>
    <row r="98" s="7" customFormat="1" ht="9.75" customHeight="1"/>
    <row r="99" s="7" customFormat="1" ht="9.75" customHeight="1"/>
    <row r="100" s="7" customFormat="1" ht="9.75" customHeight="1"/>
    <row r="101" s="7" customFormat="1" ht="9.75" customHeight="1"/>
    <row r="102" s="7" customFormat="1" ht="9.75" customHeight="1"/>
    <row r="103" s="7" customFormat="1" ht="9.75" customHeight="1"/>
    <row r="104" s="7" customFormat="1" ht="9.75" customHeight="1"/>
    <row r="105" s="7" customFormat="1" ht="9.75" customHeight="1"/>
    <row r="106" s="7" customFormat="1" ht="9.75" customHeight="1"/>
    <row r="107" s="7" customFormat="1" ht="9.75" customHeight="1"/>
    <row r="108" s="7" customFormat="1" ht="9.75" customHeight="1"/>
    <row r="109" s="7" customFormat="1" ht="9.75" customHeight="1"/>
    <row r="110" s="7" customFormat="1" ht="9.75" customHeight="1"/>
    <row r="111" s="7" customFormat="1" ht="9.75" customHeight="1"/>
    <row r="112" s="7" customFormat="1" ht="9.75" customHeight="1"/>
    <row r="113" s="7" customFormat="1" ht="9.75" customHeight="1"/>
    <row r="114" s="7" customFormat="1" ht="9.75" customHeight="1"/>
    <row r="115" s="7" customFormat="1" ht="9.75" customHeight="1"/>
    <row r="116" s="7" customFormat="1" ht="9.75" customHeight="1"/>
    <row r="117" s="7" customFormat="1" ht="9.75" customHeight="1"/>
    <row r="118" s="7" customFormat="1" ht="9.75" customHeight="1"/>
    <row r="119" s="7" customFormat="1" ht="9.75" customHeight="1"/>
    <row r="120" s="7" customFormat="1" ht="9.75" customHeight="1"/>
    <row r="121" s="7" customFormat="1" ht="9.75" customHeight="1"/>
    <row r="122" s="7" customFormat="1" ht="9.75" customHeight="1"/>
    <row r="123" s="7" customFormat="1" ht="9.75" customHeight="1"/>
    <row r="124" s="7" customFormat="1" ht="9.75" customHeight="1"/>
    <row r="125" s="7" customFormat="1" ht="9.75" customHeight="1"/>
    <row r="126" s="7" customFormat="1" ht="9.75" customHeight="1"/>
    <row r="127" s="7" customFormat="1" ht="9.75" customHeight="1"/>
    <row r="128" s="7" customFormat="1" ht="9.75" customHeight="1"/>
    <row r="129" s="7" customFormat="1" ht="9.75" customHeight="1"/>
    <row r="130" s="7" customFormat="1" ht="9.75" customHeight="1"/>
    <row r="131" s="7" customFormat="1" ht="9.75" customHeight="1"/>
    <row r="132" s="7" customFormat="1" ht="9.75" customHeight="1"/>
    <row r="133" s="7" customFormat="1" ht="9.75" customHeight="1"/>
    <row r="134" s="7" customFormat="1" ht="9.75" customHeight="1"/>
    <row r="135" s="7" customFormat="1" ht="9.75" customHeight="1"/>
    <row r="136" s="7" customFormat="1" ht="9.75" customHeight="1"/>
    <row r="137" s="7" customFormat="1" ht="9.75" customHeight="1"/>
    <row r="138" s="7" customFormat="1" ht="9.75" customHeight="1"/>
    <row r="139" s="7" customFormat="1" ht="9.75" customHeight="1"/>
    <row r="140" s="7" customFormat="1" ht="9.75" customHeight="1"/>
    <row r="141" s="7" customFormat="1" ht="9.75" customHeight="1"/>
    <row r="142" s="7" customFormat="1" ht="9.75" customHeight="1"/>
    <row r="143" s="7" customFormat="1" ht="9.75" customHeight="1"/>
    <row r="144" s="7" customFormat="1" ht="9.75" customHeight="1"/>
    <row r="145" s="7" customFormat="1" ht="9.75" customHeight="1"/>
    <row r="146" s="7" customFormat="1" ht="9.75" customHeight="1"/>
    <row r="147" s="7" customFormat="1" ht="9.75" customHeight="1"/>
    <row r="148" s="7" customFormat="1" ht="9.75" customHeight="1"/>
    <row r="149" s="7" customFormat="1" ht="9.75" customHeight="1"/>
    <row r="150" s="7" customFormat="1" ht="9.75" customHeight="1"/>
    <row r="151" s="7" customFormat="1" ht="9.75" customHeight="1"/>
    <row r="152" s="7" customFormat="1" ht="9.75" customHeight="1"/>
    <row r="153" s="7" customFormat="1" ht="9.75" customHeight="1"/>
    <row r="154" s="7" customFormat="1" ht="9.75" customHeight="1"/>
    <row r="155" s="7" customFormat="1" ht="9.75" customHeight="1"/>
    <row r="156" s="7" customFormat="1" ht="9.75" customHeight="1"/>
    <row r="157" s="7" customFormat="1" ht="9.75" customHeight="1"/>
    <row r="158" s="7" customFormat="1" ht="9.75" customHeight="1"/>
    <row r="159" s="7" customFormat="1" ht="9.75" customHeight="1"/>
    <row r="160" s="7" customFormat="1" ht="9.75" customHeight="1"/>
    <row r="161" s="7" customFormat="1" ht="9.75" customHeight="1"/>
    <row r="162" s="7" customFormat="1" ht="9.75" customHeight="1"/>
    <row r="163" s="7" customFormat="1" ht="9.75" customHeight="1"/>
    <row r="164" s="7" customFormat="1" ht="9.75" customHeight="1"/>
    <row r="165" s="7" customFormat="1" ht="9.75" customHeight="1"/>
    <row r="166" s="7" customFormat="1" ht="9.75" customHeight="1"/>
    <row r="167" s="7" customFormat="1" ht="9.75" customHeight="1"/>
    <row r="168" s="7" customFormat="1" ht="9.75" customHeight="1"/>
    <row r="169" s="7" customFormat="1" ht="9.75" customHeight="1"/>
    <row r="170" s="7" customFormat="1" ht="9.75" customHeight="1"/>
    <row r="171" s="7" customFormat="1" ht="9.75" customHeight="1"/>
    <row r="172" s="7" customFormat="1" ht="9.75" customHeight="1"/>
    <row r="173" s="7" customFormat="1" ht="9.75" customHeight="1"/>
    <row r="174" s="7" customFormat="1" ht="9.75" customHeight="1"/>
    <row r="175" s="7" customFormat="1" ht="9.75" customHeight="1"/>
    <row r="176" s="7" customFormat="1" ht="9.75" customHeight="1"/>
    <row r="177" s="7" customFormat="1" ht="9.75" customHeight="1"/>
    <row r="178" s="7" customFormat="1" ht="9.75" customHeight="1"/>
    <row r="179" s="7" customFormat="1" ht="9.75" customHeight="1"/>
    <row r="180" s="7" customFormat="1" ht="9.75" customHeight="1"/>
    <row r="181" s="7" customFormat="1" ht="9.75" customHeight="1"/>
    <row r="182" s="7" customFormat="1" ht="9.75" customHeight="1"/>
    <row r="183" s="7" customFormat="1" ht="9.75" customHeight="1"/>
    <row r="184" s="7" customFormat="1" ht="9.75" customHeight="1"/>
    <row r="185" s="7" customFormat="1" ht="9.75" customHeight="1"/>
    <row r="186" s="7" customFormat="1" ht="9.75" customHeight="1"/>
    <row r="187" s="7" customFormat="1" ht="9.75" customHeight="1"/>
    <row r="188" s="7" customFormat="1" ht="9.75" customHeight="1"/>
    <row r="189" s="7" customFormat="1" ht="9.75" customHeight="1"/>
    <row r="190" s="7" customFormat="1" ht="9.75" customHeight="1"/>
    <row r="191" s="7" customFormat="1" ht="9.75" customHeight="1"/>
    <row r="192" s="7" customFormat="1" ht="9.75" customHeight="1"/>
    <row r="193" s="7" customFormat="1" ht="9.75" customHeight="1"/>
    <row r="194" s="7" customFormat="1" ht="9.75" customHeight="1"/>
    <row r="195" s="7" customFormat="1" ht="9.75" customHeight="1"/>
    <row r="196" s="7" customFormat="1" ht="9.75" customHeight="1"/>
    <row r="197" s="7" customFormat="1" ht="9.75" customHeight="1"/>
    <row r="198" s="7" customFormat="1" ht="9.75" customHeight="1"/>
    <row r="199" s="7" customFormat="1" ht="9.75" customHeight="1"/>
    <row r="200" s="7" customFormat="1" ht="9.75" customHeight="1"/>
    <row r="201" s="7" customFormat="1" ht="9.75" customHeight="1"/>
    <row r="202" s="7" customFormat="1" ht="9.75" customHeight="1"/>
    <row r="203" s="7" customFormat="1" ht="9.75" customHeight="1"/>
    <row r="204" s="7" customFormat="1" ht="9.75" customHeight="1"/>
    <row r="205" s="7" customFormat="1" ht="9.75" customHeight="1"/>
    <row r="206" s="7" customFormat="1" ht="9.75" customHeight="1"/>
    <row r="207" s="7" customFormat="1" ht="9.75" customHeight="1"/>
    <row r="208" s="7" customFormat="1" ht="9.75" customHeight="1"/>
    <row r="209" s="7" customFormat="1" ht="9.75" customHeight="1"/>
    <row r="210" s="7" customFormat="1" ht="9.75" customHeight="1"/>
    <row r="211" s="7" customFormat="1" ht="9.75" customHeight="1"/>
    <row r="212" s="7" customFormat="1" ht="9.75" customHeight="1"/>
    <row r="213" s="7" customFormat="1" ht="9.75" customHeight="1"/>
    <row r="214" s="7" customFormat="1" ht="9.75" customHeight="1"/>
    <row r="215" s="7" customFormat="1" ht="9.75" customHeight="1"/>
    <row r="216" s="7" customFormat="1" ht="9.75" customHeight="1"/>
    <row r="217" s="7" customFormat="1" ht="9.75" customHeight="1"/>
    <row r="218" s="7" customFormat="1" ht="9.75" customHeight="1"/>
    <row r="219" s="7" customFormat="1" ht="9.75" customHeight="1"/>
    <row r="220" s="7" customFormat="1" ht="9.75" customHeight="1"/>
    <row r="221" s="7" customFormat="1" ht="9.75" customHeight="1"/>
    <row r="222" s="7" customFormat="1" ht="9.75" customHeight="1"/>
    <row r="223" s="7" customFormat="1" ht="9.75" customHeight="1"/>
    <row r="224" s="7" customFormat="1" ht="9.75" customHeight="1"/>
    <row r="225" s="7" customFormat="1" ht="9.75" customHeight="1"/>
    <row r="226" s="7" customFormat="1" ht="9.75" customHeight="1"/>
    <row r="227" s="7" customFormat="1" ht="9.75" customHeight="1"/>
    <row r="228" s="7" customFormat="1" ht="9.75" customHeight="1"/>
    <row r="229" s="7" customFormat="1" ht="9.75" customHeight="1"/>
    <row r="230" s="7" customFormat="1" ht="9.75" customHeight="1"/>
    <row r="231" s="7" customFormat="1" ht="9.75" customHeight="1"/>
    <row r="232" s="7" customFormat="1" ht="9.75" customHeight="1"/>
    <row r="233" s="7" customFormat="1" ht="9.75" customHeight="1"/>
    <row r="234" s="7" customFormat="1" ht="9.75" customHeight="1"/>
    <row r="235" s="7" customFormat="1" ht="9.75" customHeight="1"/>
    <row r="236" s="7" customFormat="1" ht="9.75" customHeight="1"/>
    <row r="237" s="7" customFormat="1" ht="9.75" customHeight="1"/>
    <row r="238" s="7" customFormat="1" ht="9.75" customHeight="1"/>
    <row r="239" s="7" customFormat="1" ht="9.75" customHeight="1"/>
    <row r="240" s="7" customFormat="1" ht="9.75" customHeight="1"/>
    <row r="241" s="7" customFormat="1" ht="9.75" customHeight="1"/>
    <row r="242" s="7" customFormat="1" ht="9.75" customHeight="1"/>
    <row r="243" s="7" customFormat="1" ht="9.75" customHeight="1"/>
    <row r="244" s="7" customFormat="1" ht="9.75" customHeight="1"/>
    <row r="245" s="7" customFormat="1" ht="9.75" customHeight="1"/>
    <row r="246" s="7" customFormat="1" ht="9.75" customHeight="1"/>
    <row r="247" s="7" customFormat="1" ht="9.75" customHeight="1"/>
    <row r="248" s="7" customFormat="1" ht="9.75" customHeight="1"/>
    <row r="249" s="7" customFormat="1" ht="9.75" customHeight="1"/>
    <row r="250" s="7" customFormat="1" ht="9.75" customHeight="1"/>
    <row r="251" s="7" customFormat="1" ht="9.75" customHeight="1"/>
    <row r="252" s="7" customFormat="1" ht="9.75" customHeight="1"/>
    <row r="253" s="7" customFormat="1" ht="9.75" customHeight="1"/>
    <row r="254" s="7" customFormat="1" ht="9.75" customHeight="1"/>
    <row r="255" s="7" customFormat="1" ht="9.75" customHeight="1"/>
    <row r="256" s="7" customFormat="1" ht="9.75" customHeight="1"/>
    <row r="257" s="7" customFormat="1" ht="9.75" customHeight="1"/>
    <row r="258" s="7" customFormat="1" ht="9.75" customHeight="1"/>
    <row r="259" s="7" customFormat="1" ht="9.75" customHeight="1"/>
    <row r="260" s="7" customFormat="1" ht="9.75" customHeight="1"/>
    <row r="261" s="7" customFormat="1" ht="9.75" customHeight="1"/>
    <row r="262" s="7" customFormat="1" ht="9.75" customHeight="1"/>
    <row r="263" s="7" customFormat="1" ht="9.75" customHeight="1"/>
    <row r="264" s="7" customFormat="1" ht="9.75" customHeight="1"/>
    <row r="265" s="7" customFormat="1" ht="9.75" customHeight="1"/>
    <row r="266" s="7" customFormat="1" ht="9.75" customHeight="1"/>
    <row r="267" s="7" customFormat="1" ht="9.75" customHeight="1"/>
    <row r="268" s="7" customFormat="1" ht="9.75" customHeight="1"/>
    <row r="269" s="7" customFormat="1" ht="9.75" customHeight="1"/>
    <row r="270" s="7" customFormat="1" ht="9.75" customHeight="1"/>
    <row r="271" s="7" customFormat="1" ht="9.75" customHeight="1"/>
    <row r="272" s="7" customFormat="1" ht="9.75" customHeight="1"/>
    <row r="273" s="7" customFormat="1" ht="9.75" customHeight="1"/>
    <row r="274" s="7" customFormat="1" ht="9.75" customHeight="1"/>
    <row r="275" s="7" customFormat="1" ht="9.75" customHeight="1"/>
    <row r="276" s="7" customFormat="1" ht="9.75" customHeight="1"/>
    <row r="277" s="7" customFormat="1" ht="9.75" customHeight="1"/>
    <row r="278" s="7" customFormat="1" ht="9.75" customHeight="1"/>
    <row r="279" s="7" customFormat="1" ht="9.75" customHeight="1"/>
    <row r="280" s="7" customFormat="1" ht="9.75" customHeight="1"/>
    <row r="281" s="7" customFormat="1" ht="9.75" customHeight="1"/>
    <row r="282" s="7" customFormat="1" ht="9.75" customHeight="1"/>
    <row r="283" s="7" customFormat="1" ht="9.75" customHeight="1"/>
    <row r="284" s="7" customFormat="1" ht="9.75" customHeight="1"/>
    <row r="285" s="7" customFormat="1" ht="9.75" customHeight="1"/>
    <row r="286" s="7" customFormat="1" ht="9.75" customHeight="1"/>
    <row r="287" s="7" customFormat="1" ht="9.75" customHeight="1"/>
    <row r="288" s="7" customFormat="1" ht="9.75" customHeight="1"/>
    <row r="289" s="7" customFormat="1" ht="9.75" customHeight="1"/>
    <row r="290" s="7" customFormat="1" ht="9.75" customHeight="1"/>
    <row r="291" s="7" customFormat="1" ht="9.75" customHeight="1"/>
    <row r="292" s="7" customFormat="1" ht="9.75" customHeight="1"/>
    <row r="293" s="7" customFormat="1" ht="9.75" customHeight="1"/>
    <row r="294" s="7" customFormat="1" ht="9.75" customHeight="1"/>
    <row r="295" s="7" customFormat="1" ht="9.75" customHeight="1"/>
    <row r="296" s="7" customFormat="1" ht="9.75" customHeight="1"/>
    <row r="297" s="7" customFormat="1" ht="9.75" customHeight="1"/>
    <row r="298" s="7" customFormat="1" ht="9.75" customHeight="1"/>
    <row r="299" s="7" customFormat="1" ht="9.75" customHeight="1"/>
    <row r="300" s="7" customFormat="1" ht="9.75" customHeight="1"/>
    <row r="301" s="7" customFormat="1" ht="9.75" customHeight="1"/>
    <row r="302" s="7" customFormat="1" ht="9.75" customHeight="1"/>
    <row r="303" s="7" customFormat="1" ht="9.75" customHeight="1"/>
    <row r="304" s="7" customFormat="1" ht="9.75" customHeight="1"/>
    <row r="305" s="7" customFormat="1" ht="9.75" customHeight="1"/>
    <row r="306" s="7" customFormat="1" ht="9.75" customHeight="1"/>
    <row r="307" s="7" customFormat="1" ht="9.75" customHeight="1"/>
    <row r="308" s="7" customFormat="1" ht="9.75" customHeight="1"/>
    <row r="309" s="7" customFormat="1" ht="9.75" customHeight="1"/>
    <row r="310" s="7" customFormat="1" ht="9.75" customHeight="1"/>
    <row r="311" s="7" customFormat="1" ht="9.75" customHeight="1"/>
    <row r="312" s="7" customFormat="1" ht="9.75" customHeight="1"/>
    <row r="313" s="7" customFormat="1" ht="9.75" customHeight="1"/>
    <row r="314" s="7" customFormat="1" ht="9.75" customHeight="1"/>
    <row r="315" s="7" customFormat="1" ht="9.75" customHeight="1"/>
    <row r="316" s="7" customFormat="1" ht="9.75" customHeight="1"/>
    <row r="317" s="7" customFormat="1" ht="9.75" customHeight="1"/>
    <row r="318" s="7" customFormat="1" ht="9.75" customHeight="1"/>
    <row r="319" s="7" customFormat="1" ht="9.75" customHeight="1"/>
    <row r="320" s="7" customFormat="1" ht="9.75" customHeight="1"/>
    <row r="321" s="7" customFormat="1" ht="9.75" customHeight="1"/>
    <row r="322" s="7" customFormat="1" ht="9.75" customHeight="1"/>
    <row r="323" s="7" customFormat="1" ht="9.75" customHeight="1"/>
    <row r="324" s="7" customFormat="1" ht="9.75" customHeight="1"/>
    <row r="325" s="7" customFormat="1" ht="9.75" customHeight="1"/>
    <row r="326" s="7" customFormat="1" ht="9.75" customHeight="1"/>
    <row r="327" s="7" customFormat="1" ht="9.75" customHeight="1"/>
    <row r="328" s="7" customFormat="1" ht="9.75" customHeight="1"/>
    <row r="329" s="7" customFormat="1" ht="9.75" customHeight="1"/>
    <row r="330" s="7" customFormat="1" ht="9.75" customHeight="1"/>
    <row r="331" s="7" customFormat="1" ht="9.75" customHeight="1"/>
    <row r="332" s="7" customFormat="1" ht="9.75" customHeight="1"/>
    <row r="333" s="7" customFormat="1" ht="9.75" customHeight="1"/>
    <row r="334" s="7" customFormat="1" ht="9.75" customHeight="1"/>
    <row r="335" s="7" customFormat="1" ht="9.75" customHeight="1"/>
    <row r="336" s="7" customFormat="1" ht="9.75" customHeight="1"/>
    <row r="337" s="7" customFormat="1" ht="9.75" customHeight="1"/>
    <row r="338" s="7" customFormat="1" ht="9.75" customHeight="1"/>
    <row r="339" s="7" customFormat="1" ht="9.75" customHeight="1"/>
    <row r="340" s="7" customFormat="1" ht="9.75" customHeight="1"/>
    <row r="341" s="7" customFormat="1" ht="9.75" customHeight="1"/>
    <row r="342" s="7" customFormat="1" ht="9.75" customHeight="1"/>
    <row r="343" s="7" customFormat="1" ht="9.75" customHeight="1"/>
    <row r="344" s="7" customFormat="1" ht="9.75" customHeight="1"/>
    <row r="345" s="7" customFormat="1" ht="9.75" customHeight="1"/>
    <row r="346" s="7" customFormat="1" ht="9.75" customHeight="1"/>
    <row r="347" s="7" customFormat="1" ht="9.75" customHeight="1"/>
    <row r="348" s="7" customFormat="1" ht="9.75" customHeight="1"/>
    <row r="349" s="7" customFormat="1" ht="9.75" customHeight="1"/>
    <row r="350" s="7" customFormat="1" ht="9.75" customHeight="1"/>
    <row r="351" s="7" customFormat="1" ht="9.75" customHeight="1"/>
    <row r="352" s="7" customFormat="1" ht="9.75" customHeight="1"/>
    <row r="353" s="7" customFormat="1" ht="9.75" customHeight="1"/>
    <row r="354" s="7" customFormat="1" ht="9.75" customHeight="1"/>
    <row r="355" s="7" customFormat="1" ht="9.75" customHeight="1"/>
    <row r="356" s="7" customFormat="1" ht="9.75" customHeight="1"/>
    <row r="357" s="7" customFormat="1" ht="9.75" customHeight="1"/>
    <row r="358" s="7" customFormat="1" ht="9.75" customHeight="1"/>
    <row r="359" s="7" customFormat="1" ht="9.75" customHeight="1"/>
    <row r="360" s="7" customFormat="1" ht="9.75" customHeight="1"/>
    <row r="361" s="7" customFormat="1" ht="9.75" customHeight="1"/>
    <row r="362" s="7" customFormat="1" ht="9.75" customHeight="1"/>
    <row r="363" s="7" customFormat="1" ht="9.75" customHeight="1"/>
    <row r="364" s="7" customFormat="1" ht="9.75" customHeight="1"/>
    <row r="365" s="7" customFormat="1" ht="9.75" customHeight="1"/>
    <row r="366" s="7" customFormat="1" ht="9.75" customHeight="1"/>
    <row r="367" s="7" customFormat="1" ht="9.75" customHeight="1"/>
    <row r="368" s="7" customFormat="1" ht="9.75" customHeight="1"/>
    <row r="369" s="7" customFormat="1" ht="9.75" customHeight="1"/>
    <row r="370" s="7" customFormat="1" ht="9.75" customHeight="1"/>
    <row r="371" s="7" customFormat="1" ht="9.75" customHeight="1"/>
    <row r="372" s="7" customFormat="1" ht="9.75" customHeight="1"/>
    <row r="373" s="7" customFormat="1" ht="9.75" customHeight="1"/>
    <row r="374" s="7" customFormat="1" ht="9.75" customHeight="1"/>
    <row r="375" s="7" customFormat="1" ht="9.75" customHeight="1"/>
    <row r="376" s="7" customFormat="1" ht="9.75" customHeight="1"/>
    <row r="377" s="7" customFormat="1" ht="9.75" customHeight="1"/>
    <row r="378" s="7" customFormat="1" ht="9.75" customHeight="1"/>
    <row r="379" s="7" customFormat="1" ht="9.75" customHeight="1"/>
    <row r="380" s="7" customFormat="1" ht="9.75" customHeight="1"/>
    <row r="381" s="7" customFormat="1" ht="9.75" customHeight="1"/>
    <row r="382" s="7" customFormat="1" ht="9.75" customHeight="1"/>
    <row r="383" s="7" customFormat="1" ht="9.75" customHeight="1"/>
    <row r="384" s="7" customFormat="1" ht="9.75" customHeight="1"/>
    <row r="385" s="7" customFormat="1" ht="9.75" customHeight="1"/>
    <row r="386" s="7" customFormat="1" ht="9.75" customHeight="1"/>
    <row r="387" s="7" customFormat="1" ht="9.75" customHeight="1"/>
    <row r="388" s="7" customFormat="1" ht="9.75" customHeight="1"/>
    <row r="389" s="7" customFormat="1" ht="9.75" customHeight="1"/>
    <row r="390" s="7" customFormat="1" ht="9.75" customHeight="1"/>
    <row r="391" s="7" customFormat="1" ht="9.75" customHeight="1"/>
    <row r="392" s="7" customFormat="1" ht="9.75" customHeight="1"/>
    <row r="393" s="7" customFormat="1" ht="9.75" customHeight="1"/>
    <row r="394" s="7" customFormat="1" ht="9.75" customHeight="1"/>
    <row r="395" s="7" customFormat="1" ht="9.75" customHeight="1"/>
    <row r="396" s="7" customFormat="1" ht="9.75" customHeight="1"/>
    <row r="397" s="7" customFormat="1" ht="9.75" customHeight="1"/>
    <row r="398" s="7" customFormat="1" ht="9.75" customHeight="1"/>
    <row r="399" s="7" customFormat="1" ht="9.75" customHeight="1"/>
    <row r="400" s="7" customFormat="1" ht="9.75" customHeight="1"/>
    <row r="401" s="7" customFormat="1" ht="9.75" customHeight="1"/>
    <row r="402" s="7" customFormat="1" ht="9.75" customHeight="1"/>
    <row r="403" s="7" customFormat="1" ht="9.75" customHeight="1"/>
    <row r="404" s="7" customFormat="1" ht="9.75" customHeight="1"/>
    <row r="405" s="7" customFormat="1" ht="9.75" customHeight="1"/>
    <row r="406" s="7" customFormat="1" ht="9.75" customHeight="1"/>
    <row r="407" s="7" customFormat="1" ht="9.75" customHeight="1"/>
    <row r="408" s="7" customFormat="1" ht="9.75" customHeight="1"/>
    <row r="409" s="7" customFormat="1" ht="9.75" customHeight="1"/>
    <row r="410" s="7" customFormat="1" ht="9.75" customHeight="1"/>
    <row r="411" s="7" customFormat="1" ht="9.75" customHeight="1"/>
    <row r="412" s="7" customFormat="1" ht="9.75" customHeight="1"/>
    <row r="413" s="7" customFormat="1" ht="9.75" customHeight="1"/>
    <row r="414" s="7" customFormat="1" ht="9.75" customHeight="1"/>
    <row r="415" s="7" customFormat="1" ht="9.75" customHeight="1"/>
    <row r="416" s="7" customFormat="1" ht="9.75" customHeight="1"/>
    <row r="417" s="7" customFormat="1" ht="9.75" customHeight="1"/>
  </sheetData>
  <mergeCells count="96">
    <mergeCell ref="O3:AM5"/>
    <mergeCell ref="AY4:BD4"/>
    <mergeCell ref="C9:I9"/>
    <mergeCell ref="C10:BC10"/>
    <mergeCell ref="C11:M13"/>
    <mergeCell ref="N11:N13"/>
    <mergeCell ref="O11:BC13"/>
    <mergeCell ref="C14:M15"/>
    <mergeCell ref="O14:X15"/>
    <mergeCell ref="Y14:BC15"/>
    <mergeCell ref="C16:M17"/>
    <mergeCell ref="N16:T17"/>
    <mergeCell ref="U16:X17"/>
    <mergeCell ref="Y16:AD17"/>
    <mergeCell ref="AE16:AL17"/>
    <mergeCell ref="AM16:BC17"/>
    <mergeCell ref="AM20:BC21"/>
    <mergeCell ref="C18:M19"/>
    <mergeCell ref="N18:T19"/>
    <mergeCell ref="U18:X19"/>
    <mergeCell ref="Y18:AD19"/>
    <mergeCell ref="AE18:AL19"/>
    <mergeCell ref="AM18:BC19"/>
    <mergeCell ref="C20:M21"/>
    <mergeCell ref="N20:T21"/>
    <mergeCell ref="U20:X21"/>
    <mergeCell ref="Y20:AD21"/>
    <mergeCell ref="AE20:AL21"/>
    <mergeCell ref="C22:M24"/>
    <mergeCell ref="N22:N24"/>
    <mergeCell ref="O22:BC24"/>
    <mergeCell ref="C25:M27"/>
    <mergeCell ref="N25:N27"/>
    <mergeCell ref="O25:AI27"/>
    <mergeCell ref="AJ25:AP27"/>
    <mergeCell ref="AQ25:BC27"/>
    <mergeCell ref="C31:M33"/>
    <mergeCell ref="N31:N33"/>
    <mergeCell ref="O31:AM33"/>
    <mergeCell ref="AN31:AT33"/>
    <mergeCell ref="AU31:BC33"/>
    <mergeCell ref="C28:M30"/>
    <mergeCell ref="N28:N30"/>
    <mergeCell ref="O28:AO30"/>
    <mergeCell ref="AP28:AS30"/>
    <mergeCell ref="AT28:BC30"/>
    <mergeCell ref="C34:M36"/>
    <mergeCell ref="N34:N36"/>
    <mergeCell ref="O34:BC36"/>
    <mergeCell ref="C37:M39"/>
    <mergeCell ref="N37:N39"/>
    <mergeCell ref="O37:U39"/>
    <mergeCell ref="V37:V39"/>
    <mergeCell ref="W37:AD39"/>
    <mergeCell ref="AE37:BC37"/>
    <mergeCell ref="AE38:BC38"/>
    <mergeCell ref="AE39:BC39"/>
    <mergeCell ref="O52:AE54"/>
    <mergeCell ref="AF52:AL54"/>
    <mergeCell ref="C40:M42"/>
    <mergeCell ref="N40:N42"/>
    <mergeCell ref="O40:AA42"/>
    <mergeCell ref="AB40:AE42"/>
    <mergeCell ref="AG40:AO42"/>
    <mergeCell ref="Q69:BC71"/>
    <mergeCell ref="I72:P77"/>
    <mergeCell ref="AP40:AS42"/>
    <mergeCell ref="AT40:BC42"/>
    <mergeCell ref="C56:BC56"/>
    <mergeCell ref="C43:M45"/>
    <mergeCell ref="N43:BC45"/>
    <mergeCell ref="C46:M48"/>
    <mergeCell ref="N46:BC48"/>
    <mergeCell ref="C49:M51"/>
    <mergeCell ref="N49:N51"/>
    <mergeCell ref="O49:U51"/>
    <mergeCell ref="V49:AO51"/>
    <mergeCell ref="AP49:AS51"/>
    <mergeCell ref="AT49:BC51"/>
    <mergeCell ref="C52:M54"/>
    <mergeCell ref="Q72:BC74"/>
    <mergeCell ref="Q75:BC77"/>
    <mergeCell ref="AM52:BC54"/>
    <mergeCell ref="C55:BC55"/>
    <mergeCell ref="D78:Q78"/>
    <mergeCell ref="C57:BC57"/>
    <mergeCell ref="C58:BC58"/>
    <mergeCell ref="C59:E77"/>
    <mergeCell ref="F59:P59"/>
    <mergeCell ref="Q59:BC59"/>
    <mergeCell ref="F60:H77"/>
    <mergeCell ref="I60:P65"/>
    <mergeCell ref="Q60:BC62"/>
    <mergeCell ref="Q63:BC65"/>
    <mergeCell ref="I66:P71"/>
    <mergeCell ref="Q66:BC68"/>
  </mergeCells>
  <phoneticPr fontId="1"/>
  <conditionalFormatting sqref="W37:AD39">
    <cfRule type="cellIs" dxfId="34" priority="1" operator="lessThan">
      <formula>$O$37</formula>
    </cfRule>
  </conditionalFormatting>
  <pageMargins left="0.51181102362204722" right="3.937007874015748E-2" top="0.47244094488188981" bottom="0.27559055118110237" header="0.35433070866141736" footer="7.874015748031496E-2"/>
  <pageSetup paperSize="9" orientation="portrait" r:id="rId1"/>
  <drawing r:id="rId2"/>
  <legacyDrawing r:id="rId3"/>
  <controls>
    <mc:AlternateContent xmlns:mc="http://schemas.openxmlformats.org/markup-compatibility/2006">
      <mc:Choice Requires="x14">
        <control shapeId="12289" r:id="rId4" name="CommandButton1">
          <controlPr defaultSize="0" print="0" autoLine="0" r:id="rId5">
            <anchor moveWithCells="1">
              <from>
                <xdr:col>40</xdr:col>
                <xdr:colOff>114300</xdr:colOff>
                <xdr:row>4</xdr:row>
                <xdr:rowOff>0</xdr:rowOff>
              </from>
              <to>
                <xdr:col>49</xdr:col>
                <xdr:colOff>57150</xdr:colOff>
                <xdr:row>6</xdr:row>
                <xdr:rowOff>104775</xdr:rowOff>
              </to>
            </anchor>
          </controlPr>
        </control>
      </mc:Choice>
      <mc:Fallback>
        <control shapeId="12289" r:id="rId4" name="CommandButton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BAB2B-43B0-4B6F-A790-5ECF4F7F1025}">
  <sheetPr codeName="Hoja15">
    <tabColor theme="3" tint="0.39997558519241921"/>
  </sheetPr>
  <dimension ref="A1:Z135"/>
  <sheetViews>
    <sheetView workbookViewId="0"/>
  </sheetViews>
  <sheetFormatPr baseColWidth="10" defaultColWidth="9.125" defaultRowHeight="13.5"/>
  <cols>
    <col min="1" max="1" width="9.875" bestFit="1" customWidth="1"/>
    <col min="2" max="2" width="19.125" bestFit="1" customWidth="1"/>
    <col min="4" max="4" width="15.375" style="62" bestFit="1" customWidth="1"/>
    <col min="7" max="7" width="15.375" style="62" bestFit="1" customWidth="1"/>
    <col min="8" max="8" width="15.375" style="62" customWidth="1"/>
    <col min="9" max="9" width="5" customWidth="1"/>
    <col min="10" max="10" width="34.125" customWidth="1"/>
    <col min="11" max="11" width="4.375" bestFit="1" customWidth="1"/>
    <col min="12" max="12" width="10.375" bestFit="1" customWidth="1"/>
    <col min="13" max="14" width="9" bestFit="1" customWidth="1"/>
    <col min="15" max="15" width="11.25" bestFit="1" customWidth="1"/>
    <col min="16" max="16" width="22.5" customWidth="1"/>
    <col min="17" max="17" width="36.125" customWidth="1"/>
  </cols>
  <sheetData>
    <row r="1" spans="1:26" ht="29.25" customHeight="1">
      <c r="A1">
        <v>2</v>
      </c>
      <c r="J1" s="2" t="s">
        <v>15</v>
      </c>
      <c r="K1" s="2"/>
      <c r="L1" s="2"/>
      <c r="M1" s="2"/>
      <c r="N1" s="2"/>
      <c r="Q1" s="2" t="s">
        <v>16</v>
      </c>
      <c r="U1">
        <f>COUNT(I9:I66)</f>
        <v>0</v>
      </c>
    </row>
    <row r="2" spans="1:26" ht="18">
      <c r="J2" s="358" t="str">
        <f>個別契約書X!I4&amp;" "&amp;個別契約書X!J7</f>
        <v xml:space="preserve">高雄工業株式会社 </v>
      </c>
      <c r="K2" s="358"/>
      <c r="L2" s="358"/>
      <c r="M2" s="39" t="s">
        <v>861</v>
      </c>
      <c r="N2" s="2"/>
      <c r="O2" s="2"/>
      <c r="P2" s="2"/>
      <c r="Q2" s="2"/>
    </row>
    <row r="3" spans="1:26" ht="18">
      <c r="J3" s="53">
        <f>Linea</f>
        <v>0</v>
      </c>
      <c r="K3" s="1"/>
      <c r="L3" s="1"/>
      <c r="M3" s="1"/>
      <c r="N3" s="1"/>
      <c r="O3" s="1"/>
      <c r="P3" s="1"/>
      <c r="Q3" s="1"/>
    </row>
    <row r="4" spans="1:26" ht="18">
      <c r="J4" s="1"/>
      <c r="K4" s="1"/>
      <c r="L4" s="1"/>
      <c r="M4" s="1"/>
      <c r="N4" s="1"/>
      <c r="O4" s="1"/>
      <c r="P4" s="1"/>
      <c r="Q4" s="1"/>
    </row>
    <row r="5" spans="1:26" ht="19.5">
      <c r="G5" s="125" t="s">
        <v>2630</v>
      </c>
      <c r="H5" s="123" t="s">
        <v>2627</v>
      </c>
      <c r="J5" s="2"/>
      <c r="K5" s="2"/>
      <c r="L5" s="2"/>
      <c r="M5" s="2"/>
      <c r="P5" s="89" t="s">
        <v>13</v>
      </c>
      <c r="Q5" s="90"/>
      <c r="Z5">
        <f>_xlfn.XLOOKUP(KOUJYOU,KanriDaichou[就業場所名称],KanriDaichou[就業場所TEL],"",0,1)</f>
        <v>0</v>
      </c>
    </row>
    <row r="6" spans="1:26" ht="19.5">
      <c r="J6" s="2"/>
      <c r="K6" s="2"/>
      <c r="L6" s="2"/>
      <c r="M6" s="2"/>
      <c r="P6" s="89"/>
      <c r="Q6" s="89" t="s">
        <v>14</v>
      </c>
    </row>
    <row r="7" spans="1:26" ht="18">
      <c r="J7" s="88" t="str">
        <f>CONCATENATE(TEXT(個別契約書X!A53,"gggyy年m月d日"),"付の労働者派遣個別契約に基づき以下の者を派遣します。")</f>
        <v>令和05年4月1日付の労働者派遣個別契約に基づき以下の者を派遣します。</v>
      </c>
      <c r="K7" s="60"/>
      <c r="L7" s="60"/>
      <c r="M7" s="60"/>
      <c r="N7" s="60"/>
      <c r="O7" s="2"/>
      <c r="P7" s="2"/>
      <c r="Q7" s="60"/>
    </row>
    <row r="8" spans="1:26" ht="18.75" customHeight="1">
      <c r="I8" s="3" t="s">
        <v>5</v>
      </c>
      <c r="J8" s="85" t="s">
        <v>25</v>
      </c>
      <c r="K8" s="85" t="s">
        <v>7</v>
      </c>
      <c r="L8" s="85" t="s">
        <v>8</v>
      </c>
      <c r="M8" s="85" t="s">
        <v>9</v>
      </c>
      <c r="N8" s="85" t="s">
        <v>10</v>
      </c>
      <c r="O8" s="85" t="s">
        <v>11</v>
      </c>
      <c r="P8" s="85" t="s">
        <v>12</v>
      </c>
      <c r="Q8" s="85" t="s">
        <v>913</v>
      </c>
    </row>
    <row r="9" spans="1:26" ht="18.75" customHeight="1">
      <c r="A9" t="str" cm="1">
        <f t="array" ref="A9:A135">_xlfn._xlws.FILTER(TablaTransfor[社員№],TablaTransfor[ライン]=Linea,"")</f>
        <v/>
      </c>
      <c r="B9" t="str" cm="1">
        <f t="array" ref="B9">_xlfn._xlws.FILTER(TablaTransfor[カナ],(TablaTransfor[ライン]=Linea)*(TablaTransfor[現在]="在職中"),"")</f>
        <v/>
      </c>
      <c r="C9" t="str" cm="1">
        <f t="array" ref="C9">_xlfn._xlws.FILTER(TablaTransfor[性別],(TablaTransfor[ライン]=Linea)*(TablaTransfor[現在]="在職中"),"")</f>
        <v/>
      </c>
      <c r="D9" s="62" t="str" cm="1">
        <f t="array" ref="D9">_xlfn._xlws.FILTER(TablaTransfor[生年月日],(TablaTransfor[ライン]=Linea)*(TablaTransfor[現在]="在職中"),"")</f>
        <v/>
      </c>
      <c r="E9" t="str" cm="1">
        <f t="array" ref="E9">_xlfn._xlws.FILTER(TablaTransfor[年齢],(TablaTransfor[ライン]=Linea)*(TablaTransfor[現在]="在職中"),"")</f>
        <v/>
      </c>
      <c r="F9" t="str" cm="1">
        <f t="array" ref="F9">_xlfn._xlws.FILTER(TablaTransfor[単価],(TablaTransfor[ライン]=Linea)*(TablaTransfor[現在]="在職中"),"")</f>
        <v/>
      </c>
      <c r="G9" s="62" t="str" cm="1">
        <f t="array" ref="G9">_xlfn._xlws.FILTER(TablaTransfor[入社日],(TablaTransfor[ライン]=Linea)*(TablaTransfor[現在]="在職中"),"")</f>
        <v/>
      </c>
      <c r="H9" s="62" t="str" cm="1">
        <f t="array" ref="H9">_xlfn._xlws.FILTER(TablaTransfor[unicos],(TablaTransfor[ライン]=Linea)*(TablaTransfor[現在]="在職中"),"")</f>
        <v/>
      </c>
      <c r="I9" s="49" t="str">
        <f>IF(J9="","",1)</f>
        <v/>
      </c>
      <c r="J9" s="82" t="str" cm="1">
        <f t="array" ref="J9">_xlfn._xlws.FILTER(TablaTransfor[カナ],(TablaTransfor[ライン]=Linea)*(TablaTransfor[現在]="在職中")*(TablaTransfor[入社日]&gt;D2),"")</f>
        <v/>
      </c>
      <c r="K9" s="85" t="str" cm="1">
        <f t="array" ref="K9">_xlfn._xlws.FILTER(TablaTransfor[性別],(TablaTransfor[ライン]=Linea)*(TablaTransfor[現在]="在職中")*(TablaTransfor[入社日]&gt;D2),"")</f>
        <v/>
      </c>
      <c r="L9" s="85" t="str">
        <f t="shared" ref="L9:L66" si="0">IF(I9="","",IF(E9&lt;=18,"18未満(     )歳",IF(E9&lt;=60,"60歳未満","60歳以上")))</f>
        <v/>
      </c>
      <c r="M9" s="85" t="str">
        <f>IF($I9="","","加入")</f>
        <v/>
      </c>
      <c r="N9" s="85" t="str">
        <f>IF($I9="","","加入")</f>
        <v/>
      </c>
      <c r="O9" s="85" t="str">
        <f>IF($I9="","","加入")</f>
        <v/>
      </c>
      <c r="P9" s="85" t="str">
        <f>IF($I9="","","有期雇用（3ヵ月）")</f>
        <v/>
      </c>
      <c r="Q9" s="85" t="str">
        <f>IF($I9="","","協定対象派遣労働者(労使協定式方式)")</f>
        <v/>
      </c>
    </row>
    <row r="10" spans="1:26" ht="18.75" customHeight="1">
      <c r="A10" t="str">
        <v/>
      </c>
      <c r="I10" s="49" t="str">
        <f>IF(J10="","",I9+1)</f>
        <v/>
      </c>
      <c r="J10" s="82"/>
      <c r="K10" s="50"/>
      <c r="L10" s="85" t="str">
        <f t="shared" si="0"/>
        <v/>
      </c>
      <c r="M10" s="85" t="str">
        <f t="shared" ref="M10:O50" si="1">IF($I10="","","加入")</f>
        <v/>
      </c>
      <c r="N10" s="85" t="str">
        <f t="shared" si="1"/>
        <v/>
      </c>
      <c r="O10" s="85" t="str">
        <f t="shared" si="1"/>
        <v/>
      </c>
      <c r="P10" s="85" t="str">
        <f t="shared" ref="P10:P66" si="2">IF($I10="","","有期雇用（3ヵ月）")</f>
        <v/>
      </c>
      <c r="Q10" s="85" t="str">
        <f t="shared" ref="Q10:Q66" si="3">IF($I10="","","協定対象派遣労働者(労使協定式方式)")</f>
        <v/>
      </c>
    </row>
    <row r="11" spans="1:26" ht="18.75" customHeight="1">
      <c r="A11" t="str">
        <v/>
      </c>
      <c r="I11" s="49" t="str">
        <f t="shared" ref="I11:I66" si="4">IF(J11="","",I10+1)</f>
        <v/>
      </c>
      <c r="J11" s="82"/>
      <c r="K11" s="50"/>
      <c r="L11" s="85" t="str">
        <f t="shared" si="0"/>
        <v/>
      </c>
      <c r="M11" s="85" t="str">
        <f t="shared" si="1"/>
        <v/>
      </c>
      <c r="N11" s="85" t="str">
        <f t="shared" si="1"/>
        <v/>
      </c>
      <c r="O11" s="85" t="str">
        <f t="shared" si="1"/>
        <v/>
      </c>
      <c r="P11" s="85" t="str">
        <f t="shared" si="2"/>
        <v/>
      </c>
      <c r="Q11" s="85" t="str">
        <f t="shared" si="3"/>
        <v/>
      </c>
    </row>
    <row r="12" spans="1:26" ht="18.75" customHeight="1">
      <c r="A12" t="str">
        <v/>
      </c>
      <c r="I12" s="49" t="str">
        <f t="shared" si="4"/>
        <v/>
      </c>
      <c r="J12" s="82"/>
      <c r="K12" s="50"/>
      <c r="L12" s="85" t="str">
        <f t="shared" si="0"/>
        <v/>
      </c>
      <c r="M12" s="85" t="str">
        <f t="shared" si="1"/>
        <v/>
      </c>
      <c r="N12" s="85" t="str">
        <f t="shared" si="1"/>
        <v/>
      </c>
      <c r="O12" s="85" t="str">
        <f t="shared" si="1"/>
        <v/>
      </c>
      <c r="P12" s="85" t="str">
        <f t="shared" si="2"/>
        <v/>
      </c>
      <c r="Q12" s="85" t="str">
        <f t="shared" si="3"/>
        <v/>
      </c>
    </row>
    <row r="13" spans="1:26" ht="18.75" customHeight="1">
      <c r="A13" t="str">
        <v/>
      </c>
      <c r="I13" s="49" t="str">
        <f t="shared" si="4"/>
        <v/>
      </c>
      <c r="J13" s="82"/>
      <c r="K13" s="50"/>
      <c r="L13" s="85" t="str">
        <f t="shared" si="0"/>
        <v/>
      </c>
      <c r="M13" s="85" t="str">
        <f t="shared" si="1"/>
        <v/>
      </c>
      <c r="N13" s="85" t="str">
        <f t="shared" si="1"/>
        <v/>
      </c>
      <c r="O13" s="85" t="str">
        <f t="shared" si="1"/>
        <v/>
      </c>
      <c r="P13" s="85" t="str">
        <f t="shared" si="2"/>
        <v/>
      </c>
      <c r="Q13" s="85" t="str">
        <f t="shared" si="3"/>
        <v/>
      </c>
    </row>
    <row r="14" spans="1:26" ht="18.75" customHeight="1">
      <c r="A14" t="str">
        <v/>
      </c>
      <c r="I14" s="49" t="str">
        <f t="shared" si="4"/>
        <v/>
      </c>
      <c r="J14" s="82"/>
      <c r="K14" s="50"/>
      <c r="L14" s="85" t="str">
        <f t="shared" si="0"/>
        <v/>
      </c>
      <c r="M14" s="85" t="str">
        <f t="shared" si="1"/>
        <v/>
      </c>
      <c r="N14" s="85" t="str">
        <f t="shared" si="1"/>
        <v/>
      </c>
      <c r="O14" s="85" t="str">
        <f t="shared" si="1"/>
        <v/>
      </c>
      <c r="P14" s="85" t="str">
        <f t="shared" si="2"/>
        <v/>
      </c>
      <c r="Q14" s="85" t="str">
        <f t="shared" si="3"/>
        <v/>
      </c>
    </row>
    <row r="15" spans="1:26" ht="18.75" customHeight="1">
      <c r="A15" t="str">
        <v/>
      </c>
      <c r="I15" s="49" t="str">
        <f t="shared" si="4"/>
        <v/>
      </c>
      <c r="J15" s="82"/>
      <c r="K15" s="50"/>
      <c r="L15" s="85" t="str">
        <f t="shared" si="0"/>
        <v/>
      </c>
      <c r="M15" s="85" t="str">
        <f t="shared" si="1"/>
        <v/>
      </c>
      <c r="N15" s="85" t="str">
        <f t="shared" si="1"/>
        <v/>
      </c>
      <c r="O15" s="85" t="str">
        <f t="shared" si="1"/>
        <v/>
      </c>
      <c r="P15" s="85" t="str">
        <f t="shared" si="2"/>
        <v/>
      </c>
      <c r="Q15" s="85" t="str">
        <f t="shared" si="3"/>
        <v/>
      </c>
    </row>
    <row r="16" spans="1:26" ht="18.75" customHeight="1">
      <c r="A16" t="str">
        <v/>
      </c>
      <c r="I16" s="49" t="str">
        <f t="shared" si="4"/>
        <v/>
      </c>
      <c r="J16" s="82"/>
      <c r="K16" s="50"/>
      <c r="L16" s="85" t="str">
        <f t="shared" si="0"/>
        <v/>
      </c>
      <c r="M16" s="85" t="str">
        <f t="shared" si="1"/>
        <v/>
      </c>
      <c r="N16" s="85" t="str">
        <f t="shared" si="1"/>
        <v/>
      </c>
      <c r="O16" s="85" t="str">
        <f t="shared" si="1"/>
        <v/>
      </c>
      <c r="P16" s="85" t="str">
        <f t="shared" si="2"/>
        <v/>
      </c>
      <c r="Q16" s="85" t="str">
        <f t="shared" si="3"/>
        <v/>
      </c>
    </row>
    <row r="17" spans="1:17" ht="18.75" customHeight="1">
      <c r="A17" t="str">
        <v/>
      </c>
      <c r="I17" s="49" t="str">
        <f t="shared" si="4"/>
        <v/>
      </c>
      <c r="J17" s="82"/>
      <c r="K17" s="50"/>
      <c r="L17" s="85" t="str">
        <f t="shared" si="0"/>
        <v/>
      </c>
      <c r="M17" s="85" t="str">
        <f t="shared" si="1"/>
        <v/>
      </c>
      <c r="N17" s="85" t="str">
        <f t="shared" si="1"/>
        <v/>
      </c>
      <c r="O17" s="85" t="str">
        <f t="shared" si="1"/>
        <v/>
      </c>
      <c r="P17" s="85" t="str">
        <f t="shared" si="2"/>
        <v/>
      </c>
      <c r="Q17" s="85" t="str">
        <f t="shared" si="3"/>
        <v/>
      </c>
    </row>
    <row r="18" spans="1:17" ht="18.75" customHeight="1">
      <c r="A18" t="str">
        <v/>
      </c>
      <c r="I18" s="49" t="str">
        <f t="shared" si="4"/>
        <v/>
      </c>
      <c r="J18" s="82"/>
      <c r="K18" s="50"/>
      <c r="L18" s="85" t="str">
        <f t="shared" si="0"/>
        <v/>
      </c>
      <c r="M18" s="85" t="str">
        <f t="shared" si="1"/>
        <v/>
      </c>
      <c r="N18" s="85" t="str">
        <f t="shared" si="1"/>
        <v/>
      </c>
      <c r="O18" s="85" t="str">
        <f t="shared" si="1"/>
        <v/>
      </c>
      <c r="P18" s="85" t="str">
        <f t="shared" si="2"/>
        <v/>
      </c>
      <c r="Q18" s="85" t="str">
        <f t="shared" si="3"/>
        <v/>
      </c>
    </row>
    <row r="19" spans="1:17" ht="18.75" customHeight="1">
      <c r="A19" t="str">
        <v/>
      </c>
      <c r="I19" s="49" t="str">
        <f t="shared" si="4"/>
        <v/>
      </c>
      <c r="J19" s="82"/>
      <c r="K19" s="50"/>
      <c r="L19" s="85" t="str">
        <f t="shared" si="0"/>
        <v/>
      </c>
      <c r="M19" s="85" t="str">
        <f t="shared" si="1"/>
        <v/>
      </c>
      <c r="N19" s="85" t="str">
        <f t="shared" si="1"/>
        <v/>
      </c>
      <c r="O19" s="85" t="str">
        <f t="shared" si="1"/>
        <v/>
      </c>
      <c r="P19" s="85" t="str">
        <f t="shared" si="2"/>
        <v/>
      </c>
      <c r="Q19" s="85" t="str">
        <f t="shared" si="3"/>
        <v/>
      </c>
    </row>
    <row r="20" spans="1:17" ht="18.75" customHeight="1">
      <c r="A20" t="str">
        <v/>
      </c>
      <c r="I20" s="49" t="str">
        <f t="shared" si="4"/>
        <v/>
      </c>
      <c r="J20" s="82"/>
      <c r="K20" s="50"/>
      <c r="L20" s="85" t="str">
        <f t="shared" si="0"/>
        <v/>
      </c>
      <c r="M20" s="85" t="str">
        <f t="shared" si="1"/>
        <v/>
      </c>
      <c r="N20" s="85" t="str">
        <f t="shared" si="1"/>
        <v/>
      </c>
      <c r="O20" s="85" t="str">
        <f t="shared" si="1"/>
        <v/>
      </c>
      <c r="P20" s="85" t="str">
        <f t="shared" si="2"/>
        <v/>
      </c>
      <c r="Q20" s="85" t="str">
        <f t="shared" si="3"/>
        <v/>
      </c>
    </row>
    <row r="21" spans="1:17" ht="18.75" customHeight="1">
      <c r="A21" t="str">
        <v/>
      </c>
      <c r="I21" s="49" t="str">
        <f t="shared" si="4"/>
        <v/>
      </c>
      <c r="J21" s="82"/>
      <c r="K21" s="50"/>
      <c r="L21" s="85" t="str">
        <f t="shared" si="0"/>
        <v/>
      </c>
      <c r="M21" s="85" t="str">
        <f t="shared" si="1"/>
        <v/>
      </c>
      <c r="N21" s="85" t="str">
        <f t="shared" si="1"/>
        <v/>
      </c>
      <c r="O21" s="85" t="str">
        <f t="shared" si="1"/>
        <v/>
      </c>
      <c r="P21" s="85" t="str">
        <f t="shared" si="2"/>
        <v/>
      </c>
      <c r="Q21" s="85" t="str">
        <f t="shared" si="3"/>
        <v/>
      </c>
    </row>
    <row r="22" spans="1:17" ht="18.75" customHeight="1">
      <c r="A22" t="str">
        <v/>
      </c>
      <c r="I22" s="54" t="str">
        <f t="shared" si="4"/>
        <v/>
      </c>
      <c r="J22" s="83"/>
      <c r="K22" s="79"/>
      <c r="L22" s="85" t="str">
        <f t="shared" si="0"/>
        <v/>
      </c>
      <c r="M22" s="86" t="str">
        <f t="shared" si="1"/>
        <v/>
      </c>
      <c r="N22" s="86" t="str">
        <f t="shared" si="1"/>
        <v/>
      </c>
      <c r="O22" s="86" t="str">
        <f t="shared" si="1"/>
        <v/>
      </c>
      <c r="P22" s="86" t="str">
        <f t="shared" si="2"/>
        <v/>
      </c>
      <c r="Q22" s="86" t="str">
        <f t="shared" si="3"/>
        <v/>
      </c>
    </row>
    <row r="23" spans="1:17" ht="18.75" customHeight="1">
      <c r="A23" t="str">
        <v/>
      </c>
      <c r="I23" s="49" t="str">
        <f t="shared" si="4"/>
        <v/>
      </c>
      <c r="J23" s="82"/>
      <c r="K23" s="50"/>
      <c r="L23" s="85" t="str">
        <f t="shared" si="0"/>
        <v/>
      </c>
      <c r="M23" s="85" t="str">
        <f t="shared" si="1"/>
        <v/>
      </c>
      <c r="N23" s="85" t="str">
        <f t="shared" si="1"/>
        <v/>
      </c>
      <c r="O23" s="85" t="str">
        <f t="shared" si="1"/>
        <v/>
      </c>
      <c r="P23" s="85" t="str">
        <f t="shared" si="2"/>
        <v/>
      </c>
      <c r="Q23" s="85" t="str">
        <f t="shared" si="3"/>
        <v/>
      </c>
    </row>
    <row r="24" spans="1:17" ht="18.75" customHeight="1">
      <c r="A24" t="str">
        <v/>
      </c>
      <c r="I24" s="49" t="str">
        <f t="shared" si="4"/>
        <v/>
      </c>
      <c r="J24" s="82"/>
      <c r="K24" s="50"/>
      <c r="L24" s="85" t="str">
        <f t="shared" si="0"/>
        <v/>
      </c>
      <c r="M24" s="85" t="str">
        <f t="shared" si="1"/>
        <v/>
      </c>
      <c r="N24" s="85" t="str">
        <f t="shared" si="1"/>
        <v/>
      </c>
      <c r="O24" s="85" t="str">
        <f t="shared" si="1"/>
        <v/>
      </c>
      <c r="P24" s="85" t="str">
        <f t="shared" si="2"/>
        <v/>
      </c>
      <c r="Q24" s="85" t="str">
        <f t="shared" si="3"/>
        <v/>
      </c>
    </row>
    <row r="25" spans="1:17" ht="18.75" customHeight="1">
      <c r="A25" t="str">
        <v/>
      </c>
      <c r="I25" s="49" t="str">
        <f t="shared" si="4"/>
        <v/>
      </c>
      <c r="J25" s="82"/>
      <c r="K25" s="50"/>
      <c r="L25" s="85" t="str">
        <f t="shared" si="0"/>
        <v/>
      </c>
      <c r="M25" s="85"/>
      <c r="N25" s="85" t="str">
        <f t="shared" si="1"/>
        <v/>
      </c>
      <c r="O25" s="85" t="str">
        <f t="shared" si="1"/>
        <v/>
      </c>
      <c r="P25" s="85" t="str">
        <f t="shared" si="2"/>
        <v/>
      </c>
      <c r="Q25" s="85" t="str">
        <f t="shared" si="3"/>
        <v/>
      </c>
    </row>
    <row r="26" spans="1:17" ht="18.75" customHeight="1">
      <c r="A26">
        <v>220213</v>
      </c>
      <c r="I26" s="49" t="str">
        <f t="shared" si="4"/>
        <v/>
      </c>
      <c r="J26" s="82"/>
      <c r="K26" s="50"/>
      <c r="L26" s="85" t="str">
        <f t="shared" si="0"/>
        <v/>
      </c>
      <c r="M26" s="85" t="str">
        <f t="shared" si="1"/>
        <v/>
      </c>
      <c r="N26" s="85" t="str">
        <f t="shared" si="1"/>
        <v/>
      </c>
      <c r="O26" s="85" t="str">
        <f t="shared" si="1"/>
        <v/>
      </c>
      <c r="P26" s="85" t="str">
        <f t="shared" si="2"/>
        <v/>
      </c>
      <c r="Q26" s="85" t="str">
        <f t="shared" si="3"/>
        <v/>
      </c>
    </row>
    <row r="27" spans="1:17" ht="18.75" customHeight="1">
      <c r="A27">
        <v>210101</v>
      </c>
      <c r="I27" s="49" t="str">
        <f t="shared" si="4"/>
        <v/>
      </c>
      <c r="J27" s="82"/>
      <c r="K27" s="50"/>
      <c r="L27" s="85" t="str">
        <f t="shared" si="0"/>
        <v/>
      </c>
      <c r="M27" s="85" t="str">
        <f t="shared" si="1"/>
        <v/>
      </c>
      <c r="N27" s="85" t="str">
        <f t="shared" si="1"/>
        <v/>
      </c>
      <c r="O27" s="85" t="str">
        <f t="shared" si="1"/>
        <v/>
      </c>
      <c r="P27" s="85" t="str">
        <f t="shared" si="2"/>
        <v/>
      </c>
      <c r="Q27" s="85" t="str">
        <f t="shared" si="3"/>
        <v/>
      </c>
    </row>
    <row r="28" spans="1:17" ht="18.75" customHeight="1">
      <c r="A28">
        <v>201210</v>
      </c>
      <c r="I28" s="56" t="str">
        <f t="shared" si="4"/>
        <v/>
      </c>
      <c r="J28" s="84"/>
      <c r="K28" s="81"/>
      <c r="L28" s="85" t="str">
        <f t="shared" si="0"/>
        <v/>
      </c>
      <c r="M28" s="87" t="str">
        <f t="shared" si="1"/>
        <v/>
      </c>
      <c r="N28" s="87" t="str">
        <f t="shared" si="1"/>
        <v/>
      </c>
      <c r="O28" s="87" t="str">
        <f t="shared" si="1"/>
        <v/>
      </c>
      <c r="P28" s="87" t="str">
        <f t="shared" si="2"/>
        <v/>
      </c>
      <c r="Q28" s="87" t="str">
        <f t="shared" si="3"/>
        <v/>
      </c>
    </row>
    <row r="29" spans="1:17" ht="18.75" customHeight="1">
      <c r="A29">
        <v>210511</v>
      </c>
      <c r="I29" s="49" t="str">
        <f t="shared" si="4"/>
        <v/>
      </c>
      <c r="J29" s="82"/>
      <c r="K29" s="50"/>
      <c r="L29" s="85" t="str">
        <f t="shared" si="0"/>
        <v/>
      </c>
      <c r="M29" s="85" t="str">
        <f t="shared" si="1"/>
        <v/>
      </c>
      <c r="N29" s="85" t="str">
        <f t="shared" si="1"/>
        <v/>
      </c>
      <c r="O29" s="85" t="str">
        <f t="shared" si="1"/>
        <v/>
      </c>
      <c r="P29" s="85" t="str">
        <f t="shared" si="2"/>
        <v/>
      </c>
      <c r="Q29" s="85" t="str">
        <f t="shared" si="3"/>
        <v/>
      </c>
    </row>
    <row r="30" spans="1:17" ht="18.75" customHeight="1">
      <c r="A30">
        <v>210614</v>
      </c>
      <c r="I30" s="49" t="str">
        <f t="shared" si="4"/>
        <v/>
      </c>
      <c r="J30" s="82"/>
      <c r="K30" s="50"/>
      <c r="L30" s="85" t="str">
        <f t="shared" si="0"/>
        <v/>
      </c>
      <c r="M30" s="85" t="str">
        <f t="shared" si="1"/>
        <v/>
      </c>
      <c r="N30" s="85" t="str">
        <f t="shared" si="1"/>
        <v/>
      </c>
      <c r="O30" s="85" t="str">
        <f t="shared" si="1"/>
        <v/>
      </c>
      <c r="P30" s="85" t="str">
        <f t="shared" si="2"/>
        <v/>
      </c>
      <c r="Q30" s="85" t="str">
        <f t="shared" si="3"/>
        <v/>
      </c>
    </row>
    <row r="31" spans="1:17" ht="18.75" customHeight="1">
      <c r="A31">
        <v>220105</v>
      </c>
      <c r="I31" s="49" t="str">
        <f t="shared" si="4"/>
        <v/>
      </c>
      <c r="J31" s="82"/>
      <c r="K31" s="50"/>
      <c r="L31" s="85" t="str">
        <f t="shared" si="0"/>
        <v/>
      </c>
      <c r="M31" s="85" t="str">
        <f t="shared" si="1"/>
        <v/>
      </c>
      <c r="N31" s="85" t="str">
        <f t="shared" si="1"/>
        <v/>
      </c>
      <c r="O31" s="85" t="str">
        <f t="shared" si="1"/>
        <v/>
      </c>
      <c r="P31" s="85" t="str">
        <f t="shared" si="2"/>
        <v/>
      </c>
      <c r="Q31" s="85" t="str">
        <f t="shared" si="3"/>
        <v/>
      </c>
    </row>
    <row r="32" spans="1:17" ht="18.75" customHeight="1">
      <c r="A32">
        <v>220132</v>
      </c>
      <c r="I32" s="49" t="str">
        <f t="shared" si="4"/>
        <v/>
      </c>
      <c r="J32" s="82"/>
      <c r="K32" s="50"/>
      <c r="L32" s="85" t="str">
        <f t="shared" si="0"/>
        <v/>
      </c>
      <c r="M32" s="85" t="str">
        <f t="shared" si="1"/>
        <v/>
      </c>
      <c r="N32" s="85" t="str">
        <f t="shared" si="1"/>
        <v/>
      </c>
      <c r="O32" s="85" t="str">
        <f t="shared" si="1"/>
        <v/>
      </c>
      <c r="P32" s="85" t="str">
        <f t="shared" si="2"/>
        <v/>
      </c>
      <c r="Q32" s="85" t="str">
        <f t="shared" si="3"/>
        <v/>
      </c>
    </row>
    <row r="33" spans="1:17" ht="18.75" customHeight="1">
      <c r="A33">
        <v>220205</v>
      </c>
      <c r="I33" s="49" t="str">
        <f t="shared" si="4"/>
        <v/>
      </c>
      <c r="J33" s="82"/>
      <c r="K33" s="50"/>
      <c r="L33" s="85" t="str">
        <f t="shared" si="0"/>
        <v/>
      </c>
      <c r="M33" s="85" t="str">
        <f t="shared" si="1"/>
        <v/>
      </c>
      <c r="N33" s="85" t="str">
        <f t="shared" si="1"/>
        <v/>
      </c>
      <c r="O33" s="85" t="str">
        <f t="shared" si="1"/>
        <v/>
      </c>
      <c r="P33" s="85" t="str">
        <f t="shared" si="2"/>
        <v/>
      </c>
      <c r="Q33" s="85" t="str">
        <f t="shared" si="3"/>
        <v/>
      </c>
    </row>
    <row r="34" spans="1:17" ht="18.75" customHeight="1">
      <c r="A34" t="str">
        <v/>
      </c>
      <c r="I34" s="49" t="str">
        <f t="shared" si="4"/>
        <v/>
      </c>
      <c r="J34" s="82"/>
      <c r="K34" s="50"/>
      <c r="L34" s="85" t="str">
        <f t="shared" si="0"/>
        <v/>
      </c>
      <c r="M34" s="85" t="str">
        <f t="shared" si="1"/>
        <v/>
      </c>
      <c r="N34" s="85" t="str">
        <f t="shared" si="1"/>
        <v/>
      </c>
      <c r="O34" s="85" t="str">
        <f t="shared" si="1"/>
        <v/>
      </c>
      <c r="P34" s="85" t="str">
        <f t="shared" si="2"/>
        <v/>
      </c>
      <c r="Q34" s="85" t="str">
        <f t="shared" si="3"/>
        <v/>
      </c>
    </row>
    <row r="35" spans="1:17" ht="18.75" customHeight="1">
      <c r="A35" t="str">
        <v/>
      </c>
      <c r="I35" s="49" t="str">
        <f t="shared" si="4"/>
        <v/>
      </c>
      <c r="J35" s="82"/>
      <c r="K35" s="50"/>
      <c r="L35" s="85" t="str">
        <f t="shared" si="0"/>
        <v/>
      </c>
      <c r="M35" s="85" t="str">
        <f t="shared" si="1"/>
        <v/>
      </c>
      <c r="N35" s="85" t="str">
        <f t="shared" si="1"/>
        <v/>
      </c>
      <c r="O35" s="85" t="str">
        <f t="shared" si="1"/>
        <v/>
      </c>
      <c r="P35" s="85" t="str">
        <f t="shared" si="2"/>
        <v/>
      </c>
      <c r="Q35" s="85" t="str">
        <f t="shared" si="3"/>
        <v/>
      </c>
    </row>
    <row r="36" spans="1:17" ht="18.75" customHeight="1">
      <c r="A36" t="str">
        <v/>
      </c>
      <c r="I36" s="49" t="str">
        <f t="shared" si="4"/>
        <v/>
      </c>
      <c r="J36" s="82"/>
      <c r="K36" s="50"/>
      <c r="L36" s="85" t="str">
        <f t="shared" si="0"/>
        <v/>
      </c>
      <c r="M36" s="85" t="str">
        <f t="shared" si="1"/>
        <v/>
      </c>
      <c r="N36" s="85" t="str">
        <f t="shared" si="1"/>
        <v/>
      </c>
      <c r="O36" s="85" t="str">
        <f t="shared" si="1"/>
        <v/>
      </c>
      <c r="P36" s="85" t="str">
        <f t="shared" si="2"/>
        <v/>
      </c>
      <c r="Q36" s="85" t="str">
        <f t="shared" si="3"/>
        <v/>
      </c>
    </row>
    <row r="37" spans="1:17" ht="18.75" customHeight="1">
      <c r="A37" t="str">
        <v/>
      </c>
      <c r="I37" s="49" t="str">
        <f t="shared" si="4"/>
        <v/>
      </c>
      <c r="J37" s="82"/>
      <c r="K37" s="50"/>
      <c r="L37" s="85" t="str">
        <f t="shared" si="0"/>
        <v/>
      </c>
      <c r="M37" s="85" t="str">
        <f t="shared" si="1"/>
        <v/>
      </c>
      <c r="N37" s="85" t="str">
        <f t="shared" si="1"/>
        <v/>
      </c>
      <c r="O37" s="85" t="str">
        <f t="shared" si="1"/>
        <v/>
      </c>
      <c r="P37" s="85" t="str">
        <f t="shared" si="2"/>
        <v/>
      </c>
      <c r="Q37" s="85" t="str">
        <f t="shared" si="3"/>
        <v/>
      </c>
    </row>
    <row r="38" spans="1:17" ht="18.75" customHeight="1">
      <c r="A38">
        <v>201101</v>
      </c>
      <c r="I38" s="49" t="str">
        <f t="shared" si="4"/>
        <v/>
      </c>
      <c r="J38" s="82"/>
      <c r="K38" s="50"/>
      <c r="L38" s="85" t="str">
        <f t="shared" si="0"/>
        <v/>
      </c>
      <c r="M38" s="85" t="str">
        <f t="shared" si="1"/>
        <v/>
      </c>
      <c r="N38" s="85" t="str">
        <f t="shared" si="1"/>
        <v/>
      </c>
      <c r="O38" s="85" t="str">
        <f t="shared" si="1"/>
        <v/>
      </c>
      <c r="P38" s="85" t="str">
        <f t="shared" si="2"/>
        <v/>
      </c>
      <c r="Q38" s="85" t="str">
        <f t="shared" si="3"/>
        <v/>
      </c>
    </row>
    <row r="39" spans="1:17" ht="18.75" customHeight="1">
      <c r="A39" t="str">
        <v/>
      </c>
      <c r="I39" s="49" t="str">
        <f t="shared" si="4"/>
        <v/>
      </c>
      <c r="J39" s="82"/>
      <c r="K39" s="50"/>
      <c r="L39" s="85" t="str">
        <f t="shared" si="0"/>
        <v/>
      </c>
      <c r="M39" s="85" t="str">
        <f t="shared" si="1"/>
        <v/>
      </c>
      <c r="N39" s="85" t="str">
        <f t="shared" si="1"/>
        <v/>
      </c>
      <c r="O39" s="85" t="str">
        <f t="shared" si="1"/>
        <v/>
      </c>
      <c r="P39" s="85" t="str">
        <f t="shared" si="2"/>
        <v/>
      </c>
      <c r="Q39" s="85" t="str">
        <f t="shared" si="3"/>
        <v/>
      </c>
    </row>
    <row r="40" spans="1:17" ht="18.75" customHeight="1">
      <c r="A40" t="str">
        <v/>
      </c>
      <c r="I40" s="49" t="str">
        <f t="shared" si="4"/>
        <v/>
      </c>
      <c r="J40" s="82"/>
      <c r="K40" s="50"/>
      <c r="L40" s="85" t="str">
        <f t="shared" si="0"/>
        <v/>
      </c>
      <c r="M40" s="85" t="str">
        <f t="shared" si="1"/>
        <v/>
      </c>
      <c r="N40" s="85" t="str">
        <f t="shared" si="1"/>
        <v/>
      </c>
      <c r="O40" s="85" t="str">
        <f t="shared" si="1"/>
        <v/>
      </c>
      <c r="P40" s="85" t="str">
        <f t="shared" si="2"/>
        <v/>
      </c>
      <c r="Q40" s="85" t="str">
        <f t="shared" si="3"/>
        <v/>
      </c>
    </row>
    <row r="41" spans="1:17" ht="18.75" customHeight="1">
      <c r="A41">
        <v>210702</v>
      </c>
      <c r="I41" s="49" t="str">
        <f t="shared" si="4"/>
        <v/>
      </c>
      <c r="J41" s="82"/>
      <c r="K41" s="50"/>
      <c r="L41" s="85" t="str">
        <f t="shared" si="0"/>
        <v/>
      </c>
      <c r="M41" s="85" t="str">
        <f t="shared" si="1"/>
        <v/>
      </c>
      <c r="N41" s="85" t="str">
        <f t="shared" si="1"/>
        <v/>
      </c>
      <c r="O41" s="85" t="str">
        <f t="shared" si="1"/>
        <v/>
      </c>
      <c r="P41" s="85" t="str">
        <f t="shared" si="2"/>
        <v/>
      </c>
      <c r="Q41" s="85" t="str">
        <f t="shared" si="3"/>
        <v/>
      </c>
    </row>
    <row r="42" spans="1:17" ht="18.75" customHeight="1">
      <c r="A42" t="str">
        <v/>
      </c>
      <c r="I42" s="49" t="str">
        <f t="shared" si="4"/>
        <v/>
      </c>
      <c r="J42" s="82"/>
      <c r="K42" s="50"/>
      <c r="L42" s="85" t="str">
        <f t="shared" si="0"/>
        <v/>
      </c>
      <c r="M42" s="85" t="str">
        <f t="shared" si="1"/>
        <v/>
      </c>
      <c r="N42" s="85" t="str">
        <f t="shared" si="1"/>
        <v/>
      </c>
      <c r="O42" s="85" t="str">
        <f t="shared" si="1"/>
        <v/>
      </c>
      <c r="P42" s="85" t="str">
        <f t="shared" si="2"/>
        <v/>
      </c>
      <c r="Q42" s="85" t="str">
        <f t="shared" si="3"/>
        <v/>
      </c>
    </row>
    <row r="43" spans="1:17" ht="18.75" customHeight="1">
      <c r="A43" t="str">
        <v/>
      </c>
      <c r="I43" s="49" t="str">
        <f t="shared" si="4"/>
        <v/>
      </c>
      <c r="J43" s="82"/>
      <c r="K43" s="50"/>
      <c r="L43" s="85" t="str">
        <f t="shared" si="0"/>
        <v/>
      </c>
      <c r="M43" s="85" t="str">
        <f t="shared" si="1"/>
        <v/>
      </c>
      <c r="N43" s="85" t="str">
        <f t="shared" si="1"/>
        <v/>
      </c>
      <c r="O43" s="85" t="str">
        <f t="shared" si="1"/>
        <v/>
      </c>
      <c r="P43" s="85" t="str">
        <f t="shared" si="2"/>
        <v/>
      </c>
      <c r="Q43" s="85" t="str">
        <f t="shared" si="3"/>
        <v/>
      </c>
    </row>
    <row r="44" spans="1:17" ht="18.75" customHeight="1">
      <c r="A44" t="str">
        <v/>
      </c>
      <c r="I44" s="49" t="str">
        <f t="shared" si="4"/>
        <v/>
      </c>
      <c r="J44" s="82"/>
      <c r="K44" s="50"/>
      <c r="L44" s="85" t="str">
        <f t="shared" si="0"/>
        <v/>
      </c>
      <c r="M44" s="85" t="str">
        <f t="shared" si="1"/>
        <v/>
      </c>
      <c r="N44" s="85" t="str">
        <f t="shared" si="1"/>
        <v/>
      </c>
      <c r="O44" s="85" t="str">
        <f t="shared" si="1"/>
        <v/>
      </c>
      <c r="P44" s="85" t="str">
        <f t="shared" si="2"/>
        <v/>
      </c>
      <c r="Q44" s="85" t="str">
        <f t="shared" si="3"/>
        <v/>
      </c>
    </row>
    <row r="45" spans="1:17" ht="18.75" customHeight="1">
      <c r="A45" t="str">
        <v/>
      </c>
      <c r="I45" s="49" t="str">
        <f t="shared" si="4"/>
        <v/>
      </c>
      <c r="J45" s="82"/>
      <c r="K45" s="50"/>
      <c r="L45" s="85" t="str">
        <f t="shared" si="0"/>
        <v/>
      </c>
      <c r="M45" s="85" t="str">
        <f t="shared" si="1"/>
        <v/>
      </c>
      <c r="N45" s="85" t="str">
        <f t="shared" si="1"/>
        <v/>
      </c>
      <c r="O45" s="85" t="str">
        <f t="shared" si="1"/>
        <v/>
      </c>
      <c r="P45" s="85" t="str">
        <f t="shared" si="2"/>
        <v/>
      </c>
      <c r="Q45" s="85" t="str">
        <f t="shared" si="3"/>
        <v/>
      </c>
    </row>
    <row r="46" spans="1:17" ht="18.75" customHeight="1">
      <c r="A46" t="str">
        <v/>
      </c>
      <c r="I46" s="49" t="str">
        <f t="shared" si="4"/>
        <v/>
      </c>
      <c r="J46" s="82"/>
      <c r="K46" s="50"/>
      <c r="L46" s="85" t="str">
        <f t="shared" si="0"/>
        <v/>
      </c>
      <c r="M46" s="85" t="str">
        <f t="shared" si="1"/>
        <v/>
      </c>
      <c r="N46" s="85" t="str">
        <f t="shared" si="1"/>
        <v/>
      </c>
      <c r="O46" s="85" t="str">
        <f t="shared" si="1"/>
        <v/>
      </c>
      <c r="P46" s="85" t="str">
        <f t="shared" si="2"/>
        <v/>
      </c>
      <c r="Q46" s="85" t="str">
        <f t="shared" si="3"/>
        <v/>
      </c>
    </row>
    <row r="47" spans="1:17" ht="18.75" customHeight="1">
      <c r="A47" t="str">
        <v/>
      </c>
      <c r="I47" s="49" t="str">
        <f t="shared" si="4"/>
        <v/>
      </c>
      <c r="J47" s="82"/>
      <c r="K47" s="50"/>
      <c r="L47" s="85" t="str">
        <f t="shared" si="0"/>
        <v/>
      </c>
      <c r="M47" s="85" t="str">
        <f t="shared" si="1"/>
        <v/>
      </c>
      <c r="N47" s="85" t="str">
        <f t="shared" si="1"/>
        <v/>
      </c>
      <c r="O47" s="85" t="str">
        <f t="shared" si="1"/>
        <v/>
      </c>
      <c r="P47" s="85" t="str">
        <f t="shared" si="2"/>
        <v/>
      </c>
      <c r="Q47" s="85" t="str">
        <f t="shared" si="3"/>
        <v/>
      </c>
    </row>
    <row r="48" spans="1:17" ht="18.75" customHeight="1">
      <c r="A48" t="str">
        <v/>
      </c>
      <c r="I48" s="49" t="str">
        <f t="shared" si="4"/>
        <v/>
      </c>
      <c r="J48" s="82"/>
      <c r="K48" s="50"/>
      <c r="L48" s="85" t="str">
        <f t="shared" si="0"/>
        <v/>
      </c>
      <c r="M48" s="85" t="str">
        <f t="shared" si="1"/>
        <v/>
      </c>
      <c r="N48" s="85" t="str">
        <f t="shared" si="1"/>
        <v/>
      </c>
      <c r="O48" s="85" t="str">
        <f t="shared" si="1"/>
        <v/>
      </c>
      <c r="P48" s="85" t="str">
        <f t="shared" si="2"/>
        <v/>
      </c>
      <c r="Q48" s="85" t="str">
        <f t="shared" si="3"/>
        <v/>
      </c>
    </row>
    <row r="49" spans="1:17" ht="18.75" customHeight="1">
      <c r="A49" t="str">
        <v/>
      </c>
      <c r="I49" s="49" t="str">
        <f t="shared" si="4"/>
        <v/>
      </c>
      <c r="J49" s="82"/>
      <c r="K49" s="50"/>
      <c r="L49" s="85" t="str">
        <f t="shared" si="0"/>
        <v/>
      </c>
      <c r="M49" s="85" t="str">
        <f t="shared" si="1"/>
        <v/>
      </c>
      <c r="N49" s="85" t="str">
        <f t="shared" si="1"/>
        <v/>
      </c>
      <c r="O49" s="85" t="str">
        <f t="shared" si="1"/>
        <v/>
      </c>
      <c r="P49" s="85" t="str">
        <f t="shared" si="2"/>
        <v/>
      </c>
      <c r="Q49" s="85" t="str">
        <f t="shared" si="3"/>
        <v/>
      </c>
    </row>
    <row r="50" spans="1:17" ht="19.5">
      <c r="A50" t="str">
        <v/>
      </c>
      <c r="I50" s="49" t="str">
        <f t="shared" si="4"/>
        <v/>
      </c>
      <c r="J50" s="82"/>
      <c r="K50" s="50"/>
      <c r="L50" s="85" t="str">
        <f t="shared" si="0"/>
        <v/>
      </c>
      <c r="M50" s="85" t="str">
        <f t="shared" si="1"/>
        <v/>
      </c>
      <c r="N50" s="85" t="str">
        <f t="shared" si="1"/>
        <v/>
      </c>
      <c r="O50" s="85" t="str">
        <f t="shared" si="1"/>
        <v/>
      </c>
      <c r="P50" s="85" t="str">
        <f t="shared" si="2"/>
        <v/>
      </c>
      <c r="Q50" s="85" t="str">
        <f t="shared" si="3"/>
        <v/>
      </c>
    </row>
    <row r="51" spans="1:17" ht="19.5">
      <c r="A51" t="str">
        <v/>
      </c>
      <c r="I51" s="49" t="str">
        <f t="shared" si="4"/>
        <v/>
      </c>
      <c r="J51" s="82"/>
      <c r="K51" s="50"/>
      <c r="L51" s="85" t="str">
        <f t="shared" si="0"/>
        <v/>
      </c>
      <c r="M51" s="85" t="str">
        <f t="shared" ref="M51:O66" si="5">IF($I51="","","加入")</f>
        <v/>
      </c>
      <c r="N51" s="85" t="str">
        <f t="shared" si="5"/>
        <v/>
      </c>
      <c r="O51" s="85" t="str">
        <f t="shared" si="5"/>
        <v/>
      </c>
      <c r="P51" s="85" t="str">
        <f t="shared" si="2"/>
        <v/>
      </c>
      <c r="Q51" s="85" t="str">
        <f t="shared" si="3"/>
        <v/>
      </c>
    </row>
    <row r="52" spans="1:17" ht="19.5">
      <c r="A52" t="str">
        <v/>
      </c>
      <c r="I52" s="49" t="str">
        <f t="shared" si="4"/>
        <v/>
      </c>
      <c r="J52" s="82"/>
      <c r="K52" s="50"/>
      <c r="L52" s="85" t="str">
        <f t="shared" si="0"/>
        <v/>
      </c>
      <c r="M52" s="85" t="str">
        <f t="shared" si="5"/>
        <v/>
      </c>
      <c r="N52" s="85" t="str">
        <f t="shared" si="5"/>
        <v/>
      </c>
      <c r="O52" s="85" t="str">
        <f t="shared" si="5"/>
        <v/>
      </c>
      <c r="P52" s="85" t="str">
        <f t="shared" si="2"/>
        <v/>
      </c>
      <c r="Q52" s="85" t="str">
        <f t="shared" si="3"/>
        <v/>
      </c>
    </row>
    <row r="53" spans="1:17" ht="19.5">
      <c r="A53" t="str">
        <v/>
      </c>
      <c r="I53" s="49" t="str">
        <f t="shared" si="4"/>
        <v/>
      </c>
      <c r="J53" s="82"/>
      <c r="K53" s="50"/>
      <c r="L53" s="85" t="str">
        <f t="shared" si="0"/>
        <v/>
      </c>
      <c r="M53" s="85" t="str">
        <f t="shared" si="5"/>
        <v/>
      </c>
      <c r="N53" s="85" t="str">
        <f t="shared" si="5"/>
        <v/>
      </c>
      <c r="O53" s="85" t="str">
        <f t="shared" si="5"/>
        <v/>
      </c>
      <c r="P53" s="85" t="str">
        <f t="shared" si="2"/>
        <v/>
      </c>
      <c r="Q53" s="85" t="str">
        <f t="shared" si="3"/>
        <v/>
      </c>
    </row>
    <row r="54" spans="1:17" ht="19.5">
      <c r="A54">
        <v>221201</v>
      </c>
      <c r="I54" s="49" t="str">
        <f t="shared" si="4"/>
        <v/>
      </c>
      <c r="J54" s="82"/>
      <c r="K54" s="50"/>
      <c r="L54" s="85" t="str">
        <f t="shared" si="0"/>
        <v/>
      </c>
      <c r="M54" s="85" t="str">
        <f t="shared" si="5"/>
        <v/>
      </c>
      <c r="N54" s="85" t="str">
        <f t="shared" si="5"/>
        <v/>
      </c>
      <c r="O54" s="85" t="str">
        <f t="shared" si="5"/>
        <v/>
      </c>
      <c r="P54" s="85" t="str">
        <f t="shared" si="2"/>
        <v/>
      </c>
      <c r="Q54" s="85" t="str">
        <f t="shared" si="3"/>
        <v/>
      </c>
    </row>
    <row r="55" spans="1:17" ht="19.5">
      <c r="A55" t="str">
        <v/>
      </c>
      <c r="I55" s="49" t="str">
        <f t="shared" si="4"/>
        <v/>
      </c>
      <c r="J55" s="82"/>
      <c r="K55" s="50"/>
      <c r="L55" s="85" t="str">
        <f t="shared" si="0"/>
        <v/>
      </c>
      <c r="M55" s="85" t="str">
        <f t="shared" si="5"/>
        <v/>
      </c>
      <c r="N55" s="85" t="str">
        <f t="shared" si="5"/>
        <v/>
      </c>
      <c r="O55" s="85" t="str">
        <f t="shared" si="5"/>
        <v/>
      </c>
      <c r="P55" s="85" t="str">
        <f t="shared" si="2"/>
        <v/>
      </c>
      <c r="Q55" s="85" t="str">
        <f t="shared" si="3"/>
        <v/>
      </c>
    </row>
    <row r="56" spans="1:17" ht="19.5">
      <c r="A56" t="str">
        <v/>
      </c>
      <c r="I56" s="49" t="str">
        <f t="shared" si="4"/>
        <v/>
      </c>
      <c r="J56" s="82"/>
      <c r="K56" s="50"/>
      <c r="L56" s="85" t="str">
        <f t="shared" si="0"/>
        <v/>
      </c>
      <c r="M56" s="85" t="str">
        <f t="shared" si="5"/>
        <v/>
      </c>
      <c r="N56" s="85" t="str">
        <f t="shared" si="5"/>
        <v/>
      </c>
      <c r="O56" s="85" t="str">
        <f t="shared" si="5"/>
        <v/>
      </c>
      <c r="P56" s="85" t="str">
        <f t="shared" si="2"/>
        <v/>
      </c>
      <c r="Q56" s="85" t="str">
        <f t="shared" si="3"/>
        <v/>
      </c>
    </row>
    <row r="57" spans="1:17" ht="19.5">
      <c r="A57" t="str">
        <v/>
      </c>
      <c r="I57" s="49" t="str">
        <f t="shared" si="4"/>
        <v/>
      </c>
      <c r="J57" s="82"/>
      <c r="K57" s="50"/>
      <c r="L57" s="85" t="str">
        <f t="shared" si="0"/>
        <v/>
      </c>
      <c r="M57" s="85" t="str">
        <f t="shared" si="5"/>
        <v/>
      </c>
      <c r="N57" s="85" t="str">
        <f t="shared" si="5"/>
        <v/>
      </c>
      <c r="O57" s="85" t="str">
        <f t="shared" si="5"/>
        <v/>
      </c>
      <c r="P57" s="85" t="str">
        <f t="shared" si="2"/>
        <v/>
      </c>
      <c r="Q57" s="85" t="str">
        <f t="shared" si="3"/>
        <v/>
      </c>
    </row>
    <row r="58" spans="1:17" ht="19.5">
      <c r="A58" t="str">
        <v/>
      </c>
      <c r="I58" s="49" t="str">
        <f t="shared" si="4"/>
        <v/>
      </c>
      <c r="J58" s="82"/>
      <c r="K58" s="50"/>
      <c r="L58" s="85" t="str">
        <f t="shared" si="0"/>
        <v/>
      </c>
      <c r="M58" s="85" t="str">
        <f t="shared" si="5"/>
        <v/>
      </c>
      <c r="N58" s="85" t="str">
        <f t="shared" si="5"/>
        <v/>
      </c>
      <c r="O58" s="85" t="str">
        <f t="shared" si="5"/>
        <v/>
      </c>
      <c r="P58" s="85" t="str">
        <f t="shared" si="2"/>
        <v/>
      </c>
      <c r="Q58" s="85" t="str">
        <f t="shared" si="3"/>
        <v/>
      </c>
    </row>
    <row r="59" spans="1:17" ht="19.5">
      <c r="A59" t="str">
        <v/>
      </c>
      <c r="I59" s="49" t="str">
        <f t="shared" si="4"/>
        <v/>
      </c>
      <c r="J59" s="82"/>
      <c r="K59" s="50"/>
      <c r="L59" s="85" t="str">
        <f t="shared" si="0"/>
        <v/>
      </c>
      <c r="M59" s="85" t="str">
        <f t="shared" si="5"/>
        <v/>
      </c>
      <c r="N59" s="85" t="str">
        <f t="shared" si="5"/>
        <v/>
      </c>
      <c r="O59" s="85" t="str">
        <f t="shared" si="5"/>
        <v/>
      </c>
      <c r="P59" s="85" t="str">
        <f t="shared" si="2"/>
        <v/>
      </c>
      <c r="Q59" s="85" t="str">
        <f t="shared" si="3"/>
        <v/>
      </c>
    </row>
    <row r="60" spans="1:17" ht="19.5">
      <c r="A60" t="str">
        <v/>
      </c>
      <c r="I60" s="49" t="str">
        <f t="shared" si="4"/>
        <v/>
      </c>
      <c r="J60" s="82"/>
      <c r="K60" s="50"/>
      <c r="L60" s="85" t="str">
        <f t="shared" si="0"/>
        <v/>
      </c>
      <c r="M60" s="85" t="str">
        <f t="shared" si="5"/>
        <v/>
      </c>
      <c r="N60" s="85" t="str">
        <f t="shared" si="5"/>
        <v/>
      </c>
      <c r="O60" s="85" t="str">
        <f t="shared" si="5"/>
        <v/>
      </c>
      <c r="P60" s="85" t="str">
        <f t="shared" si="2"/>
        <v/>
      </c>
      <c r="Q60" s="85" t="str">
        <f t="shared" si="3"/>
        <v/>
      </c>
    </row>
    <row r="61" spans="1:17" ht="19.5">
      <c r="A61" t="str">
        <v/>
      </c>
      <c r="I61" s="49" t="str">
        <f t="shared" si="4"/>
        <v/>
      </c>
      <c r="J61" s="82"/>
      <c r="K61" s="50"/>
      <c r="L61" s="85" t="str">
        <f t="shared" si="0"/>
        <v/>
      </c>
      <c r="M61" s="85" t="str">
        <f t="shared" si="5"/>
        <v/>
      </c>
      <c r="N61" s="85" t="str">
        <f t="shared" si="5"/>
        <v/>
      </c>
      <c r="O61" s="85" t="str">
        <f t="shared" si="5"/>
        <v/>
      </c>
      <c r="P61" s="85" t="str">
        <f t="shared" si="2"/>
        <v/>
      </c>
      <c r="Q61" s="85" t="str">
        <f t="shared" si="3"/>
        <v/>
      </c>
    </row>
    <row r="62" spans="1:17" ht="19.5">
      <c r="A62" t="str">
        <v/>
      </c>
      <c r="I62" s="49" t="str">
        <f t="shared" si="4"/>
        <v/>
      </c>
      <c r="J62" s="82"/>
      <c r="K62" s="50"/>
      <c r="L62" s="85" t="str">
        <f t="shared" si="0"/>
        <v/>
      </c>
      <c r="M62" s="85" t="str">
        <f t="shared" si="5"/>
        <v/>
      </c>
      <c r="N62" s="85" t="str">
        <f t="shared" si="5"/>
        <v/>
      </c>
      <c r="O62" s="85" t="str">
        <f t="shared" si="5"/>
        <v/>
      </c>
      <c r="P62" s="85" t="str">
        <f t="shared" si="2"/>
        <v/>
      </c>
      <c r="Q62" s="85" t="str">
        <f t="shared" si="3"/>
        <v/>
      </c>
    </row>
    <row r="63" spans="1:17" ht="19.5">
      <c r="A63" t="str">
        <v/>
      </c>
      <c r="I63" s="49" t="str">
        <f t="shared" si="4"/>
        <v/>
      </c>
      <c r="J63" s="82"/>
      <c r="K63" s="50"/>
      <c r="L63" s="85" t="str">
        <f t="shared" si="0"/>
        <v/>
      </c>
      <c r="M63" s="85" t="str">
        <f t="shared" si="5"/>
        <v/>
      </c>
      <c r="N63" s="85" t="str">
        <f t="shared" si="5"/>
        <v/>
      </c>
      <c r="O63" s="85" t="str">
        <f t="shared" si="5"/>
        <v/>
      </c>
      <c r="P63" s="85" t="str">
        <f t="shared" si="2"/>
        <v/>
      </c>
      <c r="Q63" s="85" t="str">
        <f t="shared" si="3"/>
        <v/>
      </c>
    </row>
    <row r="64" spans="1:17" ht="19.5">
      <c r="A64" t="str">
        <v/>
      </c>
      <c r="I64" s="49" t="str">
        <f t="shared" si="4"/>
        <v/>
      </c>
      <c r="J64" s="82"/>
      <c r="K64" s="50"/>
      <c r="L64" s="85" t="str">
        <f t="shared" si="0"/>
        <v/>
      </c>
      <c r="M64" s="85" t="str">
        <f t="shared" si="5"/>
        <v/>
      </c>
      <c r="N64" s="85" t="str">
        <f t="shared" si="5"/>
        <v/>
      </c>
      <c r="O64" s="85" t="str">
        <f t="shared" si="5"/>
        <v/>
      </c>
      <c r="P64" s="85" t="str">
        <f t="shared" si="2"/>
        <v/>
      </c>
      <c r="Q64" s="85" t="str">
        <f t="shared" si="3"/>
        <v/>
      </c>
    </row>
    <row r="65" spans="1:17" ht="19.5">
      <c r="A65" t="str">
        <v/>
      </c>
      <c r="I65" s="49" t="str">
        <f t="shared" si="4"/>
        <v/>
      </c>
      <c r="J65" s="82"/>
      <c r="K65" s="50"/>
      <c r="L65" s="85" t="str">
        <f t="shared" si="0"/>
        <v/>
      </c>
      <c r="M65" s="85" t="str">
        <f t="shared" si="5"/>
        <v/>
      </c>
      <c r="N65" s="85" t="str">
        <f t="shared" si="5"/>
        <v/>
      </c>
      <c r="O65" s="85" t="str">
        <f t="shared" si="5"/>
        <v/>
      </c>
      <c r="P65" s="85" t="str">
        <f t="shared" si="2"/>
        <v/>
      </c>
      <c r="Q65" s="85" t="str">
        <f t="shared" si="3"/>
        <v/>
      </c>
    </row>
    <row r="66" spans="1:17" ht="19.5">
      <c r="A66" t="str">
        <v/>
      </c>
      <c r="I66" s="49" t="str">
        <f t="shared" si="4"/>
        <v/>
      </c>
      <c r="J66" s="82"/>
      <c r="K66" s="50"/>
      <c r="L66" s="85" t="str">
        <f t="shared" si="0"/>
        <v/>
      </c>
      <c r="M66" s="85" t="str">
        <f t="shared" si="5"/>
        <v/>
      </c>
      <c r="N66" s="85" t="str">
        <f t="shared" si="5"/>
        <v/>
      </c>
      <c r="O66" s="85" t="str">
        <f t="shared" si="5"/>
        <v/>
      </c>
      <c r="P66" s="85" t="str">
        <f t="shared" si="2"/>
        <v/>
      </c>
      <c r="Q66" s="85" t="str">
        <f t="shared" si="3"/>
        <v/>
      </c>
    </row>
    <row r="67" spans="1:17">
      <c r="A67" t="str">
        <v/>
      </c>
    </row>
    <row r="68" spans="1:17">
      <c r="A68" t="str">
        <v/>
      </c>
    </row>
    <row r="69" spans="1:17">
      <c r="A69" t="str">
        <v/>
      </c>
    </row>
    <row r="70" spans="1:17">
      <c r="A70" t="str">
        <v/>
      </c>
    </row>
    <row r="71" spans="1:17">
      <c r="A71" t="str">
        <v/>
      </c>
    </row>
    <row r="72" spans="1:17">
      <c r="A72" t="str">
        <v/>
      </c>
    </row>
    <row r="73" spans="1:17">
      <c r="A73" t="str">
        <v/>
      </c>
    </row>
    <row r="74" spans="1:17">
      <c r="A74" t="str">
        <v/>
      </c>
    </row>
    <row r="75" spans="1:17">
      <c r="A75" t="str">
        <v/>
      </c>
    </row>
    <row r="76" spans="1:17">
      <c r="A76" t="str">
        <v/>
      </c>
    </row>
    <row r="77" spans="1:17">
      <c r="A77" t="str">
        <v/>
      </c>
    </row>
    <row r="78" spans="1:17">
      <c r="A78" t="str">
        <v/>
      </c>
    </row>
    <row r="79" spans="1:17">
      <c r="A79" t="str">
        <v/>
      </c>
    </row>
    <row r="80" spans="1:17">
      <c r="A80" t="str">
        <v/>
      </c>
    </row>
    <row r="81" spans="1:1">
      <c r="A81" t="str">
        <v/>
      </c>
    </row>
    <row r="82" spans="1:1">
      <c r="A82" t="str">
        <v/>
      </c>
    </row>
    <row r="83" spans="1:1">
      <c r="A83" t="str">
        <v/>
      </c>
    </row>
    <row r="84" spans="1:1">
      <c r="A84" t="str">
        <v/>
      </c>
    </row>
    <row r="85" spans="1:1">
      <c r="A85" t="str">
        <v/>
      </c>
    </row>
    <row r="86" spans="1:1">
      <c r="A86" t="str">
        <v/>
      </c>
    </row>
    <row r="87" spans="1:1">
      <c r="A87" t="str">
        <v/>
      </c>
    </row>
    <row r="88" spans="1:1">
      <c r="A88" t="str">
        <v/>
      </c>
    </row>
    <row r="89" spans="1:1">
      <c r="A89" t="str">
        <v/>
      </c>
    </row>
    <row r="90" spans="1:1">
      <c r="A90" t="str">
        <v/>
      </c>
    </row>
    <row r="91" spans="1:1">
      <c r="A91" t="str">
        <v/>
      </c>
    </row>
    <row r="92" spans="1:1">
      <c r="A92" t="str">
        <v/>
      </c>
    </row>
    <row r="93" spans="1:1">
      <c r="A93" t="str">
        <v/>
      </c>
    </row>
    <row r="94" spans="1:1">
      <c r="A94" t="str">
        <v/>
      </c>
    </row>
    <row r="95" spans="1:1">
      <c r="A95" t="str">
        <v/>
      </c>
    </row>
    <row r="96" spans="1:1">
      <c r="A96" t="str">
        <v/>
      </c>
    </row>
    <row r="97" spans="1:1">
      <c r="A97" t="str">
        <v/>
      </c>
    </row>
    <row r="98" spans="1:1">
      <c r="A98" t="str">
        <v/>
      </c>
    </row>
    <row r="99" spans="1:1">
      <c r="A99" t="str">
        <v/>
      </c>
    </row>
    <row r="100" spans="1:1">
      <c r="A100" t="str">
        <v/>
      </c>
    </row>
    <row r="101" spans="1:1">
      <c r="A101" t="str">
        <v/>
      </c>
    </row>
    <row r="102" spans="1:1">
      <c r="A102" t="str">
        <v/>
      </c>
    </row>
    <row r="103" spans="1:1">
      <c r="A103" t="str">
        <v/>
      </c>
    </row>
    <row r="104" spans="1:1">
      <c r="A104" t="str">
        <v/>
      </c>
    </row>
    <row r="105" spans="1:1">
      <c r="A105" t="str">
        <v/>
      </c>
    </row>
    <row r="106" spans="1:1">
      <c r="A106" t="str">
        <v/>
      </c>
    </row>
    <row r="107" spans="1:1">
      <c r="A107" t="str">
        <v/>
      </c>
    </row>
    <row r="108" spans="1:1">
      <c r="A108" t="str">
        <v/>
      </c>
    </row>
    <row r="109" spans="1:1">
      <c r="A109" t="str">
        <v/>
      </c>
    </row>
    <row r="110" spans="1:1">
      <c r="A110" t="str">
        <v/>
      </c>
    </row>
    <row r="111" spans="1:1">
      <c r="A111" t="str">
        <v/>
      </c>
    </row>
    <row r="112" spans="1:1">
      <c r="A112" t="str">
        <v/>
      </c>
    </row>
    <row r="113" spans="1:1">
      <c r="A113" t="str">
        <v/>
      </c>
    </row>
    <row r="114" spans="1:1">
      <c r="A114" t="str">
        <v/>
      </c>
    </row>
    <row r="115" spans="1:1">
      <c r="A115" t="str">
        <v/>
      </c>
    </row>
    <row r="116" spans="1:1">
      <c r="A116" t="str">
        <v/>
      </c>
    </row>
    <row r="117" spans="1:1">
      <c r="A117" t="str">
        <v/>
      </c>
    </row>
    <row r="118" spans="1:1">
      <c r="A118" t="str">
        <v/>
      </c>
    </row>
    <row r="119" spans="1:1">
      <c r="A119" t="str">
        <v/>
      </c>
    </row>
    <row r="120" spans="1:1">
      <c r="A120" t="str">
        <v/>
      </c>
    </row>
    <row r="121" spans="1:1">
      <c r="A121" t="str">
        <v/>
      </c>
    </row>
    <row r="122" spans="1:1">
      <c r="A122" t="str">
        <v/>
      </c>
    </row>
    <row r="123" spans="1:1">
      <c r="A123" t="str">
        <v/>
      </c>
    </row>
    <row r="124" spans="1:1">
      <c r="A124" t="str">
        <v/>
      </c>
    </row>
    <row r="125" spans="1:1">
      <c r="A125" t="str">
        <v/>
      </c>
    </row>
    <row r="126" spans="1:1">
      <c r="A126" t="str">
        <v/>
      </c>
    </row>
    <row r="127" spans="1:1">
      <c r="A127" t="str">
        <v/>
      </c>
    </row>
    <row r="128" spans="1:1">
      <c r="A128" t="str">
        <v/>
      </c>
    </row>
    <row r="129" spans="1:1">
      <c r="A129" t="str">
        <v/>
      </c>
    </row>
    <row r="130" spans="1:1">
      <c r="A130" t="str">
        <v/>
      </c>
    </row>
    <row r="131" spans="1:1">
      <c r="A131" t="str">
        <v/>
      </c>
    </row>
    <row r="132" spans="1:1">
      <c r="A132" t="str">
        <v/>
      </c>
    </row>
    <row r="133" spans="1:1">
      <c r="A133" t="str">
        <v/>
      </c>
    </row>
    <row r="134" spans="1:1">
      <c r="A134" t="str">
        <v/>
      </c>
    </row>
    <row r="135" spans="1:1">
      <c r="A135" t="str">
        <v/>
      </c>
    </row>
  </sheetData>
  <mergeCells count="1">
    <mergeCell ref="J2:L2"/>
  </mergeCells>
  <phoneticPr fontId="1"/>
  <hyperlinks>
    <hyperlink ref="H5" location="PuntoG" display="Back to main" xr:uid="{2534B1CD-11F7-4600-9B66-7A47ECDDD6A0}"/>
    <hyperlink ref="G5" location="DAICHO!_GoBack" display="DAICHO" xr:uid="{BC490EAC-C298-4EF6-828A-E71F248289EE}"/>
  </hyperlinks>
  <pageMargins left="0.31496062992125984" right="3.937007874015748E-2" top="0.27559055118110237" bottom="0.27559055118110237" header="0.15748031496062992" footer="7.874015748031496E-2"/>
  <pageSetup paperSize="9" scale="7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4B500-A0AE-47D6-85D0-55B2358D69CC}">
  <sheetPr codeName="Sheet4">
    <pageSetUpPr fitToPage="1"/>
  </sheetPr>
  <dimension ref="A1:J46"/>
  <sheetViews>
    <sheetView workbookViewId="0"/>
  </sheetViews>
  <sheetFormatPr baseColWidth="10" defaultColWidth="9" defaultRowHeight="13.5"/>
  <cols>
    <col min="2" max="2" width="20.75" customWidth="1"/>
    <col min="3" max="3" width="3.375" bestFit="1" customWidth="1"/>
    <col min="4" max="4" width="15.625" style="95" bestFit="1" customWidth="1"/>
    <col min="5" max="5" width="3.5" bestFit="1" customWidth="1"/>
    <col min="6" max="6" width="5.5" bestFit="1" customWidth="1"/>
    <col min="7" max="7" width="15.625" style="95" bestFit="1" customWidth="1"/>
    <col min="8" max="8" width="14.625" style="95" bestFit="1" customWidth="1"/>
    <col min="9" max="9" width="3.5" bestFit="1" customWidth="1"/>
    <col min="10" max="10" width="31.625" customWidth="1"/>
  </cols>
  <sheetData>
    <row r="1" spans="1:10">
      <c r="A1" s="126">
        <v>210117</v>
      </c>
      <c r="B1" s="126" t="s">
        <v>120</v>
      </c>
      <c r="C1" s="126" t="s">
        <v>18</v>
      </c>
      <c r="D1" s="206">
        <v>33588</v>
      </c>
      <c r="E1" s="126">
        <v>31</v>
      </c>
      <c r="F1" s="126">
        <v>1770</v>
      </c>
      <c r="G1" s="206">
        <v>44221</v>
      </c>
      <c r="H1" s="206">
        <v>44469</v>
      </c>
      <c r="I1" s="126">
        <v>1</v>
      </c>
      <c r="J1" s="126" t="s">
        <v>120</v>
      </c>
    </row>
    <row r="2" spans="1:10">
      <c r="A2" s="126">
        <v>210308</v>
      </c>
      <c r="B2" s="126" t="s">
        <v>128</v>
      </c>
      <c r="C2" s="126" t="s">
        <v>18</v>
      </c>
      <c r="D2" s="206">
        <v>33963</v>
      </c>
      <c r="E2" s="126">
        <v>30</v>
      </c>
      <c r="F2" s="126">
        <v>1770</v>
      </c>
      <c r="G2" s="206">
        <v>44221</v>
      </c>
      <c r="H2" s="206">
        <v>44469</v>
      </c>
      <c r="I2" s="126">
        <v>2</v>
      </c>
      <c r="J2" s="126" t="s">
        <v>128</v>
      </c>
    </row>
    <row r="3" spans="1:10">
      <c r="A3" s="126">
        <v>210118</v>
      </c>
      <c r="B3" s="126" t="s">
        <v>130</v>
      </c>
      <c r="C3" s="126" t="s">
        <v>18</v>
      </c>
      <c r="D3" s="206">
        <v>34065</v>
      </c>
      <c r="E3" s="126">
        <v>30</v>
      </c>
      <c r="F3" s="126">
        <v>1770</v>
      </c>
      <c r="G3" s="206">
        <v>44221</v>
      </c>
      <c r="H3" s="206">
        <v>44469</v>
      </c>
      <c r="I3" s="126">
        <v>3</v>
      </c>
      <c r="J3" s="126" t="s">
        <v>130</v>
      </c>
    </row>
    <row r="4" spans="1:10">
      <c r="A4" s="126">
        <v>210502</v>
      </c>
      <c r="B4" s="126" t="s">
        <v>246</v>
      </c>
      <c r="C4" s="126" t="s">
        <v>18</v>
      </c>
      <c r="D4" s="206">
        <v>34148</v>
      </c>
      <c r="E4" s="126">
        <v>29</v>
      </c>
      <c r="F4" s="126">
        <v>1780</v>
      </c>
      <c r="G4" s="206">
        <v>44326</v>
      </c>
      <c r="H4" s="206">
        <v>44469</v>
      </c>
      <c r="I4" s="126">
        <v>4</v>
      </c>
      <c r="J4" s="126" t="s">
        <v>246</v>
      </c>
    </row>
    <row r="5" spans="1:10">
      <c r="A5" s="126">
        <v>210120</v>
      </c>
      <c r="B5" s="126" t="s">
        <v>269</v>
      </c>
      <c r="C5" s="126" t="s">
        <v>18</v>
      </c>
      <c r="D5" s="206">
        <v>33966</v>
      </c>
      <c r="E5" s="126">
        <v>30</v>
      </c>
      <c r="F5" s="126">
        <v>1780</v>
      </c>
      <c r="G5" s="206">
        <v>44385</v>
      </c>
      <c r="H5" s="206">
        <v>44469</v>
      </c>
      <c r="I5" s="126">
        <v>5</v>
      </c>
      <c r="J5" s="126" t="s">
        <v>269</v>
      </c>
    </row>
    <row r="6" spans="1:10">
      <c r="A6" s="126">
        <v>210501</v>
      </c>
      <c r="B6" s="126" t="s">
        <v>365</v>
      </c>
      <c r="C6" s="126" t="s">
        <v>18</v>
      </c>
      <c r="D6" s="206">
        <v>24511</v>
      </c>
      <c r="E6" s="126">
        <v>56</v>
      </c>
      <c r="F6" s="126">
        <v>1770</v>
      </c>
      <c r="G6" s="206">
        <v>44470</v>
      </c>
      <c r="H6" s="206">
        <v>44834</v>
      </c>
      <c r="I6" s="126">
        <v>6</v>
      </c>
      <c r="J6" s="126" t="s">
        <v>365</v>
      </c>
    </row>
    <row r="7" spans="1:10">
      <c r="A7" s="126">
        <v>211001</v>
      </c>
      <c r="B7" s="126" t="s">
        <v>455</v>
      </c>
      <c r="C7" s="126" t="s">
        <v>18</v>
      </c>
      <c r="D7" s="206">
        <v>34986</v>
      </c>
      <c r="E7" s="126">
        <v>27</v>
      </c>
      <c r="F7" s="126">
        <v>1760</v>
      </c>
      <c r="G7" s="206">
        <v>44532</v>
      </c>
      <c r="H7" s="206">
        <v>44834</v>
      </c>
      <c r="I7" s="126">
        <v>7</v>
      </c>
      <c r="J7" s="126" t="s">
        <v>455</v>
      </c>
    </row>
    <row r="8" spans="1:10">
      <c r="A8" s="126">
        <v>210706</v>
      </c>
      <c r="B8" s="126" t="s">
        <v>471</v>
      </c>
      <c r="C8" s="126" t="s">
        <v>18</v>
      </c>
      <c r="D8" s="206">
        <v>34466</v>
      </c>
      <c r="E8" s="126">
        <v>28</v>
      </c>
      <c r="F8" s="126">
        <v>1750</v>
      </c>
      <c r="G8" s="206">
        <v>44573</v>
      </c>
      <c r="H8" s="206">
        <v>44834</v>
      </c>
      <c r="I8" s="126">
        <v>8</v>
      </c>
      <c r="J8" s="126" t="s">
        <v>471</v>
      </c>
    </row>
    <row r="9" spans="1:10">
      <c r="A9" s="126">
        <v>211003</v>
      </c>
      <c r="B9" s="126" t="s">
        <v>512</v>
      </c>
      <c r="C9" s="126" t="s">
        <v>18</v>
      </c>
      <c r="D9" s="206">
        <v>33535</v>
      </c>
      <c r="E9" s="126">
        <v>31</v>
      </c>
      <c r="F9" s="126">
        <v>1760</v>
      </c>
      <c r="G9" s="206">
        <v>44594</v>
      </c>
      <c r="H9" s="206">
        <v>44834</v>
      </c>
      <c r="I9" s="126">
        <v>9</v>
      </c>
      <c r="J9" s="126" t="s">
        <v>512</v>
      </c>
    </row>
    <row r="10" spans="1:10">
      <c r="A10" s="126">
        <v>220514</v>
      </c>
      <c r="B10" s="126" t="s">
        <v>521</v>
      </c>
      <c r="C10" s="126" t="s">
        <v>18</v>
      </c>
      <c r="D10" s="206">
        <v>33746</v>
      </c>
      <c r="E10" s="126">
        <v>30</v>
      </c>
      <c r="F10" s="126">
        <v>1750</v>
      </c>
      <c r="G10" s="206">
        <v>44599</v>
      </c>
      <c r="H10" s="206">
        <v>44834</v>
      </c>
      <c r="I10" s="126">
        <v>10</v>
      </c>
      <c r="J10" s="126" t="s">
        <v>521</v>
      </c>
    </row>
    <row r="11" spans="1:10">
      <c r="A11" s="126">
        <v>211203</v>
      </c>
      <c r="B11" s="126" t="s">
        <v>550</v>
      </c>
      <c r="C11" s="126" t="s">
        <v>18</v>
      </c>
      <c r="D11" s="206">
        <v>35046</v>
      </c>
      <c r="E11" s="126">
        <v>27</v>
      </c>
      <c r="F11" s="126">
        <v>1760</v>
      </c>
      <c r="G11" s="206">
        <v>44620</v>
      </c>
      <c r="H11" s="206">
        <v>44834</v>
      </c>
      <c r="I11" s="126">
        <v>11</v>
      </c>
      <c r="J11" s="126" t="s">
        <v>550</v>
      </c>
    </row>
    <row r="12" spans="1:10">
      <c r="A12" s="126">
        <v>220111</v>
      </c>
      <c r="B12" s="126" t="s">
        <v>556</v>
      </c>
      <c r="C12" s="126" t="s">
        <v>18</v>
      </c>
      <c r="D12" s="206">
        <v>34464</v>
      </c>
      <c r="E12" s="126">
        <v>28</v>
      </c>
      <c r="F12" s="126">
        <v>1750</v>
      </c>
      <c r="G12" s="206">
        <v>44637</v>
      </c>
      <c r="H12" s="206">
        <v>44834</v>
      </c>
      <c r="I12" s="126">
        <v>12</v>
      </c>
      <c r="J12" s="126" t="s">
        <v>556</v>
      </c>
    </row>
    <row r="13" spans="1:10">
      <c r="A13" s="126">
        <v>220203</v>
      </c>
      <c r="B13" s="126" t="s">
        <v>569</v>
      </c>
      <c r="C13" s="126" t="s">
        <v>18</v>
      </c>
      <c r="D13" s="206">
        <v>32632</v>
      </c>
      <c r="E13" s="126">
        <v>33</v>
      </c>
      <c r="F13" s="126">
        <v>1750</v>
      </c>
      <c r="G13" s="206">
        <v>44649</v>
      </c>
      <c r="H13" s="206">
        <v>44834</v>
      </c>
      <c r="I13" s="126">
        <v>13</v>
      </c>
      <c r="J13" s="126" t="s">
        <v>569</v>
      </c>
    </row>
    <row r="14" spans="1:10">
      <c r="A14" s="126">
        <v>220206</v>
      </c>
      <c r="B14" s="126" t="s">
        <v>580</v>
      </c>
      <c r="C14" s="126" t="s">
        <v>18</v>
      </c>
      <c r="D14" s="206">
        <v>32908</v>
      </c>
      <c r="E14" s="126">
        <v>33</v>
      </c>
      <c r="F14" s="126">
        <v>1750</v>
      </c>
      <c r="G14" s="206">
        <v>44659</v>
      </c>
      <c r="H14" s="206">
        <v>44834</v>
      </c>
      <c r="I14" s="126">
        <v>14</v>
      </c>
      <c r="J14" s="126" t="s">
        <v>580</v>
      </c>
    </row>
    <row r="15" spans="1:10">
      <c r="A15" s="126">
        <v>220221</v>
      </c>
      <c r="B15" s="126" t="s">
        <v>592</v>
      </c>
      <c r="C15" s="126" t="s">
        <v>18</v>
      </c>
      <c r="D15" s="206">
        <v>34432</v>
      </c>
      <c r="E15" s="126">
        <v>28</v>
      </c>
      <c r="F15" s="126">
        <v>1750</v>
      </c>
      <c r="G15" s="206">
        <v>44690</v>
      </c>
      <c r="H15" s="206">
        <v>44834</v>
      </c>
      <c r="I15" s="126">
        <v>15</v>
      </c>
      <c r="J15" s="126" t="s">
        <v>592</v>
      </c>
    </row>
    <row r="16" spans="1:10">
      <c r="A16" s="126">
        <v>220317</v>
      </c>
      <c r="B16" s="126" t="s">
        <v>607</v>
      </c>
      <c r="C16" s="126" t="s">
        <v>18</v>
      </c>
      <c r="D16" s="206">
        <v>35602</v>
      </c>
      <c r="E16" s="126">
        <v>25</v>
      </c>
      <c r="F16" s="126">
        <v>1650</v>
      </c>
      <c r="G16" s="206">
        <v>44693</v>
      </c>
      <c r="H16" s="206">
        <v>44834</v>
      </c>
      <c r="I16" s="126">
        <v>16</v>
      </c>
      <c r="J16" s="126" t="s">
        <v>607</v>
      </c>
    </row>
    <row r="17" spans="1:10">
      <c r="A17" s="126">
        <v>220318</v>
      </c>
      <c r="B17" s="126" t="s">
        <v>618</v>
      </c>
      <c r="C17" s="126" t="s">
        <v>18</v>
      </c>
      <c r="D17" s="206">
        <v>35685</v>
      </c>
      <c r="E17" s="126">
        <v>25</v>
      </c>
      <c r="F17" s="126">
        <v>1650</v>
      </c>
      <c r="G17" s="206">
        <v>44693</v>
      </c>
      <c r="H17" s="206">
        <v>44834</v>
      </c>
      <c r="I17" s="126">
        <v>17</v>
      </c>
      <c r="J17" s="126" t="s">
        <v>618</v>
      </c>
    </row>
    <row r="18" spans="1:10">
      <c r="A18" s="126">
        <v>220325</v>
      </c>
      <c r="B18" s="126" t="s">
        <v>629</v>
      </c>
      <c r="C18" s="126" t="s">
        <v>18</v>
      </c>
      <c r="D18" s="206">
        <v>35115</v>
      </c>
      <c r="E18" s="126">
        <v>27</v>
      </c>
      <c r="F18" s="126">
        <v>1750</v>
      </c>
      <c r="G18" s="206">
        <v>44718</v>
      </c>
      <c r="H18" s="206">
        <v>44834</v>
      </c>
      <c r="I18" s="126">
        <v>18</v>
      </c>
      <c r="J18" s="126" t="s">
        <v>629</v>
      </c>
    </row>
    <row r="19" spans="1:10">
      <c r="A19" s="126">
        <v>211104</v>
      </c>
      <c r="B19" s="126" t="s">
        <v>2414</v>
      </c>
      <c r="C19" s="126" t="s">
        <v>18</v>
      </c>
      <c r="D19" s="206">
        <v>34784</v>
      </c>
      <c r="E19" s="126">
        <v>28</v>
      </c>
      <c r="F19" s="126">
        <v>1750</v>
      </c>
      <c r="G19" s="206">
        <v>44718</v>
      </c>
      <c r="H19" s="206">
        <v>44834</v>
      </c>
      <c r="I19" s="126">
        <v>19</v>
      </c>
      <c r="J19" s="126" t="s">
        <v>2414</v>
      </c>
    </row>
    <row r="20" spans="1:10">
      <c r="A20" s="126">
        <v>220406</v>
      </c>
      <c r="B20" s="126" t="s">
        <v>635</v>
      </c>
      <c r="C20" s="126" t="s">
        <v>18</v>
      </c>
      <c r="D20" s="206">
        <v>32955</v>
      </c>
      <c r="E20" s="126">
        <v>33</v>
      </c>
      <c r="F20" s="126">
        <v>1750</v>
      </c>
      <c r="G20" s="206">
        <v>44718</v>
      </c>
      <c r="H20" s="206">
        <v>44834</v>
      </c>
      <c r="I20" s="126">
        <v>20</v>
      </c>
      <c r="J20" s="126" t="s">
        <v>635</v>
      </c>
    </row>
    <row r="21" spans="1:10">
      <c r="A21" s="126">
        <v>220502</v>
      </c>
      <c r="B21" s="126" t="s">
        <v>649</v>
      </c>
      <c r="C21" s="126" t="s">
        <v>18</v>
      </c>
      <c r="D21" s="206">
        <v>34769</v>
      </c>
      <c r="E21" s="126">
        <v>28</v>
      </c>
      <c r="F21" s="126">
        <v>1750</v>
      </c>
      <c r="G21" s="206">
        <v>44762</v>
      </c>
      <c r="H21" s="206">
        <v>44834</v>
      </c>
      <c r="I21" s="126">
        <v>21</v>
      </c>
      <c r="J21" s="126" t="s">
        <v>649</v>
      </c>
    </row>
    <row r="22" spans="1:10">
      <c r="A22" s="126">
        <v>220513</v>
      </c>
      <c r="B22" s="126" t="s">
        <v>645</v>
      </c>
      <c r="C22" s="126" t="s">
        <v>18</v>
      </c>
      <c r="D22" s="206">
        <v>34409</v>
      </c>
      <c r="E22" s="126">
        <v>29</v>
      </c>
      <c r="F22" s="126">
        <v>1750</v>
      </c>
      <c r="G22" s="206">
        <v>44762</v>
      </c>
      <c r="H22" s="206">
        <v>44834</v>
      </c>
      <c r="I22" s="126">
        <v>22</v>
      </c>
      <c r="J22" s="126" t="s">
        <v>645</v>
      </c>
    </row>
    <row r="23" spans="1:10">
      <c r="A23" s="126">
        <v>220512</v>
      </c>
      <c r="B23" s="126" t="s">
        <v>651</v>
      </c>
      <c r="C23" s="126" t="s">
        <v>18</v>
      </c>
      <c r="D23" s="206">
        <v>34900</v>
      </c>
      <c r="E23" s="126">
        <v>27</v>
      </c>
      <c r="F23" s="126">
        <v>1750</v>
      </c>
      <c r="G23" s="206">
        <v>44762</v>
      </c>
      <c r="H23" s="206">
        <v>44834</v>
      </c>
      <c r="I23" s="126">
        <v>23</v>
      </c>
      <c r="J23" s="126" t="s">
        <v>651</v>
      </c>
    </row>
    <row r="24" spans="1:10">
      <c r="A24" s="126">
        <v>220605</v>
      </c>
      <c r="B24" s="126" t="s">
        <v>647</v>
      </c>
      <c r="C24" s="126" t="s">
        <v>18</v>
      </c>
      <c r="D24" s="206">
        <v>35149</v>
      </c>
      <c r="E24" s="126">
        <v>27</v>
      </c>
      <c r="F24" s="126">
        <v>1750</v>
      </c>
      <c r="G24" s="206">
        <v>44762</v>
      </c>
      <c r="H24" s="206">
        <v>44834</v>
      </c>
      <c r="I24" s="126">
        <v>24</v>
      </c>
      <c r="J24" s="126" t="s">
        <v>647</v>
      </c>
    </row>
    <row r="25" spans="1:10">
      <c r="A25" s="126">
        <v>220607</v>
      </c>
      <c r="B25" s="126" t="s">
        <v>770</v>
      </c>
      <c r="C25" s="126" t="s">
        <v>18</v>
      </c>
      <c r="D25" s="206">
        <v>31723</v>
      </c>
      <c r="E25" s="126">
        <v>36</v>
      </c>
      <c r="F25" s="126">
        <v>1750</v>
      </c>
      <c r="G25" s="206">
        <v>44798</v>
      </c>
      <c r="H25" s="206">
        <v>44834</v>
      </c>
      <c r="I25" s="126">
        <v>25</v>
      </c>
      <c r="J25" s="126" t="s">
        <v>770</v>
      </c>
    </row>
    <row r="26" spans="1:10">
      <c r="A26" s="126">
        <v>220606</v>
      </c>
      <c r="B26" s="126" t="s">
        <v>774</v>
      </c>
      <c r="C26" s="126" t="s">
        <v>18</v>
      </c>
      <c r="D26" s="206">
        <v>33771</v>
      </c>
      <c r="E26" s="126">
        <v>30</v>
      </c>
      <c r="F26" s="126">
        <v>1750</v>
      </c>
      <c r="G26" s="206">
        <v>44798</v>
      </c>
      <c r="H26" s="206">
        <v>44834</v>
      </c>
      <c r="I26" s="126">
        <v>26</v>
      </c>
      <c r="J26" s="126" t="s">
        <v>774</v>
      </c>
    </row>
    <row r="27" spans="1:10">
      <c r="A27" s="126">
        <v>220710</v>
      </c>
      <c r="B27" s="126" t="s">
        <v>839</v>
      </c>
      <c r="C27" s="126" t="s">
        <v>18</v>
      </c>
      <c r="D27" s="206">
        <v>35399</v>
      </c>
      <c r="E27" s="126">
        <v>26</v>
      </c>
      <c r="F27" s="126">
        <v>1750</v>
      </c>
      <c r="G27" s="206">
        <v>44816</v>
      </c>
      <c r="H27" s="206">
        <v>44834</v>
      </c>
      <c r="I27" s="126">
        <v>27</v>
      </c>
      <c r="J27" s="126" t="s">
        <v>839</v>
      </c>
    </row>
    <row r="28" spans="1:10">
      <c r="A28" s="126">
        <v>220327</v>
      </c>
      <c r="B28" s="126" t="s">
        <v>2267</v>
      </c>
      <c r="C28" s="126" t="s">
        <v>18</v>
      </c>
      <c r="D28" s="206">
        <v>36859</v>
      </c>
      <c r="E28" s="126">
        <v>22</v>
      </c>
      <c r="F28" s="126">
        <v>1650</v>
      </c>
      <c r="G28" s="206">
        <v>44827</v>
      </c>
      <c r="H28" s="206">
        <v>44834</v>
      </c>
      <c r="I28" s="126">
        <v>28</v>
      </c>
      <c r="J28" s="126" t="s">
        <v>2267</v>
      </c>
    </row>
    <row r="29" spans="1:10">
      <c r="A29" s="126">
        <v>220708</v>
      </c>
      <c r="B29" s="126" t="s">
        <v>2263</v>
      </c>
      <c r="C29" s="126" t="s">
        <v>18</v>
      </c>
      <c r="D29" s="206">
        <v>36871</v>
      </c>
      <c r="E29" s="126">
        <v>22</v>
      </c>
      <c r="F29" s="126">
        <v>1650</v>
      </c>
      <c r="G29" s="206">
        <v>44827</v>
      </c>
      <c r="H29" s="206">
        <v>44834</v>
      </c>
      <c r="I29" s="126">
        <v>29</v>
      </c>
      <c r="J29" s="126" t="s">
        <v>2263</v>
      </c>
    </row>
    <row r="30" spans="1:10">
      <c r="A30" s="126">
        <v>220711</v>
      </c>
      <c r="B30" s="126" t="s">
        <v>2265</v>
      </c>
      <c r="C30" s="126" t="s">
        <v>18</v>
      </c>
      <c r="D30" s="206">
        <v>36871</v>
      </c>
      <c r="E30" s="126">
        <v>22</v>
      </c>
      <c r="F30" s="126">
        <v>1650</v>
      </c>
      <c r="G30" s="206">
        <v>44827</v>
      </c>
      <c r="H30" s="206">
        <v>44834</v>
      </c>
      <c r="I30" s="126">
        <v>30</v>
      </c>
      <c r="J30" s="126" t="s">
        <v>2265</v>
      </c>
    </row>
    <row r="31" spans="1:10">
      <c r="A31" s="126">
        <v>220709</v>
      </c>
      <c r="B31" s="126" t="s">
        <v>2579</v>
      </c>
      <c r="C31" s="126" t="s">
        <v>18</v>
      </c>
      <c r="D31" s="206">
        <v>35831</v>
      </c>
      <c r="E31" s="126">
        <v>25</v>
      </c>
      <c r="F31" s="126">
        <v>1650</v>
      </c>
      <c r="G31" s="206">
        <v>44886</v>
      </c>
      <c r="H31" s="206">
        <v>45199</v>
      </c>
      <c r="I31" s="126">
        <v>31</v>
      </c>
      <c r="J31" s="126" t="s">
        <v>2579</v>
      </c>
    </row>
    <row r="32" spans="1:10">
      <c r="A32" s="126">
        <v>220806</v>
      </c>
      <c r="B32" s="126" t="s">
        <v>2853</v>
      </c>
      <c r="C32" s="126" t="s">
        <v>18</v>
      </c>
      <c r="D32" s="206">
        <v>36846</v>
      </c>
      <c r="E32" s="126">
        <v>22</v>
      </c>
      <c r="F32" s="126">
        <v>1650</v>
      </c>
      <c r="G32" s="206">
        <v>44979</v>
      </c>
      <c r="H32" s="206">
        <v>45199</v>
      </c>
      <c r="I32" s="126">
        <v>32</v>
      </c>
      <c r="J32" s="126" t="s">
        <v>2853</v>
      </c>
    </row>
    <row r="33" spans="1:10">
      <c r="A33" s="126">
        <v>220807</v>
      </c>
      <c r="B33" s="126" t="s">
        <v>2858</v>
      </c>
      <c r="C33" s="126" t="s">
        <v>18</v>
      </c>
      <c r="D33" s="206">
        <v>36543</v>
      </c>
      <c r="E33" s="126">
        <v>23</v>
      </c>
      <c r="F33" s="126">
        <v>1650</v>
      </c>
      <c r="G33" s="206">
        <v>44979</v>
      </c>
      <c r="H33" s="206">
        <v>45199</v>
      </c>
      <c r="I33" s="126">
        <v>33</v>
      </c>
      <c r="J33" s="126" t="s">
        <v>2858</v>
      </c>
    </row>
    <row r="34" spans="1:10">
      <c r="A34" s="126">
        <v>220906</v>
      </c>
      <c r="B34" s="126" t="s">
        <v>2851</v>
      </c>
      <c r="C34" s="126" t="s">
        <v>18</v>
      </c>
      <c r="D34" s="206">
        <v>36137</v>
      </c>
      <c r="E34" s="126">
        <v>24</v>
      </c>
      <c r="F34" s="126">
        <v>1650</v>
      </c>
      <c r="G34" s="206">
        <v>44979</v>
      </c>
      <c r="H34" s="206">
        <v>45199</v>
      </c>
      <c r="I34" s="126">
        <v>34</v>
      </c>
      <c r="J34" s="126" t="s">
        <v>2851</v>
      </c>
    </row>
    <row r="35" spans="1:10">
      <c r="A35" s="126">
        <v>220920</v>
      </c>
      <c r="B35" s="126" t="s">
        <v>2855</v>
      </c>
      <c r="C35" s="126" t="s">
        <v>18</v>
      </c>
      <c r="D35" s="206">
        <v>35718</v>
      </c>
      <c r="E35" s="126">
        <v>25</v>
      </c>
      <c r="F35" s="126">
        <v>1650</v>
      </c>
      <c r="G35" s="206">
        <v>44979</v>
      </c>
      <c r="H35" s="206">
        <v>45199</v>
      </c>
      <c r="I35" s="126">
        <v>35</v>
      </c>
      <c r="J35" s="126" t="s">
        <v>2855</v>
      </c>
    </row>
    <row r="36" spans="1:10">
      <c r="A36" s="126">
        <v>220918</v>
      </c>
      <c r="B36" s="126" t="s">
        <v>2847</v>
      </c>
      <c r="C36" s="126" t="s">
        <v>18</v>
      </c>
      <c r="D36" s="206">
        <v>36892</v>
      </c>
      <c r="E36" s="126">
        <v>22</v>
      </c>
      <c r="F36" s="126">
        <v>1660</v>
      </c>
      <c r="G36" s="206">
        <v>44979</v>
      </c>
      <c r="H36" s="206">
        <v>45199</v>
      </c>
      <c r="I36" s="126">
        <v>36</v>
      </c>
      <c r="J36" s="126" t="s">
        <v>2847</v>
      </c>
    </row>
    <row r="37" spans="1:10">
      <c r="A37" s="126">
        <v>220919</v>
      </c>
      <c r="B37" s="126" t="s">
        <v>2891</v>
      </c>
      <c r="C37" s="126" t="s">
        <v>18</v>
      </c>
      <c r="D37" s="206">
        <v>35709</v>
      </c>
      <c r="E37" s="126">
        <v>25</v>
      </c>
      <c r="F37" s="126">
        <v>1650</v>
      </c>
      <c r="G37" s="206">
        <v>44985</v>
      </c>
      <c r="H37" s="206">
        <v>45199</v>
      </c>
      <c r="I37" s="126">
        <v>37</v>
      </c>
      <c r="J37" s="126" t="s">
        <v>2891</v>
      </c>
    </row>
    <row r="38" spans="1:10">
      <c r="A38" s="126">
        <v>221108</v>
      </c>
      <c r="B38" s="126" t="s">
        <v>2221</v>
      </c>
      <c r="C38" s="126" t="s">
        <v>18</v>
      </c>
      <c r="D38" s="206">
        <v>36865</v>
      </c>
      <c r="E38" s="126">
        <v>22</v>
      </c>
      <c r="F38" s="126">
        <v>1650</v>
      </c>
      <c r="G38" s="206">
        <v>44985</v>
      </c>
      <c r="H38" s="206">
        <v>45199</v>
      </c>
      <c r="I38" s="126">
        <v>38</v>
      </c>
      <c r="J38" s="126" t="s">
        <v>2221</v>
      </c>
    </row>
    <row r="39" spans="1:10">
      <c r="A39" s="126">
        <v>230214</v>
      </c>
      <c r="B39" s="126" t="s">
        <v>2889</v>
      </c>
      <c r="C39" s="126" t="s">
        <v>18</v>
      </c>
      <c r="D39" s="206">
        <v>35908</v>
      </c>
      <c r="E39" s="126">
        <v>24</v>
      </c>
      <c r="F39" s="126">
        <v>1650</v>
      </c>
      <c r="G39" s="206">
        <v>44985</v>
      </c>
      <c r="H39" s="206">
        <v>45199</v>
      </c>
      <c r="I39" s="126">
        <v>39</v>
      </c>
      <c r="J39" s="126" t="s">
        <v>2889</v>
      </c>
    </row>
    <row r="40" spans="1:10">
      <c r="A40" s="126">
        <v>230216</v>
      </c>
      <c r="B40" s="126" t="s">
        <v>2885</v>
      </c>
      <c r="C40" s="126" t="s">
        <v>18</v>
      </c>
      <c r="D40" s="206">
        <v>35340</v>
      </c>
      <c r="E40" s="126">
        <v>26</v>
      </c>
      <c r="F40" s="126">
        <v>1650</v>
      </c>
      <c r="G40" s="206">
        <v>44985</v>
      </c>
      <c r="H40" s="206">
        <v>45199</v>
      </c>
      <c r="I40" s="126">
        <v>40</v>
      </c>
      <c r="J40" s="126" t="s">
        <v>2885</v>
      </c>
    </row>
    <row r="41" spans="1:10">
      <c r="A41" s="126">
        <v>230213</v>
      </c>
      <c r="B41" s="126" t="s">
        <v>2931</v>
      </c>
      <c r="C41" s="126" t="s">
        <v>18</v>
      </c>
      <c r="D41" s="206">
        <v>36793</v>
      </c>
      <c r="E41" s="126">
        <v>22</v>
      </c>
      <c r="F41" s="126">
        <v>1650</v>
      </c>
      <c r="G41" s="206">
        <v>45013</v>
      </c>
      <c r="H41" s="206">
        <v>45199</v>
      </c>
      <c r="I41" s="126">
        <v>41</v>
      </c>
      <c r="J41" s="126" t="s">
        <v>2931</v>
      </c>
    </row>
    <row r="42" spans="1:10">
      <c r="A42" s="126">
        <v>230215</v>
      </c>
      <c r="B42" s="126" t="s">
        <v>2937</v>
      </c>
      <c r="C42" s="126" t="s">
        <v>18</v>
      </c>
      <c r="D42" s="206">
        <v>36800</v>
      </c>
      <c r="E42" s="126">
        <v>22</v>
      </c>
      <c r="F42" s="126">
        <v>1650</v>
      </c>
      <c r="G42" s="206">
        <v>45013</v>
      </c>
      <c r="H42" s="206">
        <v>45199</v>
      </c>
      <c r="I42" s="126">
        <v>42</v>
      </c>
      <c r="J42" s="126" t="s">
        <v>2937</v>
      </c>
    </row>
    <row r="43" spans="1:10">
      <c r="A43" s="126">
        <v>230212</v>
      </c>
      <c r="B43" s="126" t="s">
        <v>2935</v>
      </c>
      <c r="C43" s="126" t="s">
        <v>18</v>
      </c>
      <c r="D43" s="206">
        <v>36221</v>
      </c>
      <c r="E43" s="126">
        <v>24</v>
      </c>
      <c r="F43" s="126">
        <v>1650</v>
      </c>
      <c r="G43" s="206">
        <v>45013</v>
      </c>
      <c r="H43" s="206">
        <v>45199</v>
      </c>
      <c r="I43" s="126">
        <v>43</v>
      </c>
      <c r="J43" s="126" t="s">
        <v>2935</v>
      </c>
    </row>
    <row r="44" spans="1:10">
      <c r="A44" s="126">
        <v>230306</v>
      </c>
      <c r="B44" s="126" t="s">
        <v>2927</v>
      </c>
      <c r="C44" s="126" t="s">
        <v>18</v>
      </c>
      <c r="D44" s="206">
        <v>35746</v>
      </c>
      <c r="E44" s="126">
        <v>25</v>
      </c>
      <c r="F44" s="126">
        <v>1650</v>
      </c>
      <c r="G44" s="206">
        <v>45013</v>
      </c>
      <c r="H44" s="206">
        <v>45199</v>
      </c>
      <c r="I44" s="126">
        <v>44</v>
      </c>
      <c r="J44" s="126" t="s">
        <v>2927</v>
      </c>
    </row>
    <row r="45" spans="1:10">
      <c r="A45" s="126">
        <v>230307</v>
      </c>
      <c r="B45" s="126" t="s">
        <v>2929</v>
      </c>
      <c r="C45" s="126" t="s">
        <v>18</v>
      </c>
      <c r="D45" s="206">
        <v>35956</v>
      </c>
      <c r="E45" s="126">
        <v>24</v>
      </c>
      <c r="F45" s="126">
        <v>1650</v>
      </c>
      <c r="G45" s="206">
        <v>45013</v>
      </c>
      <c r="H45" s="206">
        <v>45199</v>
      </c>
      <c r="I45" s="126">
        <v>45</v>
      </c>
      <c r="J45" s="126" t="s">
        <v>2929</v>
      </c>
    </row>
    <row r="46" spans="1:10">
      <c r="A46" s="126">
        <v>230305</v>
      </c>
      <c r="B46" s="126" t="s">
        <v>2933</v>
      </c>
      <c r="C46" s="126" t="s">
        <v>18</v>
      </c>
      <c r="D46" s="206">
        <v>35548</v>
      </c>
      <c r="E46" s="126">
        <v>25</v>
      </c>
      <c r="F46" s="126">
        <v>1650</v>
      </c>
      <c r="G46" s="206">
        <v>45013</v>
      </c>
      <c r="H46" s="206">
        <v>45199</v>
      </c>
      <c r="I46" s="126">
        <v>46</v>
      </c>
      <c r="J46" s="126" t="s">
        <v>2933</v>
      </c>
    </row>
  </sheetData>
  <phoneticPr fontId="1"/>
  <pageMargins left="0.23622047244094488" right="0.23622047244094488" top="0.74803149606299213" bottom="0.74803149606299213" header="0.31496062992125984" footer="0.31496062992125984"/>
  <pageSetup paperSize="9" scale="76"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161BC2AD50D441B11A7F9234F6C254" ma:contentTypeVersion="9" ma:contentTypeDescription="Create a new document." ma:contentTypeScope="" ma:versionID="0dac175ff32ab83a6b4bb4fe9b65bb39">
  <xsd:schema xmlns:xsd="http://www.w3.org/2001/XMLSchema" xmlns:xs="http://www.w3.org/2001/XMLSchema" xmlns:p="http://schemas.microsoft.com/office/2006/metadata/properties" xmlns:ns3="365a6240-f6f2-4bcb-9931-d1bd4ec22d88" targetNamespace="http://schemas.microsoft.com/office/2006/metadata/properties" ma:root="true" ma:fieldsID="62e2bc4cedbb267d92009a190d7b4b1f" ns3:_="">
    <xsd:import namespace="365a6240-f6f2-4bcb-9931-d1bd4ec22d8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a6240-f6f2-4bcb-9931-d1bd4ec22d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3ECE8C4-DD04-4029-8B3E-DEAF5321F0C7}">
  <ds:schemaRefs>
    <ds:schemaRef ds:uri="http://schemas.microsoft.com/sharepoint/v3/contenttype/forms"/>
  </ds:schemaRefs>
</ds:datastoreItem>
</file>

<file path=customXml/itemProps2.xml><?xml version="1.0" encoding="utf-8"?>
<ds:datastoreItem xmlns:ds="http://schemas.openxmlformats.org/officeDocument/2006/customXml" ds:itemID="{105D19CA-CBFD-4971-BE75-B66B490F910C}">
  <ds:schemaRefs>
    <ds:schemaRef ds:uri="http://purl.org/dc/elements/1.1/"/>
    <ds:schemaRef ds:uri="http://purl.org/dc/terms/"/>
    <ds:schemaRef ds:uri="http://purl.org/dc/dcmitype/"/>
    <ds:schemaRef ds:uri="http://schemas.microsoft.com/office/2006/documentManagement/types"/>
    <ds:schemaRef ds:uri="http://schemas.microsoft.com/office/2006/metadata/properties"/>
    <ds:schemaRef ds:uri="http://schemas.openxmlformats.org/package/2006/metadata/core-properties"/>
    <ds:schemaRef ds:uri="http://schemas.microsoft.com/office/infopath/2007/PartnerControls"/>
    <ds:schemaRef ds:uri="365a6240-f6f2-4bcb-9931-d1bd4ec22d88"/>
    <ds:schemaRef ds:uri="http://www.w3.org/XML/1998/namespace"/>
  </ds:schemaRefs>
</ds:datastoreItem>
</file>

<file path=customXml/itemProps3.xml><?xml version="1.0" encoding="utf-8"?>
<ds:datastoreItem xmlns:ds="http://schemas.openxmlformats.org/officeDocument/2006/customXml" ds:itemID="{8B3897E7-DAA7-4534-94B5-04ADBF54EA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a6240-f6f2-4bcb-9931-d1bd4ec22d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486AF0C-56DD-4A02-B0CB-DBB8CECD13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128</vt:i4>
      </vt:variant>
    </vt:vector>
  </HeadingPairs>
  <TitlesOfParts>
    <vt:vector size="145" baseType="lpstr">
      <vt:lpstr>DBGenzai</vt:lpstr>
      <vt:lpstr>Filtro</vt:lpstr>
      <vt:lpstr>Trasformacion</vt:lpstr>
      <vt:lpstr>State＆Price</vt:lpstr>
      <vt:lpstr>配属先管理台帳</vt:lpstr>
      <vt:lpstr>Sheet1</vt:lpstr>
      <vt:lpstr>個別契約書X</vt:lpstr>
      <vt:lpstr>通知書</vt:lpstr>
      <vt:lpstr>通知書(別々)</vt:lpstr>
      <vt:lpstr>通知書Genzai</vt:lpstr>
      <vt:lpstr>DAICHO</vt:lpstr>
      <vt:lpstr>通知書TOTAL</vt:lpstr>
      <vt:lpstr>Sheet3</vt:lpstr>
      <vt:lpstr>Hoja1</vt:lpstr>
      <vt:lpstr>DAICHO (2)</vt:lpstr>
      <vt:lpstr>通知書Genzai (2)</vt:lpstr>
      <vt:lpstr>Sheet2</vt:lpstr>
      <vt:lpstr>_？</vt:lpstr>
      <vt:lpstr>_1次旋係</vt:lpstr>
      <vt:lpstr>DAICHO!_GoBack</vt:lpstr>
      <vt:lpstr>'DAICHO (2)'!_GoBack</vt:lpstr>
      <vt:lpstr>DAICHO!Área_de_impresión</vt:lpstr>
      <vt:lpstr>'DAICHO (2)'!Área_de_impresión</vt:lpstr>
      <vt:lpstr>Trasformacion!Área_de_impresión</vt:lpstr>
      <vt:lpstr>個別契約書X!Área_de_impresión</vt:lpstr>
      <vt:lpstr>通知書!Área_de_impresión</vt:lpstr>
      <vt:lpstr>'通知書(別々)'!Área_de_impresión</vt:lpstr>
      <vt:lpstr>通知書Genzai!Área_de_impresión</vt:lpstr>
      <vt:lpstr>'通知書Genzai (2)'!Área_de_impresión</vt:lpstr>
      <vt:lpstr>通知書TOTAL!Área_de_impresión</vt:lpstr>
      <vt:lpstr>Aライン</vt:lpstr>
      <vt:lpstr>CAD</vt:lpstr>
      <vt:lpstr>'通知書Genzai (2)'!CONSECUTIVO</vt:lpstr>
      <vt:lpstr>CONSECUTIVO</vt:lpstr>
      <vt:lpstr>CVJ_清掃</vt:lpstr>
      <vt:lpstr>CVJﾊﾞﾘ取りﾁｬﾝﾌｧ係</vt:lpstr>
      <vt:lpstr>CVJバリ取りチャンファ等速ジョイント旋削加工</vt:lpstr>
      <vt:lpstr>CVJ研磨係</vt:lpstr>
      <vt:lpstr>ＣＶＪ研磨等速ジョイント旋削加工</vt:lpstr>
      <vt:lpstr>ＣＶＪ研磨等速ジョイント旋削加工・ＮＣプログラム修正</vt:lpstr>
      <vt:lpstr>CVJ工場</vt:lpstr>
      <vt:lpstr>CVJ工場製作１課</vt:lpstr>
      <vt:lpstr>CVJ清掃</vt:lpstr>
      <vt:lpstr>CVJ切欠きｺｯﾀ係</vt:lpstr>
      <vt:lpstr>ＣＶＪ切欠きコッタ等速ジョイント旋削加工</vt:lpstr>
      <vt:lpstr>CVJ短軸旋盤係</vt:lpstr>
      <vt:lpstr>ＣＶＪ短軸等速ジョイント旋削加工・ＮＣプログラム修正</vt:lpstr>
      <vt:lpstr>CVJ長軸旋盤係</vt:lpstr>
      <vt:lpstr>ＣＶＪ長軸等速ジョイント旋削加工・ＮＣプログラム修正</vt:lpstr>
      <vt:lpstr>CVJ転造係</vt:lpstr>
      <vt:lpstr>ＣＶＪ転造等速ジョイント旋削加工・ＮＣプログラム修正</vt:lpstr>
      <vt:lpstr>dosmilcero</vt:lpstr>
      <vt:lpstr>DOSMILCINCO</vt:lpstr>
      <vt:lpstr>dosmilcuatro</vt:lpstr>
      <vt:lpstr>dosmildos</vt:lpstr>
      <vt:lpstr>DOSMILSEIS</vt:lpstr>
      <vt:lpstr>dosmiltres</vt:lpstr>
      <vt:lpstr>dosmiluno</vt:lpstr>
      <vt:lpstr>Fabrica</vt:lpstr>
      <vt:lpstr>FECHADE</vt:lpstr>
      <vt:lpstr>FechaMas</vt:lpstr>
      <vt:lpstr>Fライン</vt:lpstr>
      <vt:lpstr>Gライン</vt:lpstr>
      <vt:lpstr>H_2次旋</vt:lpstr>
      <vt:lpstr>HakenkikanS</vt:lpstr>
      <vt:lpstr>HUB_管理課</vt:lpstr>
      <vt:lpstr>HUB_検査課係</vt:lpstr>
      <vt:lpstr>HUB_第1</vt:lpstr>
      <vt:lpstr>HUB_第2</vt:lpstr>
      <vt:lpstr>HUB管理課</vt:lpstr>
      <vt:lpstr>HUB検査課係</vt:lpstr>
      <vt:lpstr>HUB工場</vt:lpstr>
      <vt:lpstr>HUB工場製作課</vt:lpstr>
      <vt:lpstr>HUB旋削加工品の抜き取り</vt:lpstr>
      <vt:lpstr>HUB旋削加工品の抜き取り検査</vt:lpstr>
      <vt:lpstr>JIGYOUSHO</vt:lpstr>
      <vt:lpstr>koka</vt:lpstr>
      <vt:lpstr>koku</vt:lpstr>
      <vt:lpstr>KOUJYOU</vt:lpstr>
      <vt:lpstr>Linea</vt:lpstr>
      <vt:lpstr>naiou</vt:lpstr>
      <vt:lpstr>Ncopy</vt:lpstr>
      <vt:lpstr>'DAICHO (2)'!NombreID</vt:lpstr>
      <vt:lpstr>NombreID</vt:lpstr>
      <vt:lpstr>'DAICHO (2)'!Okayama</vt:lpstr>
      <vt:lpstr>通知書!Okayama</vt:lpstr>
      <vt:lpstr>'通知書(別々)'!Okayama</vt:lpstr>
      <vt:lpstr>通知書Genzai!Okayama</vt:lpstr>
      <vt:lpstr>'通知書Genzai (2)'!Okayama</vt:lpstr>
      <vt:lpstr>通知書TOTAL!Okayama</vt:lpstr>
      <vt:lpstr>Okayama</vt:lpstr>
      <vt:lpstr>P</vt:lpstr>
      <vt:lpstr>PrecioHora</vt:lpstr>
      <vt:lpstr>PTJ</vt:lpstr>
      <vt:lpstr>PuntoG</vt:lpstr>
      <vt:lpstr>TKE</vt:lpstr>
      <vt:lpstr>TKE第一営</vt:lpstr>
      <vt:lpstr>Tライン</vt:lpstr>
      <vt:lpstr>W研磨</vt:lpstr>
      <vt:lpstr>チャンファ</vt:lpstr>
      <vt:lpstr>チャンファー</vt:lpstr>
      <vt:lpstr>トラニオン</vt:lpstr>
      <vt:lpstr>ト精密</vt:lpstr>
      <vt:lpstr>ナット</vt:lpstr>
      <vt:lpstr>ハブ加工・自動機の操作</vt:lpstr>
      <vt:lpstr>ハブ加工・自動機の操作・ＮＣプログラム修正</vt:lpstr>
      <vt:lpstr>バリ取り</vt:lpstr>
      <vt:lpstr>フォクリフト</vt:lpstr>
      <vt:lpstr>ブローチ</vt:lpstr>
      <vt:lpstr>リフト作業</vt:lpstr>
      <vt:lpstr>愛知事業所</vt:lpstr>
      <vt:lpstr>一次旋係</vt:lpstr>
      <vt:lpstr>岡山事業所</vt:lpstr>
      <vt:lpstr>海南第一工場</vt:lpstr>
      <vt:lpstr>海南第一工場営業課</vt:lpstr>
      <vt:lpstr>海南第一工場製作1課</vt:lpstr>
      <vt:lpstr>海南第一工場製作2課</vt:lpstr>
      <vt:lpstr>海南第二工場</vt:lpstr>
      <vt:lpstr>海南第二工場製作1課</vt:lpstr>
      <vt:lpstr>海南第二工場製作課</vt:lpstr>
      <vt:lpstr>業務係_CVJ</vt:lpstr>
      <vt:lpstr>業務係CVJ</vt:lpstr>
      <vt:lpstr>勤怠・日報・伝票入力作業</vt:lpstr>
      <vt:lpstr>高雄工業株式会社</vt:lpstr>
      <vt:lpstr>梱包</vt:lpstr>
      <vt:lpstr>自動機の旋削機械及び周辺機器等の清掃メンテナンス</vt:lpstr>
      <vt:lpstr>自動旋削</vt:lpstr>
      <vt:lpstr>手動旋削</vt:lpstr>
      <vt:lpstr>清掃作業・切子回収</vt:lpstr>
      <vt:lpstr>静岡事業所</vt:lpstr>
      <vt:lpstr>切紛回収</vt:lpstr>
      <vt:lpstr>第一工場</vt:lpstr>
      <vt:lpstr>第一工場製作課</vt:lpstr>
      <vt:lpstr>第二工場</vt:lpstr>
      <vt:lpstr>第二工場製作課</vt:lpstr>
      <vt:lpstr>長軸バリ取り</vt:lpstr>
      <vt:lpstr>転造</vt:lpstr>
      <vt:lpstr>内輪</vt:lpstr>
      <vt:lpstr>入社日変更</vt:lpstr>
      <vt:lpstr>熱処理</vt:lpstr>
      <vt:lpstr>派遣先事業所</vt:lpstr>
      <vt:lpstr>本社工場</vt:lpstr>
      <vt:lpstr>本社工場営業課</vt:lpstr>
      <vt:lpstr>本社工場製作課</vt:lpstr>
      <vt:lpstr>六面加工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Kaneshrio</dc:creator>
  <cp:lastModifiedBy>koko kaneshiro</cp:lastModifiedBy>
  <cp:lastPrinted>2023-04-21T08:43:45Z</cp:lastPrinted>
  <dcterms:created xsi:type="dcterms:W3CDTF">2022-09-23T08:11:22Z</dcterms:created>
  <dcterms:modified xsi:type="dcterms:W3CDTF">2023-12-11T01:19:14Z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0x010100CA161BC2AD50D441B11A7F9234F6C254</vt:lpwstr>
  </property>
</Properties>
</file>